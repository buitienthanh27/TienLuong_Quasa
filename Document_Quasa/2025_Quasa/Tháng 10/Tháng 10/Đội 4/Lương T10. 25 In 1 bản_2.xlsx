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 defaultThemeVersion="124226"/>
  <bookViews>
    <workbookView xWindow="-105" yWindow="-105" windowWidth="23250" windowHeight="12450" tabRatio="922" firstSheet="4" activeTab="6"/>
  </bookViews>
  <sheets>
    <sheet name="SẢN LƯỢNG" sheetId="128" state="hidden" r:id="rId1"/>
    <sheet name="MỦ SERUM" sheetId="169" state="hidden" r:id="rId2"/>
    <sheet name="Chấm công KT" sheetId="8" state="hidden" r:id="rId3"/>
    <sheet name="TONGHOPCONGDOI" sheetId="9" state="hidden" r:id="rId4"/>
    <sheet name="Trạm 1" sheetId="99" r:id="rId5"/>
    <sheet name="Trạm 2" sheetId="101" r:id="rId6"/>
    <sheet name="CNKT " sheetId="151" r:id="rId7"/>
    <sheet name="TÍNH LƯƠNG CB" sheetId="153" state="hidden" r:id="rId8"/>
    <sheet name="CC CB LÀO" sheetId="184" state="hidden" r:id="rId9"/>
    <sheet name="LƯƠNG CB.CNV LÀO" sheetId="136" r:id="rId10"/>
    <sheet name="LƯƠNG CN TRỰC TIẾP " sheetId="132" state="hidden" r:id="rId11"/>
    <sheet name="TH LƯƠNG CNKT" sheetId="180" r:id="rId12"/>
    <sheet name="Phân toán  " sheetId="154" r:id="rId13"/>
    <sheet name="PLcon (2)" sheetId="170" state="hidden" r:id="rId14"/>
    <sheet name="DSN Thuê" sheetId="167" r:id="rId15"/>
    <sheet name="Bảng TH CP khác" sheetId="181" state="hidden" r:id="rId16"/>
    <sheet name="Hổ trợ vi gô " sheetId="160" state="hidden" r:id="rId17"/>
    <sheet name="PC xăng xe T4" sheetId="138" state="hidden" r:id="rId18"/>
    <sheet name="PLcon NT" sheetId="59" state="hidden" r:id="rId19"/>
    <sheet name="Phân Toán CVK" sheetId="79" state="hidden" r:id="rId20"/>
    <sheet name="Bảng ĐP - BV  " sheetId="162" state="hidden" r:id="rId21"/>
    <sheet name="Bảng CC - NV" sheetId="177" state="hidden" r:id="rId22"/>
    <sheet name="Sheet1 (2)" sheetId="183" state="hidden" r:id="rId23"/>
    <sheet name="Mã số nhân viên" sheetId="179" state="hidden" r:id="rId24"/>
  </sheets>
  <externalReferences>
    <externalReference r:id="rId25"/>
  </externalReferences>
  <definedNames>
    <definedName name="_xlnm._FilterDatabase" localSheetId="6" hidden="1">'CNKT '!$B$6:$H$7</definedName>
    <definedName name="_xlnm._FilterDatabase" localSheetId="2" hidden="1">'Chấm công KT'!$B$1:$AU$167</definedName>
    <definedName name="_xlnm._FilterDatabase" localSheetId="1" hidden="1">'MỦ SERUM'!#REF!</definedName>
    <definedName name="_xlnm._FilterDatabase" localSheetId="0" hidden="1">'SẢN LƯỢNG'!$B$2:$AQ$223</definedName>
    <definedName name="_xlnm._FilterDatabase" localSheetId="3" hidden="1">TONGHOPCONGDOI!$A$10:$AT$166</definedName>
    <definedName name="_xlnm.Print_Area" localSheetId="6">'CNKT '!$B$3:$AE$183</definedName>
    <definedName name="_xlnm.Print_Area" localSheetId="1">'MỦ SERUM'!#REF!</definedName>
    <definedName name="_xlnm.Print_Area" localSheetId="0">'SẢN LƯỢNG'!$A$2:$AR$236</definedName>
    <definedName name="_xlnm.Print_Area" localSheetId="3">TONGHOPCONGDOI!$A$1:$AE$177</definedName>
    <definedName name="_xlnm.Print_Titles" localSheetId="20">'Bảng ĐP - BV  '!#REF!</definedName>
    <definedName name="_xlnm.Print_Titles" localSheetId="8">'CC CB LÀO'!#REF!</definedName>
    <definedName name="_xlnm.Print_Titles" localSheetId="6">'CNKT '!$12:$14</definedName>
    <definedName name="_xlnm.Print_Titles" localSheetId="2">'Chấm công KT'!$10:$11</definedName>
    <definedName name="_xlnm.Print_Titles" localSheetId="10">'LƯƠNG CN TRỰC TIẾP '!$11:$12</definedName>
    <definedName name="_xlnm.Print_Titles" localSheetId="1">'MỦ SERUM'!#REF!</definedName>
    <definedName name="_xlnm.Print_Titles" localSheetId="17">'PC xăng xe T4'!$11:$12</definedName>
    <definedName name="_xlnm.Print_Titles" localSheetId="12">'Phân toán  '!$12:$12</definedName>
    <definedName name="_xlnm.Print_Titles" localSheetId="19">'Phân Toán CVK'!$12:$12</definedName>
    <definedName name="_xlnm.Print_Titles" localSheetId="0">'SẢN LƯỢNG'!$13:$14</definedName>
    <definedName name="_xlnm.Print_Titles" localSheetId="3">TONGHOPCONGDOI!$6:$8</definedName>
    <definedName name="_xlnm.Print_Titles" localSheetId="11">'TH LƯƠNG CNKT'!$11:$12</definedName>
    <definedName name="_xlnm.Print_Titles" localSheetId="4">'Trạm 1'!$13:$15</definedName>
    <definedName name="_xlnm.Print_Titles" localSheetId="5">'Trạm 2'!$14:$16</definedName>
  </definedNames>
  <calcPr calcId="144525"/>
</workbook>
</file>

<file path=xl/calcChain.xml><?xml version="1.0" encoding="utf-8"?>
<calcChain xmlns="http://schemas.openxmlformats.org/spreadsheetml/2006/main">
  <c r="Y66" i="101" l="1"/>
  <c r="N66" i="101"/>
  <c r="AH18" i="184" l="1"/>
  <c r="AG18" i="184"/>
  <c r="AF18" i="184"/>
  <c r="AE18" i="184"/>
  <c r="AD18" i="184"/>
  <c r="AC18" i="184"/>
  <c r="AB18" i="184"/>
  <c r="AA18" i="184"/>
  <c r="Z18" i="184"/>
  <c r="Y18" i="184"/>
  <c r="X18" i="184"/>
  <c r="W18" i="184"/>
  <c r="V18" i="184"/>
  <c r="U18" i="184"/>
  <c r="T18" i="184"/>
  <c r="S18" i="184"/>
  <c r="R18" i="184"/>
  <c r="Q18" i="184"/>
  <c r="P18" i="184"/>
  <c r="O18" i="184"/>
  <c r="N18" i="184"/>
  <c r="M18" i="184"/>
  <c r="L18" i="184"/>
  <c r="K18" i="184"/>
  <c r="J18" i="184"/>
  <c r="I18" i="184"/>
  <c r="H18" i="184"/>
  <c r="G18" i="184"/>
  <c r="F18" i="184"/>
  <c r="E18" i="184"/>
  <c r="D18" i="184"/>
  <c r="AI17" i="184"/>
  <c r="AI16" i="184"/>
  <c r="AI15" i="184"/>
  <c r="AI14" i="184"/>
  <c r="AI13" i="184"/>
  <c r="AI12" i="184"/>
  <c r="AI18" i="184" s="1"/>
  <c r="G20" i="154"/>
  <c r="G18" i="154"/>
  <c r="AG187" i="151"/>
  <c r="AB97" i="99"/>
  <c r="O96" i="151"/>
  <c r="M96" i="151"/>
  <c r="O95" i="151"/>
  <c r="Z97" i="99"/>
  <c r="N96" i="99"/>
  <c r="T96" i="99"/>
  <c r="S96" i="99"/>
  <c r="R96" i="99"/>
  <c r="Q96" i="99"/>
  <c r="P96" i="99"/>
  <c r="O96" i="99"/>
  <c r="I96" i="99"/>
  <c r="H13" i="153"/>
  <c r="M13" i="153"/>
  <c r="L96" i="99" l="1"/>
  <c r="V96" i="99"/>
  <c r="Y96" i="99" s="1"/>
  <c r="Q13" i="153"/>
  <c r="Q14" i="153"/>
  <c r="Z96" i="99" l="1"/>
  <c r="E15" i="154"/>
  <c r="F20" i="154"/>
  <c r="F17" i="154"/>
  <c r="F18" i="154"/>
  <c r="F16" i="154"/>
  <c r="F19" i="154"/>
  <c r="G16" i="154"/>
  <c r="E16" i="154" l="1"/>
  <c r="G100" i="132"/>
  <c r="H100" i="132"/>
  <c r="G101" i="132"/>
  <c r="H101" i="132"/>
  <c r="G102" i="132"/>
  <c r="H102" i="132"/>
  <c r="G103" i="132"/>
  <c r="H103" i="132"/>
  <c r="G104" i="132"/>
  <c r="H104" i="132"/>
  <c r="G105" i="132"/>
  <c r="H105" i="132"/>
  <c r="G106" i="132"/>
  <c r="H106" i="132"/>
  <c r="G107" i="132"/>
  <c r="H107" i="132"/>
  <c r="G108" i="132"/>
  <c r="H108" i="132"/>
  <c r="G109" i="132"/>
  <c r="H109" i="132"/>
  <c r="G110" i="132"/>
  <c r="H110" i="132"/>
  <c r="G111" i="132"/>
  <c r="H111" i="132"/>
  <c r="G112" i="132"/>
  <c r="H112" i="132"/>
  <c r="G113" i="132"/>
  <c r="H113" i="132"/>
  <c r="G114" i="132"/>
  <c r="H114" i="132"/>
  <c r="G115" i="132"/>
  <c r="H115" i="132"/>
  <c r="G116" i="132"/>
  <c r="H116" i="132"/>
  <c r="G117" i="132"/>
  <c r="H117" i="132"/>
  <c r="G118" i="132"/>
  <c r="H118" i="132"/>
  <c r="G119" i="132"/>
  <c r="H119" i="132"/>
  <c r="G120" i="132"/>
  <c r="H120" i="132"/>
  <c r="G121" i="132"/>
  <c r="H121" i="132"/>
  <c r="G122" i="132"/>
  <c r="H122" i="132"/>
  <c r="G123" i="132"/>
  <c r="H123" i="132"/>
  <c r="G124" i="132"/>
  <c r="H124" i="132"/>
  <c r="G125" i="132"/>
  <c r="H125" i="132"/>
  <c r="G126" i="132"/>
  <c r="H126" i="132"/>
  <c r="G127" i="132"/>
  <c r="H127" i="132"/>
  <c r="G128" i="132"/>
  <c r="H128" i="132"/>
  <c r="G129" i="132"/>
  <c r="H129" i="132"/>
  <c r="G130" i="132"/>
  <c r="H130" i="132"/>
  <c r="G131" i="132"/>
  <c r="H131" i="132"/>
  <c r="G132" i="132"/>
  <c r="H132" i="132"/>
  <c r="G133" i="132"/>
  <c r="H133" i="132"/>
  <c r="G134" i="132"/>
  <c r="H134" i="132"/>
  <c r="G135" i="132"/>
  <c r="H135" i="132"/>
  <c r="G136" i="132"/>
  <c r="H136" i="132"/>
  <c r="G137" i="132"/>
  <c r="H137" i="132"/>
  <c r="G138" i="132"/>
  <c r="H138" i="132"/>
  <c r="G139" i="132"/>
  <c r="H139" i="132"/>
  <c r="G140" i="132"/>
  <c r="H140" i="132"/>
  <c r="G141" i="132"/>
  <c r="H141" i="132"/>
  <c r="G142" i="132"/>
  <c r="H142" i="132"/>
  <c r="G143" i="132"/>
  <c r="H143" i="132"/>
  <c r="G144" i="132"/>
  <c r="H144" i="132"/>
  <c r="G145" i="132"/>
  <c r="H145" i="132"/>
  <c r="G146" i="132"/>
  <c r="H146" i="132"/>
  <c r="G147" i="132"/>
  <c r="H147" i="132"/>
  <c r="G148" i="132"/>
  <c r="H148" i="132"/>
  <c r="G149" i="132"/>
  <c r="H149" i="132"/>
  <c r="G150" i="132"/>
  <c r="H150" i="132"/>
  <c r="G151" i="132"/>
  <c r="H151" i="132"/>
  <c r="G152" i="132"/>
  <c r="H152" i="132"/>
  <c r="G153" i="132"/>
  <c r="H153" i="132"/>
  <c r="G154" i="132"/>
  <c r="H154" i="132"/>
  <c r="G155" i="132"/>
  <c r="H155" i="132"/>
  <c r="G156" i="132"/>
  <c r="H156" i="132"/>
  <c r="G157" i="132"/>
  <c r="H157" i="132"/>
  <c r="G158" i="132"/>
  <c r="H158" i="132"/>
  <c r="G159" i="132"/>
  <c r="H159" i="132"/>
  <c r="G160" i="132"/>
  <c r="H160" i="132"/>
  <c r="H161" i="132"/>
  <c r="H99" i="132"/>
  <c r="G99" i="132"/>
  <c r="G91" i="132"/>
  <c r="G15" i="132"/>
  <c r="G16" i="132"/>
  <c r="G17" i="132"/>
  <c r="G18" i="132"/>
  <c r="G19" i="132"/>
  <c r="G20" i="132"/>
  <c r="G21" i="132"/>
  <c r="G22" i="132"/>
  <c r="G23" i="132"/>
  <c r="G24" i="132"/>
  <c r="G25" i="132"/>
  <c r="G26" i="132"/>
  <c r="G27" i="132"/>
  <c r="G28" i="132"/>
  <c r="G29" i="132"/>
  <c r="G30" i="132"/>
  <c r="G31" i="132"/>
  <c r="G32" i="132"/>
  <c r="G33" i="132"/>
  <c r="G34" i="132"/>
  <c r="G35" i="132"/>
  <c r="G36" i="132"/>
  <c r="G37" i="132"/>
  <c r="G38" i="132"/>
  <c r="G39" i="132"/>
  <c r="G40" i="132"/>
  <c r="G41" i="132"/>
  <c r="G42" i="132"/>
  <c r="G43" i="132"/>
  <c r="G44" i="132"/>
  <c r="G45" i="132"/>
  <c r="G46" i="132"/>
  <c r="G47" i="132"/>
  <c r="G48" i="132"/>
  <c r="G49" i="132"/>
  <c r="G50" i="132"/>
  <c r="G51" i="132"/>
  <c r="G52" i="132"/>
  <c r="G53" i="132"/>
  <c r="G54" i="132"/>
  <c r="G55" i="132"/>
  <c r="G56" i="132"/>
  <c r="G57" i="132"/>
  <c r="G58" i="132"/>
  <c r="G59" i="132"/>
  <c r="G60" i="132"/>
  <c r="G61" i="132"/>
  <c r="G62" i="132"/>
  <c r="G63" i="132"/>
  <c r="G64" i="132"/>
  <c r="G65" i="132"/>
  <c r="G66" i="132"/>
  <c r="G67" i="132"/>
  <c r="G68" i="132"/>
  <c r="G69" i="132"/>
  <c r="G70" i="132"/>
  <c r="G71" i="132"/>
  <c r="G72" i="132"/>
  <c r="G73" i="132"/>
  <c r="G74" i="132"/>
  <c r="G75" i="132"/>
  <c r="G76" i="132"/>
  <c r="G77" i="132"/>
  <c r="G78" i="132"/>
  <c r="G79" i="132"/>
  <c r="G80" i="132"/>
  <c r="G81" i="132"/>
  <c r="G82" i="132"/>
  <c r="G83" i="132"/>
  <c r="G84" i="132"/>
  <c r="G85" i="132"/>
  <c r="G86" i="132"/>
  <c r="G87" i="132"/>
  <c r="G88" i="132"/>
  <c r="G89" i="132"/>
  <c r="G90" i="132"/>
  <c r="G14" i="132"/>
  <c r="E13" i="132"/>
  <c r="G18" i="136"/>
  <c r="G17" i="136"/>
  <c r="G16" i="136" s="1"/>
  <c r="Q22" i="153"/>
  <c r="K23" i="153"/>
  <c r="J23" i="153"/>
  <c r="L22" i="153"/>
  <c r="K22" i="153"/>
  <c r="J22" i="153"/>
  <c r="K20" i="153"/>
  <c r="L19" i="153"/>
  <c r="M19" i="153" s="1"/>
  <c r="Q19" i="153" s="1"/>
  <c r="K19" i="153"/>
  <c r="K18" i="153"/>
  <c r="J18" i="153"/>
  <c r="L17" i="153"/>
  <c r="L18" i="153" s="1"/>
  <c r="M16" i="153"/>
  <c r="Q16" i="153" s="1"/>
  <c r="K14" i="153"/>
  <c r="K15" i="153" s="1"/>
  <c r="M22" i="153" l="1"/>
  <c r="M18" i="153"/>
  <c r="Q18" i="153" s="1"/>
  <c r="M17" i="153"/>
  <c r="Q17" i="153" s="1"/>
  <c r="L14" i="153"/>
  <c r="L20" i="153"/>
  <c r="M20" i="153" s="1"/>
  <c r="Q20" i="153" s="1"/>
  <c r="L23" i="153"/>
  <c r="M23" i="153" s="1"/>
  <c r="Q23" i="153" s="1"/>
  <c r="AQ160" i="128"/>
  <c r="Q21" i="153" l="1"/>
  <c r="M14" i="153"/>
  <c r="L15" i="153"/>
  <c r="M15" i="153" s="1"/>
  <c r="Q15" i="153" s="1"/>
  <c r="Q12" i="153" l="1"/>
  <c r="O162" i="151" l="1"/>
  <c r="AQ24" i="128" l="1"/>
  <c r="O102" i="151"/>
  <c r="O103" i="151"/>
  <c r="O104" i="151"/>
  <c r="O105" i="151"/>
  <c r="O106" i="151"/>
  <c r="O107" i="151"/>
  <c r="O108" i="151"/>
  <c r="O109" i="151"/>
  <c r="O110" i="151"/>
  <c r="O111" i="151"/>
  <c r="O112" i="151"/>
  <c r="O113" i="151"/>
  <c r="O114" i="151"/>
  <c r="O115" i="151"/>
  <c r="O116" i="151"/>
  <c r="O117" i="151"/>
  <c r="O118" i="151"/>
  <c r="O119" i="151"/>
  <c r="O120" i="151"/>
  <c r="O121" i="151"/>
  <c r="O122" i="151"/>
  <c r="O123" i="151"/>
  <c r="O124" i="151"/>
  <c r="O125" i="151"/>
  <c r="O126" i="151"/>
  <c r="O127" i="151"/>
  <c r="O128" i="151"/>
  <c r="O129" i="151"/>
  <c r="O130" i="151"/>
  <c r="O131" i="151"/>
  <c r="O132" i="151"/>
  <c r="O133" i="151"/>
  <c r="O134" i="151"/>
  <c r="O135" i="151"/>
  <c r="O136" i="151"/>
  <c r="O137" i="151"/>
  <c r="O138" i="151"/>
  <c r="O139" i="151"/>
  <c r="O140" i="151"/>
  <c r="O141" i="151"/>
  <c r="O142" i="151"/>
  <c r="O143" i="151"/>
  <c r="O144" i="151"/>
  <c r="O145" i="151"/>
  <c r="O146" i="151"/>
  <c r="O147" i="151"/>
  <c r="O148" i="151"/>
  <c r="O149" i="151"/>
  <c r="O150" i="151"/>
  <c r="O151" i="151"/>
  <c r="O152" i="151"/>
  <c r="O153" i="151"/>
  <c r="O154" i="151"/>
  <c r="O155" i="151"/>
  <c r="O156" i="151"/>
  <c r="O157" i="151"/>
  <c r="O158" i="151"/>
  <c r="O159" i="151"/>
  <c r="O160" i="151"/>
  <c r="O161" i="151"/>
  <c r="O101" i="151"/>
  <c r="O17" i="151"/>
  <c r="O18" i="151"/>
  <c r="O19" i="151"/>
  <c r="O20" i="151"/>
  <c r="O21" i="151"/>
  <c r="O22" i="151"/>
  <c r="O23" i="151"/>
  <c r="O24" i="151"/>
  <c r="O25" i="151"/>
  <c r="O26" i="151"/>
  <c r="O27" i="151"/>
  <c r="O28" i="151"/>
  <c r="O29" i="151"/>
  <c r="O30" i="151"/>
  <c r="O31" i="151"/>
  <c r="O32" i="151"/>
  <c r="O33" i="151"/>
  <c r="O34" i="151"/>
  <c r="O35" i="151"/>
  <c r="O36" i="151"/>
  <c r="O37" i="151"/>
  <c r="O38" i="151"/>
  <c r="O39" i="151"/>
  <c r="O40" i="151"/>
  <c r="O41" i="151"/>
  <c r="O42" i="151"/>
  <c r="O43" i="151"/>
  <c r="O44" i="151"/>
  <c r="O45" i="151"/>
  <c r="O46" i="151"/>
  <c r="O47" i="151"/>
  <c r="O48" i="151"/>
  <c r="O49" i="151"/>
  <c r="O50" i="151"/>
  <c r="O51" i="151"/>
  <c r="O52" i="151"/>
  <c r="O53" i="151"/>
  <c r="O54" i="151"/>
  <c r="O55" i="151"/>
  <c r="O56" i="151"/>
  <c r="O57" i="151"/>
  <c r="O58" i="151"/>
  <c r="O59" i="151"/>
  <c r="O60" i="151"/>
  <c r="O61" i="151"/>
  <c r="O62" i="151"/>
  <c r="O63" i="151"/>
  <c r="O64" i="151"/>
  <c r="O65" i="151"/>
  <c r="O66" i="151"/>
  <c r="O67" i="151"/>
  <c r="O68" i="151"/>
  <c r="O69" i="151"/>
  <c r="O70" i="151"/>
  <c r="O71" i="151"/>
  <c r="O72" i="151"/>
  <c r="O73" i="151"/>
  <c r="O74" i="151"/>
  <c r="O75" i="151"/>
  <c r="O76" i="151"/>
  <c r="O77" i="151"/>
  <c r="O78" i="151"/>
  <c r="O79" i="151"/>
  <c r="O80" i="151"/>
  <c r="O81" i="151"/>
  <c r="O82" i="151"/>
  <c r="O83" i="151"/>
  <c r="O84" i="151"/>
  <c r="O85" i="151"/>
  <c r="O86" i="151"/>
  <c r="O87" i="151"/>
  <c r="O88" i="151"/>
  <c r="O89" i="151"/>
  <c r="O90" i="151"/>
  <c r="O91" i="151"/>
  <c r="O92" i="151"/>
  <c r="O93" i="151"/>
  <c r="O16" i="151"/>
  <c r="O189" i="151"/>
  <c r="K189" i="151"/>
  <c r="E11" i="99"/>
  <c r="E12" i="101"/>
  <c r="N20" i="101" s="1"/>
  <c r="E12" i="99"/>
  <c r="AL8" i="151"/>
  <c r="AH8" i="151"/>
  <c r="AD11" i="101"/>
  <c r="AD10" i="99"/>
  <c r="AD9" i="99"/>
  <c r="L16" i="99"/>
  <c r="N17" i="101" l="1"/>
  <c r="N75" i="101"/>
  <c r="N71" i="101"/>
  <c r="N67" i="101"/>
  <c r="N63" i="101"/>
  <c r="N59" i="101"/>
  <c r="N55" i="101"/>
  <c r="N51" i="101"/>
  <c r="N47" i="101"/>
  <c r="N43" i="101"/>
  <c r="N39" i="101"/>
  <c r="N35" i="101"/>
  <c r="N31" i="101"/>
  <c r="N27" i="101"/>
  <c r="N23" i="101"/>
  <c r="N19" i="101"/>
  <c r="N78" i="101"/>
  <c r="N74" i="101"/>
  <c r="N70" i="101"/>
  <c r="N62" i="101"/>
  <c r="N58" i="101"/>
  <c r="N54" i="101"/>
  <c r="N50" i="101"/>
  <c r="N46" i="101"/>
  <c r="N42" i="101"/>
  <c r="N38" i="101"/>
  <c r="N34" i="101"/>
  <c r="N30" i="101"/>
  <c r="N26" i="101"/>
  <c r="N22" i="101"/>
  <c r="N18" i="101"/>
  <c r="N77" i="101"/>
  <c r="N73" i="101"/>
  <c r="N69" i="101"/>
  <c r="N65" i="101"/>
  <c r="N61" i="101"/>
  <c r="N57" i="101"/>
  <c r="N53" i="101"/>
  <c r="N49" i="101"/>
  <c r="N45" i="101"/>
  <c r="N41" i="101"/>
  <c r="N37" i="101"/>
  <c r="N33" i="101"/>
  <c r="N29" i="101"/>
  <c r="N25" i="101"/>
  <c r="N21" i="101"/>
  <c r="N76" i="101"/>
  <c r="N72" i="101"/>
  <c r="N68" i="101"/>
  <c r="N64" i="101"/>
  <c r="N60" i="101"/>
  <c r="N56" i="101"/>
  <c r="N52" i="101"/>
  <c r="N48" i="101"/>
  <c r="N44" i="101"/>
  <c r="N40" i="101"/>
  <c r="N36" i="101"/>
  <c r="N32" i="101"/>
  <c r="N28" i="101"/>
  <c r="N24" i="101"/>
  <c r="O193" i="151" l="1"/>
  <c r="O192" i="151"/>
  <c r="O195" i="151"/>
  <c r="W185" i="151"/>
  <c r="N102" i="151" l="1"/>
  <c r="N103" i="151"/>
  <c r="N104" i="151"/>
  <c r="N105" i="151"/>
  <c r="N106" i="151"/>
  <c r="N107" i="151"/>
  <c r="N108" i="151"/>
  <c r="N109" i="151"/>
  <c r="N110" i="151"/>
  <c r="N111" i="151"/>
  <c r="N112" i="151"/>
  <c r="N113" i="151"/>
  <c r="N114" i="151"/>
  <c r="N115" i="151"/>
  <c r="N116" i="151"/>
  <c r="N117" i="151"/>
  <c r="N118" i="151"/>
  <c r="N119" i="151"/>
  <c r="N120" i="151"/>
  <c r="N121" i="151"/>
  <c r="N122" i="151"/>
  <c r="N123" i="151"/>
  <c r="N124" i="151"/>
  <c r="N125" i="151"/>
  <c r="N126" i="151"/>
  <c r="N127" i="151"/>
  <c r="N128" i="151"/>
  <c r="N129" i="151"/>
  <c r="N130" i="151"/>
  <c r="N131" i="151"/>
  <c r="N132" i="151"/>
  <c r="N133" i="151"/>
  <c r="N134" i="151"/>
  <c r="N135" i="151"/>
  <c r="N136" i="151"/>
  <c r="N137" i="151"/>
  <c r="N138" i="151"/>
  <c r="N139" i="151"/>
  <c r="N140" i="151"/>
  <c r="N141" i="151"/>
  <c r="N142" i="151"/>
  <c r="N143" i="151"/>
  <c r="N144" i="151"/>
  <c r="N145" i="151"/>
  <c r="N146" i="151"/>
  <c r="N147" i="151"/>
  <c r="N148" i="151"/>
  <c r="N149" i="151"/>
  <c r="N150" i="151"/>
  <c r="N151" i="151"/>
  <c r="N152" i="151"/>
  <c r="N153" i="151"/>
  <c r="N154" i="151"/>
  <c r="N155" i="151"/>
  <c r="N156" i="151"/>
  <c r="N157" i="151"/>
  <c r="N158" i="151"/>
  <c r="N159" i="151"/>
  <c r="N160" i="151"/>
  <c r="N161" i="151"/>
  <c r="N162" i="151"/>
  <c r="N101" i="151"/>
  <c r="L102" i="151"/>
  <c r="M102" i="151"/>
  <c r="L103" i="151"/>
  <c r="M103" i="151"/>
  <c r="L104" i="151"/>
  <c r="M104" i="151"/>
  <c r="L105" i="151"/>
  <c r="M105" i="151"/>
  <c r="L106" i="151"/>
  <c r="M106" i="151"/>
  <c r="L107" i="151"/>
  <c r="M107" i="151"/>
  <c r="L108" i="151"/>
  <c r="M108" i="151"/>
  <c r="L109" i="151"/>
  <c r="M109" i="151"/>
  <c r="L110" i="151"/>
  <c r="M110" i="151"/>
  <c r="L111" i="151"/>
  <c r="M111" i="151"/>
  <c r="L112" i="151"/>
  <c r="M112" i="151"/>
  <c r="L113" i="151"/>
  <c r="M113" i="151"/>
  <c r="L114" i="151"/>
  <c r="M114" i="151"/>
  <c r="L115" i="151"/>
  <c r="M115" i="151"/>
  <c r="L116" i="151"/>
  <c r="M116" i="151"/>
  <c r="L117" i="151"/>
  <c r="M117" i="151"/>
  <c r="L118" i="151"/>
  <c r="M118" i="151"/>
  <c r="L119" i="151"/>
  <c r="M119" i="151"/>
  <c r="L120" i="151"/>
  <c r="M120" i="151"/>
  <c r="L121" i="151"/>
  <c r="M121" i="151"/>
  <c r="L122" i="151"/>
  <c r="M122" i="151"/>
  <c r="L123" i="151"/>
  <c r="M123" i="151"/>
  <c r="L124" i="151"/>
  <c r="M124" i="151"/>
  <c r="L125" i="151"/>
  <c r="M125" i="151"/>
  <c r="L126" i="151"/>
  <c r="M126" i="151"/>
  <c r="L127" i="151"/>
  <c r="M127" i="151"/>
  <c r="L128" i="151"/>
  <c r="M128" i="151"/>
  <c r="L129" i="151"/>
  <c r="M129" i="151"/>
  <c r="L130" i="151"/>
  <c r="M130" i="151"/>
  <c r="L131" i="151"/>
  <c r="M131" i="151"/>
  <c r="L132" i="151"/>
  <c r="M132" i="151"/>
  <c r="L133" i="151"/>
  <c r="M133" i="151"/>
  <c r="L134" i="151"/>
  <c r="M134" i="151"/>
  <c r="L135" i="151"/>
  <c r="M135" i="151"/>
  <c r="L136" i="151"/>
  <c r="M136" i="151"/>
  <c r="L137" i="151"/>
  <c r="M137" i="151"/>
  <c r="L138" i="151"/>
  <c r="M138" i="151"/>
  <c r="L139" i="151"/>
  <c r="M139" i="151"/>
  <c r="L140" i="151"/>
  <c r="M140" i="151"/>
  <c r="L141" i="151"/>
  <c r="M141" i="151"/>
  <c r="L142" i="151"/>
  <c r="M142" i="151"/>
  <c r="L143" i="151"/>
  <c r="M143" i="151"/>
  <c r="L144" i="151"/>
  <c r="M144" i="151"/>
  <c r="L145" i="151"/>
  <c r="M145" i="151"/>
  <c r="L146" i="151"/>
  <c r="M146" i="151"/>
  <c r="L147" i="151"/>
  <c r="M147" i="151"/>
  <c r="L148" i="151"/>
  <c r="M148" i="151"/>
  <c r="L149" i="151"/>
  <c r="M149" i="151"/>
  <c r="L150" i="151"/>
  <c r="M150" i="151"/>
  <c r="L151" i="151"/>
  <c r="M151" i="151"/>
  <c r="L152" i="151"/>
  <c r="M152" i="151"/>
  <c r="L153" i="151"/>
  <c r="M153" i="151"/>
  <c r="L154" i="151"/>
  <c r="M154" i="151"/>
  <c r="L155" i="151"/>
  <c r="M155" i="151"/>
  <c r="L156" i="151"/>
  <c r="M156" i="151"/>
  <c r="L157" i="151"/>
  <c r="M157" i="151"/>
  <c r="L158" i="151"/>
  <c r="M158" i="151"/>
  <c r="L159" i="151"/>
  <c r="M159" i="151"/>
  <c r="L160" i="151"/>
  <c r="M160" i="151"/>
  <c r="L161" i="151"/>
  <c r="M161" i="151"/>
  <c r="L162" i="151"/>
  <c r="M162" i="151"/>
  <c r="M101" i="151"/>
  <c r="L101" i="151"/>
  <c r="N95" i="151"/>
  <c r="N17" i="151"/>
  <c r="N18" i="151"/>
  <c r="N19" i="151"/>
  <c r="N20" i="151"/>
  <c r="N21" i="151"/>
  <c r="N22" i="151"/>
  <c r="N23" i="151"/>
  <c r="N24" i="151"/>
  <c r="N25" i="151"/>
  <c r="N26" i="151"/>
  <c r="N27" i="151"/>
  <c r="N28" i="151"/>
  <c r="N29" i="151"/>
  <c r="N30" i="151"/>
  <c r="N31" i="151"/>
  <c r="N32" i="151"/>
  <c r="N33" i="151"/>
  <c r="N34" i="151"/>
  <c r="N35" i="151"/>
  <c r="N36" i="151"/>
  <c r="N37" i="151"/>
  <c r="N38" i="151"/>
  <c r="N39" i="151"/>
  <c r="N40" i="151"/>
  <c r="N41" i="151"/>
  <c r="N42" i="151"/>
  <c r="N43" i="151"/>
  <c r="N44" i="151"/>
  <c r="N45" i="151"/>
  <c r="N46" i="151"/>
  <c r="N47" i="151"/>
  <c r="N48" i="151"/>
  <c r="N49" i="151"/>
  <c r="N50" i="151"/>
  <c r="N51" i="151"/>
  <c r="N52" i="151"/>
  <c r="N53" i="151"/>
  <c r="N54" i="151"/>
  <c r="N55" i="151"/>
  <c r="N56" i="151"/>
  <c r="N57" i="151"/>
  <c r="N58" i="151"/>
  <c r="N59" i="151"/>
  <c r="N60" i="151"/>
  <c r="N61" i="151"/>
  <c r="N62" i="151"/>
  <c r="N63" i="151"/>
  <c r="N64" i="151"/>
  <c r="N65" i="151"/>
  <c r="N66" i="151"/>
  <c r="N67" i="151"/>
  <c r="N68" i="151"/>
  <c r="N69" i="151"/>
  <c r="N70" i="151"/>
  <c r="N71" i="151"/>
  <c r="N72" i="151"/>
  <c r="N73" i="151"/>
  <c r="N74" i="151"/>
  <c r="N75" i="151"/>
  <c r="N76" i="151"/>
  <c r="N77" i="151"/>
  <c r="N78" i="151"/>
  <c r="N79" i="151"/>
  <c r="N80" i="151"/>
  <c r="N81" i="151"/>
  <c r="N82" i="151"/>
  <c r="N83" i="151"/>
  <c r="N84" i="151"/>
  <c r="N85" i="151"/>
  <c r="N86" i="151"/>
  <c r="N87" i="151"/>
  <c r="N88" i="151"/>
  <c r="N89" i="151"/>
  <c r="N90" i="151"/>
  <c r="N91" i="151"/>
  <c r="N92" i="151"/>
  <c r="N93" i="151"/>
  <c r="N94" i="151"/>
  <c r="O94" i="151" s="1"/>
  <c r="N16" i="151"/>
  <c r="L100" i="151"/>
  <c r="L17" i="151"/>
  <c r="M17" i="151"/>
  <c r="L18" i="151"/>
  <c r="M18" i="151"/>
  <c r="L19" i="151"/>
  <c r="M19" i="151"/>
  <c r="L20" i="151"/>
  <c r="M20" i="151"/>
  <c r="L21" i="151"/>
  <c r="M21" i="151"/>
  <c r="L22" i="151"/>
  <c r="M22" i="151"/>
  <c r="L23" i="151"/>
  <c r="M23" i="151"/>
  <c r="L24" i="151"/>
  <c r="M24" i="151"/>
  <c r="L25" i="151"/>
  <c r="M25" i="151"/>
  <c r="L26" i="151"/>
  <c r="M26" i="151"/>
  <c r="L27" i="151"/>
  <c r="M27" i="151"/>
  <c r="L28" i="151"/>
  <c r="M28" i="151"/>
  <c r="L29" i="151"/>
  <c r="M29" i="151"/>
  <c r="L30" i="151"/>
  <c r="M30" i="151"/>
  <c r="L31" i="151"/>
  <c r="M31" i="151"/>
  <c r="L32" i="151"/>
  <c r="M32" i="151"/>
  <c r="L33" i="151"/>
  <c r="M33" i="151"/>
  <c r="L34" i="151"/>
  <c r="M34" i="151"/>
  <c r="L35" i="151"/>
  <c r="M35" i="151"/>
  <c r="L36" i="151"/>
  <c r="M36" i="151"/>
  <c r="L37" i="151"/>
  <c r="M37" i="151"/>
  <c r="L38" i="151"/>
  <c r="M38" i="151"/>
  <c r="L39" i="151"/>
  <c r="M39" i="151"/>
  <c r="L40" i="151"/>
  <c r="M40" i="151"/>
  <c r="L41" i="151"/>
  <c r="M41" i="151"/>
  <c r="L42" i="151"/>
  <c r="M42" i="151"/>
  <c r="L43" i="151"/>
  <c r="M43" i="151"/>
  <c r="L44" i="151"/>
  <c r="M44" i="151"/>
  <c r="L45" i="151"/>
  <c r="M45" i="151"/>
  <c r="L46" i="151"/>
  <c r="M46" i="151"/>
  <c r="L47" i="151"/>
  <c r="M47" i="151"/>
  <c r="L48" i="151"/>
  <c r="M48" i="151"/>
  <c r="L49" i="151"/>
  <c r="M49" i="151"/>
  <c r="L50" i="151"/>
  <c r="M50" i="151"/>
  <c r="L51" i="151"/>
  <c r="M51" i="151"/>
  <c r="L52" i="151"/>
  <c r="M52" i="151"/>
  <c r="L53" i="151"/>
  <c r="M53" i="151"/>
  <c r="L54" i="151"/>
  <c r="M54" i="151"/>
  <c r="L55" i="151"/>
  <c r="M55" i="151"/>
  <c r="L56" i="151"/>
  <c r="M56" i="151"/>
  <c r="L57" i="151"/>
  <c r="M57" i="151"/>
  <c r="L58" i="151"/>
  <c r="M58" i="151"/>
  <c r="L59" i="151"/>
  <c r="M59" i="151"/>
  <c r="L60" i="151"/>
  <c r="M60" i="151"/>
  <c r="L61" i="151"/>
  <c r="M61" i="151"/>
  <c r="L62" i="151"/>
  <c r="M62" i="151"/>
  <c r="L63" i="151"/>
  <c r="M63" i="151"/>
  <c r="L64" i="151"/>
  <c r="M64" i="151"/>
  <c r="L65" i="151"/>
  <c r="M65" i="151"/>
  <c r="L66" i="151"/>
  <c r="M66" i="151"/>
  <c r="L67" i="151"/>
  <c r="M67" i="151"/>
  <c r="L68" i="151"/>
  <c r="M68" i="151"/>
  <c r="L69" i="151"/>
  <c r="M69" i="151"/>
  <c r="L70" i="151"/>
  <c r="M70" i="151"/>
  <c r="L71" i="151"/>
  <c r="M71" i="151"/>
  <c r="L72" i="151"/>
  <c r="M72" i="151"/>
  <c r="L73" i="151"/>
  <c r="M73" i="151"/>
  <c r="L74" i="151"/>
  <c r="M74" i="151"/>
  <c r="L75" i="151"/>
  <c r="M75" i="151"/>
  <c r="L76" i="151"/>
  <c r="M76" i="151"/>
  <c r="L77" i="151"/>
  <c r="M77" i="151"/>
  <c r="L78" i="151"/>
  <c r="M78" i="151"/>
  <c r="L79" i="151"/>
  <c r="M79" i="151"/>
  <c r="L80" i="151"/>
  <c r="M80" i="151"/>
  <c r="L81" i="151"/>
  <c r="M81" i="151"/>
  <c r="L82" i="151"/>
  <c r="M82" i="151"/>
  <c r="L83" i="151"/>
  <c r="M83" i="151"/>
  <c r="L84" i="151"/>
  <c r="M84" i="151"/>
  <c r="L85" i="151"/>
  <c r="M85" i="151"/>
  <c r="L86" i="151"/>
  <c r="M86" i="151"/>
  <c r="L87" i="151"/>
  <c r="M87" i="151"/>
  <c r="L88" i="151"/>
  <c r="M88" i="151"/>
  <c r="L89" i="151"/>
  <c r="M89" i="151"/>
  <c r="L90" i="151"/>
  <c r="M90" i="151"/>
  <c r="L91" i="151"/>
  <c r="M91" i="151"/>
  <c r="L92" i="151"/>
  <c r="M92" i="151"/>
  <c r="L93" i="151"/>
  <c r="M93" i="151"/>
  <c r="L94" i="151"/>
  <c r="M94" i="151"/>
  <c r="L95" i="151"/>
  <c r="M95" i="151"/>
  <c r="L96" i="151"/>
  <c r="M16" i="151"/>
  <c r="L16" i="151"/>
  <c r="L15" i="151" s="1"/>
  <c r="L167" i="151" s="1"/>
  <c r="M18" i="101"/>
  <c r="M19" i="101"/>
  <c r="M20" i="101"/>
  <c r="M21" i="101"/>
  <c r="M22" i="101"/>
  <c r="M23" i="101"/>
  <c r="M24" i="101"/>
  <c r="M25" i="101"/>
  <c r="M26" i="101"/>
  <c r="M27" i="101"/>
  <c r="M28" i="101"/>
  <c r="M29" i="101"/>
  <c r="M30" i="101"/>
  <c r="M31" i="101"/>
  <c r="M32" i="101"/>
  <c r="M33" i="101"/>
  <c r="M34" i="101"/>
  <c r="M35" i="101"/>
  <c r="M36" i="101"/>
  <c r="M37" i="101"/>
  <c r="M38" i="101"/>
  <c r="M39" i="101"/>
  <c r="M40" i="101"/>
  <c r="M41" i="101"/>
  <c r="M42" i="101"/>
  <c r="M43" i="101"/>
  <c r="M44" i="101"/>
  <c r="M45" i="101"/>
  <c r="M46" i="101"/>
  <c r="M47" i="101"/>
  <c r="M48" i="101"/>
  <c r="M49" i="101"/>
  <c r="M50" i="101"/>
  <c r="M51" i="101"/>
  <c r="M52" i="101"/>
  <c r="M53" i="101"/>
  <c r="M54" i="101"/>
  <c r="M55" i="101"/>
  <c r="M56" i="101"/>
  <c r="M57" i="101"/>
  <c r="M58" i="101"/>
  <c r="M59" i="101"/>
  <c r="M60" i="101"/>
  <c r="M61" i="101"/>
  <c r="M62" i="101"/>
  <c r="M63" i="101"/>
  <c r="M64" i="101"/>
  <c r="M65" i="101"/>
  <c r="M66" i="101"/>
  <c r="M67" i="101"/>
  <c r="M68" i="101"/>
  <c r="M69" i="101"/>
  <c r="M70" i="101"/>
  <c r="M71" i="101"/>
  <c r="M72" i="101"/>
  <c r="M73" i="101"/>
  <c r="M74" i="101"/>
  <c r="M75" i="101"/>
  <c r="M76" i="101"/>
  <c r="M77" i="101"/>
  <c r="M78" i="101"/>
  <c r="M17" i="101"/>
  <c r="K83" i="101"/>
  <c r="K18" i="101"/>
  <c r="L18" i="101"/>
  <c r="K19" i="101"/>
  <c r="L19" i="101"/>
  <c r="K20" i="101"/>
  <c r="L20" i="101"/>
  <c r="K21" i="101"/>
  <c r="L21" i="101"/>
  <c r="K22" i="101"/>
  <c r="L22" i="101"/>
  <c r="K23" i="101"/>
  <c r="L23" i="101"/>
  <c r="K24" i="101"/>
  <c r="L24" i="101"/>
  <c r="K25" i="101"/>
  <c r="L25" i="101"/>
  <c r="K26" i="101"/>
  <c r="L26" i="101"/>
  <c r="K27" i="101"/>
  <c r="L27" i="101"/>
  <c r="K28" i="101"/>
  <c r="L28" i="101"/>
  <c r="K29" i="101"/>
  <c r="L29" i="101"/>
  <c r="K30" i="101"/>
  <c r="L30" i="101"/>
  <c r="K31" i="101"/>
  <c r="L31" i="101"/>
  <c r="K32" i="101"/>
  <c r="L32" i="101"/>
  <c r="K33" i="101"/>
  <c r="L33" i="101"/>
  <c r="K34" i="101"/>
  <c r="L34" i="101"/>
  <c r="K35" i="101"/>
  <c r="L35" i="101"/>
  <c r="K36" i="101"/>
  <c r="L36" i="101"/>
  <c r="K37" i="101"/>
  <c r="L37" i="101"/>
  <c r="K38" i="101"/>
  <c r="L38" i="101"/>
  <c r="K39" i="101"/>
  <c r="L39" i="101"/>
  <c r="K40" i="101"/>
  <c r="L40" i="101"/>
  <c r="K41" i="101"/>
  <c r="L41" i="101"/>
  <c r="K42" i="101"/>
  <c r="L42" i="101"/>
  <c r="K43" i="101"/>
  <c r="L43" i="101"/>
  <c r="K44" i="101"/>
  <c r="L44" i="101"/>
  <c r="K45" i="101"/>
  <c r="L45" i="101"/>
  <c r="K46" i="101"/>
  <c r="L46" i="101"/>
  <c r="K47" i="101"/>
  <c r="L47" i="101"/>
  <c r="K48" i="101"/>
  <c r="L48" i="101"/>
  <c r="K49" i="101"/>
  <c r="L49" i="101"/>
  <c r="K50" i="101"/>
  <c r="L50" i="101"/>
  <c r="K51" i="101"/>
  <c r="L51" i="101"/>
  <c r="K52" i="101"/>
  <c r="L52" i="101"/>
  <c r="K53" i="101"/>
  <c r="L53" i="101"/>
  <c r="K54" i="101"/>
  <c r="L54" i="101"/>
  <c r="K55" i="101"/>
  <c r="L55" i="101"/>
  <c r="K56" i="101"/>
  <c r="L56" i="101"/>
  <c r="K57" i="101"/>
  <c r="L57" i="101"/>
  <c r="K58" i="101"/>
  <c r="L58" i="101"/>
  <c r="K59" i="101"/>
  <c r="L59" i="101"/>
  <c r="K60" i="101"/>
  <c r="L60" i="101"/>
  <c r="K61" i="101"/>
  <c r="L61" i="101"/>
  <c r="K62" i="101"/>
  <c r="L62" i="101"/>
  <c r="K63" i="101"/>
  <c r="L63" i="101"/>
  <c r="K64" i="101"/>
  <c r="L64" i="101"/>
  <c r="K65" i="101"/>
  <c r="L65" i="101"/>
  <c r="K66" i="101"/>
  <c r="L66" i="101"/>
  <c r="K67" i="101"/>
  <c r="L67" i="101"/>
  <c r="K68" i="101"/>
  <c r="L68" i="101"/>
  <c r="K69" i="101"/>
  <c r="L69" i="101"/>
  <c r="K70" i="101"/>
  <c r="L70" i="101"/>
  <c r="K71" i="101"/>
  <c r="L71" i="101"/>
  <c r="K72" i="101"/>
  <c r="L72" i="101"/>
  <c r="K73" i="101"/>
  <c r="L73" i="101"/>
  <c r="K74" i="101"/>
  <c r="L74" i="101"/>
  <c r="K75" i="101"/>
  <c r="L75" i="101"/>
  <c r="K76" i="101"/>
  <c r="L76" i="101"/>
  <c r="K77" i="101"/>
  <c r="L77" i="101"/>
  <c r="K78" i="101"/>
  <c r="L78" i="101"/>
  <c r="L17" i="101"/>
  <c r="K17" i="101"/>
  <c r="K17" i="99"/>
  <c r="L17" i="99"/>
  <c r="K18" i="99"/>
  <c r="L18" i="99"/>
  <c r="K19" i="99"/>
  <c r="L19" i="99"/>
  <c r="K20" i="99"/>
  <c r="L20" i="99"/>
  <c r="K21" i="99"/>
  <c r="L21" i="99"/>
  <c r="K22" i="99"/>
  <c r="L22" i="99"/>
  <c r="K23" i="99"/>
  <c r="L23" i="99"/>
  <c r="K24" i="99"/>
  <c r="L24" i="99"/>
  <c r="K25" i="99"/>
  <c r="L25" i="99"/>
  <c r="K26" i="99"/>
  <c r="L26" i="99"/>
  <c r="K27" i="99"/>
  <c r="L27" i="99"/>
  <c r="K28" i="99"/>
  <c r="L28" i="99"/>
  <c r="K29" i="99"/>
  <c r="L29" i="99"/>
  <c r="K30" i="99"/>
  <c r="L30" i="99"/>
  <c r="K31" i="99"/>
  <c r="L31" i="99"/>
  <c r="K32" i="99"/>
  <c r="L32" i="99"/>
  <c r="K33" i="99"/>
  <c r="L33" i="99"/>
  <c r="K34" i="99"/>
  <c r="L34" i="99"/>
  <c r="K35" i="99"/>
  <c r="L35" i="99"/>
  <c r="K36" i="99"/>
  <c r="L36" i="99"/>
  <c r="K37" i="99"/>
  <c r="L37" i="99"/>
  <c r="K38" i="99"/>
  <c r="L38" i="99"/>
  <c r="K39" i="99"/>
  <c r="L39" i="99"/>
  <c r="K40" i="99"/>
  <c r="L40" i="99"/>
  <c r="K41" i="99"/>
  <c r="L41" i="99"/>
  <c r="K42" i="99"/>
  <c r="L42" i="99"/>
  <c r="K43" i="99"/>
  <c r="L43" i="99"/>
  <c r="K44" i="99"/>
  <c r="L44" i="99"/>
  <c r="K45" i="99"/>
  <c r="L45" i="99"/>
  <c r="K46" i="99"/>
  <c r="L46" i="99"/>
  <c r="K47" i="99"/>
  <c r="L47" i="99"/>
  <c r="K48" i="99"/>
  <c r="L48" i="99"/>
  <c r="K49" i="99"/>
  <c r="L49" i="99"/>
  <c r="K50" i="99"/>
  <c r="L50" i="99"/>
  <c r="K51" i="99"/>
  <c r="L51" i="99"/>
  <c r="K52" i="99"/>
  <c r="L52" i="99"/>
  <c r="K53" i="99"/>
  <c r="L53" i="99"/>
  <c r="K54" i="99"/>
  <c r="L54" i="99"/>
  <c r="K55" i="99"/>
  <c r="L55" i="99"/>
  <c r="K56" i="99"/>
  <c r="L56" i="99"/>
  <c r="K57" i="99"/>
  <c r="L57" i="99"/>
  <c r="K58" i="99"/>
  <c r="L58" i="99"/>
  <c r="K59" i="99"/>
  <c r="L59" i="99"/>
  <c r="K60" i="99"/>
  <c r="L60" i="99"/>
  <c r="K61" i="99"/>
  <c r="L61" i="99"/>
  <c r="K62" i="99"/>
  <c r="L62" i="99"/>
  <c r="K63" i="99"/>
  <c r="L63" i="99"/>
  <c r="K64" i="99"/>
  <c r="L64" i="99"/>
  <c r="K65" i="99"/>
  <c r="L65" i="99"/>
  <c r="K66" i="99"/>
  <c r="L66" i="99"/>
  <c r="K67" i="99"/>
  <c r="L67" i="99"/>
  <c r="K68" i="99"/>
  <c r="L68" i="99"/>
  <c r="K69" i="99"/>
  <c r="L69" i="99"/>
  <c r="K70" i="99"/>
  <c r="L70" i="99"/>
  <c r="K71" i="99"/>
  <c r="L71" i="99"/>
  <c r="K72" i="99"/>
  <c r="L72" i="99"/>
  <c r="K73" i="99"/>
  <c r="L73" i="99"/>
  <c r="K74" i="99"/>
  <c r="L74" i="99"/>
  <c r="K75" i="99"/>
  <c r="L75" i="99"/>
  <c r="K76" i="99"/>
  <c r="L76" i="99"/>
  <c r="K77" i="99"/>
  <c r="L77" i="99"/>
  <c r="K78" i="99"/>
  <c r="L78" i="99"/>
  <c r="K79" i="99"/>
  <c r="L79" i="99"/>
  <c r="K80" i="99"/>
  <c r="L80" i="99"/>
  <c r="K81" i="99"/>
  <c r="L81" i="99"/>
  <c r="K82" i="99"/>
  <c r="L82" i="99"/>
  <c r="K83" i="99"/>
  <c r="L83" i="99"/>
  <c r="K84" i="99"/>
  <c r="L84" i="99"/>
  <c r="K85" i="99"/>
  <c r="L85" i="99"/>
  <c r="K86" i="99"/>
  <c r="L86" i="99"/>
  <c r="K87" i="99"/>
  <c r="L87" i="99"/>
  <c r="K88" i="99"/>
  <c r="L88" i="99"/>
  <c r="K89" i="99"/>
  <c r="L89" i="99"/>
  <c r="K90" i="99"/>
  <c r="L90" i="99"/>
  <c r="K91" i="99"/>
  <c r="L91" i="99"/>
  <c r="K92" i="99"/>
  <c r="L92" i="99"/>
  <c r="K93" i="99"/>
  <c r="L93" i="99"/>
  <c r="K94" i="99"/>
  <c r="L94" i="99"/>
  <c r="K95" i="99"/>
  <c r="L95" i="99"/>
  <c r="K16" i="99"/>
  <c r="AH184" i="128"/>
  <c r="AH183" i="128"/>
  <c r="AH177" i="128"/>
  <c r="AH176" i="128"/>
  <c r="AA176" i="128"/>
  <c r="T176" i="128"/>
  <c r="AQ100" i="128"/>
  <c r="AQ101" i="128"/>
  <c r="AQ102" i="128"/>
  <c r="AQ103" i="128"/>
  <c r="AQ104" i="128"/>
  <c r="AQ105" i="128"/>
  <c r="AQ106" i="128"/>
  <c r="AQ107" i="128"/>
  <c r="AQ108" i="128"/>
  <c r="AQ109" i="128"/>
  <c r="AQ110" i="128"/>
  <c r="AQ111" i="128"/>
  <c r="AQ112" i="128"/>
  <c r="AQ113" i="128"/>
  <c r="AQ114" i="128"/>
  <c r="AQ115" i="128"/>
  <c r="AQ116" i="128"/>
  <c r="AQ117" i="128"/>
  <c r="AQ118" i="128"/>
  <c r="AQ119" i="128"/>
  <c r="AQ120" i="128"/>
  <c r="AQ121" i="128"/>
  <c r="AQ122" i="128"/>
  <c r="AQ123" i="128"/>
  <c r="AQ124" i="128"/>
  <c r="AQ125" i="128"/>
  <c r="AQ126" i="128"/>
  <c r="AQ127" i="128"/>
  <c r="AQ128" i="128"/>
  <c r="AQ129" i="128"/>
  <c r="AQ130" i="128"/>
  <c r="AQ131" i="128"/>
  <c r="AQ132" i="128"/>
  <c r="AQ133" i="128"/>
  <c r="AQ134" i="128"/>
  <c r="AQ135" i="128"/>
  <c r="AQ136" i="128"/>
  <c r="AQ137" i="128"/>
  <c r="AQ138" i="128"/>
  <c r="AQ139" i="128"/>
  <c r="AQ140" i="128"/>
  <c r="AQ141" i="128"/>
  <c r="AQ142" i="128"/>
  <c r="AQ143" i="128"/>
  <c r="AQ144" i="128"/>
  <c r="AQ145" i="128"/>
  <c r="AQ146" i="128"/>
  <c r="AQ147" i="128"/>
  <c r="AQ148" i="128"/>
  <c r="AQ149" i="128"/>
  <c r="AQ150" i="128"/>
  <c r="AQ151" i="128"/>
  <c r="AQ152" i="128"/>
  <c r="AQ153" i="128"/>
  <c r="AQ154" i="128"/>
  <c r="AQ155" i="128"/>
  <c r="AQ156" i="128"/>
  <c r="AQ157" i="128"/>
  <c r="AQ158" i="128"/>
  <c r="AQ159" i="128"/>
  <c r="AQ99" i="128"/>
  <c r="AQ18" i="128"/>
  <c r="AQ19" i="128"/>
  <c r="AQ20" i="128"/>
  <c r="AQ21" i="128"/>
  <c r="AQ22" i="128"/>
  <c r="AQ23" i="128"/>
  <c r="AQ25" i="128"/>
  <c r="AQ26" i="128"/>
  <c r="AQ27" i="128"/>
  <c r="AQ28" i="128"/>
  <c r="AQ29" i="128"/>
  <c r="AQ30" i="128"/>
  <c r="AQ31" i="128"/>
  <c r="AQ32" i="128"/>
  <c r="AQ33" i="128"/>
  <c r="AQ34" i="128"/>
  <c r="AQ35" i="128"/>
  <c r="AQ36" i="128"/>
  <c r="AQ37" i="128"/>
  <c r="AQ38" i="128"/>
  <c r="AQ39" i="128"/>
  <c r="AQ40" i="128"/>
  <c r="AQ41" i="128"/>
  <c r="AQ42" i="128"/>
  <c r="AQ43" i="128"/>
  <c r="AQ44" i="128"/>
  <c r="AQ45" i="128"/>
  <c r="AQ46" i="128"/>
  <c r="AQ47" i="128"/>
  <c r="AQ48" i="128"/>
  <c r="AQ49" i="128"/>
  <c r="AQ50" i="128"/>
  <c r="AQ51" i="128"/>
  <c r="AQ52" i="128"/>
  <c r="AQ53" i="128"/>
  <c r="AQ54" i="128"/>
  <c r="AQ55" i="128"/>
  <c r="AQ56" i="128"/>
  <c r="AQ57" i="128"/>
  <c r="AQ58" i="128"/>
  <c r="AQ59" i="128"/>
  <c r="AQ60" i="128"/>
  <c r="AQ61" i="128"/>
  <c r="AQ62" i="128"/>
  <c r="AQ63" i="128"/>
  <c r="AQ64" i="128"/>
  <c r="AQ65" i="128"/>
  <c r="AQ66" i="128"/>
  <c r="AQ67" i="128"/>
  <c r="AQ68" i="128"/>
  <c r="AQ69" i="128"/>
  <c r="AQ70" i="128"/>
  <c r="AQ71" i="128"/>
  <c r="AQ72" i="128"/>
  <c r="AQ73" i="128"/>
  <c r="AQ74" i="128"/>
  <c r="AQ75" i="128"/>
  <c r="AQ76" i="128"/>
  <c r="AQ77" i="128"/>
  <c r="AQ78" i="128"/>
  <c r="AQ79" i="128"/>
  <c r="AQ80" i="128"/>
  <c r="AQ81" i="128"/>
  <c r="AQ82" i="128"/>
  <c r="AQ83" i="128"/>
  <c r="AQ84" i="128"/>
  <c r="AQ85" i="128"/>
  <c r="AQ86" i="128"/>
  <c r="AQ87" i="128"/>
  <c r="AQ88" i="128"/>
  <c r="AQ89" i="128"/>
  <c r="AQ90" i="128"/>
  <c r="AQ91" i="128"/>
  <c r="AQ92" i="128"/>
  <c r="AQ93" i="128"/>
  <c r="AQ94" i="128"/>
  <c r="AQ95" i="128"/>
  <c r="AQ96" i="128"/>
  <c r="AQ17" i="128"/>
  <c r="AP101" i="128"/>
  <c r="AP102" i="128"/>
  <c r="AP103" i="128"/>
  <c r="AP98" i="128" s="1"/>
  <c r="AP104" i="128"/>
  <c r="AP105" i="128"/>
  <c r="AP106" i="128"/>
  <c r="AP107" i="128"/>
  <c r="AP108" i="128"/>
  <c r="AP109" i="128"/>
  <c r="AP110" i="128"/>
  <c r="AP111" i="128"/>
  <c r="AP112" i="128"/>
  <c r="AP113" i="128"/>
  <c r="AP114" i="128"/>
  <c r="AP115" i="128"/>
  <c r="AP116" i="128"/>
  <c r="AP117" i="128"/>
  <c r="AP118" i="128"/>
  <c r="AP119" i="128"/>
  <c r="AP120" i="128"/>
  <c r="AP121" i="128"/>
  <c r="AP122" i="128"/>
  <c r="AP123" i="128"/>
  <c r="AP124" i="128"/>
  <c r="AP125" i="128"/>
  <c r="AP126" i="128"/>
  <c r="AP127" i="128"/>
  <c r="AP128" i="128"/>
  <c r="AP129" i="128"/>
  <c r="AP130" i="128"/>
  <c r="AP131" i="128"/>
  <c r="AP132" i="128"/>
  <c r="AP133" i="128"/>
  <c r="AP134" i="128"/>
  <c r="AP135" i="128"/>
  <c r="AP136" i="128"/>
  <c r="AP137" i="128"/>
  <c r="AP138" i="128"/>
  <c r="AP139" i="128"/>
  <c r="AP140" i="128"/>
  <c r="AP141" i="128"/>
  <c r="AP142" i="128"/>
  <c r="AP143" i="128"/>
  <c r="AP144" i="128"/>
  <c r="AP145" i="128"/>
  <c r="AP146" i="128"/>
  <c r="AP147" i="128"/>
  <c r="AP148" i="128"/>
  <c r="AP149" i="128"/>
  <c r="AP150" i="128"/>
  <c r="AP151" i="128"/>
  <c r="AP152" i="128"/>
  <c r="AP153" i="128"/>
  <c r="AP154" i="128"/>
  <c r="AP155" i="128"/>
  <c r="AP156" i="128"/>
  <c r="AP157" i="128"/>
  <c r="AP158" i="128"/>
  <c r="AP159" i="128"/>
  <c r="AP160" i="128"/>
  <c r="AP100" i="128"/>
  <c r="AP99" i="128"/>
  <c r="AW100" i="128"/>
  <c r="AW18" i="128"/>
  <c r="AM161" i="128"/>
  <c r="AM100" i="128"/>
  <c r="AM101" i="128"/>
  <c r="AM102" i="128"/>
  <c r="AM103" i="128"/>
  <c r="AM98" i="128" s="1"/>
  <c r="AM104" i="128"/>
  <c r="AM105" i="128"/>
  <c r="AM106" i="128"/>
  <c r="AM107" i="128"/>
  <c r="AM108" i="128"/>
  <c r="AM109" i="128"/>
  <c r="AM110" i="128"/>
  <c r="AM111" i="128"/>
  <c r="AM112" i="128"/>
  <c r="AM113" i="128"/>
  <c r="AM114" i="128"/>
  <c r="AM115" i="128"/>
  <c r="AM116" i="128"/>
  <c r="AM117" i="128"/>
  <c r="AM118" i="128"/>
  <c r="AM119" i="128"/>
  <c r="AM120" i="128"/>
  <c r="AM121" i="128"/>
  <c r="AM122" i="128"/>
  <c r="AM123" i="128"/>
  <c r="AM124" i="128"/>
  <c r="AM125" i="128"/>
  <c r="AM126" i="128"/>
  <c r="AM127" i="128"/>
  <c r="AM128" i="128"/>
  <c r="AM129" i="128"/>
  <c r="AM130" i="128"/>
  <c r="AM131" i="128"/>
  <c r="AM132" i="128"/>
  <c r="AM133" i="128"/>
  <c r="AM134" i="128"/>
  <c r="AM135" i="128"/>
  <c r="AM136" i="128"/>
  <c r="AM137" i="128"/>
  <c r="AM138" i="128"/>
  <c r="AM139" i="128"/>
  <c r="AM140" i="128"/>
  <c r="AM141" i="128"/>
  <c r="AM142" i="128"/>
  <c r="AM143" i="128"/>
  <c r="AM144" i="128"/>
  <c r="AM145" i="128"/>
  <c r="AM146" i="128"/>
  <c r="AM147" i="128"/>
  <c r="AM148" i="128"/>
  <c r="AM149" i="128"/>
  <c r="AM150" i="128"/>
  <c r="AM151" i="128"/>
  <c r="AM152" i="128"/>
  <c r="AM153" i="128"/>
  <c r="AM154" i="128"/>
  <c r="AM155" i="128"/>
  <c r="AM156" i="128"/>
  <c r="AM157" i="128"/>
  <c r="AM158" i="128"/>
  <c r="AM159" i="128"/>
  <c r="AM160" i="128"/>
  <c r="AM99" i="128"/>
  <c r="AM18" i="128"/>
  <c r="AM19" i="128"/>
  <c r="AM20" i="128"/>
  <c r="AM21" i="128"/>
  <c r="AM22" i="128"/>
  <c r="AM23" i="128"/>
  <c r="AM24" i="128"/>
  <c r="AM25" i="128"/>
  <c r="AM26" i="128"/>
  <c r="AM27" i="128"/>
  <c r="AM28" i="128"/>
  <c r="AM29" i="128"/>
  <c r="AM30" i="128"/>
  <c r="AM31" i="128"/>
  <c r="AM32" i="128"/>
  <c r="AM33" i="128"/>
  <c r="AM34" i="128"/>
  <c r="AM35" i="128"/>
  <c r="AM36" i="128"/>
  <c r="AM37" i="128"/>
  <c r="AM38" i="128"/>
  <c r="AM39" i="128"/>
  <c r="AM40" i="128"/>
  <c r="AM41" i="128"/>
  <c r="AM42" i="128"/>
  <c r="AM43" i="128"/>
  <c r="AM44" i="128"/>
  <c r="AM45" i="128"/>
  <c r="AM46" i="128"/>
  <c r="AM47" i="128"/>
  <c r="AM48" i="128"/>
  <c r="AM49" i="128"/>
  <c r="AM50" i="128"/>
  <c r="AM51" i="128"/>
  <c r="AM52" i="128"/>
  <c r="AM53" i="128"/>
  <c r="AM54" i="128"/>
  <c r="AM55" i="128"/>
  <c r="AM56" i="128"/>
  <c r="AM57" i="128"/>
  <c r="AM58" i="128"/>
  <c r="AM59" i="128"/>
  <c r="AM60" i="128"/>
  <c r="AM61" i="128"/>
  <c r="AM62" i="128"/>
  <c r="AM63" i="128"/>
  <c r="AM64" i="128"/>
  <c r="AM65" i="128"/>
  <c r="AM66" i="128"/>
  <c r="AM67" i="128"/>
  <c r="AM68" i="128"/>
  <c r="AM69" i="128"/>
  <c r="AM70" i="128"/>
  <c r="AM71" i="128"/>
  <c r="AM72" i="128"/>
  <c r="AM73" i="128"/>
  <c r="AM74" i="128"/>
  <c r="AM75" i="128"/>
  <c r="AM76" i="128"/>
  <c r="AM77" i="128"/>
  <c r="AM78" i="128"/>
  <c r="AM79" i="128"/>
  <c r="AM80" i="128"/>
  <c r="AM81" i="128"/>
  <c r="AM82" i="128"/>
  <c r="AM83" i="128"/>
  <c r="AM84" i="128"/>
  <c r="AM85" i="128"/>
  <c r="AM86" i="128"/>
  <c r="AM87" i="128"/>
  <c r="AM88" i="128"/>
  <c r="AM89" i="128"/>
  <c r="AM90" i="128"/>
  <c r="AM91" i="128"/>
  <c r="AM92" i="128"/>
  <c r="AM93" i="128"/>
  <c r="AM94" i="128"/>
  <c r="AM95" i="128"/>
  <c r="AM96" i="128"/>
  <c r="AM16" i="128"/>
  <c r="AM17" i="128"/>
  <c r="AP19" i="128"/>
  <c r="AP20" i="128"/>
  <c r="AP21" i="128"/>
  <c r="AP22" i="128"/>
  <c r="AP23" i="128"/>
  <c r="AP24" i="128"/>
  <c r="AP25" i="128"/>
  <c r="AP26" i="128"/>
  <c r="AP27" i="128"/>
  <c r="AP28" i="128"/>
  <c r="AP29" i="128"/>
  <c r="AP30" i="128"/>
  <c r="AP31" i="128"/>
  <c r="AP32" i="128"/>
  <c r="AP33" i="128"/>
  <c r="AP34" i="128"/>
  <c r="AP35" i="128"/>
  <c r="AP36" i="128"/>
  <c r="AP37" i="128"/>
  <c r="AP38" i="128"/>
  <c r="AP39" i="128"/>
  <c r="AP40" i="128"/>
  <c r="AP41" i="128"/>
  <c r="AP42" i="128"/>
  <c r="AP43" i="128"/>
  <c r="AP44" i="128"/>
  <c r="AP45" i="128"/>
  <c r="AP46" i="128"/>
  <c r="AP47" i="128"/>
  <c r="AP48" i="128"/>
  <c r="AP49" i="128"/>
  <c r="AP50" i="128"/>
  <c r="AP51" i="128"/>
  <c r="AP52" i="128"/>
  <c r="AP53" i="128"/>
  <c r="AP54" i="128"/>
  <c r="AP55" i="128"/>
  <c r="AP56" i="128"/>
  <c r="AP57" i="128"/>
  <c r="AP58" i="128"/>
  <c r="AP59" i="128"/>
  <c r="AP60" i="128"/>
  <c r="AP61" i="128"/>
  <c r="AP62" i="128"/>
  <c r="AP63" i="128"/>
  <c r="AP64" i="128"/>
  <c r="AP65" i="128"/>
  <c r="AP66" i="128"/>
  <c r="AP67" i="128"/>
  <c r="AP68" i="128"/>
  <c r="AP69" i="128"/>
  <c r="AP70" i="128"/>
  <c r="AP71" i="128"/>
  <c r="AP72" i="128"/>
  <c r="AP73" i="128"/>
  <c r="AP74" i="128"/>
  <c r="AP75" i="128"/>
  <c r="AP76" i="128"/>
  <c r="AP77" i="128"/>
  <c r="AP78" i="128"/>
  <c r="AP79" i="128"/>
  <c r="AP80" i="128"/>
  <c r="AP81" i="128"/>
  <c r="AP82" i="128"/>
  <c r="AP83" i="128"/>
  <c r="AP84" i="128"/>
  <c r="AP85" i="128"/>
  <c r="AP86" i="128"/>
  <c r="AP87" i="128"/>
  <c r="AP88" i="128"/>
  <c r="AP89" i="128"/>
  <c r="AP90" i="128"/>
  <c r="AP91" i="128"/>
  <c r="AP92" i="128"/>
  <c r="AP93" i="128"/>
  <c r="AP94" i="128"/>
  <c r="AP18" i="128"/>
  <c r="AP17" i="128"/>
  <c r="AN98" i="128"/>
  <c r="AN16" i="128"/>
  <c r="AL16" i="128"/>
  <c r="AL98" i="128"/>
  <c r="K100" i="99" l="1"/>
  <c r="AP16" i="128"/>
  <c r="AP161" i="128" s="1"/>
  <c r="AN161" i="128"/>
  <c r="V20" i="153" l="1"/>
  <c r="E15" i="180"/>
  <c r="E14" i="180"/>
  <c r="AN102" i="8"/>
  <c r="I79" i="101"/>
  <c r="E16" i="180" l="1"/>
  <c r="X94" i="8"/>
  <c r="Q94" i="8"/>
  <c r="J94" i="8"/>
  <c r="AH19" i="169" l="1"/>
  <c r="AJ19" i="169"/>
  <c r="V20" i="169"/>
  <c r="X20" i="169"/>
  <c r="AG16" i="169"/>
  <c r="AG18" i="169"/>
  <c r="E20" i="177" l="1"/>
  <c r="F20" i="177"/>
  <c r="G20" i="177"/>
  <c r="I20" i="177"/>
  <c r="J20" i="177"/>
  <c r="K20" i="177"/>
  <c r="L20" i="177"/>
  <c r="M20" i="177"/>
  <c r="N20" i="177"/>
  <c r="P20" i="177"/>
  <c r="Q20" i="177"/>
  <c r="R20" i="177"/>
  <c r="S20" i="177"/>
  <c r="T20" i="177"/>
  <c r="U20" i="177"/>
  <c r="W20" i="177"/>
  <c r="X20" i="177"/>
  <c r="Y20" i="177"/>
  <c r="Z20" i="177"/>
  <c r="AA20" i="177"/>
  <c r="AB20" i="177"/>
  <c r="AD20" i="177"/>
  <c r="AE20" i="177"/>
  <c r="AF20" i="177"/>
  <c r="AG20" i="177"/>
  <c r="M160" i="9"/>
  <c r="Q94" i="9"/>
  <c r="H94" i="9"/>
  <c r="M93" i="9"/>
  <c r="Q93" i="9" s="1"/>
  <c r="E84" i="9"/>
  <c r="E83" i="9"/>
  <c r="H159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96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11" i="9"/>
  <c r="F180" i="183"/>
  <c r="C95" i="8"/>
  <c r="AT15" i="8"/>
  <c r="AT16" i="8"/>
  <c r="AT17" i="8"/>
  <c r="AT18" i="8"/>
  <c r="AT19" i="8"/>
  <c r="AT20" i="8"/>
  <c r="AT21" i="8"/>
  <c r="AT22" i="8"/>
  <c r="AT23" i="8"/>
  <c r="AT24" i="8"/>
  <c r="AT25" i="8"/>
  <c r="AT26" i="8"/>
  <c r="AT27" i="8"/>
  <c r="AT28" i="8"/>
  <c r="AT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49" i="8"/>
  <c r="AT50" i="8"/>
  <c r="AT51" i="8"/>
  <c r="AT52" i="8"/>
  <c r="AT53" i="8"/>
  <c r="AT54" i="8"/>
  <c r="AT55" i="8"/>
  <c r="AT56" i="8"/>
  <c r="AT57" i="8"/>
  <c r="AT58" i="8"/>
  <c r="AT59" i="8"/>
  <c r="AT60" i="8"/>
  <c r="AT61" i="8"/>
  <c r="AT62" i="8"/>
  <c r="AT63" i="8"/>
  <c r="AT64" i="8"/>
  <c r="AT65" i="8"/>
  <c r="AT66" i="8"/>
  <c r="AT67" i="8"/>
  <c r="AT68" i="8"/>
  <c r="AT69" i="8"/>
  <c r="AT70" i="8"/>
  <c r="AT71" i="8"/>
  <c r="AT72" i="8"/>
  <c r="AT73" i="8"/>
  <c r="AT74" i="8"/>
  <c r="AT75" i="8"/>
  <c r="AT76" i="8"/>
  <c r="AT77" i="8"/>
  <c r="AT78" i="8"/>
  <c r="AT79" i="8"/>
  <c r="AT82" i="8"/>
  <c r="AT83" i="8"/>
  <c r="AT84" i="8"/>
  <c r="AT85" i="8"/>
  <c r="AT14" i="8"/>
  <c r="C14" i="8"/>
  <c r="AS85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T81" i="8" s="1"/>
  <c r="AS82" i="8"/>
  <c r="AS83" i="8"/>
  <c r="AS84" i="8"/>
  <c r="AS14" i="8"/>
  <c r="AS13" i="8"/>
  <c r="AS12" i="8"/>
  <c r="O1305" i="170" l="1"/>
  <c r="E1286" i="170"/>
  <c r="K1269" i="170"/>
  <c r="E1269" i="170"/>
  <c r="K1252" i="170"/>
  <c r="E1252" i="170"/>
  <c r="K1235" i="170"/>
  <c r="E1235" i="170"/>
  <c r="K1218" i="170"/>
  <c r="E1218" i="170"/>
  <c r="K1201" i="170"/>
  <c r="E1201" i="170"/>
  <c r="K1184" i="170"/>
  <c r="E1184" i="170"/>
  <c r="K1167" i="170"/>
  <c r="E1167" i="170"/>
  <c r="K1150" i="170"/>
  <c r="E1150" i="170"/>
  <c r="K1133" i="170"/>
  <c r="E1133" i="170"/>
  <c r="K1116" i="170"/>
  <c r="E1116" i="170"/>
  <c r="K1099" i="170"/>
  <c r="E1099" i="170"/>
  <c r="K1082" i="170"/>
  <c r="E1082" i="170"/>
  <c r="K1065" i="170"/>
  <c r="E1065" i="170"/>
  <c r="K1048" i="170"/>
  <c r="E1048" i="170"/>
  <c r="K1031" i="170"/>
  <c r="E1031" i="170"/>
  <c r="K1014" i="170"/>
  <c r="E1014" i="170"/>
  <c r="K997" i="170"/>
  <c r="E997" i="170"/>
  <c r="K980" i="170"/>
  <c r="E980" i="170"/>
  <c r="K963" i="170"/>
  <c r="E963" i="170"/>
  <c r="K946" i="170"/>
  <c r="E946" i="170"/>
  <c r="K929" i="170"/>
  <c r="E929" i="170"/>
  <c r="K912" i="170"/>
  <c r="E912" i="170"/>
  <c r="K895" i="170"/>
  <c r="E895" i="170"/>
  <c r="K878" i="170"/>
  <c r="E878" i="170"/>
  <c r="K861" i="170"/>
  <c r="E861" i="170"/>
  <c r="K844" i="170"/>
  <c r="E844" i="170"/>
  <c r="K827" i="170"/>
  <c r="E827" i="170"/>
  <c r="K810" i="170"/>
  <c r="E810" i="170"/>
  <c r="K793" i="170"/>
  <c r="E793" i="170"/>
  <c r="K776" i="170"/>
  <c r="E776" i="170"/>
  <c r="K759" i="170"/>
  <c r="K720" i="170"/>
  <c r="E720" i="170"/>
  <c r="K703" i="170"/>
  <c r="E703" i="170"/>
  <c r="K686" i="170"/>
  <c r="E686" i="170"/>
  <c r="K669" i="170"/>
  <c r="E669" i="170"/>
  <c r="K652" i="170"/>
  <c r="E652" i="170"/>
  <c r="K634" i="170"/>
  <c r="E634" i="170"/>
  <c r="K617" i="170"/>
  <c r="E617" i="170"/>
  <c r="K600" i="170"/>
  <c r="E600" i="170"/>
  <c r="K583" i="170"/>
  <c r="E583" i="170"/>
  <c r="K566" i="170"/>
  <c r="E566" i="170"/>
  <c r="K549" i="170"/>
  <c r="E549" i="170"/>
  <c r="K533" i="170"/>
  <c r="E533" i="170"/>
  <c r="K516" i="170"/>
  <c r="E516" i="170"/>
  <c r="K499" i="170"/>
  <c r="E499" i="170"/>
  <c r="K481" i="170"/>
  <c r="E481" i="170"/>
  <c r="K463" i="170"/>
  <c r="E463" i="170"/>
  <c r="K447" i="170"/>
  <c r="E447" i="170"/>
  <c r="K430" i="170"/>
  <c r="E430" i="170"/>
  <c r="K413" i="170"/>
  <c r="E413" i="170"/>
  <c r="K395" i="170"/>
  <c r="E395" i="170"/>
  <c r="K378" i="170"/>
  <c r="E378" i="170"/>
  <c r="K361" i="170"/>
  <c r="E361" i="170"/>
  <c r="K343" i="170"/>
  <c r="E343" i="170"/>
  <c r="K325" i="170"/>
  <c r="E325" i="170"/>
  <c r="K308" i="170"/>
  <c r="E308" i="170"/>
  <c r="K291" i="170"/>
  <c r="E291" i="170"/>
  <c r="K274" i="170"/>
  <c r="E274" i="170"/>
  <c r="K257" i="170"/>
  <c r="E257" i="170"/>
  <c r="K240" i="170"/>
  <c r="E240" i="170"/>
  <c r="K222" i="170"/>
  <c r="E222" i="170"/>
  <c r="K205" i="170"/>
  <c r="E205" i="170"/>
  <c r="K188" i="170"/>
  <c r="E188" i="170"/>
  <c r="K171" i="170"/>
  <c r="E171" i="170"/>
  <c r="K154" i="170"/>
  <c r="E154" i="170"/>
  <c r="K137" i="170"/>
  <c r="E137" i="170"/>
  <c r="K120" i="170"/>
  <c r="E120" i="170"/>
  <c r="K103" i="170"/>
  <c r="E103" i="170"/>
  <c r="K86" i="170"/>
  <c r="E86" i="170"/>
  <c r="K69" i="170"/>
  <c r="E69" i="170"/>
  <c r="K52" i="170"/>
  <c r="E52" i="170"/>
  <c r="K35" i="170"/>
  <c r="E35" i="170"/>
  <c r="K18" i="170"/>
  <c r="G14" i="79"/>
  <c r="B23" i="181"/>
  <c r="B22" i="181"/>
  <c r="F10" i="181"/>
  <c r="D10" i="167"/>
  <c r="T17" i="180"/>
  <c r="T15" i="180"/>
  <c r="T14" i="180"/>
  <c r="E18" i="136"/>
  <c r="E17" i="136"/>
  <c r="E16" i="136" s="1"/>
  <c r="B18" i="136"/>
  <c r="D11" i="167" s="1"/>
  <c r="B17" i="136"/>
  <c r="D170" i="132" s="1"/>
  <c r="F167" i="132"/>
  <c r="F168" i="132"/>
  <c r="F166" i="132"/>
  <c r="E98" i="132"/>
  <c r="D171" i="132" l="1"/>
  <c r="F165" i="132"/>
  <c r="F175" i="132" s="1"/>
  <c r="E20" i="180"/>
  <c r="D14" i="79"/>
  <c r="T20" i="180"/>
  <c r="U15" i="180" l="1"/>
  <c r="U14" i="180"/>
  <c r="AA100" i="99" l="1"/>
  <c r="Z98" i="151"/>
  <c r="J13" i="132"/>
  <c r="L13" i="132"/>
  <c r="U17" i="180" l="1"/>
  <c r="U20" i="180" s="1"/>
  <c r="V15" i="151"/>
  <c r="X15" i="151"/>
  <c r="Y15" i="151"/>
  <c r="AB15" i="151"/>
  <c r="X100" i="151"/>
  <c r="Y100" i="151"/>
  <c r="AB100" i="151"/>
  <c r="AD100" i="151"/>
  <c r="O194" i="151"/>
  <c r="Z99" i="151"/>
  <c r="Q195" i="151"/>
  <c r="N196" i="151"/>
  <c r="O196" i="151" s="1"/>
  <c r="Q196" i="151" s="1"/>
  <c r="Q193" i="151"/>
  <c r="J98" i="132"/>
  <c r="L98" i="132"/>
  <c r="D166" i="151"/>
  <c r="W166" i="151"/>
  <c r="Z166" i="151" s="1"/>
  <c r="H707" i="170"/>
  <c r="I83" i="101"/>
  <c r="I15" i="180" s="1"/>
  <c r="U83" i="101"/>
  <c r="AA83" i="101"/>
  <c r="U100" i="99"/>
  <c r="W100" i="99"/>
  <c r="X100" i="99"/>
  <c r="V82" i="101"/>
  <c r="W82" i="101"/>
  <c r="X82" i="101"/>
  <c r="C82" i="101"/>
  <c r="F95" i="9"/>
  <c r="G95" i="9"/>
  <c r="H95" i="9"/>
  <c r="I95" i="9"/>
  <c r="J95" i="9"/>
  <c r="K95" i="9"/>
  <c r="L95" i="9"/>
  <c r="M95" i="9"/>
  <c r="N95" i="9"/>
  <c r="O95" i="9"/>
  <c r="P95" i="9"/>
  <c r="S95" i="9"/>
  <c r="Z95" i="9"/>
  <c r="AA95" i="9"/>
  <c r="AB95" i="9"/>
  <c r="E95" i="9"/>
  <c r="G10" i="9"/>
  <c r="H10" i="9"/>
  <c r="I10" i="9"/>
  <c r="J10" i="9"/>
  <c r="K10" i="9"/>
  <c r="L10" i="9"/>
  <c r="M10" i="9"/>
  <c r="N10" i="9"/>
  <c r="O10" i="9"/>
  <c r="P10" i="9"/>
  <c r="S10" i="9"/>
  <c r="X10" i="9"/>
  <c r="AB10" i="9"/>
  <c r="F10" i="9"/>
  <c r="Q161" i="9"/>
  <c r="AC161" i="9" s="1"/>
  <c r="D18" i="162"/>
  <c r="W163" i="151"/>
  <c r="Z163" i="151" s="1"/>
  <c r="W164" i="151"/>
  <c r="Z164" i="151" s="1"/>
  <c r="C98" i="9"/>
  <c r="C99" i="9"/>
  <c r="C100" i="9"/>
  <c r="Y100" i="9" s="1"/>
  <c r="C101" i="9"/>
  <c r="Y101" i="9" s="1"/>
  <c r="C102" i="9"/>
  <c r="Y102" i="9" s="1"/>
  <c r="C103" i="9"/>
  <c r="Y103" i="9" s="1"/>
  <c r="C104" i="9"/>
  <c r="Y104" i="9" s="1"/>
  <c r="C105" i="9"/>
  <c r="Y105" i="9" s="1"/>
  <c r="C106" i="9"/>
  <c r="Y106" i="9" s="1"/>
  <c r="C107" i="9"/>
  <c r="Y107" i="9" s="1"/>
  <c r="C108" i="9"/>
  <c r="Y108" i="9" s="1"/>
  <c r="C109" i="9"/>
  <c r="Y109" i="9" s="1"/>
  <c r="C110" i="9"/>
  <c r="Y110" i="9" s="1"/>
  <c r="C111" i="9"/>
  <c r="Y111" i="9" s="1"/>
  <c r="C112" i="9"/>
  <c r="Y112" i="9" s="1"/>
  <c r="C113" i="9"/>
  <c r="Y113" i="9" s="1"/>
  <c r="C114" i="9"/>
  <c r="Y114" i="9" s="1"/>
  <c r="C115" i="9"/>
  <c r="Y115" i="9" s="1"/>
  <c r="C116" i="9"/>
  <c r="Y116" i="9" s="1"/>
  <c r="C117" i="9"/>
  <c r="Y117" i="9" s="1"/>
  <c r="C118" i="9"/>
  <c r="Y118" i="9" s="1"/>
  <c r="C119" i="9"/>
  <c r="Y119" i="9" s="1"/>
  <c r="C120" i="9"/>
  <c r="Y120" i="9" s="1"/>
  <c r="C121" i="9"/>
  <c r="Y121" i="9" s="1"/>
  <c r="C122" i="9"/>
  <c r="Y122" i="9" s="1"/>
  <c r="C123" i="9"/>
  <c r="Y123" i="9" s="1"/>
  <c r="C124" i="9"/>
  <c r="Y124" i="9" s="1"/>
  <c r="C125" i="9"/>
  <c r="Y125" i="9" s="1"/>
  <c r="C126" i="9"/>
  <c r="Y126" i="9" s="1"/>
  <c r="C127" i="9"/>
  <c r="Y127" i="9" s="1"/>
  <c r="C128" i="9"/>
  <c r="Y128" i="9" s="1"/>
  <c r="C129" i="9"/>
  <c r="Y129" i="9" s="1"/>
  <c r="C130" i="9"/>
  <c r="Y130" i="9" s="1"/>
  <c r="C131" i="9"/>
  <c r="Y131" i="9" s="1"/>
  <c r="C132" i="9"/>
  <c r="Y132" i="9" s="1"/>
  <c r="C133" i="9"/>
  <c r="Y133" i="9" s="1"/>
  <c r="C134" i="9"/>
  <c r="Y134" i="9" s="1"/>
  <c r="C135" i="9"/>
  <c r="Y135" i="9" s="1"/>
  <c r="C136" i="9"/>
  <c r="Y136" i="9" s="1"/>
  <c r="C137" i="9"/>
  <c r="Y137" i="9" s="1"/>
  <c r="C138" i="9"/>
  <c r="Y138" i="9" s="1"/>
  <c r="C139" i="9"/>
  <c r="Y139" i="9" s="1"/>
  <c r="C140" i="9"/>
  <c r="Y140" i="9" s="1"/>
  <c r="C141" i="9"/>
  <c r="Y141" i="9" s="1"/>
  <c r="C142" i="9"/>
  <c r="Y142" i="9" s="1"/>
  <c r="C143" i="9"/>
  <c r="Y143" i="9" s="1"/>
  <c r="C144" i="9"/>
  <c r="Y144" i="9" s="1"/>
  <c r="C145" i="9"/>
  <c r="Y145" i="9" s="1"/>
  <c r="C146" i="9"/>
  <c r="Y146" i="9" s="1"/>
  <c r="C147" i="9"/>
  <c r="Y147" i="9" s="1"/>
  <c r="C148" i="9"/>
  <c r="Y148" i="9" s="1"/>
  <c r="C149" i="9"/>
  <c r="Y149" i="9" s="1"/>
  <c r="C150" i="9"/>
  <c r="Y150" i="9" s="1"/>
  <c r="C151" i="9"/>
  <c r="Y151" i="9" s="1"/>
  <c r="C152" i="9"/>
  <c r="Y152" i="9" s="1"/>
  <c r="C153" i="9"/>
  <c r="Y153" i="9" s="1"/>
  <c r="C154" i="9"/>
  <c r="Y154" i="9" s="1"/>
  <c r="C155" i="9"/>
  <c r="Y155" i="9" s="1"/>
  <c r="C156" i="9"/>
  <c r="Y156" i="9" s="1"/>
  <c r="C157" i="9"/>
  <c r="Y157" i="9" s="1"/>
  <c r="D155" i="128"/>
  <c r="D156" i="128"/>
  <c r="D157" i="128"/>
  <c r="D158" i="128"/>
  <c r="D159" i="128"/>
  <c r="D160" i="128"/>
  <c r="C97" i="9"/>
  <c r="V79" i="101"/>
  <c r="V81" i="101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S12" i="8"/>
  <c r="AK96" i="8"/>
  <c r="AL96" i="8"/>
  <c r="AM96" i="8"/>
  <c r="AN96" i="8"/>
  <c r="AO96" i="8"/>
  <c r="AP96" i="8"/>
  <c r="AK97" i="8"/>
  <c r="AL97" i="8"/>
  <c r="AM97" i="8"/>
  <c r="AN97" i="8"/>
  <c r="AO97" i="8"/>
  <c r="AP97" i="8"/>
  <c r="AK98" i="8"/>
  <c r="AL98" i="8"/>
  <c r="AM98" i="8"/>
  <c r="AN98" i="8"/>
  <c r="AO98" i="8"/>
  <c r="AP98" i="8"/>
  <c r="AK99" i="8"/>
  <c r="AL99" i="8"/>
  <c r="AM99" i="8"/>
  <c r="AN99" i="8"/>
  <c r="AO99" i="8"/>
  <c r="AP99" i="8"/>
  <c r="AK100" i="8"/>
  <c r="AL100" i="8"/>
  <c r="AM100" i="8"/>
  <c r="AN100" i="8"/>
  <c r="AO100" i="8"/>
  <c r="AP100" i="8"/>
  <c r="AK101" i="8"/>
  <c r="AL101" i="8"/>
  <c r="AM101" i="8"/>
  <c r="AN101" i="8"/>
  <c r="AO101" i="8"/>
  <c r="AP101" i="8"/>
  <c r="AK102" i="8"/>
  <c r="AL102" i="8"/>
  <c r="AM102" i="8"/>
  <c r="AO102" i="8"/>
  <c r="AP102" i="8"/>
  <c r="AK103" i="8"/>
  <c r="AL103" i="8"/>
  <c r="AM103" i="8"/>
  <c r="AN103" i="8"/>
  <c r="AO103" i="8"/>
  <c r="AP103" i="8"/>
  <c r="AK104" i="8"/>
  <c r="AL104" i="8"/>
  <c r="AM104" i="8"/>
  <c r="AN104" i="8"/>
  <c r="AO104" i="8"/>
  <c r="AP104" i="8"/>
  <c r="AK105" i="8"/>
  <c r="AL105" i="8"/>
  <c r="AM105" i="8"/>
  <c r="AN105" i="8"/>
  <c r="AO105" i="8"/>
  <c r="AP105" i="8"/>
  <c r="AK106" i="8"/>
  <c r="AL106" i="8"/>
  <c r="AM106" i="8"/>
  <c r="AN106" i="8"/>
  <c r="AO106" i="8"/>
  <c r="AP106" i="8"/>
  <c r="AK107" i="8"/>
  <c r="AL107" i="8"/>
  <c r="AM107" i="8"/>
  <c r="AN107" i="8"/>
  <c r="AO107" i="8"/>
  <c r="AP107" i="8"/>
  <c r="AK108" i="8"/>
  <c r="AL108" i="8"/>
  <c r="AM108" i="8"/>
  <c r="AN108" i="8"/>
  <c r="AO108" i="8"/>
  <c r="AP108" i="8"/>
  <c r="AK109" i="8"/>
  <c r="AL109" i="8"/>
  <c r="AM109" i="8"/>
  <c r="AN109" i="8"/>
  <c r="AO109" i="8"/>
  <c r="AP109" i="8"/>
  <c r="AK110" i="8"/>
  <c r="AL110" i="8"/>
  <c r="AM110" i="8"/>
  <c r="AN110" i="8"/>
  <c r="AO110" i="8"/>
  <c r="AP110" i="8"/>
  <c r="AK111" i="8"/>
  <c r="AL111" i="8"/>
  <c r="AM111" i="8"/>
  <c r="AN111" i="8"/>
  <c r="AO111" i="8"/>
  <c r="AP111" i="8"/>
  <c r="AK112" i="8"/>
  <c r="AL112" i="8"/>
  <c r="AM112" i="8"/>
  <c r="AN112" i="8"/>
  <c r="AO112" i="8"/>
  <c r="AP112" i="8"/>
  <c r="AK113" i="8"/>
  <c r="AL113" i="8"/>
  <c r="AM113" i="8"/>
  <c r="AN113" i="8"/>
  <c r="AO113" i="8"/>
  <c r="AP113" i="8"/>
  <c r="AK114" i="8"/>
  <c r="AL114" i="8"/>
  <c r="AM114" i="8"/>
  <c r="AN114" i="8"/>
  <c r="AO114" i="8"/>
  <c r="AP114" i="8"/>
  <c r="AK115" i="8"/>
  <c r="AL115" i="8"/>
  <c r="AM115" i="8"/>
  <c r="AN115" i="8"/>
  <c r="AO115" i="8"/>
  <c r="AP115" i="8"/>
  <c r="AK116" i="8"/>
  <c r="AL116" i="8"/>
  <c r="AM116" i="8"/>
  <c r="AN116" i="8"/>
  <c r="AO116" i="8"/>
  <c r="AP116" i="8"/>
  <c r="AK117" i="8"/>
  <c r="AL117" i="8"/>
  <c r="AM117" i="8"/>
  <c r="AN117" i="8"/>
  <c r="AO117" i="8"/>
  <c r="AP117" i="8"/>
  <c r="AK118" i="8"/>
  <c r="AL118" i="8"/>
  <c r="AM118" i="8"/>
  <c r="AN118" i="8"/>
  <c r="AO118" i="8"/>
  <c r="AP118" i="8"/>
  <c r="AK119" i="8"/>
  <c r="AL119" i="8"/>
  <c r="AM119" i="8"/>
  <c r="AN119" i="8"/>
  <c r="AO119" i="8"/>
  <c r="AP119" i="8"/>
  <c r="AK120" i="8"/>
  <c r="AL120" i="8"/>
  <c r="AM120" i="8"/>
  <c r="AN120" i="8"/>
  <c r="AO120" i="8"/>
  <c r="AP120" i="8"/>
  <c r="AK121" i="8"/>
  <c r="AL121" i="8"/>
  <c r="AM121" i="8"/>
  <c r="AN121" i="8"/>
  <c r="AO121" i="8"/>
  <c r="AP121" i="8"/>
  <c r="AK122" i="8"/>
  <c r="AL122" i="8"/>
  <c r="AM122" i="8"/>
  <c r="AN122" i="8"/>
  <c r="AO122" i="8"/>
  <c r="AP122" i="8"/>
  <c r="AK123" i="8"/>
  <c r="AL123" i="8"/>
  <c r="AM123" i="8"/>
  <c r="AN123" i="8"/>
  <c r="AO123" i="8"/>
  <c r="AP123" i="8"/>
  <c r="AK124" i="8"/>
  <c r="AL124" i="8"/>
  <c r="AM124" i="8"/>
  <c r="AN124" i="8"/>
  <c r="AO124" i="8"/>
  <c r="AP124" i="8"/>
  <c r="AK125" i="8"/>
  <c r="AL125" i="8"/>
  <c r="AM125" i="8"/>
  <c r="AN125" i="8"/>
  <c r="AO125" i="8"/>
  <c r="AP125" i="8"/>
  <c r="AK126" i="8"/>
  <c r="AL126" i="8"/>
  <c r="AM126" i="8"/>
  <c r="AN126" i="8"/>
  <c r="AO126" i="8"/>
  <c r="AP126" i="8"/>
  <c r="AK127" i="8"/>
  <c r="AL127" i="8"/>
  <c r="AM127" i="8"/>
  <c r="AN127" i="8"/>
  <c r="AO127" i="8"/>
  <c r="AP127" i="8"/>
  <c r="AK128" i="8"/>
  <c r="AL128" i="8"/>
  <c r="AM128" i="8"/>
  <c r="AN128" i="8"/>
  <c r="AO128" i="8"/>
  <c r="AP128" i="8"/>
  <c r="AK129" i="8"/>
  <c r="AL129" i="8"/>
  <c r="AM129" i="8"/>
  <c r="AN129" i="8"/>
  <c r="AO129" i="8"/>
  <c r="AP129" i="8"/>
  <c r="AK130" i="8"/>
  <c r="AL130" i="8"/>
  <c r="AM130" i="8"/>
  <c r="AN130" i="8"/>
  <c r="AO130" i="8"/>
  <c r="AP130" i="8"/>
  <c r="AK131" i="8"/>
  <c r="AL131" i="8"/>
  <c r="AM131" i="8"/>
  <c r="AN131" i="8"/>
  <c r="AO131" i="8"/>
  <c r="AP131" i="8"/>
  <c r="AK132" i="8"/>
  <c r="AL132" i="8"/>
  <c r="AM132" i="8"/>
  <c r="AN132" i="8"/>
  <c r="AO132" i="8"/>
  <c r="AP132" i="8"/>
  <c r="AK133" i="8"/>
  <c r="AL133" i="8"/>
  <c r="AM133" i="8"/>
  <c r="AN133" i="8"/>
  <c r="AO133" i="8"/>
  <c r="AP133" i="8"/>
  <c r="AK134" i="8"/>
  <c r="AL134" i="8"/>
  <c r="AM134" i="8"/>
  <c r="AN134" i="8"/>
  <c r="AO134" i="8"/>
  <c r="AP134" i="8"/>
  <c r="AK135" i="8"/>
  <c r="AL135" i="8"/>
  <c r="AM135" i="8"/>
  <c r="AN135" i="8"/>
  <c r="AO135" i="8"/>
  <c r="AP135" i="8"/>
  <c r="AK136" i="8"/>
  <c r="AL136" i="8"/>
  <c r="AM136" i="8"/>
  <c r="AN136" i="8"/>
  <c r="AO136" i="8"/>
  <c r="AP136" i="8"/>
  <c r="AK137" i="8"/>
  <c r="AL137" i="8"/>
  <c r="AM137" i="8"/>
  <c r="AN137" i="8"/>
  <c r="AO137" i="8"/>
  <c r="AP137" i="8"/>
  <c r="AK138" i="8"/>
  <c r="AL138" i="8"/>
  <c r="AM138" i="8"/>
  <c r="AN138" i="8"/>
  <c r="AO138" i="8"/>
  <c r="AP138" i="8"/>
  <c r="AK139" i="8"/>
  <c r="AL139" i="8"/>
  <c r="AM139" i="8"/>
  <c r="AN139" i="8"/>
  <c r="AO139" i="8"/>
  <c r="AP139" i="8"/>
  <c r="AK140" i="8"/>
  <c r="AL140" i="8"/>
  <c r="AM140" i="8"/>
  <c r="AN140" i="8"/>
  <c r="AO140" i="8"/>
  <c r="AP140" i="8"/>
  <c r="AK141" i="8"/>
  <c r="AL141" i="8"/>
  <c r="AM141" i="8"/>
  <c r="AN141" i="8"/>
  <c r="AO141" i="8"/>
  <c r="AP141" i="8"/>
  <c r="AK142" i="8"/>
  <c r="AL142" i="8"/>
  <c r="AM142" i="8"/>
  <c r="AN142" i="8"/>
  <c r="AO142" i="8"/>
  <c r="AP142" i="8"/>
  <c r="AK143" i="8"/>
  <c r="AL143" i="8"/>
  <c r="AM143" i="8"/>
  <c r="AN143" i="8"/>
  <c r="AO143" i="8"/>
  <c r="AP143" i="8"/>
  <c r="AK144" i="8"/>
  <c r="AL144" i="8"/>
  <c r="AM144" i="8"/>
  <c r="AN144" i="8"/>
  <c r="AO144" i="8"/>
  <c r="AP144" i="8"/>
  <c r="AK145" i="8"/>
  <c r="AL145" i="8"/>
  <c r="AM145" i="8"/>
  <c r="AN145" i="8"/>
  <c r="AO145" i="8"/>
  <c r="AP145" i="8"/>
  <c r="AK146" i="8"/>
  <c r="AL146" i="8"/>
  <c r="AM146" i="8"/>
  <c r="AN146" i="8"/>
  <c r="AO146" i="8"/>
  <c r="AP146" i="8"/>
  <c r="AK147" i="8"/>
  <c r="AL147" i="8"/>
  <c r="AM147" i="8"/>
  <c r="AN147" i="8"/>
  <c r="AO147" i="8"/>
  <c r="AP147" i="8"/>
  <c r="AK148" i="8"/>
  <c r="AL148" i="8"/>
  <c r="AM148" i="8"/>
  <c r="AN148" i="8"/>
  <c r="AO148" i="8"/>
  <c r="AP148" i="8"/>
  <c r="AK149" i="8"/>
  <c r="AL149" i="8"/>
  <c r="AM149" i="8"/>
  <c r="AN149" i="8"/>
  <c r="AO149" i="8"/>
  <c r="AP149" i="8"/>
  <c r="AK150" i="8"/>
  <c r="AL150" i="8"/>
  <c r="AM150" i="8"/>
  <c r="AN150" i="8"/>
  <c r="AO150" i="8"/>
  <c r="AP150" i="8"/>
  <c r="AK151" i="8"/>
  <c r="AL151" i="8"/>
  <c r="AM151" i="8"/>
  <c r="AN151" i="8"/>
  <c r="AO151" i="8"/>
  <c r="AP151" i="8"/>
  <c r="AK152" i="8"/>
  <c r="AL152" i="8"/>
  <c r="AM152" i="8"/>
  <c r="AN152" i="8"/>
  <c r="AO152" i="8"/>
  <c r="AP152" i="8"/>
  <c r="AK153" i="8"/>
  <c r="AL153" i="8"/>
  <c r="AM153" i="8"/>
  <c r="AN153" i="8"/>
  <c r="AO153" i="8"/>
  <c r="AP153" i="8"/>
  <c r="AK154" i="8"/>
  <c r="AL154" i="8"/>
  <c r="AM154" i="8"/>
  <c r="AN154" i="8"/>
  <c r="AO154" i="8"/>
  <c r="AP154" i="8"/>
  <c r="AK155" i="8"/>
  <c r="AL155" i="8"/>
  <c r="AM155" i="8"/>
  <c r="AN155" i="8"/>
  <c r="AO155" i="8"/>
  <c r="AP155" i="8"/>
  <c r="AK156" i="8"/>
  <c r="AL156" i="8"/>
  <c r="AM156" i="8"/>
  <c r="AN156" i="8"/>
  <c r="AO156" i="8"/>
  <c r="AP156" i="8"/>
  <c r="AN95" i="8"/>
  <c r="AM95" i="8"/>
  <c r="AL95" i="8"/>
  <c r="AK95" i="8"/>
  <c r="AK14" i="8"/>
  <c r="AL14" i="8"/>
  <c r="AM14" i="8"/>
  <c r="AN14" i="8"/>
  <c r="AO14" i="8"/>
  <c r="AP14" i="8"/>
  <c r="AK15" i="8"/>
  <c r="AL15" i="8"/>
  <c r="AM15" i="8"/>
  <c r="AN15" i="8"/>
  <c r="AO15" i="8"/>
  <c r="AP15" i="8"/>
  <c r="AK16" i="8"/>
  <c r="AL16" i="8"/>
  <c r="AM16" i="8"/>
  <c r="AN16" i="8"/>
  <c r="AO16" i="8"/>
  <c r="AP16" i="8"/>
  <c r="AK17" i="8"/>
  <c r="AL17" i="8"/>
  <c r="AM17" i="8"/>
  <c r="AN17" i="8"/>
  <c r="AO17" i="8"/>
  <c r="AP17" i="8"/>
  <c r="AK18" i="8"/>
  <c r="AL18" i="8"/>
  <c r="AM18" i="8"/>
  <c r="AN18" i="8"/>
  <c r="AO18" i="8"/>
  <c r="AP18" i="8"/>
  <c r="AK19" i="8"/>
  <c r="AL19" i="8"/>
  <c r="AM19" i="8"/>
  <c r="AN19" i="8"/>
  <c r="AO19" i="8"/>
  <c r="AP19" i="8"/>
  <c r="AK20" i="8"/>
  <c r="AL20" i="8"/>
  <c r="AM20" i="8"/>
  <c r="AN20" i="8"/>
  <c r="AO20" i="8"/>
  <c r="AP20" i="8"/>
  <c r="AK21" i="8"/>
  <c r="AL21" i="8"/>
  <c r="AM21" i="8"/>
  <c r="AN21" i="8"/>
  <c r="AO21" i="8"/>
  <c r="AP21" i="8"/>
  <c r="AK22" i="8"/>
  <c r="AL22" i="8"/>
  <c r="AM22" i="8"/>
  <c r="AN22" i="8"/>
  <c r="AO22" i="8"/>
  <c r="AP22" i="8"/>
  <c r="AK23" i="8"/>
  <c r="AL23" i="8"/>
  <c r="AM23" i="8"/>
  <c r="AN23" i="8"/>
  <c r="AO23" i="8"/>
  <c r="AP23" i="8"/>
  <c r="AK24" i="8"/>
  <c r="AL24" i="8"/>
  <c r="AM24" i="8"/>
  <c r="AN24" i="8"/>
  <c r="AO24" i="8"/>
  <c r="AP24" i="8"/>
  <c r="AK25" i="8"/>
  <c r="AL25" i="8"/>
  <c r="AM25" i="8"/>
  <c r="AN25" i="8"/>
  <c r="AO25" i="8"/>
  <c r="AP25" i="8"/>
  <c r="AK26" i="8"/>
  <c r="AL26" i="8"/>
  <c r="AM26" i="8"/>
  <c r="AN26" i="8"/>
  <c r="AO26" i="8"/>
  <c r="AP26" i="8"/>
  <c r="AK27" i="8"/>
  <c r="AL27" i="8"/>
  <c r="AM27" i="8"/>
  <c r="AN27" i="8"/>
  <c r="AO27" i="8"/>
  <c r="AP27" i="8"/>
  <c r="AK28" i="8"/>
  <c r="AL28" i="8"/>
  <c r="AM28" i="8"/>
  <c r="AN28" i="8"/>
  <c r="AO28" i="8"/>
  <c r="AP28" i="8"/>
  <c r="AK29" i="8"/>
  <c r="AL29" i="8"/>
  <c r="AM29" i="8"/>
  <c r="AN29" i="8"/>
  <c r="AO29" i="8"/>
  <c r="AP29" i="8"/>
  <c r="AK30" i="8"/>
  <c r="AL30" i="8"/>
  <c r="AM30" i="8"/>
  <c r="AN30" i="8"/>
  <c r="AO30" i="8"/>
  <c r="AP30" i="8"/>
  <c r="AK31" i="8"/>
  <c r="AL31" i="8"/>
  <c r="AM31" i="8"/>
  <c r="AN31" i="8"/>
  <c r="AO31" i="8"/>
  <c r="AP31" i="8"/>
  <c r="AK32" i="8"/>
  <c r="AL32" i="8"/>
  <c r="AM32" i="8"/>
  <c r="AN32" i="8"/>
  <c r="AO32" i="8"/>
  <c r="AP32" i="8"/>
  <c r="AK33" i="8"/>
  <c r="AL33" i="8"/>
  <c r="AM33" i="8"/>
  <c r="AN33" i="8"/>
  <c r="AO33" i="8"/>
  <c r="AP33" i="8"/>
  <c r="AK34" i="8"/>
  <c r="AL34" i="8"/>
  <c r="AM34" i="8"/>
  <c r="AN34" i="8"/>
  <c r="AO34" i="8"/>
  <c r="AP34" i="8"/>
  <c r="AK35" i="8"/>
  <c r="AL35" i="8"/>
  <c r="AM35" i="8"/>
  <c r="AN35" i="8"/>
  <c r="AO35" i="8"/>
  <c r="AP35" i="8"/>
  <c r="AK36" i="8"/>
  <c r="AL36" i="8"/>
  <c r="AM36" i="8"/>
  <c r="AN36" i="8"/>
  <c r="AO36" i="8"/>
  <c r="AP36" i="8"/>
  <c r="AK37" i="8"/>
  <c r="AL37" i="8"/>
  <c r="AM37" i="8"/>
  <c r="AN37" i="8"/>
  <c r="AO37" i="8"/>
  <c r="AP37" i="8"/>
  <c r="AK38" i="8"/>
  <c r="AL38" i="8"/>
  <c r="AM38" i="8"/>
  <c r="AN38" i="8"/>
  <c r="AO38" i="8"/>
  <c r="AP38" i="8"/>
  <c r="AK39" i="8"/>
  <c r="AL39" i="8"/>
  <c r="AM39" i="8"/>
  <c r="AN39" i="8"/>
  <c r="AO39" i="8"/>
  <c r="AP39" i="8"/>
  <c r="AK40" i="8"/>
  <c r="AL40" i="8"/>
  <c r="AM40" i="8"/>
  <c r="AN40" i="8"/>
  <c r="AO40" i="8"/>
  <c r="AP40" i="8"/>
  <c r="AK41" i="8"/>
  <c r="AL41" i="8"/>
  <c r="AM41" i="8"/>
  <c r="AN41" i="8"/>
  <c r="AO41" i="8"/>
  <c r="AP41" i="8"/>
  <c r="AK42" i="8"/>
  <c r="AL42" i="8"/>
  <c r="AM42" i="8"/>
  <c r="AN42" i="8"/>
  <c r="AO42" i="8"/>
  <c r="AP42" i="8"/>
  <c r="AK43" i="8"/>
  <c r="AL43" i="8"/>
  <c r="AM43" i="8"/>
  <c r="AN43" i="8"/>
  <c r="AO43" i="8"/>
  <c r="AP43" i="8"/>
  <c r="AK44" i="8"/>
  <c r="AL44" i="8"/>
  <c r="AM44" i="8"/>
  <c r="AN44" i="8"/>
  <c r="AO44" i="8"/>
  <c r="AP44" i="8"/>
  <c r="AK45" i="8"/>
  <c r="AL45" i="8"/>
  <c r="AM45" i="8"/>
  <c r="AN45" i="8"/>
  <c r="AO45" i="8"/>
  <c r="AP45" i="8"/>
  <c r="AK46" i="8"/>
  <c r="AL46" i="8"/>
  <c r="AM46" i="8"/>
  <c r="AN46" i="8"/>
  <c r="AO46" i="8"/>
  <c r="AP46" i="8"/>
  <c r="AK47" i="8"/>
  <c r="AL47" i="8"/>
  <c r="AM47" i="8"/>
  <c r="AN47" i="8"/>
  <c r="AO47" i="8"/>
  <c r="AP47" i="8"/>
  <c r="AK48" i="8"/>
  <c r="AL48" i="8"/>
  <c r="AM48" i="8"/>
  <c r="AN48" i="8"/>
  <c r="AO48" i="8"/>
  <c r="AP48" i="8"/>
  <c r="AK49" i="8"/>
  <c r="AL49" i="8"/>
  <c r="AM49" i="8"/>
  <c r="AN49" i="8"/>
  <c r="AO49" i="8"/>
  <c r="AP49" i="8"/>
  <c r="AK50" i="8"/>
  <c r="AL50" i="8"/>
  <c r="AM50" i="8"/>
  <c r="AN50" i="8"/>
  <c r="AO50" i="8"/>
  <c r="AP50" i="8"/>
  <c r="AK51" i="8"/>
  <c r="AL51" i="8"/>
  <c r="AM51" i="8"/>
  <c r="AN51" i="8"/>
  <c r="AO51" i="8"/>
  <c r="AP51" i="8"/>
  <c r="AK52" i="8"/>
  <c r="AL52" i="8"/>
  <c r="AM52" i="8"/>
  <c r="AN52" i="8"/>
  <c r="AO52" i="8"/>
  <c r="AP52" i="8"/>
  <c r="AK53" i="8"/>
  <c r="AL53" i="8"/>
  <c r="AM53" i="8"/>
  <c r="AN53" i="8"/>
  <c r="AO53" i="8"/>
  <c r="AP53" i="8"/>
  <c r="AK54" i="8"/>
  <c r="AL54" i="8"/>
  <c r="AM54" i="8"/>
  <c r="AN54" i="8"/>
  <c r="AO54" i="8"/>
  <c r="AP54" i="8"/>
  <c r="AK55" i="8"/>
  <c r="AL55" i="8"/>
  <c r="AM55" i="8"/>
  <c r="AN55" i="8"/>
  <c r="AO55" i="8"/>
  <c r="AP55" i="8"/>
  <c r="AK56" i="8"/>
  <c r="AL56" i="8"/>
  <c r="AM56" i="8"/>
  <c r="AN56" i="8"/>
  <c r="AO56" i="8"/>
  <c r="AP56" i="8"/>
  <c r="AK57" i="8"/>
  <c r="AL57" i="8"/>
  <c r="AM57" i="8"/>
  <c r="AN57" i="8"/>
  <c r="AO57" i="8"/>
  <c r="AP57" i="8"/>
  <c r="AK58" i="8"/>
  <c r="AL58" i="8"/>
  <c r="AM58" i="8"/>
  <c r="AN58" i="8"/>
  <c r="AO58" i="8"/>
  <c r="AP58" i="8"/>
  <c r="AK59" i="8"/>
  <c r="AL59" i="8"/>
  <c r="AM59" i="8"/>
  <c r="AN59" i="8"/>
  <c r="AO59" i="8"/>
  <c r="AP59" i="8"/>
  <c r="AK60" i="8"/>
  <c r="AL60" i="8"/>
  <c r="AM60" i="8"/>
  <c r="AN60" i="8"/>
  <c r="AO60" i="8"/>
  <c r="AP60" i="8"/>
  <c r="AK61" i="8"/>
  <c r="AL61" i="8"/>
  <c r="AM61" i="8"/>
  <c r="AN61" i="8"/>
  <c r="AO61" i="8"/>
  <c r="AP61" i="8"/>
  <c r="AK62" i="8"/>
  <c r="AL62" i="8"/>
  <c r="AM62" i="8"/>
  <c r="AN62" i="8"/>
  <c r="AO62" i="8"/>
  <c r="AP62" i="8"/>
  <c r="AK63" i="8"/>
  <c r="AL63" i="8"/>
  <c r="AM63" i="8"/>
  <c r="AN63" i="8"/>
  <c r="AO63" i="8"/>
  <c r="AP63" i="8"/>
  <c r="AK64" i="8"/>
  <c r="AL64" i="8"/>
  <c r="AM64" i="8"/>
  <c r="AN64" i="8"/>
  <c r="AO64" i="8"/>
  <c r="AP64" i="8"/>
  <c r="AK65" i="8"/>
  <c r="AL65" i="8"/>
  <c r="AM65" i="8"/>
  <c r="AN65" i="8"/>
  <c r="AO65" i="8"/>
  <c r="AP65" i="8"/>
  <c r="AK66" i="8"/>
  <c r="AL66" i="8"/>
  <c r="AM66" i="8"/>
  <c r="AN66" i="8"/>
  <c r="AO66" i="8"/>
  <c r="AP66" i="8"/>
  <c r="AK67" i="8"/>
  <c r="AL67" i="8"/>
  <c r="AM67" i="8"/>
  <c r="AN67" i="8"/>
  <c r="AO67" i="8"/>
  <c r="AP67" i="8"/>
  <c r="AK68" i="8"/>
  <c r="AL68" i="8"/>
  <c r="AM68" i="8"/>
  <c r="AN68" i="8"/>
  <c r="AO68" i="8"/>
  <c r="AP68" i="8"/>
  <c r="AK69" i="8"/>
  <c r="AL69" i="8"/>
  <c r="AM69" i="8"/>
  <c r="AN69" i="8"/>
  <c r="AO69" i="8"/>
  <c r="AP69" i="8"/>
  <c r="AK70" i="8"/>
  <c r="AL70" i="8"/>
  <c r="AM70" i="8"/>
  <c r="AN70" i="8"/>
  <c r="AO70" i="8"/>
  <c r="AP70" i="8"/>
  <c r="AK71" i="8"/>
  <c r="AL71" i="8"/>
  <c r="AM71" i="8"/>
  <c r="AN71" i="8"/>
  <c r="AO71" i="8"/>
  <c r="AP71" i="8"/>
  <c r="AK72" i="8"/>
  <c r="AL72" i="8"/>
  <c r="AM72" i="8"/>
  <c r="AN72" i="8"/>
  <c r="AO72" i="8"/>
  <c r="AP72" i="8"/>
  <c r="AK73" i="8"/>
  <c r="AL73" i="8"/>
  <c r="AM73" i="8"/>
  <c r="AN73" i="8"/>
  <c r="AO73" i="8"/>
  <c r="AP73" i="8"/>
  <c r="AK74" i="8"/>
  <c r="AL74" i="8"/>
  <c r="AM74" i="8"/>
  <c r="AN74" i="8"/>
  <c r="AO74" i="8"/>
  <c r="AP74" i="8"/>
  <c r="AK75" i="8"/>
  <c r="AL75" i="8"/>
  <c r="AM75" i="8"/>
  <c r="AN75" i="8"/>
  <c r="AO75" i="8"/>
  <c r="AP75" i="8"/>
  <c r="AK76" i="8"/>
  <c r="AL76" i="8"/>
  <c r="AM76" i="8"/>
  <c r="AN76" i="8"/>
  <c r="AO76" i="8"/>
  <c r="AP76" i="8"/>
  <c r="AK77" i="8"/>
  <c r="AL77" i="8"/>
  <c r="AM77" i="8"/>
  <c r="AN77" i="8"/>
  <c r="AO77" i="8"/>
  <c r="AP77" i="8"/>
  <c r="AK78" i="8"/>
  <c r="AL78" i="8"/>
  <c r="AM78" i="8"/>
  <c r="AN78" i="8"/>
  <c r="AO78" i="8"/>
  <c r="AP78" i="8"/>
  <c r="AK79" i="8"/>
  <c r="AL79" i="8"/>
  <c r="AM79" i="8"/>
  <c r="AN79" i="8"/>
  <c r="AO79" i="8"/>
  <c r="AP79" i="8"/>
  <c r="AK80" i="8"/>
  <c r="AL80" i="8"/>
  <c r="AM80" i="8"/>
  <c r="AN80" i="8"/>
  <c r="AO80" i="8"/>
  <c r="AP80" i="8"/>
  <c r="AK81" i="8"/>
  <c r="AL81" i="8"/>
  <c r="AM81" i="8"/>
  <c r="AN81" i="8"/>
  <c r="AO81" i="8"/>
  <c r="AP81" i="8"/>
  <c r="AK82" i="8"/>
  <c r="AL82" i="8"/>
  <c r="AM82" i="8"/>
  <c r="AN82" i="8"/>
  <c r="AO82" i="8"/>
  <c r="AP82" i="8"/>
  <c r="AK83" i="8"/>
  <c r="AL83" i="8"/>
  <c r="AM83" i="8"/>
  <c r="AN83" i="8"/>
  <c r="AO83" i="8"/>
  <c r="AP83" i="8"/>
  <c r="AK84" i="8"/>
  <c r="AL84" i="8"/>
  <c r="AM84" i="8"/>
  <c r="AN84" i="8"/>
  <c r="AO84" i="8"/>
  <c r="AP84" i="8"/>
  <c r="AK85" i="8"/>
  <c r="AL85" i="8"/>
  <c r="AM85" i="8"/>
  <c r="AN85" i="8"/>
  <c r="AO85" i="8"/>
  <c r="AP85" i="8"/>
  <c r="AK86" i="8"/>
  <c r="AL86" i="8"/>
  <c r="AM86" i="8"/>
  <c r="AN86" i="8"/>
  <c r="AO86" i="8"/>
  <c r="AP86" i="8"/>
  <c r="AK87" i="8"/>
  <c r="AL87" i="8"/>
  <c r="AM87" i="8"/>
  <c r="AN87" i="8"/>
  <c r="AO87" i="8"/>
  <c r="AP87" i="8"/>
  <c r="AK88" i="8"/>
  <c r="AL88" i="8"/>
  <c r="AM88" i="8"/>
  <c r="AN88" i="8"/>
  <c r="AO88" i="8"/>
  <c r="AP88" i="8"/>
  <c r="AK89" i="8"/>
  <c r="AL89" i="8"/>
  <c r="AM89" i="8"/>
  <c r="AN89" i="8"/>
  <c r="AO89" i="8"/>
  <c r="AP89" i="8"/>
  <c r="AK90" i="8"/>
  <c r="AL90" i="8"/>
  <c r="AM90" i="8"/>
  <c r="AN90" i="8"/>
  <c r="AO90" i="8"/>
  <c r="AP90" i="8"/>
  <c r="AK91" i="8"/>
  <c r="AL91" i="8"/>
  <c r="AM91" i="8"/>
  <c r="AN91" i="8"/>
  <c r="AO91" i="8"/>
  <c r="AP91" i="8"/>
  <c r="AK92" i="8"/>
  <c r="AL92" i="8"/>
  <c r="AM92" i="8"/>
  <c r="AN92" i="8"/>
  <c r="AO92" i="8"/>
  <c r="AP92" i="8"/>
  <c r="AN13" i="8"/>
  <c r="AM13" i="8"/>
  <c r="AL13" i="8"/>
  <c r="AK13" i="8"/>
  <c r="Q194" i="151" l="1"/>
  <c r="O201" i="151"/>
  <c r="Q192" i="151"/>
  <c r="F166" i="151"/>
  <c r="G166" i="151" s="1"/>
  <c r="AA166" i="151" s="1"/>
  <c r="AC166" i="151" s="1"/>
  <c r="H1290" i="170"/>
  <c r="D164" i="132"/>
  <c r="Y97" i="9"/>
  <c r="Y99" i="9"/>
  <c r="Y98" i="9"/>
  <c r="AQ154" i="8"/>
  <c r="AQ126" i="8"/>
  <c r="I100" i="99"/>
  <c r="I14" i="180" s="1"/>
  <c r="I16" i="180" s="1"/>
  <c r="I20" i="180" s="1"/>
  <c r="AK12" i="8"/>
  <c r="AQ57" i="8"/>
  <c r="AQ99" i="8"/>
  <c r="AQ114" i="8"/>
  <c r="E82" i="101"/>
  <c r="F82" i="101" s="1"/>
  <c r="AQ65" i="8"/>
  <c r="AQ18" i="8"/>
  <c r="AQ110" i="8"/>
  <c r="AQ69" i="8"/>
  <c r="AQ61" i="8"/>
  <c r="AQ130" i="8"/>
  <c r="AQ106" i="8"/>
  <c r="AQ100" i="8"/>
  <c r="AQ85" i="8"/>
  <c r="AQ45" i="8"/>
  <c r="AQ38" i="8"/>
  <c r="AQ34" i="8"/>
  <c r="AQ29" i="8"/>
  <c r="AQ146" i="8"/>
  <c r="AQ143" i="8"/>
  <c r="AQ134" i="8"/>
  <c r="AQ122" i="8"/>
  <c r="AQ119" i="8"/>
  <c r="AQ118" i="8"/>
  <c r="AQ113" i="8"/>
  <c r="AQ109" i="8"/>
  <c r="AQ64" i="8"/>
  <c r="AQ129" i="8"/>
  <c r="AQ83" i="8"/>
  <c r="AQ82" i="8"/>
  <c r="AQ79" i="8"/>
  <c r="AQ78" i="8"/>
  <c r="AQ75" i="8"/>
  <c r="AQ74" i="8"/>
  <c r="AQ71" i="8"/>
  <c r="AQ70" i="8"/>
  <c r="AQ56" i="8"/>
  <c r="AQ53" i="8"/>
  <c r="AQ52" i="8"/>
  <c r="AQ49" i="8"/>
  <c r="AQ48" i="8"/>
  <c r="AQ27" i="8"/>
  <c r="AQ26" i="8"/>
  <c r="AQ23" i="8"/>
  <c r="AQ22" i="8"/>
  <c r="AQ19" i="8"/>
  <c r="AQ15" i="8"/>
  <c r="AM12" i="8"/>
  <c r="AQ153" i="8"/>
  <c r="AQ150" i="8"/>
  <c r="AQ149" i="8"/>
  <c r="AQ132" i="8"/>
  <c r="AQ131" i="8"/>
  <c r="AQ125" i="8"/>
  <c r="AQ116" i="8"/>
  <c r="AQ115" i="8"/>
  <c r="AQ105" i="8"/>
  <c r="AQ101" i="8"/>
  <c r="AQ96" i="8"/>
  <c r="AQ87" i="8"/>
  <c r="AQ43" i="8"/>
  <c r="AQ35" i="8"/>
  <c r="AQ144" i="8"/>
  <c r="AQ136" i="8"/>
  <c r="AQ89" i="8"/>
  <c r="AQ88" i="8"/>
  <c r="AQ67" i="8"/>
  <c r="AQ66" i="8"/>
  <c r="AQ63" i="8"/>
  <c r="AQ62" i="8"/>
  <c r="AQ59" i="8"/>
  <c r="AQ58" i="8"/>
  <c r="AQ50" i="8"/>
  <c r="AQ44" i="8"/>
  <c r="AQ41" i="8"/>
  <c r="AQ40" i="8"/>
  <c r="AQ37" i="8"/>
  <c r="AQ36" i="8"/>
  <c r="AQ33" i="8"/>
  <c r="AQ32" i="8"/>
  <c r="AQ156" i="8"/>
  <c r="AQ155" i="8"/>
  <c r="AQ145" i="8"/>
  <c r="AQ142" i="8"/>
  <c r="AQ141" i="8"/>
  <c r="AQ138" i="8"/>
  <c r="AQ137" i="8"/>
  <c r="AQ128" i="8"/>
  <c r="AQ127" i="8"/>
  <c r="AQ121" i="8"/>
  <c r="AQ112" i="8"/>
  <c r="AQ111" i="8"/>
  <c r="AQ108" i="8"/>
  <c r="AQ107" i="8"/>
  <c r="AQ102" i="8"/>
  <c r="AQ97" i="8"/>
  <c r="AQ68" i="8"/>
  <c r="AQ60" i="8"/>
  <c r="AQ39" i="8"/>
  <c r="AQ31" i="8"/>
  <c r="AQ140" i="8"/>
  <c r="AQ120" i="8"/>
  <c r="AQ86" i="8"/>
  <c r="AQ84" i="8"/>
  <c r="AQ81" i="8"/>
  <c r="AQ80" i="8"/>
  <c r="AQ77" i="8"/>
  <c r="AQ76" i="8"/>
  <c r="AQ73" i="8"/>
  <c r="AQ72" i="8"/>
  <c r="AQ55" i="8"/>
  <c r="AQ54" i="8"/>
  <c r="AQ51" i="8"/>
  <c r="AQ47" i="8"/>
  <c r="AQ46" i="8"/>
  <c r="AQ42" i="8"/>
  <c r="AQ30" i="8"/>
  <c r="AQ28" i="8"/>
  <c r="AQ25" i="8"/>
  <c r="AQ24" i="8"/>
  <c r="AQ21" i="8"/>
  <c r="AQ20" i="8"/>
  <c r="AQ17" i="8"/>
  <c r="AQ16" i="8"/>
  <c r="AQ152" i="8"/>
  <c r="AQ151" i="8"/>
  <c r="AQ148" i="8"/>
  <c r="AQ147" i="8"/>
  <c r="AQ139" i="8"/>
  <c r="AQ135" i="8"/>
  <c r="AQ133" i="8"/>
  <c r="AQ124" i="8"/>
  <c r="AQ123" i="8"/>
  <c r="AQ117" i="8"/>
  <c r="AQ104" i="8"/>
  <c r="AQ103" i="8"/>
  <c r="AQ98" i="8"/>
  <c r="AQ92" i="8"/>
  <c r="AQ90" i="8"/>
  <c r="AQ91" i="8"/>
  <c r="AL12" i="8"/>
  <c r="AQ14" i="8"/>
  <c r="AN12" i="8"/>
  <c r="I1292" i="170" l="1"/>
  <c r="I709" i="170"/>
  <c r="K709" i="170" s="1"/>
  <c r="K721" i="170" s="1"/>
  <c r="AK159" i="128"/>
  <c r="L165" i="132" l="1"/>
  <c r="E12" i="136"/>
  <c r="B15" i="136"/>
  <c r="B14" i="136"/>
  <c r="D167" i="132" s="1"/>
  <c r="B13" i="136"/>
  <c r="D166" i="132" s="1"/>
  <c r="K1286" i="170"/>
  <c r="K737" i="170"/>
  <c r="E737" i="170"/>
  <c r="AD15" i="151"/>
  <c r="D12" i="167" l="1"/>
  <c r="D168" i="132"/>
  <c r="N12" i="153"/>
  <c r="G14" i="153" l="1"/>
  <c r="G15" i="153" s="1"/>
  <c r="AK17" i="128" l="1"/>
  <c r="AK18" i="128"/>
  <c r="AK19" i="128"/>
  <c r="AK20" i="128"/>
  <c r="AK21" i="128"/>
  <c r="AK22" i="128"/>
  <c r="AK23" i="128"/>
  <c r="AK24" i="128"/>
  <c r="AK25" i="128"/>
  <c r="AK26" i="128"/>
  <c r="AK27" i="128"/>
  <c r="AK28" i="128"/>
  <c r="AK29" i="128"/>
  <c r="AK30" i="128"/>
  <c r="AK31" i="128"/>
  <c r="AK32" i="128"/>
  <c r="AK33" i="128"/>
  <c r="AK34" i="128"/>
  <c r="AK35" i="128"/>
  <c r="AK36" i="128"/>
  <c r="AK37" i="128"/>
  <c r="AK38" i="128"/>
  <c r="AK39" i="128"/>
  <c r="AK40" i="128"/>
  <c r="AK41" i="128"/>
  <c r="AK42" i="128"/>
  <c r="AK43" i="128"/>
  <c r="AK44" i="128"/>
  <c r="AK45" i="128"/>
  <c r="AK46" i="128"/>
  <c r="AK47" i="128"/>
  <c r="AK48" i="128"/>
  <c r="AK49" i="128"/>
  <c r="AK50" i="128"/>
  <c r="AK51" i="128"/>
  <c r="AK52" i="128"/>
  <c r="AK53" i="128"/>
  <c r="AK54" i="128"/>
  <c r="AK55" i="128"/>
  <c r="AK56" i="128"/>
  <c r="AK57" i="128"/>
  <c r="AK58" i="128"/>
  <c r="AK59" i="128"/>
  <c r="AK60" i="128"/>
  <c r="AK61" i="128"/>
  <c r="AK62" i="128"/>
  <c r="AK63" i="128"/>
  <c r="AK64" i="128"/>
  <c r="AK65" i="128"/>
  <c r="AK66" i="128"/>
  <c r="AK67" i="128"/>
  <c r="AK68" i="128"/>
  <c r="AK69" i="128"/>
  <c r="AK70" i="128"/>
  <c r="AK71" i="128"/>
  <c r="AK72" i="128"/>
  <c r="AK73" i="128"/>
  <c r="AK74" i="128"/>
  <c r="AK75" i="128"/>
  <c r="AK76" i="128"/>
  <c r="AK77" i="128"/>
  <c r="AK78" i="128"/>
  <c r="AK79" i="128"/>
  <c r="AK80" i="128"/>
  <c r="AK81" i="128"/>
  <c r="AK82" i="128"/>
  <c r="AK83" i="128"/>
  <c r="AK84" i="128"/>
  <c r="AK85" i="128"/>
  <c r="AK86" i="128"/>
  <c r="AK87" i="128"/>
  <c r="AK88" i="128"/>
  <c r="AK89" i="128"/>
  <c r="AK90" i="128"/>
  <c r="AK91" i="128"/>
  <c r="AK92" i="128"/>
  <c r="AK93" i="128"/>
  <c r="AK94" i="128"/>
  <c r="L1312" i="170" l="1"/>
  <c r="D20" i="177" l="1"/>
  <c r="E18" i="162"/>
  <c r="F18" i="162"/>
  <c r="G18" i="162"/>
  <c r="H18" i="162"/>
  <c r="I18" i="162"/>
  <c r="J18" i="162"/>
  <c r="K18" i="162"/>
  <c r="L18" i="162"/>
  <c r="M18" i="162"/>
  <c r="N18" i="162"/>
  <c r="O18" i="162"/>
  <c r="P18" i="162"/>
  <c r="Q18" i="162"/>
  <c r="R18" i="162"/>
  <c r="S18" i="162"/>
  <c r="T18" i="162"/>
  <c r="U18" i="162"/>
  <c r="V18" i="162"/>
  <c r="W18" i="162"/>
  <c r="X18" i="162"/>
  <c r="Y18" i="162"/>
  <c r="Z18" i="162"/>
  <c r="AA18" i="162"/>
  <c r="AB18" i="162"/>
  <c r="AC18" i="162"/>
  <c r="AD18" i="162"/>
  <c r="AE18" i="162"/>
  <c r="AF18" i="162"/>
  <c r="AG18" i="162"/>
  <c r="AH18" i="162"/>
  <c r="G94" i="8"/>
  <c r="H94" i="8"/>
  <c r="I94" i="8"/>
  <c r="K94" i="8"/>
  <c r="L94" i="8"/>
  <c r="M94" i="8"/>
  <c r="N94" i="8"/>
  <c r="O94" i="8"/>
  <c r="P94" i="8"/>
  <c r="R94" i="8"/>
  <c r="S94" i="8"/>
  <c r="T94" i="8"/>
  <c r="U94" i="8"/>
  <c r="V94" i="8"/>
  <c r="W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4" i="8"/>
  <c r="G98" i="128"/>
  <c r="H98" i="128"/>
  <c r="I98" i="128"/>
  <c r="J98" i="128"/>
  <c r="K98" i="128"/>
  <c r="L98" i="128"/>
  <c r="M98" i="128"/>
  <c r="N98" i="128"/>
  <c r="O98" i="128"/>
  <c r="P98" i="128"/>
  <c r="Q98" i="128"/>
  <c r="R98" i="128"/>
  <c r="S98" i="128"/>
  <c r="T98" i="128"/>
  <c r="U98" i="128"/>
  <c r="V98" i="128"/>
  <c r="W98" i="128"/>
  <c r="X98" i="128"/>
  <c r="Y98" i="128"/>
  <c r="Z98" i="128"/>
  <c r="AA98" i="128"/>
  <c r="AB98" i="128"/>
  <c r="AC98" i="128"/>
  <c r="AD98" i="128"/>
  <c r="AE98" i="128"/>
  <c r="AF98" i="128"/>
  <c r="AG98" i="128"/>
  <c r="AH98" i="128"/>
  <c r="AI98" i="128"/>
  <c r="AJ98" i="128"/>
  <c r="F98" i="128"/>
  <c r="G16" i="128"/>
  <c r="H16" i="128"/>
  <c r="I16" i="128"/>
  <c r="J16" i="128"/>
  <c r="K16" i="128"/>
  <c r="L16" i="128"/>
  <c r="M16" i="128"/>
  <c r="N16" i="128"/>
  <c r="O16" i="128"/>
  <c r="P16" i="128"/>
  <c r="Q16" i="128"/>
  <c r="R16" i="128"/>
  <c r="S16" i="128"/>
  <c r="T16" i="128"/>
  <c r="U16" i="128"/>
  <c r="V16" i="128"/>
  <c r="W16" i="128"/>
  <c r="X16" i="128"/>
  <c r="Y16" i="128"/>
  <c r="Z16" i="128"/>
  <c r="AA16" i="128"/>
  <c r="AB16" i="128"/>
  <c r="AC16" i="128"/>
  <c r="AD16" i="128"/>
  <c r="AE16" i="128"/>
  <c r="AF16" i="128"/>
  <c r="AG16" i="128"/>
  <c r="AH16" i="128"/>
  <c r="AI16" i="128"/>
  <c r="AJ16" i="128"/>
  <c r="F16" i="128"/>
  <c r="AH161" i="128" l="1"/>
  <c r="AD161" i="128"/>
  <c r="Z161" i="128"/>
  <c r="V161" i="128"/>
  <c r="R161" i="128"/>
  <c r="N161" i="128"/>
  <c r="J161" i="128"/>
  <c r="F161" i="128"/>
  <c r="AG161" i="128"/>
  <c r="AC161" i="128"/>
  <c r="Y161" i="128"/>
  <c r="U161" i="128"/>
  <c r="Q161" i="128"/>
  <c r="M161" i="128"/>
  <c r="I161" i="128"/>
  <c r="AF161" i="128"/>
  <c r="AB161" i="128"/>
  <c r="X161" i="128"/>
  <c r="T161" i="128"/>
  <c r="P161" i="128"/>
  <c r="L161" i="128"/>
  <c r="H161" i="128"/>
  <c r="AI161" i="128"/>
  <c r="AE161" i="128"/>
  <c r="AA161" i="128"/>
  <c r="W161" i="128"/>
  <c r="S161" i="128"/>
  <c r="O161" i="128"/>
  <c r="K161" i="128"/>
  <c r="G161" i="128"/>
  <c r="D98" i="151"/>
  <c r="D96" i="132" s="1"/>
  <c r="D99" i="151"/>
  <c r="C98" i="99"/>
  <c r="C99" i="99"/>
  <c r="B724" i="170" l="1"/>
  <c r="D97" i="132"/>
  <c r="B15" i="153"/>
  <c r="G20" i="153"/>
  <c r="G19" i="153"/>
  <c r="N21" i="153" l="1"/>
  <c r="O12" i="153"/>
  <c r="I13" i="153" l="1"/>
  <c r="P13" i="153" s="1"/>
  <c r="R13" i="153" s="1"/>
  <c r="F187" i="128" l="1"/>
  <c r="F179" i="128"/>
  <c r="F180" i="128"/>
  <c r="F176" i="128"/>
  <c r="F178" i="128"/>
  <c r="F22" i="153"/>
  <c r="F23" i="153"/>
  <c r="F18" i="153"/>
  <c r="C85" i="9"/>
  <c r="Y85" i="9" s="1"/>
  <c r="C86" i="9"/>
  <c r="Y86" i="9" s="1"/>
  <c r="C87" i="9"/>
  <c r="Y87" i="9" s="1"/>
  <c r="C88" i="9"/>
  <c r="Y88" i="9" s="1"/>
  <c r="C89" i="9"/>
  <c r="Y89" i="9" s="1"/>
  <c r="C90" i="9"/>
  <c r="Y90" i="9" s="1"/>
  <c r="C94" i="99" l="1"/>
  <c r="M94" i="99" s="1"/>
  <c r="N94" i="99" s="1"/>
  <c r="D94" i="151"/>
  <c r="C90" i="99"/>
  <c r="M90" i="99" s="1"/>
  <c r="N90" i="99" s="1"/>
  <c r="D90" i="151"/>
  <c r="D95" i="151"/>
  <c r="C95" i="99"/>
  <c r="M95" i="99" s="1"/>
  <c r="N95" i="99" s="1"/>
  <c r="D91" i="151"/>
  <c r="C91" i="99"/>
  <c r="M91" i="99" s="1"/>
  <c r="N91" i="99" s="1"/>
  <c r="D96" i="151"/>
  <c r="C96" i="99"/>
  <c r="D92" i="151"/>
  <c r="C92" i="99"/>
  <c r="M92" i="99" s="1"/>
  <c r="N92" i="99" s="1"/>
  <c r="D97" i="151"/>
  <c r="B707" i="170" s="1"/>
  <c r="C97" i="99"/>
  <c r="D93" i="151"/>
  <c r="D91" i="132" s="1"/>
  <c r="C93" i="99"/>
  <c r="M93" i="99" s="1"/>
  <c r="N93" i="99" s="1"/>
  <c r="F194" i="128"/>
  <c r="AA179" i="128"/>
  <c r="T179" i="128"/>
  <c r="T178" i="128"/>
  <c r="D89" i="132" l="1"/>
  <c r="D88" i="132"/>
  <c r="D90" i="132"/>
  <c r="D93" i="132"/>
  <c r="G93" i="132" s="1"/>
  <c r="D92" i="132"/>
  <c r="G92" i="132" s="1"/>
  <c r="D95" i="132"/>
  <c r="D94" i="132"/>
  <c r="D91" i="128"/>
  <c r="D92" i="128"/>
  <c r="D93" i="128"/>
  <c r="D94" i="128"/>
  <c r="D95" i="128"/>
  <c r="D96" i="128"/>
  <c r="D97" i="128"/>
  <c r="AK97" i="128"/>
  <c r="O179" i="9"/>
  <c r="R179" i="9"/>
  <c r="P179" i="9"/>
  <c r="Q179" i="9"/>
  <c r="Q154" i="9"/>
  <c r="Q155" i="9"/>
  <c r="Q156" i="9"/>
  <c r="Q157" i="9"/>
  <c r="Q158" i="9"/>
  <c r="Q159" i="9"/>
  <c r="Q84" i="9"/>
  <c r="Q85" i="9"/>
  <c r="F90" i="151" s="1"/>
  <c r="G90" i="151" s="1"/>
  <c r="Q86" i="9"/>
  <c r="F91" i="151" s="1"/>
  <c r="G91" i="151" s="1"/>
  <c r="Q87" i="9"/>
  <c r="F92" i="151" s="1"/>
  <c r="G92" i="151" s="1"/>
  <c r="Q88" i="9"/>
  <c r="F93" i="151" s="1"/>
  <c r="G93" i="151" s="1"/>
  <c r="Q89" i="9"/>
  <c r="F94" i="151" s="1"/>
  <c r="G94" i="151" s="1"/>
  <c r="Q90" i="9"/>
  <c r="F95" i="151" s="1"/>
  <c r="G95" i="151" s="1"/>
  <c r="Q91" i="9"/>
  <c r="Q92" i="9"/>
  <c r="G99" i="151"/>
  <c r="AA99" i="151" s="1"/>
  <c r="AC99" i="151" s="1"/>
  <c r="Q160" i="9"/>
  <c r="Q98" i="9"/>
  <c r="Q99" i="9"/>
  <c r="Q100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AC83" i="9" s="1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K188" i="151" l="1"/>
  <c r="G94" i="132"/>
  <c r="K187" i="151"/>
  <c r="O187" i="151" s="1"/>
  <c r="K186" i="151"/>
  <c r="O186" i="151" s="1"/>
  <c r="K185" i="151"/>
  <c r="F96" i="151"/>
  <c r="Q11" i="9"/>
  <c r="E10" i="9"/>
  <c r="G98" i="151"/>
  <c r="AA98" i="151" s="1"/>
  <c r="AC98" i="151" s="1"/>
  <c r="AQ97" i="128"/>
  <c r="R91" i="9"/>
  <c r="Q50" i="9"/>
  <c r="Q101" i="9"/>
  <c r="Q97" i="9"/>
  <c r="Q96" i="9"/>
  <c r="AG20" i="169"/>
  <c r="K190" i="151" l="1"/>
  <c r="O185" i="151"/>
  <c r="O190" i="151" s="1"/>
  <c r="Q95" i="9"/>
  <c r="Q10" i="9"/>
  <c r="G96" i="151"/>
  <c r="C87" i="132"/>
  <c r="C88" i="132"/>
  <c r="C89" i="132"/>
  <c r="C90" i="132"/>
  <c r="C91" i="132"/>
  <c r="C92" i="132"/>
  <c r="C93" i="132"/>
  <c r="C94" i="132"/>
  <c r="T11" i="9"/>
  <c r="C159" i="151"/>
  <c r="C160" i="151"/>
  <c r="C161" i="151"/>
  <c r="C162" i="151"/>
  <c r="C163" i="151"/>
  <c r="B75" i="101"/>
  <c r="B76" i="101"/>
  <c r="B77" i="101"/>
  <c r="B78" i="101"/>
  <c r="B79" i="101"/>
  <c r="G18" i="153" l="1"/>
  <c r="B20" i="153" l="1"/>
  <c r="B19" i="153"/>
  <c r="B18" i="153"/>
  <c r="B14" i="153"/>
  <c r="AA186" i="128"/>
  <c r="T186" i="128"/>
  <c r="F186" i="128"/>
  <c r="F193" i="128" s="1"/>
  <c r="F185" i="128"/>
  <c r="F184" i="128"/>
  <c r="F183" i="128"/>
  <c r="F190" i="128" s="1"/>
  <c r="F177" i="128"/>
  <c r="F165" i="128"/>
  <c r="F166" i="128"/>
  <c r="F167" i="128"/>
  <c r="F168" i="128"/>
  <c r="M168" i="128"/>
  <c r="R168" i="128"/>
  <c r="F170" i="128"/>
  <c r="F169" i="128" s="1"/>
  <c r="AS153" i="8"/>
  <c r="AT153" i="8" s="1"/>
  <c r="AS154" i="8"/>
  <c r="AT154" i="8" s="1"/>
  <c r="AS155" i="8"/>
  <c r="AT155" i="8" s="1"/>
  <c r="AS156" i="8"/>
  <c r="AT156" i="8" s="1"/>
  <c r="AS96" i="8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41" i="8"/>
  <c r="AS142" i="8"/>
  <c r="AS143" i="8"/>
  <c r="AS144" i="8"/>
  <c r="AS145" i="8"/>
  <c r="AS146" i="8"/>
  <c r="AS147" i="8"/>
  <c r="AS148" i="8"/>
  <c r="AS149" i="8"/>
  <c r="AS150" i="8"/>
  <c r="AS151" i="8"/>
  <c r="AS152" i="8"/>
  <c r="AS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5" i="8"/>
  <c r="C37" i="8"/>
  <c r="C38" i="8"/>
  <c r="C39" i="8"/>
  <c r="C40" i="8"/>
  <c r="C41" i="8"/>
  <c r="C42" i="8"/>
  <c r="C43" i="8"/>
  <c r="C44" i="8"/>
  <c r="C45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7" i="8"/>
  <c r="C68" i="8"/>
  <c r="C69" i="8"/>
  <c r="C70" i="8"/>
  <c r="C71" i="8"/>
  <c r="C73" i="8"/>
  <c r="C74" i="8"/>
  <c r="C75" i="8"/>
  <c r="C76" i="8"/>
  <c r="C77" i="8"/>
  <c r="C78" i="8"/>
  <c r="C79" i="8"/>
  <c r="AT80" i="8"/>
  <c r="C82" i="8"/>
  <c r="C83" i="8"/>
  <c r="C84" i="8"/>
  <c r="C85" i="8"/>
  <c r="F191" i="128" l="1"/>
  <c r="F182" i="128"/>
  <c r="F188" i="128" s="1"/>
  <c r="C87" i="128"/>
  <c r="B81" i="9"/>
  <c r="C86" i="151"/>
  <c r="C84" i="132"/>
  <c r="B86" i="99"/>
  <c r="C75" i="128"/>
  <c r="B69" i="9"/>
  <c r="C74" i="151"/>
  <c r="C72" i="132"/>
  <c r="B74" i="99"/>
  <c r="C63" i="128"/>
  <c r="B57" i="9"/>
  <c r="C62" i="151"/>
  <c r="C60" i="132"/>
  <c r="B62" i="99"/>
  <c r="C55" i="128"/>
  <c r="B49" i="9"/>
  <c r="C54" i="151"/>
  <c r="C52" i="132"/>
  <c r="B54" i="99"/>
  <c r="C51" i="128"/>
  <c r="B45" i="9"/>
  <c r="C50" i="151"/>
  <c r="C48" i="132"/>
  <c r="B50" i="99"/>
  <c r="C47" i="128"/>
  <c r="B41" i="9"/>
  <c r="C46" i="151"/>
  <c r="C44" i="132"/>
  <c r="B46" i="99"/>
  <c r="C43" i="128"/>
  <c r="B37" i="9"/>
  <c r="C42" i="151"/>
  <c r="C40" i="132"/>
  <c r="B42" i="99"/>
  <c r="C39" i="128"/>
  <c r="B33" i="9"/>
  <c r="C38" i="151"/>
  <c r="C36" i="132"/>
  <c r="B38" i="99"/>
  <c r="C35" i="128"/>
  <c r="B29" i="9"/>
  <c r="C34" i="151"/>
  <c r="C32" i="132"/>
  <c r="B34" i="99"/>
  <c r="C31" i="128"/>
  <c r="B25" i="9"/>
  <c r="C30" i="151"/>
  <c r="B30" i="99"/>
  <c r="C28" i="132"/>
  <c r="C27" i="128"/>
  <c r="B21" i="9"/>
  <c r="C26" i="151"/>
  <c r="B26" i="99"/>
  <c r="C24" i="132"/>
  <c r="C23" i="128"/>
  <c r="B17" i="9"/>
  <c r="C22" i="151"/>
  <c r="B22" i="99"/>
  <c r="C20" i="132"/>
  <c r="B96" i="9"/>
  <c r="C101" i="151"/>
  <c r="B17" i="101"/>
  <c r="C99" i="132"/>
  <c r="B146" i="9"/>
  <c r="C149" i="132"/>
  <c r="C151" i="151"/>
  <c r="B67" i="101"/>
  <c r="C145" i="128"/>
  <c r="B142" i="9"/>
  <c r="C145" i="132"/>
  <c r="C147" i="151"/>
  <c r="B63" i="101"/>
  <c r="C141" i="128"/>
  <c r="B138" i="9"/>
  <c r="C141" i="132"/>
  <c r="C143" i="151"/>
  <c r="B59" i="101"/>
  <c r="B134" i="9"/>
  <c r="C137" i="132"/>
  <c r="B55" i="101"/>
  <c r="C139" i="151"/>
  <c r="B130" i="9"/>
  <c r="C133" i="132"/>
  <c r="C135" i="151"/>
  <c r="B51" i="101"/>
  <c r="C129" i="128"/>
  <c r="B126" i="9"/>
  <c r="C129" i="132"/>
  <c r="C131" i="151"/>
  <c r="B47" i="101"/>
  <c r="C125" i="128"/>
  <c r="B122" i="9"/>
  <c r="C125" i="132"/>
  <c r="C127" i="151"/>
  <c r="B43" i="101"/>
  <c r="B118" i="9"/>
  <c r="C121" i="132"/>
  <c r="B39" i="101"/>
  <c r="C123" i="151"/>
  <c r="B114" i="9"/>
  <c r="C117" i="132"/>
  <c r="C119" i="151"/>
  <c r="B35" i="101"/>
  <c r="C113" i="128"/>
  <c r="B110" i="9"/>
  <c r="C113" i="132"/>
  <c r="C115" i="151"/>
  <c r="B31" i="101"/>
  <c r="C109" i="128"/>
  <c r="B106" i="9"/>
  <c r="C109" i="132"/>
  <c r="C111" i="151"/>
  <c r="B27" i="101"/>
  <c r="B102" i="9"/>
  <c r="C105" i="132"/>
  <c r="B23" i="101"/>
  <c r="C107" i="151"/>
  <c r="B98" i="9"/>
  <c r="C101" i="132"/>
  <c r="C103" i="151"/>
  <c r="B19" i="101"/>
  <c r="C19" i="128"/>
  <c r="B13" i="9"/>
  <c r="C18" i="151"/>
  <c r="B18" i="99"/>
  <c r="C16" i="132"/>
  <c r="B150" i="9"/>
  <c r="C153" i="132"/>
  <c r="B71" i="101"/>
  <c r="C155" i="151"/>
  <c r="B11" i="9"/>
  <c r="C14" i="132"/>
  <c r="C16" i="151"/>
  <c r="B16" i="99"/>
  <c r="B80" i="9"/>
  <c r="C85" i="151"/>
  <c r="C83" i="132"/>
  <c r="B85" i="99"/>
  <c r="B76" i="9"/>
  <c r="C81" i="151"/>
  <c r="C79" i="132"/>
  <c r="B81" i="99"/>
  <c r="B72" i="9"/>
  <c r="C77" i="151"/>
  <c r="C75" i="132"/>
  <c r="B77" i="99"/>
  <c r="B68" i="9"/>
  <c r="C73" i="151"/>
  <c r="C71" i="132"/>
  <c r="B73" i="99"/>
  <c r="B64" i="9"/>
  <c r="C69" i="151"/>
  <c r="C67" i="132"/>
  <c r="B69" i="99"/>
  <c r="B60" i="9"/>
  <c r="C65" i="151"/>
  <c r="C63" i="132"/>
  <c r="B65" i="99"/>
  <c r="B56" i="9"/>
  <c r="C61" i="151"/>
  <c r="C59" i="132"/>
  <c r="B61" i="99"/>
  <c r="B52" i="9"/>
  <c r="C57" i="151"/>
  <c r="C55" i="132"/>
  <c r="B57" i="99"/>
  <c r="B48" i="9"/>
  <c r="C53" i="151"/>
  <c r="C51" i="132"/>
  <c r="B53" i="99"/>
  <c r="B44" i="9"/>
  <c r="C49" i="151"/>
  <c r="C47" i="132"/>
  <c r="B49" i="99"/>
  <c r="B40" i="9"/>
  <c r="C45" i="151"/>
  <c r="C43" i="132"/>
  <c r="B45" i="99"/>
  <c r="B36" i="9"/>
  <c r="C41" i="151"/>
  <c r="C39" i="132"/>
  <c r="B41" i="99"/>
  <c r="B32" i="9"/>
  <c r="C37" i="151"/>
  <c r="C35" i="132"/>
  <c r="B37" i="99"/>
  <c r="B28" i="9"/>
  <c r="C33" i="151"/>
  <c r="B33" i="99"/>
  <c r="C31" i="132"/>
  <c r="B24" i="9"/>
  <c r="C29" i="151"/>
  <c r="B29" i="99"/>
  <c r="C27" i="132"/>
  <c r="B20" i="9"/>
  <c r="C25" i="151"/>
  <c r="B25" i="99"/>
  <c r="C23" i="132"/>
  <c r="B16" i="9"/>
  <c r="C21" i="151"/>
  <c r="B21" i="99"/>
  <c r="C19" i="132"/>
  <c r="B12" i="9"/>
  <c r="C17" i="151"/>
  <c r="B17" i="99"/>
  <c r="C15" i="132"/>
  <c r="AT152" i="8"/>
  <c r="B153" i="9"/>
  <c r="C156" i="132"/>
  <c r="C158" i="151"/>
  <c r="B74" i="101"/>
  <c r="AT148" i="8"/>
  <c r="B149" i="9"/>
  <c r="C152" i="132"/>
  <c r="C154" i="151"/>
  <c r="B70" i="101"/>
  <c r="AT144" i="8"/>
  <c r="B145" i="9"/>
  <c r="C148" i="132"/>
  <c r="C150" i="151"/>
  <c r="B66" i="101"/>
  <c r="AT140" i="8"/>
  <c r="B141" i="9"/>
  <c r="C144" i="132"/>
  <c r="C146" i="151"/>
  <c r="B62" i="101"/>
  <c r="AT136" i="8"/>
  <c r="B137" i="9"/>
  <c r="C140" i="132"/>
  <c r="C142" i="151"/>
  <c r="B58" i="101"/>
  <c r="AT132" i="8"/>
  <c r="B133" i="9"/>
  <c r="C136" i="132"/>
  <c r="C138" i="151"/>
  <c r="B54" i="101"/>
  <c r="AT128" i="8"/>
  <c r="B129" i="9"/>
  <c r="C132" i="132"/>
  <c r="C134" i="151"/>
  <c r="B50" i="101"/>
  <c r="AT124" i="8"/>
  <c r="B125" i="9"/>
  <c r="C128" i="132"/>
  <c r="C130" i="151"/>
  <c r="B46" i="101"/>
  <c r="AT120" i="8"/>
  <c r="B121" i="9"/>
  <c r="C124" i="132"/>
  <c r="C126" i="151"/>
  <c r="B42" i="101"/>
  <c r="AT116" i="8"/>
  <c r="B117" i="9"/>
  <c r="C120" i="132"/>
  <c r="C122" i="151"/>
  <c r="B38" i="101"/>
  <c r="AT112" i="8"/>
  <c r="B113" i="9"/>
  <c r="C116" i="132"/>
  <c r="C118" i="151"/>
  <c r="B34" i="101"/>
  <c r="AT108" i="8"/>
  <c r="B109" i="9"/>
  <c r="C112" i="132"/>
  <c r="C114" i="151"/>
  <c r="B30" i="101"/>
  <c r="AT104" i="8"/>
  <c r="B105" i="9"/>
  <c r="C108" i="132"/>
  <c r="C110" i="151"/>
  <c r="B26" i="101"/>
  <c r="AT100" i="8"/>
  <c r="B101" i="9"/>
  <c r="C104" i="132"/>
  <c r="C106" i="151"/>
  <c r="B22" i="101"/>
  <c r="AT96" i="8"/>
  <c r="B97" i="9"/>
  <c r="C100" i="132"/>
  <c r="C102" i="151"/>
  <c r="B18" i="101"/>
  <c r="C83" i="128"/>
  <c r="B77" i="9"/>
  <c r="C82" i="151"/>
  <c r="C80" i="132"/>
  <c r="B82" i="99"/>
  <c r="C79" i="128"/>
  <c r="B73" i="9"/>
  <c r="C78" i="151"/>
  <c r="C76" i="132"/>
  <c r="B78" i="99"/>
  <c r="C67" i="128"/>
  <c r="B61" i="9"/>
  <c r="C66" i="151"/>
  <c r="C64" i="132"/>
  <c r="B66" i="99"/>
  <c r="B83" i="9"/>
  <c r="C88" i="151"/>
  <c r="C86" i="132"/>
  <c r="B88" i="99"/>
  <c r="B75" i="9"/>
  <c r="C80" i="151"/>
  <c r="C78" i="132"/>
  <c r="B80" i="99"/>
  <c r="B67" i="9"/>
  <c r="C72" i="151"/>
  <c r="C70" i="132"/>
  <c r="B72" i="99"/>
  <c r="B59" i="9"/>
  <c r="C64" i="151"/>
  <c r="C62" i="132"/>
  <c r="B64" i="99"/>
  <c r="B51" i="9"/>
  <c r="C56" i="151"/>
  <c r="C54" i="132"/>
  <c r="B56" i="99"/>
  <c r="B39" i="9"/>
  <c r="C44" i="151"/>
  <c r="C42" i="132"/>
  <c r="B44" i="99"/>
  <c r="B35" i="9"/>
  <c r="C40" i="151"/>
  <c r="C38" i="132"/>
  <c r="B40" i="99"/>
  <c r="B27" i="9"/>
  <c r="C32" i="151"/>
  <c r="C30" i="132"/>
  <c r="B32" i="99"/>
  <c r="B19" i="9"/>
  <c r="C24" i="151"/>
  <c r="B24" i="99"/>
  <c r="C22" i="132"/>
  <c r="AT151" i="8"/>
  <c r="B152" i="9"/>
  <c r="C157" i="151"/>
  <c r="B73" i="101"/>
  <c r="C155" i="132"/>
  <c r="AT147" i="8"/>
  <c r="B148" i="9"/>
  <c r="C153" i="151"/>
  <c r="B69" i="101"/>
  <c r="C151" i="132"/>
  <c r="AT139" i="8"/>
  <c r="B140" i="9"/>
  <c r="C145" i="151"/>
  <c r="B61" i="101"/>
  <c r="C143" i="132"/>
  <c r="AT135" i="8"/>
  <c r="B136" i="9"/>
  <c r="C141" i="151"/>
  <c r="B57" i="101"/>
  <c r="C139" i="132"/>
  <c r="AT131" i="8"/>
  <c r="B132" i="9"/>
  <c r="C137" i="151"/>
  <c r="B53" i="101"/>
  <c r="C135" i="132"/>
  <c r="AT127" i="8"/>
  <c r="B128" i="9"/>
  <c r="C133" i="151"/>
  <c r="B49" i="101"/>
  <c r="C131" i="132"/>
  <c r="AT123" i="8"/>
  <c r="B124" i="9"/>
  <c r="C129" i="151"/>
  <c r="B45" i="101"/>
  <c r="C127" i="132"/>
  <c r="AT119" i="8"/>
  <c r="B120" i="9"/>
  <c r="C125" i="151"/>
  <c r="B41" i="101"/>
  <c r="C123" i="132"/>
  <c r="AT115" i="8"/>
  <c r="B116" i="9"/>
  <c r="C121" i="151"/>
  <c r="B37" i="101"/>
  <c r="C119" i="132"/>
  <c r="AT111" i="8"/>
  <c r="B112" i="9"/>
  <c r="C117" i="151"/>
  <c r="B33" i="101"/>
  <c r="C115" i="132"/>
  <c r="AT107" i="8"/>
  <c r="B108" i="9"/>
  <c r="C113" i="151"/>
  <c r="B29" i="101"/>
  <c r="C111" i="132"/>
  <c r="AT103" i="8"/>
  <c r="B104" i="9"/>
  <c r="C109" i="151"/>
  <c r="B25" i="101"/>
  <c r="C107" i="132"/>
  <c r="AT99" i="8"/>
  <c r="B100" i="9"/>
  <c r="C105" i="151"/>
  <c r="B21" i="101"/>
  <c r="C103" i="132"/>
  <c r="C71" i="128"/>
  <c r="B65" i="9"/>
  <c r="C70" i="151"/>
  <c r="C68" i="132"/>
  <c r="B70" i="99"/>
  <c r="C59" i="128"/>
  <c r="B53" i="9"/>
  <c r="C58" i="151"/>
  <c r="C56" i="132"/>
  <c r="B58" i="99"/>
  <c r="B79" i="9"/>
  <c r="C84" i="151"/>
  <c r="C82" i="132"/>
  <c r="B84" i="99"/>
  <c r="B71" i="9"/>
  <c r="C76" i="151"/>
  <c r="C74" i="132"/>
  <c r="B76" i="99"/>
  <c r="B63" i="9"/>
  <c r="C68" i="151"/>
  <c r="C66" i="132"/>
  <c r="B68" i="99"/>
  <c r="B55" i="9"/>
  <c r="C60" i="151"/>
  <c r="C58" i="132"/>
  <c r="B60" i="99"/>
  <c r="B47" i="9"/>
  <c r="C52" i="151"/>
  <c r="C50" i="132"/>
  <c r="B52" i="99"/>
  <c r="B43" i="9"/>
  <c r="C48" i="151"/>
  <c r="C46" i="132"/>
  <c r="B48" i="99"/>
  <c r="B31" i="9"/>
  <c r="C36" i="151"/>
  <c r="C34" i="132"/>
  <c r="B36" i="99"/>
  <c r="B23" i="9"/>
  <c r="C28" i="151"/>
  <c r="B28" i="99"/>
  <c r="C26" i="132"/>
  <c r="B15" i="9"/>
  <c r="C20" i="151"/>
  <c r="B20" i="99"/>
  <c r="C18" i="132"/>
  <c r="AT143" i="8"/>
  <c r="B144" i="9"/>
  <c r="C149" i="151"/>
  <c r="B65" i="101"/>
  <c r="C147" i="132"/>
  <c r="B82" i="9"/>
  <c r="C85" i="132"/>
  <c r="B87" i="99"/>
  <c r="C87" i="151"/>
  <c r="B78" i="9"/>
  <c r="C81" i="132"/>
  <c r="B83" i="99"/>
  <c r="C83" i="151"/>
  <c r="B74" i="9"/>
  <c r="C77" i="132"/>
  <c r="C79" i="151"/>
  <c r="B79" i="99"/>
  <c r="B70" i="9"/>
  <c r="C73" i="132"/>
  <c r="B75" i="99"/>
  <c r="C75" i="151"/>
  <c r="B66" i="9"/>
  <c r="C69" i="132"/>
  <c r="B71" i="99"/>
  <c r="C71" i="151"/>
  <c r="B62" i="9"/>
  <c r="C65" i="132"/>
  <c r="B67" i="99"/>
  <c r="C67" i="151"/>
  <c r="B58" i="9"/>
  <c r="C61" i="132"/>
  <c r="C63" i="151"/>
  <c r="B63" i="99"/>
  <c r="B54" i="9"/>
  <c r="C57" i="132"/>
  <c r="B59" i="99"/>
  <c r="C59" i="151"/>
  <c r="B50" i="9"/>
  <c r="C53" i="132"/>
  <c r="B55" i="99"/>
  <c r="C55" i="151"/>
  <c r="B46" i="9"/>
  <c r="C49" i="132"/>
  <c r="B51" i="99"/>
  <c r="C51" i="151"/>
  <c r="B42" i="9"/>
  <c r="C45" i="132"/>
  <c r="C47" i="151"/>
  <c r="B47" i="99"/>
  <c r="B38" i="9"/>
  <c r="C41" i="132"/>
  <c r="B43" i="99"/>
  <c r="C43" i="151"/>
  <c r="B34" i="9"/>
  <c r="C37" i="132"/>
  <c r="B39" i="99"/>
  <c r="C39" i="151"/>
  <c r="B30" i="9"/>
  <c r="C33" i="132"/>
  <c r="B35" i="99"/>
  <c r="C35" i="151"/>
  <c r="B26" i="9"/>
  <c r="C29" i="132"/>
  <c r="C31" i="151"/>
  <c r="B31" i="99"/>
  <c r="B22" i="9"/>
  <c r="C25" i="132"/>
  <c r="B27" i="99"/>
  <c r="C27" i="151"/>
  <c r="B18" i="9"/>
  <c r="C21" i="132"/>
  <c r="C23" i="151"/>
  <c r="B23" i="99"/>
  <c r="B14" i="9"/>
  <c r="C17" i="132"/>
  <c r="C19" i="151"/>
  <c r="B19" i="99"/>
  <c r="B151" i="9"/>
  <c r="C156" i="151"/>
  <c r="B72" i="101"/>
  <c r="C154" i="132"/>
  <c r="B147" i="9"/>
  <c r="C152" i="151"/>
  <c r="B68" i="101"/>
  <c r="C150" i="132"/>
  <c r="B143" i="9"/>
  <c r="C148" i="151"/>
  <c r="B64" i="101"/>
  <c r="C146" i="132"/>
  <c r="B139" i="9"/>
  <c r="C144" i="151"/>
  <c r="B60" i="101"/>
  <c r="C142" i="132"/>
  <c r="B135" i="9"/>
  <c r="C140" i="151"/>
  <c r="B56" i="101"/>
  <c r="C138" i="132"/>
  <c r="B131" i="9"/>
  <c r="C136" i="151"/>
  <c r="B52" i="101"/>
  <c r="C134" i="132"/>
  <c r="B127" i="9"/>
  <c r="C132" i="151"/>
  <c r="B48" i="101"/>
  <c r="C130" i="132"/>
  <c r="B123" i="9"/>
  <c r="C128" i="151"/>
  <c r="B44" i="101"/>
  <c r="C126" i="132"/>
  <c r="B119" i="9"/>
  <c r="C124" i="151"/>
  <c r="B40" i="101"/>
  <c r="C122" i="132"/>
  <c r="B115" i="9"/>
  <c r="C120" i="151"/>
  <c r="B36" i="101"/>
  <c r="C118" i="132"/>
  <c r="B111" i="9"/>
  <c r="C116" i="151"/>
  <c r="B32" i="101"/>
  <c r="C114" i="132"/>
  <c r="B107" i="9"/>
  <c r="C112" i="151"/>
  <c r="B28" i="101"/>
  <c r="C110" i="132"/>
  <c r="B103" i="9"/>
  <c r="C108" i="151"/>
  <c r="B24" i="101"/>
  <c r="C106" i="132"/>
  <c r="B99" i="9"/>
  <c r="C104" i="151"/>
  <c r="B20" i="101"/>
  <c r="C102" i="132"/>
  <c r="F192" i="128"/>
  <c r="AT95" i="8"/>
  <c r="AT149" i="8"/>
  <c r="AT145" i="8"/>
  <c r="AT133" i="8"/>
  <c r="AT129" i="8"/>
  <c r="AT117" i="8"/>
  <c r="AT113" i="8"/>
  <c r="AT12" i="8"/>
  <c r="AT13" i="8"/>
  <c r="AT150" i="8"/>
  <c r="AT146" i="8"/>
  <c r="AT142" i="8"/>
  <c r="AT138" i="8"/>
  <c r="AT134" i="8"/>
  <c r="AT130" i="8"/>
  <c r="AT126" i="8"/>
  <c r="AT122" i="8"/>
  <c r="AT118" i="8"/>
  <c r="AT114" i="8"/>
  <c r="AT110" i="8"/>
  <c r="AT106" i="8"/>
  <c r="AT102" i="8"/>
  <c r="AT98" i="8"/>
  <c r="AT101" i="8"/>
  <c r="AT97" i="8"/>
  <c r="AT141" i="8"/>
  <c r="AT125" i="8"/>
  <c r="AT109" i="8"/>
  <c r="C17" i="128"/>
  <c r="C86" i="128"/>
  <c r="C82" i="128"/>
  <c r="C78" i="128"/>
  <c r="C74" i="128"/>
  <c r="C70" i="128"/>
  <c r="C66" i="128"/>
  <c r="C62" i="128"/>
  <c r="C58" i="128"/>
  <c r="C54" i="128"/>
  <c r="C50" i="128"/>
  <c r="C46" i="128"/>
  <c r="C42" i="128"/>
  <c r="C38" i="128"/>
  <c r="C34" i="128"/>
  <c r="C30" i="128"/>
  <c r="C26" i="128"/>
  <c r="C22" i="128"/>
  <c r="C18" i="128"/>
  <c r="C154" i="128"/>
  <c r="C150" i="128"/>
  <c r="C146" i="128"/>
  <c r="C142" i="128"/>
  <c r="C138" i="128"/>
  <c r="C134" i="128"/>
  <c r="C130" i="128"/>
  <c r="C126" i="128"/>
  <c r="C122" i="128"/>
  <c r="C118" i="128"/>
  <c r="C114" i="128"/>
  <c r="C110" i="128"/>
  <c r="C106" i="128"/>
  <c r="C102" i="128"/>
  <c r="AT137" i="8"/>
  <c r="AT121" i="8"/>
  <c r="AT105" i="8"/>
  <c r="C89" i="128"/>
  <c r="C85" i="128"/>
  <c r="C81" i="128"/>
  <c r="C77" i="128"/>
  <c r="C73" i="128"/>
  <c r="C69" i="128"/>
  <c r="C65" i="128"/>
  <c r="C61" i="128"/>
  <c r="C57" i="128"/>
  <c r="C53" i="128"/>
  <c r="C49" i="128"/>
  <c r="C45" i="128"/>
  <c r="C41" i="128"/>
  <c r="C37" i="128"/>
  <c r="C33" i="128"/>
  <c r="C29" i="128"/>
  <c r="C25" i="128"/>
  <c r="C21" i="128"/>
  <c r="C99" i="128"/>
  <c r="C153" i="128"/>
  <c r="C149" i="128"/>
  <c r="C137" i="128"/>
  <c r="C133" i="128"/>
  <c r="C121" i="128"/>
  <c r="C117" i="128"/>
  <c r="C105" i="128"/>
  <c r="C101" i="128"/>
  <c r="C88" i="128"/>
  <c r="C84" i="128"/>
  <c r="C80" i="128"/>
  <c r="C76" i="128"/>
  <c r="C72" i="128"/>
  <c r="C68" i="128"/>
  <c r="C64" i="128"/>
  <c r="C60" i="128"/>
  <c r="C56" i="128"/>
  <c r="C52" i="128"/>
  <c r="C48" i="128"/>
  <c r="C44" i="128"/>
  <c r="C40" i="128"/>
  <c r="C36" i="128"/>
  <c r="C32" i="128"/>
  <c r="C28" i="128"/>
  <c r="C24" i="128"/>
  <c r="C20" i="128"/>
  <c r="C156" i="128"/>
  <c r="C152" i="128"/>
  <c r="C148" i="128"/>
  <c r="C144" i="128"/>
  <c r="C140" i="128"/>
  <c r="C136" i="128"/>
  <c r="C132" i="128"/>
  <c r="C128" i="128"/>
  <c r="C124" i="128"/>
  <c r="C120" i="128"/>
  <c r="C116" i="128"/>
  <c r="C112" i="128"/>
  <c r="C108" i="128"/>
  <c r="C104" i="128"/>
  <c r="C100" i="128"/>
  <c r="C155" i="128"/>
  <c r="C151" i="128"/>
  <c r="C147" i="128"/>
  <c r="C143" i="128"/>
  <c r="C139" i="128"/>
  <c r="C135" i="128"/>
  <c r="C131" i="128"/>
  <c r="C127" i="128"/>
  <c r="C123" i="128"/>
  <c r="C119" i="128"/>
  <c r="C115" i="128"/>
  <c r="C111" i="128"/>
  <c r="C107" i="128"/>
  <c r="C103" i="128"/>
  <c r="F164" i="128"/>
  <c r="F171" i="128" s="1"/>
  <c r="F175" i="128"/>
  <c r="F181" i="128" s="1"/>
  <c r="F189" i="128" l="1"/>
  <c r="F195" i="128" s="1"/>
  <c r="Q184" i="128"/>
  <c r="Q183" i="128"/>
  <c r="Q178" i="128"/>
  <c r="Q179" i="128"/>
  <c r="Q176" i="128"/>
  <c r="Q177" i="128"/>
  <c r="AI15" i="177"/>
  <c r="AI19" i="177"/>
  <c r="AI18" i="177"/>
  <c r="AI17" i="177"/>
  <c r="AI16" i="177"/>
  <c r="AI14" i="177"/>
  <c r="AI13" i="177"/>
  <c r="AI12" i="177"/>
  <c r="B20" i="136"/>
  <c r="D173" i="132" s="1"/>
  <c r="AI17" i="162"/>
  <c r="AI16" i="162"/>
  <c r="AI15" i="162"/>
  <c r="AI14" i="162"/>
  <c r="D13" i="136" s="1"/>
  <c r="H13" i="136" s="1"/>
  <c r="H166" i="132" s="1"/>
  <c r="AI13" i="162"/>
  <c r="D18" i="136" s="1"/>
  <c r="AI12" i="162"/>
  <c r="AH20" i="177" l="1"/>
  <c r="AI20" i="177"/>
  <c r="D17" i="136"/>
  <c r="D16" i="136" s="1"/>
  <c r="F18" i="180" s="1"/>
  <c r="AI18" i="162"/>
  <c r="I13" i="136"/>
  <c r="I166" i="132" s="1"/>
  <c r="D15" i="136"/>
  <c r="H15" i="136" s="1"/>
  <c r="H168" i="132" s="1"/>
  <c r="D14" i="136"/>
  <c r="Q175" i="128"/>
  <c r="D20" i="136"/>
  <c r="E20" i="136" s="1"/>
  <c r="K166" i="132" l="1"/>
  <c r="I15" i="136"/>
  <c r="I168" i="132" s="1"/>
  <c r="F12" i="167"/>
  <c r="K13" i="136"/>
  <c r="D12" i="136"/>
  <c r="F17" i="180" s="1"/>
  <c r="H14" i="136"/>
  <c r="H167" i="132" s="1"/>
  <c r="H165" i="132" s="1"/>
  <c r="H175" i="132" s="1"/>
  <c r="F173" i="132"/>
  <c r="F172" i="132" s="1"/>
  <c r="F177" i="132" s="1"/>
  <c r="I20" i="136"/>
  <c r="F13" i="167" l="1"/>
  <c r="I14" i="136"/>
  <c r="I167" i="132" s="1"/>
  <c r="H12" i="136"/>
  <c r="J15" i="136"/>
  <c r="J168" i="132" s="1"/>
  <c r="J165" i="132" s="1"/>
  <c r="J175" i="132" s="1"/>
  <c r="AA8" i="151"/>
  <c r="Y167" i="151"/>
  <c r="AO13" i="8"/>
  <c r="AP13" i="8"/>
  <c r="AP12" i="8" s="1"/>
  <c r="H21" i="136" l="1"/>
  <c r="K168" i="132"/>
  <c r="K167" i="132"/>
  <c r="I165" i="132"/>
  <c r="I175" i="132" s="1"/>
  <c r="AO12" i="8"/>
  <c r="AQ13" i="8"/>
  <c r="AQ12" i="8" s="1"/>
  <c r="J12" i="136"/>
  <c r="R17" i="180" s="1"/>
  <c r="G12" i="167"/>
  <c r="K15" i="136"/>
  <c r="K14" i="136"/>
  <c r="I12" i="136"/>
  <c r="H31" i="154" l="1"/>
  <c r="G17" i="180"/>
  <c r="Q17" i="180" s="1"/>
  <c r="S17" i="180"/>
  <c r="K165" i="132"/>
  <c r="K175" i="132" s="1"/>
  <c r="K12" i="136"/>
  <c r="J168" i="99"/>
  <c r="J169" i="99"/>
  <c r="J170" i="99"/>
  <c r="J171" i="99"/>
  <c r="J172" i="99"/>
  <c r="J173" i="99"/>
  <c r="J174" i="99"/>
  <c r="J175" i="99"/>
  <c r="J178" i="99"/>
  <c r="J179" i="99"/>
  <c r="J180" i="99"/>
  <c r="J183" i="99"/>
  <c r="D31" i="154" l="1"/>
  <c r="G31" i="154" s="1"/>
  <c r="J176" i="99"/>
  <c r="D19" i="128" l="1"/>
  <c r="D20" i="128"/>
  <c r="D21" i="128"/>
  <c r="D22" i="128"/>
  <c r="D23" i="128"/>
  <c r="D24" i="128"/>
  <c r="D25" i="128"/>
  <c r="D26" i="128"/>
  <c r="D27" i="128"/>
  <c r="D28" i="128"/>
  <c r="D29" i="128"/>
  <c r="D30" i="128"/>
  <c r="D31" i="128"/>
  <c r="D32" i="128"/>
  <c r="D33" i="128"/>
  <c r="D34" i="128"/>
  <c r="D35" i="128"/>
  <c r="D36" i="128"/>
  <c r="D37" i="128"/>
  <c r="D38" i="128"/>
  <c r="D39" i="128"/>
  <c r="D40" i="128"/>
  <c r="D41" i="128"/>
  <c r="D42" i="128"/>
  <c r="D43" i="128"/>
  <c r="D44" i="128"/>
  <c r="D45" i="128"/>
  <c r="D46" i="128"/>
  <c r="D47" i="128"/>
  <c r="D48" i="128"/>
  <c r="D49" i="128"/>
  <c r="D50" i="128"/>
  <c r="D51" i="128"/>
  <c r="D52" i="128"/>
  <c r="D53" i="128"/>
  <c r="D54" i="128"/>
  <c r="D55" i="128"/>
  <c r="D56" i="128"/>
  <c r="D57" i="128"/>
  <c r="D58" i="128"/>
  <c r="D59" i="128"/>
  <c r="D60" i="128"/>
  <c r="D61" i="128"/>
  <c r="D62" i="128"/>
  <c r="D63" i="128"/>
  <c r="D64" i="128"/>
  <c r="D65" i="128"/>
  <c r="D66" i="128"/>
  <c r="D67" i="128"/>
  <c r="D68" i="128"/>
  <c r="D69" i="128"/>
  <c r="D70" i="128"/>
  <c r="D71" i="128"/>
  <c r="D72" i="128"/>
  <c r="D73" i="128"/>
  <c r="D74" i="128"/>
  <c r="D75" i="128"/>
  <c r="D76" i="128"/>
  <c r="D77" i="128"/>
  <c r="D78" i="128"/>
  <c r="D79" i="128"/>
  <c r="D80" i="128"/>
  <c r="D81" i="128"/>
  <c r="D82" i="128"/>
  <c r="D83" i="128"/>
  <c r="D84" i="128"/>
  <c r="D85" i="128"/>
  <c r="D86" i="128"/>
  <c r="D87" i="128"/>
  <c r="D88" i="128"/>
  <c r="D89" i="128"/>
  <c r="D90" i="128"/>
  <c r="I708" i="170" l="1"/>
  <c r="C13" i="9"/>
  <c r="Y13" i="9" s="1"/>
  <c r="C14" i="9"/>
  <c r="Y14" i="9" s="1"/>
  <c r="C15" i="9"/>
  <c r="Y15" i="9" s="1"/>
  <c r="C16" i="9"/>
  <c r="Y16" i="9" s="1"/>
  <c r="C17" i="9"/>
  <c r="Y17" i="9" s="1"/>
  <c r="C18" i="9"/>
  <c r="Y18" i="9" s="1"/>
  <c r="C19" i="9"/>
  <c r="Y19" i="9" s="1"/>
  <c r="C20" i="9"/>
  <c r="Y20" i="9" s="1"/>
  <c r="C21" i="9"/>
  <c r="Y21" i="9" s="1"/>
  <c r="C22" i="9"/>
  <c r="Y22" i="9" s="1"/>
  <c r="C23" i="9"/>
  <c r="Y23" i="9" s="1"/>
  <c r="C24" i="9"/>
  <c r="Y24" i="9" s="1"/>
  <c r="C25" i="9"/>
  <c r="Y25" i="9" s="1"/>
  <c r="C26" i="9"/>
  <c r="Y26" i="9" s="1"/>
  <c r="C27" i="9"/>
  <c r="Y27" i="9" s="1"/>
  <c r="C28" i="9"/>
  <c r="Y28" i="9" s="1"/>
  <c r="C29" i="9"/>
  <c r="Y29" i="9" s="1"/>
  <c r="C30" i="9"/>
  <c r="Y30" i="9" s="1"/>
  <c r="C31" i="9"/>
  <c r="Y31" i="9" s="1"/>
  <c r="C32" i="9"/>
  <c r="Y32" i="9" s="1"/>
  <c r="C33" i="9"/>
  <c r="Y33" i="9" s="1"/>
  <c r="C34" i="9"/>
  <c r="Y34" i="9" s="1"/>
  <c r="C35" i="9"/>
  <c r="Y35" i="9" s="1"/>
  <c r="C36" i="9"/>
  <c r="Y36" i="9" s="1"/>
  <c r="C37" i="9"/>
  <c r="Y37" i="9" s="1"/>
  <c r="C38" i="9"/>
  <c r="Y38" i="9" s="1"/>
  <c r="C39" i="9"/>
  <c r="Y39" i="9" s="1"/>
  <c r="C40" i="9"/>
  <c r="Y40" i="9" s="1"/>
  <c r="C41" i="9"/>
  <c r="Y41" i="9" s="1"/>
  <c r="C42" i="9"/>
  <c r="Y42" i="9" s="1"/>
  <c r="C43" i="9"/>
  <c r="Y43" i="9" s="1"/>
  <c r="C44" i="9"/>
  <c r="Y44" i="9" s="1"/>
  <c r="C45" i="9"/>
  <c r="Y45" i="9" s="1"/>
  <c r="C46" i="9"/>
  <c r="Y46" i="9" s="1"/>
  <c r="C47" i="9"/>
  <c r="Y47" i="9" s="1"/>
  <c r="C48" i="9"/>
  <c r="Y48" i="9" s="1"/>
  <c r="C49" i="9"/>
  <c r="Y49" i="9" s="1"/>
  <c r="C50" i="9"/>
  <c r="Y50" i="9" s="1"/>
  <c r="C51" i="9"/>
  <c r="Y51" i="9" s="1"/>
  <c r="C52" i="9"/>
  <c r="Y52" i="9" s="1"/>
  <c r="C53" i="9"/>
  <c r="Y53" i="9" s="1"/>
  <c r="C54" i="9"/>
  <c r="Y54" i="9" s="1"/>
  <c r="C55" i="9"/>
  <c r="Y55" i="9" s="1"/>
  <c r="C56" i="9"/>
  <c r="Y56" i="9" s="1"/>
  <c r="C57" i="9"/>
  <c r="Y57" i="9" s="1"/>
  <c r="C58" i="9"/>
  <c r="Y58" i="9" s="1"/>
  <c r="C59" i="9"/>
  <c r="Y59" i="9" s="1"/>
  <c r="C60" i="9"/>
  <c r="Y60" i="9" s="1"/>
  <c r="C61" i="9"/>
  <c r="Y61" i="9" s="1"/>
  <c r="C62" i="9"/>
  <c r="Y62" i="9" s="1"/>
  <c r="C63" i="9"/>
  <c r="Y63" i="9" s="1"/>
  <c r="C64" i="9"/>
  <c r="Y64" i="9" s="1"/>
  <c r="C65" i="9"/>
  <c r="Y65" i="9" s="1"/>
  <c r="C66" i="9"/>
  <c r="Y66" i="9" s="1"/>
  <c r="C67" i="9"/>
  <c r="Y67" i="9" s="1"/>
  <c r="C68" i="9"/>
  <c r="Y68" i="9" s="1"/>
  <c r="C69" i="9"/>
  <c r="Y69" i="9" s="1"/>
  <c r="C70" i="9"/>
  <c r="Y70" i="9" s="1"/>
  <c r="C71" i="9"/>
  <c r="Y71" i="9" s="1"/>
  <c r="C72" i="9"/>
  <c r="Y72" i="9" s="1"/>
  <c r="C73" i="9"/>
  <c r="Y73" i="9" s="1"/>
  <c r="C74" i="9"/>
  <c r="Y74" i="9" s="1"/>
  <c r="C75" i="9"/>
  <c r="Y75" i="9" s="1"/>
  <c r="C76" i="9"/>
  <c r="Y76" i="9" s="1"/>
  <c r="C77" i="9"/>
  <c r="Y77" i="9" s="1"/>
  <c r="C78" i="9"/>
  <c r="Y78" i="9" s="1"/>
  <c r="C79" i="9"/>
  <c r="C80" i="9"/>
  <c r="Y80" i="9" s="1"/>
  <c r="C81" i="9"/>
  <c r="Y81" i="9" s="1"/>
  <c r="C82" i="9"/>
  <c r="Y82" i="9" s="1"/>
  <c r="C83" i="9"/>
  <c r="Y83" i="9" s="1"/>
  <c r="C84" i="9"/>
  <c r="Y84" i="9" s="1"/>
  <c r="Y79" i="9" l="1"/>
  <c r="C86" i="99"/>
  <c r="M86" i="99" s="1"/>
  <c r="N86" i="99" s="1"/>
  <c r="D86" i="151"/>
  <c r="C82" i="99"/>
  <c r="M82" i="99" s="1"/>
  <c r="N82" i="99" s="1"/>
  <c r="D82" i="151"/>
  <c r="C78" i="99"/>
  <c r="M78" i="99" s="1"/>
  <c r="N78" i="99" s="1"/>
  <c r="D78" i="151"/>
  <c r="C74" i="99"/>
  <c r="M74" i="99" s="1"/>
  <c r="N74" i="99" s="1"/>
  <c r="D74" i="151"/>
  <c r="C70" i="99"/>
  <c r="M70" i="99" s="1"/>
  <c r="N70" i="99" s="1"/>
  <c r="D70" i="151"/>
  <c r="D66" i="151"/>
  <c r="C66" i="99"/>
  <c r="M66" i="99" s="1"/>
  <c r="N66" i="99" s="1"/>
  <c r="D62" i="151"/>
  <c r="C62" i="99"/>
  <c r="M62" i="99" s="1"/>
  <c r="N62" i="99" s="1"/>
  <c r="D58" i="151"/>
  <c r="C58" i="99"/>
  <c r="M58" i="99" s="1"/>
  <c r="N58" i="99" s="1"/>
  <c r="D54" i="151"/>
  <c r="C54" i="99"/>
  <c r="M54" i="99" s="1"/>
  <c r="N54" i="99" s="1"/>
  <c r="D50" i="151"/>
  <c r="C50" i="99"/>
  <c r="M50" i="99" s="1"/>
  <c r="N50" i="99" s="1"/>
  <c r="D46" i="151"/>
  <c r="C46" i="99"/>
  <c r="M46" i="99" s="1"/>
  <c r="N46" i="99" s="1"/>
  <c r="D42" i="151"/>
  <c r="C42" i="99"/>
  <c r="M42" i="99" s="1"/>
  <c r="N42" i="99" s="1"/>
  <c r="D38" i="151"/>
  <c r="C38" i="99"/>
  <c r="M38" i="99" s="1"/>
  <c r="N38" i="99" s="1"/>
  <c r="C34" i="99"/>
  <c r="M34" i="99" s="1"/>
  <c r="N34" i="99" s="1"/>
  <c r="D34" i="151"/>
  <c r="C30" i="99"/>
  <c r="M30" i="99" s="1"/>
  <c r="N30" i="99" s="1"/>
  <c r="D30" i="151"/>
  <c r="C26" i="99"/>
  <c r="M26" i="99" s="1"/>
  <c r="N26" i="99" s="1"/>
  <c r="D26" i="151"/>
  <c r="C22" i="99"/>
  <c r="M22" i="99" s="1"/>
  <c r="N22" i="99" s="1"/>
  <c r="D22" i="151"/>
  <c r="C18" i="99"/>
  <c r="M18" i="99" s="1"/>
  <c r="N18" i="99" s="1"/>
  <c r="D18" i="151"/>
  <c r="D87" i="151"/>
  <c r="C87" i="99"/>
  <c r="M87" i="99" s="1"/>
  <c r="N87" i="99" s="1"/>
  <c r="D83" i="151"/>
  <c r="C83" i="99"/>
  <c r="M83" i="99" s="1"/>
  <c r="N83" i="99" s="1"/>
  <c r="D79" i="151"/>
  <c r="C79" i="99"/>
  <c r="M79" i="99" s="1"/>
  <c r="N79" i="99" s="1"/>
  <c r="D75" i="151"/>
  <c r="C75" i="99"/>
  <c r="M75" i="99" s="1"/>
  <c r="N75" i="99" s="1"/>
  <c r="D71" i="151"/>
  <c r="C71" i="99"/>
  <c r="M71" i="99" s="1"/>
  <c r="N71" i="99" s="1"/>
  <c r="D67" i="151"/>
  <c r="C67" i="99"/>
  <c r="M67" i="99" s="1"/>
  <c r="N67" i="99" s="1"/>
  <c r="D63" i="151"/>
  <c r="C63" i="99"/>
  <c r="M63" i="99" s="1"/>
  <c r="N63" i="99" s="1"/>
  <c r="D59" i="151"/>
  <c r="C59" i="99"/>
  <c r="M59" i="99" s="1"/>
  <c r="N59" i="99" s="1"/>
  <c r="D55" i="151"/>
  <c r="C55" i="99"/>
  <c r="M55" i="99" s="1"/>
  <c r="N55" i="99" s="1"/>
  <c r="D51" i="151"/>
  <c r="C51" i="99"/>
  <c r="M51" i="99" s="1"/>
  <c r="N51" i="99" s="1"/>
  <c r="D47" i="151"/>
  <c r="C47" i="99"/>
  <c r="M47" i="99" s="1"/>
  <c r="N47" i="99" s="1"/>
  <c r="D43" i="151"/>
  <c r="C43" i="99"/>
  <c r="M43" i="99" s="1"/>
  <c r="N43" i="99" s="1"/>
  <c r="D35" i="151"/>
  <c r="C35" i="99"/>
  <c r="M35" i="99" s="1"/>
  <c r="N35" i="99" s="1"/>
  <c r="D31" i="151"/>
  <c r="C31" i="99"/>
  <c r="M31" i="99" s="1"/>
  <c r="N31" i="99" s="1"/>
  <c r="D27" i="151"/>
  <c r="C27" i="99"/>
  <c r="M27" i="99" s="1"/>
  <c r="N27" i="99" s="1"/>
  <c r="D23" i="151"/>
  <c r="C23" i="99"/>
  <c r="M23" i="99" s="1"/>
  <c r="N23" i="99" s="1"/>
  <c r="D19" i="151"/>
  <c r="C19" i="99"/>
  <c r="M19" i="99" s="1"/>
  <c r="N19" i="99" s="1"/>
  <c r="D88" i="151"/>
  <c r="C88" i="99"/>
  <c r="M88" i="99" s="1"/>
  <c r="N88" i="99" s="1"/>
  <c r="D84" i="151"/>
  <c r="C84" i="99"/>
  <c r="M84" i="99" s="1"/>
  <c r="N84" i="99" s="1"/>
  <c r="D80" i="151"/>
  <c r="C80" i="99"/>
  <c r="M80" i="99" s="1"/>
  <c r="N80" i="99" s="1"/>
  <c r="D76" i="151"/>
  <c r="C76" i="99"/>
  <c r="M76" i="99" s="1"/>
  <c r="N76" i="99" s="1"/>
  <c r="D72" i="151"/>
  <c r="C72" i="99"/>
  <c r="M72" i="99" s="1"/>
  <c r="N72" i="99" s="1"/>
  <c r="D68" i="151"/>
  <c r="C68" i="99"/>
  <c r="M68" i="99" s="1"/>
  <c r="N68" i="99" s="1"/>
  <c r="D64" i="151"/>
  <c r="C64" i="99"/>
  <c r="M64" i="99" s="1"/>
  <c r="N64" i="99" s="1"/>
  <c r="D60" i="151"/>
  <c r="C60" i="99"/>
  <c r="M60" i="99" s="1"/>
  <c r="N60" i="99" s="1"/>
  <c r="D56" i="151"/>
  <c r="C56" i="99"/>
  <c r="M56" i="99" s="1"/>
  <c r="N56" i="99" s="1"/>
  <c r="D52" i="151"/>
  <c r="C52" i="99"/>
  <c r="M52" i="99" s="1"/>
  <c r="N52" i="99" s="1"/>
  <c r="C48" i="99"/>
  <c r="M48" i="99" s="1"/>
  <c r="N48" i="99" s="1"/>
  <c r="D48" i="151"/>
  <c r="C44" i="99"/>
  <c r="M44" i="99" s="1"/>
  <c r="N44" i="99" s="1"/>
  <c r="D44" i="151"/>
  <c r="C40" i="99"/>
  <c r="M40" i="99" s="1"/>
  <c r="N40" i="99" s="1"/>
  <c r="D40" i="151"/>
  <c r="D36" i="151"/>
  <c r="C36" i="99"/>
  <c r="M36" i="99" s="1"/>
  <c r="N36" i="99" s="1"/>
  <c r="D32" i="151"/>
  <c r="C32" i="99"/>
  <c r="M32" i="99" s="1"/>
  <c r="N32" i="99" s="1"/>
  <c r="D28" i="151"/>
  <c r="C28" i="99"/>
  <c r="M28" i="99" s="1"/>
  <c r="N28" i="99" s="1"/>
  <c r="D24" i="151"/>
  <c r="C24" i="99"/>
  <c r="M24" i="99" s="1"/>
  <c r="N24" i="99" s="1"/>
  <c r="D20" i="151"/>
  <c r="C20" i="99"/>
  <c r="M20" i="99" s="1"/>
  <c r="N20" i="99" s="1"/>
  <c r="D89" i="151"/>
  <c r="C89" i="99"/>
  <c r="M89" i="99" s="1"/>
  <c r="N89" i="99" s="1"/>
  <c r="D85" i="151"/>
  <c r="C85" i="99"/>
  <c r="M85" i="99" s="1"/>
  <c r="N85" i="99" s="1"/>
  <c r="D81" i="151"/>
  <c r="C81" i="99"/>
  <c r="M81" i="99" s="1"/>
  <c r="N81" i="99" s="1"/>
  <c r="D77" i="151"/>
  <c r="C77" i="99"/>
  <c r="M77" i="99" s="1"/>
  <c r="N77" i="99" s="1"/>
  <c r="D73" i="151"/>
  <c r="C73" i="99"/>
  <c r="M73" i="99" s="1"/>
  <c r="N73" i="99" s="1"/>
  <c r="C65" i="99"/>
  <c r="M65" i="99" s="1"/>
  <c r="N65" i="99" s="1"/>
  <c r="D65" i="151"/>
  <c r="C61" i="99"/>
  <c r="M61" i="99" s="1"/>
  <c r="N61" i="99" s="1"/>
  <c r="D61" i="151"/>
  <c r="C57" i="99"/>
  <c r="M57" i="99" s="1"/>
  <c r="N57" i="99" s="1"/>
  <c r="D57" i="151"/>
  <c r="C53" i="99"/>
  <c r="M53" i="99" s="1"/>
  <c r="N53" i="99" s="1"/>
  <c r="D53" i="151"/>
  <c r="D45" i="151"/>
  <c r="C45" i="99"/>
  <c r="M45" i="99" s="1"/>
  <c r="N45" i="99" s="1"/>
  <c r="D41" i="151"/>
  <c r="C41" i="99"/>
  <c r="M41" i="99" s="1"/>
  <c r="N41" i="99" s="1"/>
  <c r="D33" i="151"/>
  <c r="C33" i="99"/>
  <c r="M33" i="99" s="1"/>
  <c r="N33" i="99" s="1"/>
  <c r="D29" i="151"/>
  <c r="C29" i="99"/>
  <c r="M29" i="99" s="1"/>
  <c r="N29" i="99" s="1"/>
  <c r="D25" i="151"/>
  <c r="C25" i="99"/>
  <c r="M25" i="99" s="1"/>
  <c r="N25" i="99" s="1"/>
  <c r="D21" i="151"/>
  <c r="C21" i="99"/>
  <c r="M21" i="99" s="1"/>
  <c r="N21" i="99" s="1"/>
  <c r="C69" i="99"/>
  <c r="M69" i="99" s="1"/>
  <c r="N69" i="99" s="1"/>
  <c r="D69" i="151"/>
  <c r="C49" i="99"/>
  <c r="M49" i="99" s="1"/>
  <c r="N49" i="99" s="1"/>
  <c r="D49" i="151"/>
  <c r="C39" i="99"/>
  <c r="M39" i="99" s="1"/>
  <c r="N39" i="99" s="1"/>
  <c r="D39" i="151"/>
  <c r="D37" i="151"/>
  <c r="C37" i="99"/>
  <c r="M37" i="99" s="1"/>
  <c r="N37" i="99" s="1"/>
  <c r="O197" i="151"/>
  <c r="D87" i="132" l="1"/>
  <c r="G89" i="151"/>
  <c r="AJ13" i="138"/>
  <c r="D22" i="181" s="1"/>
  <c r="AJ14" i="138"/>
  <c r="D23" i="181" s="1"/>
  <c r="F23" i="181" s="1"/>
  <c r="D21" i="181" l="1"/>
  <c r="F22" i="181"/>
  <c r="F21" i="181" s="1"/>
  <c r="X81" i="101"/>
  <c r="X83" i="101" s="1"/>
  <c r="O199" i="151"/>
  <c r="AF18" i="169"/>
  <c r="AE18" i="169"/>
  <c r="AF16" i="169"/>
  <c r="AE16" i="169"/>
  <c r="AH17" i="169"/>
  <c r="AH16" i="169" s="1"/>
  <c r="D19" i="79" l="1"/>
  <c r="F24" i="181"/>
  <c r="K24" i="181" s="1"/>
  <c r="E15" i="138"/>
  <c r="F15" i="138"/>
  <c r="G15" i="138"/>
  <c r="H15" i="138"/>
  <c r="I15" i="138"/>
  <c r="J15" i="138"/>
  <c r="K15" i="138"/>
  <c r="L15" i="138"/>
  <c r="M15" i="138"/>
  <c r="N15" i="138"/>
  <c r="O15" i="138"/>
  <c r="P15" i="138"/>
  <c r="Q15" i="138"/>
  <c r="R15" i="138"/>
  <c r="S15" i="138"/>
  <c r="T15" i="138"/>
  <c r="U15" i="138"/>
  <c r="V15" i="138"/>
  <c r="W15" i="138"/>
  <c r="X15" i="138"/>
  <c r="Y15" i="138"/>
  <c r="Z15" i="138"/>
  <c r="AA15" i="138"/>
  <c r="AB15" i="138"/>
  <c r="AC15" i="138"/>
  <c r="AD15" i="138"/>
  <c r="AE15" i="138"/>
  <c r="AF15" i="138"/>
  <c r="U10" i="153" l="1"/>
  <c r="R65" i="59" l="1"/>
  <c r="Q3" i="59"/>
  <c r="Q17" i="59"/>
  <c r="G13" i="59"/>
  <c r="E1303" i="170" l="1"/>
  <c r="J174" i="132"/>
  <c r="L174" i="132"/>
  <c r="I9" i="9"/>
  <c r="L9" i="9"/>
  <c r="M9" i="9"/>
  <c r="N9" i="9"/>
  <c r="P9" i="9"/>
  <c r="AB9" i="9"/>
  <c r="O9" i="9" l="1"/>
  <c r="K9" i="9"/>
  <c r="G9" i="9"/>
  <c r="E9" i="9"/>
  <c r="E162" i="9" s="1"/>
  <c r="H9" i="9"/>
  <c r="J9" i="9"/>
  <c r="F9" i="9"/>
  <c r="O198" i="151"/>
  <c r="AB167" i="151" l="1"/>
  <c r="AG15" i="138"/>
  <c r="AH15" i="138"/>
  <c r="AI15" i="138"/>
  <c r="AJ15" i="138" l="1"/>
  <c r="C79" i="101" l="1"/>
  <c r="G79" i="101" s="1"/>
  <c r="W81" i="101"/>
  <c r="W83" i="101" s="1"/>
  <c r="J163" i="151" l="1"/>
  <c r="J100" i="151" s="1"/>
  <c r="AD18" i="169"/>
  <c r="AC18" i="169"/>
  <c r="AB18" i="169"/>
  <c r="AA18" i="169"/>
  <c r="Z18" i="169"/>
  <c r="Y18" i="169"/>
  <c r="X18" i="169"/>
  <c r="W18" i="169"/>
  <c r="V18" i="169"/>
  <c r="U18" i="169"/>
  <c r="T18" i="169"/>
  <c r="S18" i="169"/>
  <c r="R18" i="169"/>
  <c r="Q18" i="169"/>
  <c r="P18" i="169"/>
  <c r="O18" i="169"/>
  <c r="N18" i="169"/>
  <c r="M18" i="169"/>
  <c r="L18" i="169"/>
  <c r="K18" i="169"/>
  <c r="J18" i="169"/>
  <c r="I18" i="169"/>
  <c r="H18" i="169"/>
  <c r="G18" i="169"/>
  <c r="F18" i="169"/>
  <c r="E18" i="169"/>
  <c r="D18" i="169"/>
  <c r="C18" i="169"/>
  <c r="AJ17" i="169"/>
  <c r="AK16" i="169"/>
  <c r="AK20" i="169" s="1"/>
  <c r="AD16" i="169"/>
  <c r="AC16" i="169"/>
  <c r="AB16" i="169"/>
  <c r="AA16" i="169"/>
  <c r="Z16" i="169"/>
  <c r="Y16" i="169"/>
  <c r="X16" i="169"/>
  <c r="W16" i="169"/>
  <c r="V16" i="169"/>
  <c r="U16" i="169"/>
  <c r="T16" i="169"/>
  <c r="S16" i="169"/>
  <c r="R16" i="169"/>
  <c r="Q16" i="169"/>
  <c r="P16" i="169"/>
  <c r="O16" i="169"/>
  <c r="N16" i="169"/>
  <c r="M16" i="169"/>
  <c r="L16" i="169"/>
  <c r="K16" i="169"/>
  <c r="J16" i="169"/>
  <c r="I16" i="169"/>
  <c r="H16" i="169"/>
  <c r="G16" i="169"/>
  <c r="F16" i="169"/>
  <c r="E16" i="169"/>
  <c r="D16" i="169"/>
  <c r="C16" i="169"/>
  <c r="AK94" i="8" l="1"/>
  <c r="AH18" i="169"/>
  <c r="AH20" i="169" s="1"/>
  <c r="AJ16" i="169"/>
  <c r="S9" i="9" l="1"/>
  <c r="AJ18" i="169"/>
  <c r="AJ20" i="169" s="1"/>
  <c r="J96" i="151"/>
  <c r="J15" i="151" s="1"/>
  <c r="J167" i="151" l="1"/>
  <c r="D164" i="151"/>
  <c r="D165" i="151"/>
  <c r="D163" i="151"/>
  <c r="C80" i="101"/>
  <c r="C81" i="101"/>
  <c r="B1290" i="170" l="1"/>
  <c r="W165" i="151"/>
  <c r="Z165" i="151" s="1"/>
  <c r="E20" i="154"/>
  <c r="D161" i="132"/>
  <c r="D162" i="132"/>
  <c r="D163" i="132"/>
  <c r="O200" i="151"/>
  <c r="AC158" i="9" l="1"/>
  <c r="F163" i="151"/>
  <c r="G163" i="151" s="1"/>
  <c r="Q59" i="59"/>
  <c r="Q45" i="59"/>
  <c r="Q31" i="59"/>
  <c r="Q73" i="59"/>
  <c r="R79" i="59"/>
  <c r="R23" i="59"/>
  <c r="E759" i="170"/>
  <c r="Q82" i="59" l="1"/>
  <c r="K1303" i="170" l="1"/>
  <c r="L651" i="170"/>
  <c r="M600" i="170"/>
  <c r="M583" i="170"/>
  <c r="L532" i="170"/>
  <c r="M499" i="170"/>
  <c r="M481" i="170"/>
  <c r="M430" i="170"/>
  <c r="M413" i="170"/>
  <c r="M137" i="170"/>
  <c r="M120" i="170"/>
  <c r="M86" i="170"/>
  <c r="M52" i="170"/>
  <c r="E18" i="170"/>
  <c r="G4" i="170"/>
  <c r="G21" i="170" s="1"/>
  <c r="A38" i="170" s="1"/>
  <c r="B2" i="170"/>
  <c r="B1273" i="170"/>
  <c r="H1273" i="170"/>
  <c r="AC90" i="9"/>
  <c r="U92" i="9"/>
  <c r="U93" i="9"/>
  <c r="AC91" i="9"/>
  <c r="AK160" i="128"/>
  <c r="AK158" i="128"/>
  <c r="AK157" i="128"/>
  <c r="AK156" i="128"/>
  <c r="AK155" i="128"/>
  <c r="AK154" i="128"/>
  <c r="AK153" i="128"/>
  <c r="AK152" i="128"/>
  <c r="AK151" i="128"/>
  <c r="AK150" i="128"/>
  <c r="AK149" i="128"/>
  <c r="AK148" i="128"/>
  <c r="AK147" i="128"/>
  <c r="AK146" i="128"/>
  <c r="AK145" i="128"/>
  <c r="AK144" i="128"/>
  <c r="AK143" i="128"/>
  <c r="AK142" i="128"/>
  <c r="AK141" i="128"/>
  <c r="AK140" i="128"/>
  <c r="AK139" i="128"/>
  <c r="AK138" i="128"/>
  <c r="AK137" i="128"/>
  <c r="AK136" i="128"/>
  <c r="AK135" i="128"/>
  <c r="AK134" i="128"/>
  <c r="AK133" i="128"/>
  <c r="AK132" i="128"/>
  <c r="AK131" i="128"/>
  <c r="AK130" i="128"/>
  <c r="AK129" i="128"/>
  <c r="AK128" i="128"/>
  <c r="AK127" i="128"/>
  <c r="AK126" i="128"/>
  <c r="AK125" i="128"/>
  <c r="AK124" i="128"/>
  <c r="AK123" i="128"/>
  <c r="AK122" i="128"/>
  <c r="AK121" i="128"/>
  <c r="AK120" i="128"/>
  <c r="AK119" i="128"/>
  <c r="AK118" i="128"/>
  <c r="AK117" i="128"/>
  <c r="AK116" i="128"/>
  <c r="AK115" i="128"/>
  <c r="AK114" i="128"/>
  <c r="AK113" i="128"/>
  <c r="AK112" i="128"/>
  <c r="AK111" i="128"/>
  <c r="AK110" i="128"/>
  <c r="AK109" i="128"/>
  <c r="AK108" i="128"/>
  <c r="AK107" i="128"/>
  <c r="AK106" i="128"/>
  <c r="AK105" i="128"/>
  <c r="AK104" i="128"/>
  <c r="AK103" i="128"/>
  <c r="AK102" i="128"/>
  <c r="AK101" i="128"/>
  <c r="AK100" i="128"/>
  <c r="AK99" i="128"/>
  <c r="AK96" i="128"/>
  <c r="AK95" i="128"/>
  <c r="R14" i="9"/>
  <c r="V90" i="9"/>
  <c r="W90" i="9"/>
  <c r="Z90" i="9"/>
  <c r="AA90" i="9"/>
  <c r="AK98" i="128" l="1"/>
  <c r="D1280" i="170"/>
  <c r="J1259" i="170"/>
  <c r="D1260" i="170"/>
  <c r="J1245" i="170"/>
  <c r="D1246" i="170"/>
  <c r="J1225" i="170"/>
  <c r="D1226" i="170"/>
  <c r="J1211" i="170"/>
  <c r="D1212" i="170"/>
  <c r="J1191" i="170"/>
  <c r="D1192" i="170"/>
  <c r="J1177" i="170"/>
  <c r="D1178" i="170"/>
  <c r="J1157" i="170"/>
  <c r="D1158" i="170"/>
  <c r="J1143" i="170"/>
  <c r="D1144" i="170"/>
  <c r="J1123" i="170"/>
  <c r="D1124" i="170"/>
  <c r="J1109" i="170"/>
  <c r="D1110" i="170"/>
  <c r="J1089" i="170"/>
  <c r="D1090" i="170"/>
  <c r="J1075" i="170"/>
  <c r="D1076" i="170"/>
  <c r="J1055" i="170"/>
  <c r="D1056" i="170"/>
  <c r="J1041" i="170"/>
  <c r="D1042" i="170"/>
  <c r="J1021" i="170"/>
  <c r="D1022" i="170"/>
  <c r="J1007" i="170"/>
  <c r="D1008" i="170"/>
  <c r="J987" i="170"/>
  <c r="D988" i="170"/>
  <c r="J973" i="170"/>
  <c r="D974" i="170"/>
  <c r="J953" i="170"/>
  <c r="D954" i="170"/>
  <c r="J939" i="170"/>
  <c r="D940" i="170"/>
  <c r="J919" i="170"/>
  <c r="D920" i="170"/>
  <c r="J905" i="170"/>
  <c r="D906" i="170"/>
  <c r="J885" i="170"/>
  <c r="D886" i="170"/>
  <c r="J871" i="170"/>
  <c r="D872" i="170"/>
  <c r="J851" i="170"/>
  <c r="D852" i="170"/>
  <c r="J837" i="170"/>
  <c r="D838" i="170"/>
  <c r="J817" i="170"/>
  <c r="D818" i="170"/>
  <c r="J803" i="170"/>
  <c r="D804" i="170"/>
  <c r="J783" i="170"/>
  <c r="D784" i="170"/>
  <c r="J769" i="170"/>
  <c r="D770" i="170"/>
  <c r="J749" i="170"/>
  <c r="J1262" i="170"/>
  <c r="D1263" i="170"/>
  <c r="J1242" i="170"/>
  <c r="D1243" i="170"/>
  <c r="J1228" i="170"/>
  <c r="D1229" i="170"/>
  <c r="J1208" i="170"/>
  <c r="D1209" i="170"/>
  <c r="J1194" i="170"/>
  <c r="J1174" i="170"/>
  <c r="D1175" i="170"/>
  <c r="D1161" i="170"/>
  <c r="J1140" i="170"/>
  <c r="J1126" i="170"/>
  <c r="D1127" i="170"/>
  <c r="D1107" i="170"/>
  <c r="D1093" i="170"/>
  <c r="J1072" i="170"/>
  <c r="D1059" i="170"/>
  <c r="J1024" i="170"/>
  <c r="D1005" i="170"/>
  <c r="D991" i="170"/>
  <c r="D971" i="170"/>
  <c r="D1279" i="170"/>
  <c r="J1263" i="170"/>
  <c r="D1259" i="170"/>
  <c r="J1243" i="170"/>
  <c r="D1245" i="170"/>
  <c r="J1229" i="170"/>
  <c r="D1225" i="170"/>
  <c r="J1209" i="170"/>
  <c r="D1211" i="170"/>
  <c r="J1195" i="170"/>
  <c r="D1191" i="170"/>
  <c r="J1175" i="170"/>
  <c r="D1177" i="170"/>
  <c r="J1161" i="170"/>
  <c r="D1157" i="170"/>
  <c r="J1141" i="170"/>
  <c r="D1143" i="170"/>
  <c r="J1127" i="170"/>
  <c r="D1123" i="170"/>
  <c r="J1107" i="170"/>
  <c r="D1109" i="170"/>
  <c r="J1093" i="170"/>
  <c r="D1089" i="170"/>
  <c r="J1073" i="170"/>
  <c r="D1075" i="170"/>
  <c r="J1059" i="170"/>
  <c r="D1055" i="170"/>
  <c r="J1039" i="170"/>
  <c r="D1041" i="170"/>
  <c r="J1025" i="170"/>
  <c r="D1021" i="170"/>
  <c r="J1005" i="170"/>
  <c r="D1007" i="170"/>
  <c r="J991" i="170"/>
  <c r="D987" i="170"/>
  <c r="J971" i="170"/>
  <c r="D973" i="170"/>
  <c r="J957" i="170"/>
  <c r="D953" i="170"/>
  <c r="J937" i="170"/>
  <c r="D939" i="170"/>
  <c r="J923" i="170"/>
  <c r="D919" i="170"/>
  <c r="J903" i="170"/>
  <c r="D905" i="170"/>
  <c r="J889" i="170"/>
  <c r="D885" i="170"/>
  <c r="J869" i="170"/>
  <c r="D871" i="170"/>
  <c r="J855" i="170"/>
  <c r="D851" i="170"/>
  <c r="J835" i="170"/>
  <c r="D837" i="170"/>
  <c r="J821" i="170"/>
  <c r="D817" i="170"/>
  <c r="J801" i="170"/>
  <c r="D803" i="170"/>
  <c r="J787" i="170"/>
  <c r="D783" i="170"/>
  <c r="J767" i="170"/>
  <c r="D769" i="170"/>
  <c r="J753" i="170"/>
  <c r="D752" i="170"/>
  <c r="D1277" i="170"/>
  <c r="D1195" i="170"/>
  <c r="J1160" i="170"/>
  <c r="D1141" i="170"/>
  <c r="J1106" i="170"/>
  <c r="J1092" i="170"/>
  <c r="D1073" i="170"/>
  <c r="J1058" i="170"/>
  <c r="J1038" i="170"/>
  <c r="D1039" i="170"/>
  <c r="D1025" i="170"/>
  <c r="J1004" i="170"/>
  <c r="J990" i="170"/>
  <c r="J970" i="170"/>
  <c r="J956" i="170"/>
  <c r="J936" i="170"/>
  <c r="D937" i="170"/>
  <c r="J922" i="170"/>
  <c r="D923" i="170"/>
  <c r="J902" i="170"/>
  <c r="D903" i="170"/>
  <c r="J888" i="170"/>
  <c r="J868" i="170"/>
  <c r="D869" i="170"/>
  <c r="J854" i="170"/>
  <c r="D855" i="170"/>
  <c r="J834" i="170"/>
  <c r="D835" i="170"/>
  <c r="J820" i="170"/>
  <c r="D821" i="170"/>
  <c r="J800" i="170"/>
  <c r="D801" i="170"/>
  <c r="J786" i="170"/>
  <c r="D787" i="170"/>
  <c r="J766" i="170"/>
  <c r="D767" i="170"/>
  <c r="J752" i="170"/>
  <c r="D1276" i="170"/>
  <c r="J1260" i="170"/>
  <c r="D1262" i="170"/>
  <c r="J1246" i="170"/>
  <c r="D1242" i="170"/>
  <c r="J1226" i="170"/>
  <c r="D1228" i="170"/>
  <c r="J1212" i="170"/>
  <c r="D1208" i="170"/>
  <c r="J1192" i="170"/>
  <c r="D1194" i="170"/>
  <c r="J1178" i="170"/>
  <c r="D1174" i="170"/>
  <c r="J1158" i="170"/>
  <c r="D1160" i="170"/>
  <c r="J1144" i="170"/>
  <c r="D1140" i="170"/>
  <c r="J1124" i="170"/>
  <c r="D1126" i="170"/>
  <c r="J1110" i="170"/>
  <c r="D1106" i="170"/>
  <c r="J1090" i="170"/>
  <c r="D1092" i="170"/>
  <c r="J1076" i="170"/>
  <c r="D1072" i="170"/>
  <c r="J1056" i="170"/>
  <c r="D1058" i="170"/>
  <c r="J1042" i="170"/>
  <c r="D1038" i="170"/>
  <c r="J1022" i="170"/>
  <c r="D1024" i="170"/>
  <c r="J1008" i="170"/>
  <c r="D1004" i="170"/>
  <c r="J988" i="170"/>
  <c r="D990" i="170"/>
  <c r="J974" i="170"/>
  <c r="D970" i="170"/>
  <c r="J954" i="170"/>
  <c r="D956" i="170"/>
  <c r="J940" i="170"/>
  <c r="D936" i="170"/>
  <c r="J920" i="170"/>
  <c r="D922" i="170"/>
  <c r="J906" i="170"/>
  <c r="D902" i="170"/>
  <c r="J886" i="170"/>
  <c r="D888" i="170"/>
  <c r="J872" i="170"/>
  <c r="D868" i="170"/>
  <c r="J852" i="170"/>
  <c r="D854" i="170"/>
  <c r="J838" i="170"/>
  <c r="D834" i="170"/>
  <c r="J818" i="170"/>
  <c r="D820" i="170"/>
  <c r="J804" i="170"/>
  <c r="D800" i="170"/>
  <c r="J784" i="170"/>
  <c r="D786" i="170"/>
  <c r="J770" i="170"/>
  <c r="D766" i="170"/>
  <c r="J750" i="170"/>
  <c r="D957" i="170"/>
  <c r="D889" i="170"/>
  <c r="AK16" i="128"/>
  <c r="J693" i="170"/>
  <c r="D693" i="170"/>
  <c r="J680" i="170"/>
  <c r="J677" i="170"/>
  <c r="J659" i="170"/>
  <c r="D663" i="170"/>
  <c r="D660" i="170"/>
  <c r="D643" i="170"/>
  <c r="J628" i="170"/>
  <c r="J624" i="170"/>
  <c r="D607" i="170"/>
  <c r="J594" i="170"/>
  <c r="J591" i="170"/>
  <c r="D590" i="170"/>
  <c r="J577" i="170"/>
  <c r="J557" i="170"/>
  <c r="D556" i="170"/>
  <c r="J543" i="170"/>
  <c r="J540" i="170"/>
  <c r="J524" i="170"/>
  <c r="D712" i="170"/>
  <c r="J697" i="170"/>
  <c r="D697" i="170"/>
  <c r="D676" i="170"/>
  <c r="J663" i="170"/>
  <c r="J642" i="170"/>
  <c r="D624" i="170"/>
  <c r="J607" i="170"/>
  <c r="D611" i="170"/>
  <c r="D591" i="170"/>
  <c r="J573" i="170"/>
  <c r="D577" i="170"/>
  <c r="D574" i="170"/>
  <c r="D557" i="170"/>
  <c r="D540" i="170"/>
  <c r="D523" i="170"/>
  <c r="J510" i="170"/>
  <c r="J694" i="170"/>
  <c r="D694" i="170"/>
  <c r="J676" i="170"/>
  <c r="D680" i="170"/>
  <c r="J660" i="170"/>
  <c r="D659" i="170"/>
  <c r="J646" i="170"/>
  <c r="D646" i="170"/>
  <c r="J625" i="170"/>
  <c r="D628" i="170"/>
  <c r="J643" i="170"/>
  <c r="D625" i="170"/>
  <c r="J608" i="170"/>
  <c r="J611" i="170"/>
  <c r="J590" i="170"/>
  <c r="D677" i="170"/>
  <c r="D642" i="170"/>
  <c r="D594" i="170"/>
  <c r="J574" i="170"/>
  <c r="D493" i="170"/>
  <c r="D490" i="170"/>
  <c r="J471" i="170"/>
  <c r="J438" i="170"/>
  <c r="D438" i="170"/>
  <c r="J421" i="170"/>
  <c r="J403" i="170"/>
  <c r="D407" i="170"/>
  <c r="J386" i="170"/>
  <c r="J560" i="170"/>
  <c r="D507" i="170"/>
  <c r="J472" i="170"/>
  <c r="D471" i="170"/>
  <c r="D454" i="170"/>
  <c r="J441" i="170"/>
  <c r="D608" i="170"/>
  <c r="D573" i="170"/>
  <c r="J527" i="170"/>
  <c r="D524" i="170"/>
  <c r="J507" i="170"/>
  <c r="D510" i="170"/>
  <c r="J493" i="170"/>
  <c r="J490" i="170"/>
  <c r="J475" i="170"/>
  <c r="D475" i="170"/>
  <c r="D457" i="170"/>
  <c r="J437" i="170"/>
  <c r="J420" i="170"/>
  <c r="D389" i="170"/>
  <c r="D386" i="170"/>
  <c r="D368" i="170"/>
  <c r="J355" i="170"/>
  <c r="D352" i="170"/>
  <c r="J333" i="170"/>
  <c r="D333" i="170"/>
  <c r="J319" i="170"/>
  <c r="D316" i="170"/>
  <c r="D298" i="170"/>
  <c r="J285" i="170"/>
  <c r="D281" i="170"/>
  <c r="J268" i="170"/>
  <c r="J265" i="170"/>
  <c r="J247" i="170"/>
  <c r="D251" i="170"/>
  <c r="J231" i="170"/>
  <c r="D230" i="170"/>
  <c r="J212" i="170"/>
  <c r="D216" i="170"/>
  <c r="D212" i="170"/>
  <c r="J199" i="170"/>
  <c r="J196" i="170"/>
  <c r="J178" i="170"/>
  <c r="D182" i="170"/>
  <c r="J162" i="170"/>
  <c r="D161" i="170"/>
  <c r="J148" i="170"/>
  <c r="J127" i="170"/>
  <c r="D131" i="170"/>
  <c r="D128" i="170"/>
  <c r="J110" i="170"/>
  <c r="D114" i="170"/>
  <c r="D527" i="170"/>
  <c r="D489" i="170"/>
  <c r="D472" i="170"/>
  <c r="J457" i="170"/>
  <c r="D453" i="170"/>
  <c r="J372" i="170"/>
  <c r="J369" i="170"/>
  <c r="D351" i="170"/>
  <c r="J302" i="170"/>
  <c r="J299" i="170"/>
  <c r="J282" i="170"/>
  <c r="D285" i="170"/>
  <c r="D282" i="170"/>
  <c r="D264" i="170"/>
  <c r="D247" i="170"/>
  <c r="D231" i="170"/>
  <c r="J216" i="170"/>
  <c r="J213" i="170"/>
  <c r="D213" i="170"/>
  <c r="D199" i="170"/>
  <c r="D196" i="170"/>
  <c r="J161" i="170"/>
  <c r="D145" i="170"/>
  <c r="D127" i="170"/>
  <c r="D110" i="170"/>
  <c r="D94" i="170"/>
  <c r="D76" i="170"/>
  <c r="J63" i="170"/>
  <c r="D59" i="170"/>
  <c r="J46" i="170"/>
  <c r="D42" i="170"/>
  <c r="J29" i="170"/>
  <c r="J8" i="170"/>
  <c r="J453" i="170"/>
  <c r="J424" i="170"/>
  <c r="D420" i="170"/>
  <c r="D560" i="170"/>
  <c r="D543" i="170"/>
  <c r="J523" i="170"/>
  <c r="D403" i="170"/>
  <c r="J389" i="170"/>
  <c r="J385" i="170"/>
  <c r="J368" i="170"/>
  <c r="J351" i="170"/>
  <c r="J334" i="170"/>
  <c r="D337" i="170"/>
  <c r="D334" i="170"/>
  <c r="J316" i="170"/>
  <c r="D319" i="170"/>
  <c r="J298" i="170"/>
  <c r="J264" i="170"/>
  <c r="D234" i="170"/>
  <c r="D195" i="170"/>
  <c r="D178" i="170"/>
  <c r="D162" i="170"/>
  <c r="J145" i="170"/>
  <c r="D148" i="170"/>
  <c r="D144" i="170"/>
  <c r="J111" i="170"/>
  <c r="J93" i="170"/>
  <c r="J76" i="170"/>
  <c r="D80" i="170"/>
  <c r="J59" i="170"/>
  <c r="D63" i="170"/>
  <c r="J42" i="170"/>
  <c r="D46" i="170"/>
  <c r="J25" i="170"/>
  <c r="D29" i="170"/>
  <c r="D26" i="170"/>
  <c r="J9" i="170"/>
  <c r="D441" i="170"/>
  <c r="J407" i="170"/>
  <c r="D372" i="170"/>
  <c r="J556" i="170"/>
  <c r="J539" i="170"/>
  <c r="D539" i="170"/>
  <c r="J506" i="170"/>
  <c r="D506" i="170"/>
  <c r="J489" i="170"/>
  <c r="J454" i="170"/>
  <c r="D437" i="170"/>
  <c r="D421" i="170"/>
  <c r="J404" i="170"/>
  <c r="D385" i="170"/>
  <c r="J337" i="170"/>
  <c r="D315" i="170"/>
  <c r="J281" i="170"/>
  <c r="J251" i="170"/>
  <c r="J248" i="170"/>
  <c r="D248" i="170"/>
  <c r="J234" i="170"/>
  <c r="J195" i="170"/>
  <c r="D165" i="170"/>
  <c r="J114" i="170"/>
  <c r="D111" i="170"/>
  <c r="J97" i="170"/>
  <c r="D93" i="170"/>
  <c r="J80" i="170"/>
  <c r="D77" i="170"/>
  <c r="J60" i="170"/>
  <c r="D60" i="170"/>
  <c r="J43" i="170"/>
  <c r="D43" i="170"/>
  <c r="J26" i="170"/>
  <c r="D424" i="170"/>
  <c r="D404" i="170"/>
  <c r="D355" i="170"/>
  <c r="J315" i="170"/>
  <c r="J230" i="170"/>
  <c r="J131" i="170"/>
  <c r="J77" i="170"/>
  <c r="D369" i="170"/>
  <c r="J352" i="170"/>
  <c r="J128" i="170"/>
  <c r="J12" i="170"/>
  <c r="D299" i="170"/>
  <c r="J179" i="170"/>
  <c r="D25" i="170"/>
  <c r="D302" i="170"/>
  <c r="D268" i="170"/>
  <c r="J182" i="170"/>
  <c r="J165" i="170"/>
  <c r="J144" i="170"/>
  <c r="D97" i="170"/>
  <c r="D265" i="170"/>
  <c r="D179" i="170"/>
  <c r="J94" i="170"/>
  <c r="J1278" i="170"/>
  <c r="J731" i="170"/>
  <c r="J728" i="170"/>
  <c r="D727" i="170"/>
  <c r="J1277" i="170"/>
  <c r="J729" i="170"/>
  <c r="J1280" i="170"/>
  <c r="J727" i="170"/>
  <c r="D728" i="170"/>
  <c r="J1276" i="170"/>
  <c r="D729" i="170"/>
  <c r="D731" i="170"/>
  <c r="R21" i="9"/>
  <c r="R25" i="9"/>
  <c r="R29" i="9"/>
  <c r="R33" i="9"/>
  <c r="R37" i="9"/>
  <c r="R41" i="9"/>
  <c r="R45" i="9"/>
  <c r="R49" i="9"/>
  <c r="R53" i="9"/>
  <c r="R57" i="9"/>
  <c r="R61" i="9"/>
  <c r="R65" i="9"/>
  <c r="R69" i="9"/>
  <c r="R73" i="9"/>
  <c r="R77" i="9"/>
  <c r="R81" i="9"/>
  <c r="R85" i="9"/>
  <c r="R89" i="9"/>
  <c r="R26" i="9"/>
  <c r="R30" i="9"/>
  <c r="R34" i="9"/>
  <c r="R38" i="9"/>
  <c r="R42" i="9"/>
  <c r="R46" i="9"/>
  <c r="R50" i="9"/>
  <c r="R54" i="9"/>
  <c r="R58" i="9"/>
  <c r="R62" i="9"/>
  <c r="R66" i="9"/>
  <c r="R70" i="9"/>
  <c r="R74" i="9"/>
  <c r="R78" i="9"/>
  <c r="R82" i="9"/>
  <c r="R86" i="9"/>
  <c r="R90" i="9"/>
  <c r="R13" i="9"/>
  <c r="R22" i="9"/>
  <c r="T177" i="128"/>
  <c r="R15" i="9"/>
  <c r="R19" i="9"/>
  <c r="R23" i="9"/>
  <c r="R27" i="9"/>
  <c r="R31" i="9"/>
  <c r="R35" i="9"/>
  <c r="R39" i="9"/>
  <c r="R43" i="9"/>
  <c r="R47" i="9"/>
  <c r="R51" i="9"/>
  <c r="R55" i="9"/>
  <c r="R59" i="9"/>
  <c r="R63" i="9"/>
  <c r="R67" i="9"/>
  <c r="R71" i="9"/>
  <c r="R75" i="9"/>
  <c r="R79" i="9"/>
  <c r="R83" i="9"/>
  <c r="R87" i="9"/>
  <c r="R17" i="9"/>
  <c r="R18" i="9"/>
  <c r="R16" i="9"/>
  <c r="R20" i="9"/>
  <c r="R24" i="9"/>
  <c r="R28" i="9"/>
  <c r="R32" i="9"/>
  <c r="R36" i="9"/>
  <c r="R40" i="9"/>
  <c r="R44" i="9"/>
  <c r="R48" i="9"/>
  <c r="R52" i="9"/>
  <c r="R56" i="9"/>
  <c r="R60" i="9"/>
  <c r="R64" i="9"/>
  <c r="R68" i="9"/>
  <c r="R72" i="9"/>
  <c r="R76" i="9"/>
  <c r="R80" i="9"/>
  <c r="R84" i="9"/>
  <c r="T180" i="128"/>
  <c r="R88" i="9"/>
  <c r="M167" i="128"/>
  <c r="T183" i="128"/>
  <c r="AA185" i="128"/>
  <c r="T185" i="128"/>
  <c r="T192" i="128" s="1"/>
  <c r="M166" i="128"/>
  <c r="T184" i="128"/>
  <c r="T187" i="128"/>
  <c r="M170" i="128"/>
  <c r="M169" i="128" s="1"/>
  <c r="M165" i="128"/>
  <c r="D1294" i="170"/>
  <c r="D1296" i="170"/>
  <c r="D1295" i="170"/>
  <c r="D1297" i="170"/>
  <c r="D1293" i="170"/>
  <c r="AN7" i="151"/>
  <c r="D12" i="170"/>
  <c r="H724" i="170"/>
  <c r="AL7" i="151"/>
  <c r="H673" i="170"/>
  <c r="B690" i="170"/>
  <c r="M652" i="170"/>
  <c r="M18" i="170"/>
  <c r="K1292" i="170"/>
  <c r="M35" i="170"/>
  <c r="M103" i="170"/>
  <c r="M274" i="170"/>
  <c r="M308" i="170"/>
  <c r="M343" i="170"/>
  <c r="M377" i="170"/>
  <c r="M463" i="170"/>
  <c r="M533" i="170"/>
  <c r="M669" i="170"/>
  <c r="M69" i="170"/>
  <c r="M291" i="170"/>
  <c r="M325" i="170"/>
  <c r="M361" i="170"/>
  <c r="M759" i="170"/>
  <c r="D750" i="170"/>
  <c r="D8" i="170"/>
  <c r="M171" i="170"/>
  <c r="M205" i="170"/>
  <c r="M240" i="170"/>
  <c r="M395" i="170"/>
  <c r="M447" i="170"/>
  <c r="M516" i="170"/>
  <c r="G38" i="170"/>
  <c r="M154" i="170"/>
  <c r="M188" i="170"/>
  <c r="M222" i="170"/>
  <c r="M257" i="170"/>
  <c r="M634" i="170"/>
  <c r="D9" i="170"/>
  <c r="M549" i="170"/>
  <c r="M617" i="170"/>
  <c r="D753" i="170"/>
  <c r="D749" i="170"/>
  <c r="M566" i="170"/>
  <c r="I96" i="151"/>
  <c r="I95" i="151"/>
  <c r="T175" i="128" l="1"/>
  <c r="T181" i="128" s="1"/>
  <c r="AA178" i="128"/>
  <c r="AA192" i="128" s="1"/>
  <c r="T182" i="128"/>
  <c r="T188" i="128" s="1"/>
  <c r="AA180" i="128"/>
  <c r="AA184" i="128"/>
  <c r="AQ98" i="128"/>
  <c r="AQ16" i="128"/>
  <c r="AW17" i="128" s="1"/>
  <c r="T191" i="128"/>
  <c r="T190" i="128"/>
  <c r="AA177" i="128"/>
  <c r="AA183" i="128"/>
  <c r="M164" i="128"/>
  <c r="M171" i="128" s="1"/>
  <c r="R166" i="128"/>
  <c r="R170" i="128"/>
  <c r="R169" i="128" s="1"/>
  <c r="AA187" i="128"/>
  <c r="R167" i="128"/>
  <c r="AK161" i="128"/>
  <c r="R165" i="128"/>
  <c r="E18" i="154"/>
  <c r="AN8" i="151"/>
  <c r="E17" i="154"/>
  <c r="AH7" i="151"/>
  <c r="AJ7" i="151"/>
  <c r="AD10" i="101"/>
  <c r="G55" i="170"/>
  <c r="A72" i="170" s="1"/>
  <c r="G72" i="170" s="1"/>
  <c r="A89" i="170" s="1"/>
  <c r="G89" i="170" s="1"/>
  <c r="A106" i="170" s="1"/>
  <c r="G106" i="170" s="1"/>
  <c r="A123" i="170" s="1"/>
  <c r="G123" i="170" s="1"/>
  <c r="A140" i="170" s="1"/>
  <c r="G140" i="170" s="1"/>
  <c r="A157" i="170" s="1"/>
  <c r="G157" i="170" s="1"/>
  <c r="A174" i="170" s="1"/>
  <c r="G174" i="170" s="1"/>
  <c r="A191" i="170" s="1"/>
  <c r="G191" i="170" s="1"/>
  <c r="A208" i="170" s="1"/>
  <c r="G208" i="170" s="1"/>
  <c r="A226" i="170" s="1"/>
  <c r="G226" i="170" s="1"/>
  <c r="A243" i="170" s="1"/>
  <c r="A55" i="170"/>
  <c r="I16" i="167"/>
  <c r="L14" i="167"/>
  <c r="L15" i="167" s="1"/>
  <c r="K14" i="167"/>
  <c r="I14" i="167"/>
  <c r="Z11" i="151" l="1"/>
  <c r="AA182" i="128"/>
  <c r="AA175" i="128"/>
  <c r="R164" i="128"/>
  <c r="R171" i="128" s="1"/>
  <c r="W165" i="128" s="1"/>
  <c r="AJ8" i="151"/>
  <c r="G243" i="170"/>
  <c r="A260" i="170" s="1"/>
  <c r="G260" i="170" s="1"/>
  <c r="A277" i="170" s="1"/>
  <c r="G277" i="170" s="1"/>
  <c r="A294" i="170" s="1"/>
  <c r="G294" i="170" s="1"/>
  <c r="A311" i="170" s="1"/>
  <c r="G311" i="170" s="1"/>
  <c r="A329" i="170" s="1"/>
  <c r="G329" i="170" s="1"/>
  <c r="A347" i="170" s="1"/>
  <c r="G347" i="170" s="1"/>
  <c r="A364" i="170" s="1"/>
  <c r="G364" i="170" s="1"/>
  <c r="A381" i="170" s="1"/>
  <c r="G381" i="170" s="1"/>
  <c r="A399" i="170" s="1"/>
  <c r="G399" i="170" s="1"/>
  <c r="A416" i="170" s="1"/>
  <c r="G416" i="170" s="1"/>
  <c r="A433" i="170" s="1"/>
  <c r="G433" i="170" s="1"/>
  <c r="A467" i="170" s="1"/>
  <c r="G467" i="170" s="1"/>
  <c r="A485" i="170" s="1"/>
  <c r="G485" i="170" s="1"/>
  <c r="A502" i="170" s="1"/>
  <c r="G502" i="170" s="1"/>
  <c r="A519" i="170" s="1"/>
  <c r="G519" i="170" s="1"/>
  <c r="A535" i="170" s="1"/>
  <c r="G535" i="170" s="1"/>
  <c r="A552" i="170" s="1"/>
  <c r="K1304" i="170"/>
  <c r="N1311" i="170" s="1"/>
  <c r="N1312" i="170" s="1"/>
  <c r="L100" i="99" l="1"/>
  <c r="AA181" i="128"/>
  <c r="AB12" i="99"/>
  <c r="AH178" i="128"/>
  <c r="W170" i="128"/>
  <c r="W169" i="128" s="1"/>
  <c r="W167" i="128"/>
  <c r="W168" i="128"/>
  <c r="W166" i="128"/>
  <c r="AH179" i="128"/>
  <c r="A449" i="170"/>
  <c r="G449" i="170" s="1"/>
  <c r="A569" i="170"/>
  <c r="G552" i="170"/>
  <c r="V13" i="9"/>
  <c r="V14" i="9"/>
  <c r="V15" i="9"/>
  <c r="V16" i="9"/>
  <c r="V17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M15" i="151" l="1"/>
  <c r="G95" i="132"/>
  <c r="AK157" i="8"/>
  <c r="AH175" i="128"/>
  <c r="V18" i="9"/>
  <c r="W164" i="128"/>
  <c r="W171" i="128" s="1"/>
  <c r="AH186" i="128"/>
  <c r="AH185" i="128"/>
  <c r="A586" i="170"/>
  <c r="G569" i="170"/>
  <c r="AH182" i="128" l="1"/>
  <c r="A603" i="170"/>
  <c r="G586" i="170"/>
  <c r="A620" i="170" l="1"/>
  <c r="G603" i="170"/>
  <c r="AP95" i="8"/>
  <c r="AO95" i="8"/>
  <c r="W13" i="9"/>
  <c r="W14" i="9"/>
  <c r="W15" i="9"/>
  <c r="W16" i="9"/>
  <c r="W17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AJ161" i="128"/>
  <c r="AQ95" i="8" l="1"/>
  <c r="AL94" i="8"/>
  <c r="AM94" i="8"/>
  <c r="AN94" i="8"/>
  <c r="AO94" i="8"/>
  <c r="AP94" i="8"/>
  <c r="W18" i="9"/>
  <c r="A638" i="170"/>
  <c r="G620" i="170"/>
  <c r="AQ94" i="8" l="1"/>
  <c r="AO157" i="8"/>
  <c r="AN157" i="8"/>
  <c r="AP157" i="8"/>
  <c r="A655" i="170"/>
  <c r="G638" i="170"/>
  <c r="G655" i="170" l="1"/>
  <c r="G672" i="170" s="1"/>
  <c r="A672" i="170"/>
  <c r="G706" i="170" l="1"/>
  <c r="G689" i="170"/>
  <c r="A706" i="170"/>
  <c r="A723" i="170" s="1"/>
  <c r="A689" i="170"/>
  <c r="G723" i="170" l="1"/>
  <c r="A745" i="170"/>
  <c r="AC160" i="9"/>
  <c r="AC94" i="9"/>
  <c r="AB98" i="99" l="1"/>
  <c r="F81" i="101"/>
  <c r="AC157" i="9" l="1"/>
  <c r="D160" i="151" l="1"/>
  <c r="C76" i="101"/>
  <c r="X155" i="9"/>
  <c r="D152" i="151"/>
  <c r="C68" i="101"/>
  <c r="X147" i="9"/>
  <c r="D144" i="151"/>
  <c r="C60" i="101"/>
  <c r="X139" i="9"/>
  <c r="D136" i="151"/>
  <c r="C52" i="101"/>
  <c r="X131" i="9"/>
  <c r="D128" i="151"/>
  <c r="C44" i="101"/>
  <c r="X123" i="9"/>
  <c r="D120" i="151"/>
  <c r="C36" i="101"/>
  <c r="X115" i="9"/>
  <c r="D112" i="151"/>
  <c r="C28" i="101"/>
  <c r="X107" i="9"/>
  <c r="D161" i="151"/>
  <c r="C77" i="101"/>
  <c r="X156" i="9"/>
  <c r="D153" i="151"/>
  <c r="C69" i="101"/>
  <c r="X148" i="9"/>
  <c r="D145" i="151"/>
  <c r="C61" i="101"/>
  <c r="X140" i="9"/>
  <c r="D137" i="151"/>
  <c r="C53" i="101"/>
  <c r="X132" i="9"/>
  <c r="D129" i="151"/>
  <c r="C45" i="101"/>
  <c r="X124" i="9"/>
  <c r="D121" i="151"/>
  <c r="C37" i="101"/>
  <c r="X116" i="9"/>
  <c r="D117" i="151"/>
  <c r="C33" i="101"/>
  <c r="X112" i="9"/>
  <c r="D113" i="151"/>
  <c r="C29" i="101"/>
  <c r="X108" i="9"/>
  <c r="D105" i="151"/>
  <c r="C21" i="101"/>
  <c r="X100" i="9"/>
  <c r="C78" i="101"/>
  <c r="D162" i="151"/>
  <c r="X157" i="9"/>
  <c r="C74" i="101"/>
  <c r="D158" i="151"/>
  <c r="X153" i="9"/>
  <c r="C70" i="101"/>
  <c r="D154" i="151"/>
  <c r="X149" i="9"/>
  <c r="C66" i="101"/>
  <c r="D150" i="151"/>
  <c r="X145" i="9"/>
  <c r="C62" i="101"/>
  <c r="D146" i="151"/>
  <c r="X141" i="9"/>
  <c r="C58" i="101"/>
  <c r="D142" i="151"/>
  <c r="X137" i="9"/>
  <c r="C54" i="101"/>
  <c r="D138" i="151"/>
  <c r="X133" i="9"/>
  <c r="C50" i="101"/>
  <c r="D134" i="151"/>
  <c r="X129" i="9"/>
  <c r="C46" i="101"/>
  <c r="D130" i="151"/>
  <c r="X125" i="9"/>
  <c r="C42" i="101"/>
  <c r="D126" i="151"/>
  <c r="X121" i="9"/>
  <c r="C38" i="101"/>
  <c r="D122" i="151"/>
  <c r="X117" i="9"/>
  <c r="C34" i="101"/>
  <c r="D118" i="151"/>
  <c r="X113" i="9"/>
  <c r="C30" i="101"/>
  <c r="D114" i="151"/>
  <c r="X109" i="9"/>
  <c r="C26" i="101"/>
  <c r="D110" i="151"/>
  <c r="X105" i="9"/>
  <c r="C22" i="101"/>
  <c r="D106" i="151"/>
  <c r="X101" i="9"/>
  <c r="D156" i="151"/>
  <c r="C72" i="101"/>
  <c r="X151" i="9"/>
  <c r="D148" i="151"/>
  <c r="C64" i="101"/>
  <c r="X143" i="9"/>
  <c r="D140" i="151"/>
  <c r="C56" i="101"/>
  <c r="X135" i="9"/>
  <c r="D132" i="151"/>
  <c r="C48" i="101"/>
  <c r="X127" i="9"/>
  <c r="D124" i="151"/>
  <c r="C40" i="101"/>
  <c r="X119" i="9"/>
  <c r="D116" i="151"/>
  <c r="C32" i="101"/>
  <c r="X111" i="9"/>
  <c r="D108" i="151"/>
  <c r="C24" i="101"/>
  <c r="X103" i="9"/>
  <c r="D104" i="151"/>
  <c r="C20" i="101"/>
  <c r="X99" i="9"/>
  <c r="D157" i="151"/>
  <c r="C73" i="101"/>
  <c r="X152" i="9"/>
  <c r="D149" i="151"/>
  <c r="C65" i="101"/>
  <c r="X144" i="9"/>
  <c r="D141" i="151"/>
  <c r="C57" i="101"/>
  <c r="X136" i="9"/>
  <c r="D133" i="151"/>
  <c r="C49" i="101"/>
  <c r="X128" i="9"/>
  <c r="D125" i="151"/>
  <c r="C41" i="101"/>
  <c r="X120" i="9"/>
  <c r="D109" i="151"/>
  <c r="C25" i="101"/>
  <c r="X104" i="9"/>
  <c r="D159" i="151"/>
  <c r="C75" i="101"/>
  <c r="X154" i="9"/>
  <c r="D155" i="151"/>
  <c r="C71" i="101"/>
  <c r="X150" i="9"/>
  <c r="D151" i="151"/>
  <c r="C67" i="101"/>
  <c r="X146" i="9"/>
  <c r="D147" i="151"/>
  <c r="C63" i="101"/>
  <c r="X142" i="9"/>
  <c r="D143" i="151"/>
  <c r="C59" i="101"/>
  <c r="X138" i="9"/>
  <c r="D139" i="151"/>
  <c r="C55" i="101"/>
  <c r="X134" i="9"/>
  <c r="D135" i="151"/>
  <c r="C51" i="101"/>
  <c r="X130" i="9"/>
  <c r="D131" i="151"/>
  <c r="C47" i="101"/>
  <c r="X126" i="9"/>
  <c r="D127" i="151"/>
  <c r="C43" i="101"/>
  <c r="X122" i="9"/>
  <c r="D123" i="151"/>
  <c r="C39" i="101"/>
  <c r="X118" i="9"/>
  <c r="D119" i="151"/>
  <c r="C35" i="101"/>
  <c r="X114" i="9"/>
  <c r="D115" i="151"/>
  <c r="C31" i="101"/>
  <c r="X110" i="9"/>
  <c r="D111" i="151"/>
  <c r="C27" i="101"/>
  <c r="X106" i="9"/>
  <c r="D107" i="151"/>
  <c r="C23" i="101"/>
  <c r="X102" i="9"/>
  <c r="D103" i="151"/>
  <c r="C19" i="101"/>
  <c r="X98" i="9"/>
  <c r="AC89" i="9"/>
  <c r="AC87" i="9"/>
  <c r="AC88" i="9"/>
  <c r="V156" i="9"/>
  <c r="W156" i="9"/>
  <c r="V148" i="9"/>
  <c r="W148" i="9"/>
  <c r="V140" i="9"/>
  <c r="W140" i="9"/>
  <c r="V132" i="9"/>
  <c r="W132" i="9"/>
  <c r="V124" i="9"/>
  <c r="W124" i="9"/>
  <c r="V116" i="9"/>
  <c r="W116" i="9"/>
  <c r="V108" i="9"/>
  <c r="W108" i="9"/>
  <c r="V100" i="9"/>
  <c r="W100" i="9"/>
  <c r="AA89" i="9"/>
  <c r="Z89" i="9"/>
  <c r="V157" i="9"/>
  <c r="W157" i="9"/>
  <c r="V149" i="9"/>
  <c r="W149" i="9"/>
  <c r="V141" i="9"/>
  <c r="W141" i="9"/>
  <c r="V133" i="9"/>
  <c r="W133" i="9"/>
  <c r="V129" i="9"/>
  <c r="W129" i="9"/>
  <c r="V121" i="9"/>
  <c r="W121" i="9"/>
  <c r="V113" i="9"/>
  <c r="W113" i="9"/>
  <c r="V105" i="9"/>
  <c r="W105" i="9"/>
  <c r="Z86" i="9"/>
  <c r="AA86" i="9"/>
  <c r="V154" i="9"/>
  <c r="W154" i="9"/>
  <c r="V150" i="9"/>
  <c r="W150" i="9"/>
  <c r="V146" i="9"/>
  <c r="W146" i="9"/>
  <c r="V142" i="9"/>
  <c r="W142" i="9"/>
  <c r="V138" i="9"/>
  <c r="W138" i="9"/>
  <c r="V134" i="9"/>
  <c r="W134" i="9"/>
  <c r="V130" i="9"/>
  <c r="W130" i="9"/>
  <c r="V126" i="9"/>
  <c r="W126" i="9"/>
  <c r="V122" i="9"/>
  <c r="W122" i="9"/>
  <c r="V118" i="9"/>
  <c r="W118" i="9"/>
  <c r="V114" i="9"/>
  <c r="W114" i="9"/>
  <c r="V110" i="9"/>
  <c r="W110" i="9"/>
  <c r="V106" i="9"/>
  <c r="W106" i="9"/>
  <c r="V102" i="9"/>
  <c r="W102" i="9"/>
  <c r="V98" i="9"/>
  <c r="W98" i="9"/>
  <c r="Z88" i="9"/>
  <c r="AA88" i="9"/>
  <c r="V152" i="9"/>
  <c r="W152" i="9"/>
  <c r="V144" i="9"/>
  <c r="W144" i="9"/>
  <c r="V136" i="9"/>
  <c r="W136" i="9"/>
  <c r="V128" i="9"/>
  <c r="W128" i="9"/>
  <c r="V120" i="9"/>
  <c r="W120" i="9"/>
  <c r="V112" i="9"/>
  <c r="W112" i="9"/>
  <c r="V104" i="9"/>
  <c r="W104" i="9"/>
  <c r="V153" i="9"/>
  <c r="W153" i="9"/>
  <c r="V145" i="9"/>
  <c r="W145" i="9"/>
  <c r="V137" i="9"/>
  <c r="W137" i="9"/>
  <c r="V125" i="9"/>
  <c r="W125" i="9"/>
  <c r="V117" i="9"/>
  <c r="W117" i="9"/>
  <c r="V109" i="9"/>
  <c r="W109" i="9"/>
  <c r="V101" i="9"/>
  <c r="W101" i="9"/>
  <c r="AA87" i="9"/>
  <c r="Z87" i="9"/>
  <c r="V155" i="9"/>
  <c r="W155" i="9"/>
  <c r="V151" i="9"/>
  <c r="W151" i="9"/>
  <c r="V147" i="9"/>
  <c r="W147" i="9"/>
  <c r="V143" i="9"/>
  <c r="W143" i="9"/>
  <c r="V139" i="9"/>
  <c r="W139" i="9"/>
  <c r="V135" i="9"/>
  <c r="W135" i="9"/>
  <c r="V131" i="9"/>
  <c r="W131" i="9"/>
  <c r="V127" i="9"/>
  <c r="W127" i="9"/>
  <c r="V123" i="9"/>
  <c r="W123" i="9"/>
  <c r="V119" i="9"/>
  <c r="W119" i="9"/>
  <c r="V115" i="9"/>
  <c r="W115" i="9"/>
  <c r="V111" i="9"/>
  <c r="W111" i="9"/>
  <c r="V107" i="9"/>
  <c r="W107" i="9"/>
  <c r="V103" i="9"/>
  <c r="W103" i="9"/>
  <c r="V99" i="9"/>
  <c r="W99" i="9"/>
  <c r="B656" i="170" l="1"/>
  <c r="H1256" i="170"/>
  <c r="H656" i="170"/>
  <c r="B1256" i="170"/>
  <c r="H1239" i="170"/>
  <c r="B763" i="170"/>
  <c r="B899" i="170"/>
  <c r="B1035" i="170"/>
  <c r="B1171" i="170"/>
  <c r="B1086" i="170"/>
  <c r="H797" i="170"/>
  <c r="H1069" i="170"/>
  <c r="H848" i="170"/>
  <c r="H984" i="170"/>
  <c r="H1120" i="170"/>
  <c r="B916" i="170"/>
  <c r="B1188" i="170"/>
  <c r="H967" i="170"/>
  <c r="B865" i="170"/>
  <c r="B1137" i="170"/>
  <c r="H763" i="170"/>
  <c r="H1001" i="170"/>
  <c r="H950" i="170"/>
  <c r="H1222" i="170"/>
  <c r="H899" i="170"/>
  <c r="H1171" i="170"/>
  <c r="B831" i="170"/>
  <c r="B1103" i="170"/>
  <c r="B950" i="170"/>
  <c r="B1222" i="170"/>
  <c r="H916" i="170"/>
  <c r="H1188" i="170"/>
  <c r="B797" i="170"/>
  <c r="B933" i="170"/>
  <c r="B1069" i="170"/>
  <c r="B1205" i="170"/>
  <c r="B814" i="170"/>
  <c r="B1154" i="170"/>
  <c r="H865" i="170"/>
  <c r="H1137" i="170"/>
  <c r="H882" i="170"/>
  <c r="H1018" i="170"/>
  <c r="H1154" i="170"/>
  <c r="B780" i="170"/>
  <c r="B984" i="170"/>
  <c r="H1035" i="170"/>
  <c r="I92" i="151"/>
  <c r="B673" i="170"/>
  <c r="I93" i="151"/>
  <c r="I94" i="151"/>
  <c r="H639" i="170"/>
  <c r="D109" i="132"/>
  <c r="D125" i="132"/>
  <c r="D141" i="132"/>
  <c r="D157" i="132"/>
  <c r="D123" i="132"/>
  <c r="D155" i="132"/>
  <c r="D122" i="132"/>
  <c r="D154" i="132"/>
  <c r="D104" i="132"/>
  <c r="D120" i="132"/>
  <c r="D136" i="132"/>
  <c r="D152" i="132"/>
  <c r="D111" i="132"/>
  <c r="D135" i="132"/>
  <c r="D110" i="132"/>
  <c r="D142" i="132"/>
  <c r="D113" i="132"/>
  <c r="D129" i="132"/>
  <c r="D145" i="132"/>
  <c r="D131" i="132"/>
  <c r="D102" i="132"/>
  <c r="D130" i="132"/>
  <c r="D108" i="132"/>
  <c r="D124" i="132"/>
  <c r="D140" i="132"/>
  <c r="D156" i="132"/>
  <c r="D115" i="132"/>
  <c r="D143" i="132"/>
  <c r="D118" i="132"/>
  <c r="D150" i="132"/>
  <c r="D101" i="132"/>
  <c r="D117" i="132"/>
  <c r="D133" i="132"/>
  <c r="D149" i="132"/>
  <c r="D139" i="132"/>
  <c r="D106" i="132"/>
  <c r="D138" i="132"/>
  <c r="D112" i="132"/>
  <c r="D128" i="132"/>
  <c r="D144" i="132"/>
  <c r="D160" i="132"/>
  <c r="D119" i="132"/>
  <c r="D151" i="132"/>
  <c r="D126" i="132"/>
  <c r="D158" i="132"/>
  <c r="B1052" i="170"/>
  <c r="B882" i="170"/>
  <c r="B1018" i="170"/>
  <c r="B967" i="170"/>
  <c r="B1239" i="170"/>
  <c r="H831" i="170"/>
  <c r="H1103" i="170"/>
  <c r="H780" i="170"/>
  <c r="H1052" i="170"/>
  <c r="D105" i="132"/>
  <c r="D121" i="132"/>
  <c r="D137" i="132"/>
  <c r="D153" i="132"/>
  <c r="D107" i="132"/>
  <c r="D147" i="132"/>
  <c r="D114" i="132"/>
  <c r="D146" i="132"/>
  <c r="D116" i="132"/>
  <c r="D132" i="132"/>
  <c r="D148" i="132"/>
  <c r="D103" i="132"/>
  <c r="D127" i="132"/>
  <c r="D159" i="132"/>
  <c r="D134" i="132"/>
  <c r="B848" i="170"/>
  <c r="B1120" i="170"/>
  <c r="H814" i="170"/>
  <c r="H1086" i="170"/>
  <c r="H933" i="170"/>
  <c r="H1205" i="170"/>
  <c r="B1001" i="170"/>
  <c r="I162" i="151"/>
  <c r="F162" i="151"/>
  <c r="H78" i="101"/>
  <c r="F78" i="101"/>
  <c r="G157" i="8" l="1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7" i="8"/>
  <c r="J11" i="154" l="1"/>
  <c r="L177" i="132"/>
  <c r="D13" i="167"/>
  <c r="E13" i="101"/>
  <c r="F22" i="154" l="1"/>
  <c r="F25" i="154"/>
  <c r="F24" i="154"/>
  <c r="Y82" i="101"/>
  <c r="Z82" i="101" s="1"/>
  <c r="Y79" i="101"/>
  <c r="Y81" i="101"/>
  <c r="F27" i="154"/>
  <c r="F26" i="154"/>
  <c r="F23" i="154"/>
  <c r="Z81" i="101" l="1"/>
  <c r="AC92" i="9" l="1"/>
  <c r="D15" i="160"/>
  <c r="H14" i="160"/>
  <c r="I14" i="160" s="1"/>
  <c r="W6" i="160"/>
  <c r="X6" i="160" s="1"/>
  <c r="Y6" i="160" s="1"/>
  <c r="D20" i="79"/>
  <c r="AD15" i="99" l="1"/>
  <c r="AE15" i="99" s="1"/>
  <c r="L35" i="154" l="1"/>
  <c r="T23" i="153"/>
  <c r="G23" i="153"/>
  <c r="T22" i="153"/>
  <c r="G22" i="153"/>
  <c r="T17" i="153"/>
  <c r="T16" i="153"/>
  <c r="Z220" i="151"/>
  <c r="Z219" i="151"/>
  <c r="Z218" i="151"/>
  <c r="G212" i="151"/>
  <c r="D185" i="151"/>
  <c r="R9" i="59"/>
  <c r="K69" i="59"/>
  <c r="G69" i="59"/>
  <c r="C69" i="59"/>
  <c r="O55" i="59"/>
  <c r="K55" i="59"/>
  <c r="C55" i="59"/>
  <c r="K41" i="59"/>
  <c r="G41" i="59"/>
  <c r="C41" i="59"/>
  <c r="O27" i="59"/>
  <c r="K27" i="59"/>
  <c r="G27" i="59"/>
  <c r="C27" i="59"/>
  <c r="O13" i="59"/>
  <c r="K13" i="59"/>
  <c r="C13" i="59"/>
  <c r="G55" i="59"/>
  <c r="P9" i="59"/>
  <c r="AD167" i="151" l="1"/>
  <c r="G17" i="154"/>
  <c r="AM157" i="8" l="1"/>
  <c r="AL157" i="8"/>
  <c r="AQ157" i="8" l="1"/>
  <c r="I166" i="9" l="1"/>
  <c r="G166" i="9"/>
  <c r="K83" i="59"/>
  <c r="K76" i="59"/>
  <c r="Q9" i="9" l="1"/>
  <c r="AF28" i="9" s="1"/>
  <c r="K84" i="59"/>
  <c r="T175" i="9" l="1"/>
  <c r="AC93" i="9"/>
  <c r="U42" i="59"/>
  <c r="T97" i="9" l="1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D18" i="128"/>
  <c r="D17" i="128"/>
  <c r="I691" i="170" l="1"/>
  <c r="J695" i="170" s="1"/>
  <c r="C691" i="170"/>
  <c r="D695" i="170" s="1"/>
  <c r="I674" i="170"/>
  <c r="J678" i="170" s="1"/>
  <c r="C657" i="170"/>
  <c r="D661" i="170" s="1"/>
  <c r="I657" i="170"/>
  <c r="J661" i="170" s="1"/>
  <c r="C674" i="170"/>
  <c r="D678" i="170" s="1"/>
  <c r="I640" i="170"/>
  <c r="J644" i="170" s="1"/>
  <c r="AD13" i="9"/>
  <c r="AD33" i="9"/>
  <c r="AD45" i="9"/>
  <c r="AD57" i="9"/>
  <c r="AD69" i="9"/>
  <c r="AD81" i="9"/>
  <c r="AD30" i="9"/>
  <c r="AD42" i="9"/>
  <c r="AD58" i="9"/>
  <c r="AD78" i="9"/>
  <c r="AD97" i="9"/>
  <c r="AD14" i="9"/>
  <c r="AD26" i="9"/>
  <c r="AD46" i="9"/>
  <c r="AD62" i="9"/>
  <c r="AD74" i="9"/>
  <c r="AD15" i="9"/>
  <c r="AD19" i="9"/>
  <c r="AD23" i="9"/>
  <c r="AD27" i="9"/>
  <c r="AD31" i="9"/>
  <c r="AD35" i="9"/>
  <c r="AD39" i="9"/>
  <c r="AD43" i="9"/>
  <c r="AD47" i="9"/>
  <c r="AD51" i="9"/>
  <c r="AD55" i="9"/>
  <c r="AD59" i="9"/>
  <c r="AD63" i="9"/>
  <c r="AD67" i="9"/>
  <c r="AD71" i="9"/>
  <c r="AD75" i="9"/>
  <c r="AD79" i="9"/>
  <c r="AD83" i="9"/>
  <c r="AD87" i="9"/>
  <c r="AD91" i="9"/>
  <c r="AD21" i="9"/>
  <c r="AD29" i="9"/>
  <c r="AD37" i="9"/>
  <c r="AD49" i="9"/>
  <c r="AD65" i="9"/>
  <c r="AD73" i="9"/>
  <c r="AD89" i="9"/>
  <c r="AD22" i="9"/>
  <c r="AD38" i="9"/>
  <c r="AD54" i="9"/>
  <c r="AD66" i="9"/>
  <c r="AD82" i="9"/>
  <c r="AD90" i="9"/>
  <c r="AD111" i="9"/>
  <c r="AD16" i="9"/>
  <c r="AD20" i="9"/>
  <c r="AD24" i="9"/>
  <c r="AD28" i="9"/>
  <c r="AD32" i="9"/>
  <c r="AD36" i="9"/>
  <c r="AD40" i="9"/>
  <c r="AD44" i="9"/>
  <c r="AD48" i="9"/>
  <c r="AD52" i="9"/>
  <c r="AD56" i="9"/>
  <c r="AD60" i="9"/>
  <c r="AD64" i="9"/>
  <c r="AD68" i="9"/>
  <c r="AD72" i="9"/>
  <c r="AD76" i="9"/>
  <c r="AD80" i="9"/>
  <c r="AD84" i="9"/>
  <c r="AD88" i="9"/>
  <c r="AD17" i="9"/>
  <c r="AD25" i="9"/>
  <c r="AD41" i="9"/>
  <c r="AD53" i="9"/>
  <c r="AD61" i="9"/>
  <c r="AD77" i="9"/>
  <c r="AD85" i="9"/>
  <c r="AD18" i="9"/>
  <c r="AD34" i="9"/>
  <c r="AD50" i="9"/>
  <c r="AD70" i="9"/>
  <c r="AD86" i="9"/>
  <c r="H92" i="151"/>
  <c r="K92" i="151" s="1"/>
  <c r="H93" i="151"/>
  <c r="K93" i="151" s="1"/>
  <c r="H91" i="151"/>
  <c r="H94" i="151"/>
  <c r="K94" i="151" s="1"/>
  <c r="D102" i="151"/>
  <c r="C18" i="101"/>
  <c r="X97" i="9"/>
  <c r="AA83" i="9"/>
  <c r="Z83" i="9"/>
  <c r="AA71" i="9"/>
  <c r="Z71" i="9"/>
  <c r="AA63" i="9"/>
  <c r="Z63" i="9"/>
  <c r="AA55" i="9"/>
  <c r="Z55" i="9"/>
  <c r="AA47" i="9"/>
  <c r="Z47" i="9"/>
  <c r="AA39" i="9"/>
  <c r="Z39" i="9"/>
  <c r="AA31" i="9"/>
  <c r="Z31" i="9"/>
  <c r="AA23" i="9"/>
  <c r="Z23" i="9"/>
  <c r="AA15" i="9"/>
  <c r="Z15" i="9"/>
  <c r="Z84" i="9"/>
  <c r="AA84" i="9"/>
  <c r="Z80" i="9"/>
  <c r="AA80" i="9"/>
  <c r="Z76" i="9"/>
  <c r="AA76" i="9"/>
  <c r="Z68" i="9"/>
  <c r="AA68" i="9"/>
  <c r="Z60" i="9"/>
  <c r="AA60" i="9"/>
  <c r="Z56" i="9"/>
  <c r="AA56" i="9"/>
  <c r="Z48" i="9"/>
  <c r="AA48" i="9"/>
  <c r="Z44" i="9"/>
  <c r="AA44" i="9"/>
  <c r="Z36" i="9"/>
  <c r="AA36" i="9"/>
  <c r="Z32" i="9"/>
  <c r="AA32" i="9"/>
  <c r="Z24" i="9"/>
  <c r="AA24" i="9"/>
  <c r="Z20" i="9"/>
  <c r="AA20" i="9"/>
  <c r="Z16" i="9"/>
  <c r="AA16" i="9"/>
  <c r="AA85" i="9"/>
  <c r="Z85" i="9"/>
  <c r="AA81" i="9"/>
  <c r="Z81" i="9"/>
  <c r="AA77" i="9"/>
  <c r="Z77" i="9"/>
  <c r="AA73" i="9"/>
  <c r="Z73" i="9"/>
  <c r="AA69" i="9"/>
  <c r="Z69" i="9"/>
  <c r="AA65" i="9"/>
  <c r="Z65" i="9"/>
  <c r="AA61" i="9"/>
  <c r="Z61" i="9"/>
  <c r="AA57" i="9"/>
  <c r="Z57" i="9"/>
  <c r="AA53" i="9"/>
  <c r="Z53" i="9"/>
  <c r="AA49" i="9"/>
  <c r="Z49" i="9"/>
  <c r="AA45" i="9"/>
  <c r="Z45" i="9"/>
  <c r="AA41" i="9"/>
  <c r="Z41" i="9"/>
  <c r="AA37" i="9"/>
  <c r="Z37" i="9"/>
  <c r="AA33" i="9"/>
  <c r="Z33" i="9"/>
  <c r="AA29" i="9"/>
  <c r="Z29" i="9"/>
  <c r="AA25" i="9"/>
  <c r="Z25" i="9"/>
  <c r="AA21" i="9"/>
  <c r="Z21" i="9"/>
  <c r="AA17" i="9"/>
  <c r="Z17" i="9"/>
  <c r="AA13" i="9"/>
  <c r="Z13" i="9"/>
  <c r="AA79" i="9"/>
  <c r="Z79" i="9"/>
  <c r="AA75" i="9"/>
  <c r="Z75" i="9"/>
  <c r="AA67" i="9"/>
  <c r="Z67" i="9"/>
  <c r="AA59" i="9"/>
  <c r="Z59" i="9"/>
  <c r="AA51" i="9"/>
  <c r="Z51" i="9"/>
  <c r="AA43" i="9"/>
  <c r="Z43" i="9"/>
  <c r="AA35" i="9"/>
  <c r="Z35" i="9"/>
  <c r="AA27" i="9"/>
  <c r="Z27" i="9"/>
  <c r="AA19" i="9"/>
  <c r="Z19" i="9"/>
  <c r="Z72" i="9"/>
  <c r="AA72" i="9"/>
  <c r="Z64" i="9"/>
  <c r="AA64" i="9"/>
  <c r="Z52" i="9"/>
  <c r="AA52" i="9"/>
  <c r="Z40" i="9"/>
  <c r="AA40" i="9"/>
  <c r="Z28" i="9"/>
  <c r="AA28" i="9"/>
  <c r="Z82" i="9"/>
  <c r="AA82" i="9"/>
  <c r="Z78" i="9"/>
  <c r="AA78" i="9"/>
  <c r="Z74" i="9"/>
  <c r="AA74" i="9"/>
  <c r="Z70" i="9"/>
  <c r="AA70" i="9"/>
  <c r="Z66" i="9"/>
  <c r="AA66" i="9"/>
  <c r="Z62" i="9"/>
  <c r="AA62" i="9"/>
  <c r="Z58" i="9"/>
  <c r="AA58" i="9"/>
  <c r="Z54" i="9"/>
  <c r="AA54" i="9"/>
  <c r="Z50" i="9"/>
  <c r="AA50" i="9"/>
  <c r="Z46" i="9"/>
  <c r="AA46" i="9"/>
  <c r="Z42" i="9"/>
  <c r="AA42" i="9"/>
  <c r="Z38" i="9"/>
  <c r="AA38" i="9"/>
  <c r="Z34" i="9"/>
  <c r="AA34" i="9"/>
  <c r="Z30" i="9"/>
  <c r="AA30" i="9"/>
  <c r="Z26" i="9"/>
  <c r="AA26" i="9"/>
  <c r="Z22" i="9"/>
  <c r="AA22" i="9"/>
  <c r="Z18" i="9"/>
  <c r="AA18" i="9"/>
  <c r="Z14" i="9"/>
  <c r="AA14" i="9"/>
  <c r="V97" i="9"/>
  <c r="W97" i="9"/>
  <c r="AC154" i="9"/>
  <c r="F75" i="101"/>
  <c r="F159" i="151"/>
  <c r="AC155" i="9"/>
  <c r="F160" i="151"/>
  <c r="F76" i="101"/>
  <c r="AC156" i="9"/>
  <c r="F161" i="151"/>
  <c r="F77" i="101"/>
  <c r="I143" i="151"/>
  <c r="I159" i="151"/>
  <c r="I152" i="151"/>
  <c r="I136" i="151"/>
  <c r="I104" i="151"/>
  <c r="I160" i="151"/>
  <c r="I149" i="151"/>
  <c r="I161" i="151"/>
  <c r="I142" i="151"/>
  <c r="I120" i="151"/>
  <c r="H20" i="99" l="1"/>
  <c r="H70" i="151"/>
  <c r="H28" i="151"/>
  <c r="H44" i="151"/>
  <c r="B312" i="170"/>
  <c r="D74" i="132"/>
  <c r="H43" i="151"/>
  <c r="H18" i="151"/>
  <c r="H26" i="151"/>
  <c r="H24" i="151"/>
  <c r="H88" i="151"/>
  <c r="H87" i="151"/>
  <c r="H23" i="151"/>
  <c r="H51" i="151"/>
  <c r="H67" i="151"/>
  <c r="H83" i="151"/>
  <c r="H31" i="151"/>
  <c r="H38" i="151"/>
  <c r="H84" i="151"/>
  <c r="H33" i="151"/>
  <c r="H63" i="151"/>
  <c r="H21" i="151"/>
  <c r="H50" i="151"/>
  <c r="H29" i="151"/>
  <c r="H85" i="151"/>
  <c r="H71" i="151"/>
  <c r="H30" i="151"/>
  <c r="H86" i="151"/>
  <c r="H35" i="151"/>
  <c r="H74" i="151"/>
  <c r="H66" i="151"/>
  <c r="H27" i="151"/>
  <c r="H77" i="151"/>
  <c r="H48" i="151"/>
  <c r="H68" i="151"/>
  <c r="H53" i="151"/>
  <c r="H64" i="151"/>
  <c r="H82" i="151"/>
  <c r="H41" i="151"/>
  <c r="H60" i="151"/>
  <c r="H39" i="151"/>
  <c r="H49" i="151"/>
  <c r="H81" i="151"/>
  <c r="H54" i="151"/>
  <c r="H36" i="151"/>
  <c r="D52" i="132"/>
  <c r="H58" i="151"/>
  <c r="H78" i="151"/>
  <c r="H37" i="151"/>
  <c r="H69" i="151"/>
  <c r="H32" i="151"/>
  <c r="D58" i="132"/>
  <c r="H57" i="151"/>
  <c r="H65" i="151"/>
  <c r="H73" i="151"/>
  <c r="H47" i="151"/>
  <c r="H79" i="151"/>
  <c r="H20" i="151"/>
  <c r="D26" i="132"/>
  <c r="H45" i="151"/>
  <c r="H61" i="151"/>
  <c r="H19" i="151"/>
  <c r="H55" i="151"/>
  <c r="H46" i="151"/>
  <c r="H62" i="151"/>
  <c r="H40" i="151"/>
  <c r="H56" i="151"/>
  <c r="H72" i="151"/>
  <c r="H80" i="151"/>
  <c r="H25" i="151"/>
  <c r="B39" i="170"/>
  <c r="H59" i="151"/>
  <c r="H75" i="151"/>
  <c r="H42" i="151"/>
  <c r="H22" i="151"/>
  <c r="H34" i="151"/>
  <c r="H76" i="151"/>
  <c r="H52" i="151"/>
  <c r="D31" i="132"/>
  <c r="D39" i="132"/>
  <c r="H278" i="170"/>
  <c r="H746" i="170"/>
  <c r="D25" i="132"/>
  <c r="H227" i="170"/>
  <c r="B22" i="170"/>
  <c r="D24" i="132"/>
  <c r="B365" i="170"/>
  <c r="B536" i="170"/>
  <c r="D19" i="132"/>
  <c r="H107" i="170"/>
  <c r="D35" i="132"/>
  <c r="D51" i="132"/>
  <c r="D37" i="132"/>
  <c r="B503" i="170"/>
  <c r="B73" i="170"/>
  <c r="B141" i="170"/>
  <c r="B621" i="170"/>
  <c r="D67" i="132"/>
  <c r="D75" i="132"/>
  <c r="H587" i="170"/>
  <c r="D69" i="132"/>
  <c r="H604" i="170"/>
  <c r="B124" i="170"/>
  <c r="B278" i="170"/>
  <c r="B417" i="170"/>
  <c r="H536" i="170"/>
  <c r="H56" i="170"/>
  <c r="H158" i="170"/>
  <c r="D49" i="132"/>
  <c r="D65" i="132"/>
  <c r="D81" i="132"/>
  <c r="D20" i="132"/>
  <c r="B295" i="170"/>
  <c r="B434" i="170"/>
  <c r="D84" i="132"/>
  <c r="H553" i="170"/>
  <c r="D29" i="132"/>
  <c r="D61" i="132"/>
  <c r="D36" i="132"/>
  <c r="B330" i="170"/>
  <c r="D68" i="132"/>
  <c r="D80" i="132"/>
  <c r="B107" i="170"/>
  <c r="D34" i="132"/>
  <c r="D42" i="132"/>
  <c r="B382" i="170"/>
  <c r="D66" i="132"/>
  <c r="B587" i="170"/>
  <c r="D77" i="132"/>
  <c r="D18" i="132"/>
  <c r="B244" i="170"/>
  <c r="D50" i="132"/>
  <c r="B520" i="170"/>
  <c r="B468" i="170"/>
  <c r="H261" i="170"/>
  <c r="B570" i="170"/>
  <c r="H124" i="170"/>
  <c r="D45" i="132"/>
  <c r="B175" i="170"/>
  <c r="B450" i="170"/>
  <c r="D82" i="132"/>
  <c r="H400" i="170"/>
  <c r="B192" i="170"/>
  <c r="D60" i="132"/>
  <c r="D38" i="132"/>
  <c r="B348" i="170"/>
  <c r="H141" i="170"/>
  <c r="D79" i="132"/>
  <c r="H348" i="170"/>
  <c r="D73" i="132"/>
  <c r="H22" i="170"/>
  <c r="D22" i="132"/>
  <c r="B209" i="170"/>
  <c r="D17" i="132"/>
  <c r="H73" i="170"/>
  <c r="H417" i="170"/>
  <c r="B227" i="170"/>
  <c r="H90" i="170"/>
  <c r="D16" i="132"/>
  <c r="D44" i="132"/>
  <c r="D23" i="132"/>
  <c r="D47" i="132"/>
  <c r="D57" i="132"/>
  <c r="D32" i="132"/>
  <c r="B90" i="170"/>
  <c r="D55" i="132"/>
  <c r="H621" i="170"/>
  <c r="D41" i="132"/>
  <c r="D56" i="132"/>
  <c r="D76" i="132"/>
  <c r="B400" i="170"/>
  <c r="D70" i="132"/>
  <c r="D78" i="132"/>
  <c r="D86" i="132"/>
  <c r="D53" i="132"/>
  <c r="B261" i="170"/>
  <c r="D54" i="132"/>
  <c r="B486" i="170"/>
  <c r="B553" i="170"/>
  <c r="D21" i="132"/>
  <c r="H295" i="170"/>
  <c r="H89" i="151"/>
  <c r="H39" i="170"/>
  <c r="H209" i="170"/>
  <c r="D63" i="132"/>
  <c r="H365" i="170"/>
  <c r="H503" i="170"/>
  <c r="B56" i="170"/>
  <c r="D40" i="132"/>
  <c r="H570" i="170"/>
  <c r="H175" i="170"/>
  <c r="H312" i="170"/>
  <c r="H330" i="170"/>
  <c r="B604" i="170"/>
  <c r="D59" i="132"/>
  <c r="H450" i="170"/>
  <c r="D83" i="132"/>
  <c r="H434" i="170"/>
  <c r="B158" i="170"/>
  <c r="H244" i="170"/>
  <c r="H382" i="170"/>
  <c r="H520" i="170"/>
  <c r="H192" i="170"/>
  <c r="D85" i="132"/>
  <c r="D48" i="132"/>
  <c r="D72" i="132"/>
  <c r="B639" i="170"/>
  <c r="D30" i="132"/>
  <c r="D46" i="132"/>
  <c r="D62" i="132"/>
  <c r="D33" i="132"/>
  <c r="H468" i="170"/>
  <c r="D28" i="132"/>
  <c r="D64" i="132"/>
  <c r="D27" i="132"/>
  <c r="D43" i="132"/>
  <c r="H90" i="151"/>
  <c r="H486" i="170"/>
  <c r="G95" i="99"/>
  <c r="J95" i="99" s="1"/>
  <c r="H95" i="151"/>
  <c r="K95" i="151" s="1"/>
  <c r="U90" i="9"/>
  <c r="D71" i="132"/>
  <c r="U91" i="9"/>
  <c r="D100" i="132"/>
  <c r="U87" i="9"/>
  <c r="G92" i="99"/>
  <c r="U89" i="9"/>
  <c r="G94" i="99"/>
  <c r="I102" i="151"/>
  <c r="I118" i="151"/>
  <c r="I112" i="151"/>
  <c r="I144" i="151"/>
  <c r="I150" i="151"/>
  <c r="I128" i="151"/>
  <c r="I134" i="151"/>
  <c r="I138" i="151"/>
  <c r="I119" i="151"/>
  <c r="I116" i="151"/>
  <c r="I103" i="151"/>
  <c r="I151" i="151"/>
  <c r="I125" i="151"/>
  <c r="I135" i="151"/>
  <c r="I157" i="151"/>
  <c r="I109" i="151"/>
  <c r="I141" i="151"/>
  <c r="I121" i="151"/>
  <c r="I132" i="151"/>
  <c r="I139" i="151"/>
  <c r="I155" i="151"/>
  <c r="I107" i="151"/>
  <c r="I123" i="151"/>
  <c r="I140" i="151"/>
  <c r="I148" i="151"/>
  <c r="I122" i="151"/>
  <c r="I145" i="151"/>
  <c r="I154" i="151"/>
  <c r="I113" i="151"/>
  <c r="I129" i="151"/>
  <c r="I106" i="151"/>
  <c r="I146" i="151"/>
  <c r="I133" i="151"/>
  <c r="I127" i="151"/>
  <c r="I158" i="151"/>
  <c r="I126" i="151"/>
  <c r="I117" i="151"/>
  <c r="I110" i="151"/>
  <c r="I111" i="151"/>
  <c r="G161" i="151"/>
  <c r="G159" i="151"/>
  <c r="I108" i="151"/>
  <c r="I124" i="151"/>
  <c r="I156" i="151"/>
  <c r="I115" i="151"/>
  <c r="I147" i="151"/>
  <c r="G160" i="151"/>
  <c r="I114" i="151"/>
  <c r="I153" i="151"/>
  <c r="I131" i="151"/>
  <c r="I130" i="151"/>
  <c r="I105" i="151"/>
  <c r="I137" i="151"/>
  <c r="H45" i="101"/>
  <c r="H65" i="101"/>
  <c r="I451" i="170" l="1"/>
  <c r="J455" i="170" s="1"/>
  <c r="C262" i="170"/>
  <c r="D266" i="170" s="1"/>
  <c r="C588" i="170"/>
  <c r="D592" i="170" s="1"/>
  <c r="C331" i="170"/>
  <c r="D335" i="170" s="1"/>
  <c r="I554" i="170"/>
  <c r="J558" i="170" s="1"/>
  <c r="I159" i="170"/>
  <c r="J163" i="170" s="1"/>
  <c r="C279" i="170"/>
  <c r="D283" i="170" s="1"/>
  <c r="I588" i="170"/>
  <c r="J592" i="170" s="1"/>
  <c r="C142" i="170"/>
  <c r="D146" i="170" s="1"/>
  <c r="C537" i="170"/>
  <c r="D541" i="170" s="1"/>
  <c r="I228" i="170"/>
  <c r="J232" i="170" s="1"/>
  <c r="I469" i="170"/>
  <c r="J473" i="170" s="1"/>
  <c r="C57" i="170"/>
  <c r="D61" i="170" s="1"/>
  <c r="C451" i="170"/>
  <c r="D455" i="170" s="1"/>
  <c r="C159" i="170"/>
  <c r="D163" i="170" s="1"/>
  <c r="I40" i="170"/>
  <c r="J44" i="170" s="1"/>
  <c r="I622" i="170"/>
  <c r="J626" i="170" s="1"/>
  <c r="I142" i="170"/>
  <c r="J146" i="170" s="1"/>
  <c r="C245" i="170"/>
  <c r="D249" i="170" s="1"/>
  <c r="I57" i="170"/>
  <c r="J61" i="170" s="1"/>
  <c r="C74" i="170"/>
  <c r="D78" i="170" s="1"/>
  <c r="C366" i="170"/>
  <c r="D370" i="170" s="1"/>
  <c r="C40" i="170"/>
  <c r="D44" i="170" s="1"/>
  <c r="C313" i="170"/>
  <c r="D317" i="170" s="1"/>
  <c r="I313" i="170"/>
  <c r="J317" i="170" s="1"/>
  <c r="I418" i="170"/>
  <c r="J422" i="170" s="1"/>
  <c r="I193" i="170"/>
  <c r="J197" i="170" s="1"/>
  <c r="C554" i="170"/>
  <c r="D558" i="170" s="1"/>
  <c r="I74" i="170"/>
  <c r="J78" i="170" s="1"/>
  <c r="C176" i="170"/>
  <c r="D180" i="170" s="1"/>
  <c r="C108" i="170"/>
  <c r="D112" i="170" s="1"/>
  <c r="I487" i="170"/>
  <c r="J491" i="170" s="1"/>
  <c r="I521" i="170"/>
  <c r="J525" i="170" s="1"/>
  <c r="I435" i="170"/>
  <c r="J439" i="170" s="1"/>
  <c r="C605" i="170"/>
  <c r="D609" i="170" s="1"/>
  <c r="I571" i="170"/>
  <c r="J575" i="170" s="1"/>
  <c r="I366" i="170"/>
  <c r="J370" i="170" s="1"/>
  <c r="C487" i="170"/>
  <c r="D491" i="170" s="1"/>
  <c r="I91" i="170"/>
  <c r="J95" i="170" s="1"/>
  <c r="C349" i="170"/>
  <c r="D353" i="170" s="1"/>
  <c r="I401" i="170"/>
  <c r="J405" i="170" s="1"/>
  <c r="C469" i="170"/>
  <c r="D473" i="170" s="1"/>
  <c r="C383" i="170"/>
  <c r="D387" i="170" s="1"/>
  <c r="C435" i="170"/>
  <c r="D439" i="170" s="1"/>
  <c r="I537" i="170"/>
  <c r="J541" i="170" s="1"/>
  <c r="I605" i="170"/>
  <c r="J609" i="170" s="1"/>
  <c r="C504" i="170"/>
  <c r="D508" i="170" s="1"/>
  <c r="I108" i="170"/>
  <c r="J112" i="170" s="1"/>
  <c r="I245" i="170"/>
  <c r="J249" i="170" s="1"/>
  <c r="I210" i="170"/>
  <c r="J214" i="170" s="1"/>
  <c r="C571" i="170"/>
  <c r="D575" i="170" s="1"/>
  <c r="C640" i="170"/>
  <c r="D644" i="170" s="1"/>
  <c r="I176" i="170"/>
  <c r="J180" i="170" s="1"/>
  <c r="I504" i="170"/>
  <c r="J508" i="170" s="1"/>
  <c r="C401" i="170"/>
  <c r="D405" i="170" s="1"/>
  <c r="I23" i="170"/>
  <c r="J27" i="170" s="1"/>
  <c r="C193" i="170"/>
  <c r="D197" i="170" s="1"/>
  <c r="I262" i="170"/>
  <c r="J266" i="170" s="1"/>
  <c r="C125" i="170"/>
  <c r="D129" i="170" s="1"/>
  <c r="I383" i="170"/>
  <c r="J387" i="170" s="1"/>
  <c r="I331" i="170"/>
  <c r="J335" i="170" s="1"/>
  <c r="I296" i="170"/>
  <c r="J300" i="170" s="1"/>
  <c r="C91" i="170"/>
  <c r="D95" i="170" s="1"/>
  <c r="C228" i="170"/>
  <c r="D232" i="170" s="1"/>
  <c r="C210" i="170"/>
  <c r="D214" i="170" s="1"/>
  <c r="I349" i="170"/>
  <c r="J353" i="170" s="1"/>
  <c r="I125" i="170"/>
  <c r="J129" i="170" s="1"/>
  <c r="C521" i="170"/>
  <c r="D525" i="170" s="1"/>
  <c r="C296" i="170"/>
  <c r="D300" i="170" s="1"/>
  <c r="C418" i="170"/>
  <c r="D422" i="170" s="1"/>
  <c r="C622" i="170"/>
  <c r="D626" i="170" s="1"/>
  <c r="C23" i="170"/>
  <c r="D27" i="170" s="1"/>
  <c r="I279" i="170"/>
  <c r="J283" i="170" s="1"/>
  <c r="J94" i="99"/>
  <c r="J92" i="99"/>
  <c r="H33" i="101"/>
  <c r="H29" i="101"/>
  <c r="H39" i="101"/>
  <c r="H66" i="101"/>
  <c r="H73" i="101"/>
  <c r="H24" i="101"/>
  <c r="H51" i="101"/>
  <c r="H23" i="101"/>
  <c r="H75" i="101"/>
  <c r="H52" i="101"/>
  <c r="H21" i="101"/>
  <c r="H36" i="101"/>
  <c r="H77" i="101"/>
  <c r="H71" i="101"/>
  <c r="H41" i="101"/>
  <c r="H35" i="101"/>
  <c r="H61" i="101"/>
  <c r="H48" i="101"/>
  <c r="H60" i="101"/>
  <c r="H28" i="101"/>
  <c r="H32" i="101"/>
  <c r="H26" i="101"/>
  <c r="H30" i="101"/>
  <c r="H70" i="101"/>
  <c r="H34" i="101"/>
  <c r="H25" i="101"/>
  <c r="H67" i="101"/>
  <c r="H40" i="101"/>
  <c r="H19" i="101"/>
  <c r="H27" i="101"/>
  <c r="H76" i="101"/>
  <c r="H37" i="101"/>
  <c r="H46" i="101"/>
  <c r="H64" i="101"/>
  <c r="H55" i="101"/>
  <c r="H31" i="101"/>
  <c r="H43" i="101"/>
  <c r="H49" i="101"/>
  <c r="H68" i="101"/>
  <c r="H42" i="101"/>
  <c r="H62" i="101"/>
  <c r="H50" i="101"/>
  <c r="H57" i="101"/>
  <c r="H72" i="101"/>
  <c r="H56" i="101"/>
  <c r="H38" i="101"/>
  <c r="H59" i="101"/>
  <c r="H69" i="101"/>
  <c r="H74" i="101"/>
  <c r="H44" i="101"/>
  <c r="H54" i="101"/>
  <c r="H53" i="101"/>
  <c r="H63" i="101"/>
  <c r="H20" i="101"/>
  <c r="H58" i="101"/>
  <c r="H47" i="101"/>
  <c r="H22" i="101"/>
  <c r="AJ157" i="8"/>
  <c r="D19" i="136" l="1"/>
  <c r="AP20" i="138"/>
  <c r="AO20" i="138"/>
  <c r="AN20" i="138"/>
  <c r="AL17" i="138"/>
  <c r="D21" i="136" l="1"/>
  <c r="F19" i="180"/>
  <c r="AK15" i="138"/>
  <c r="F19" i="79" l="1"/>
  <c r="AB5" i="136" l="1"/>
  <c r="AC5" i="136" s="1"/>
  <c r="AD5" i="136" s="1"/>
  <c r="AC159" i="9" l="1"/>
  <c r="T85" i="9"/>
  <c r="I90" i="151" s="1"/>
  <c r="K90" i="151" s="1"/>
  <c r="T86" i="9"/>
  <c r="I91" i="151" s="1"/>
  <c r="K91" i="151" s="1"/>
  <c r="T93" i="9"/>
  <c r="T80" i="9"/>
  <c r="I85" i="151" s="1"/>
  <c r="K85" i="151" s="1"/>
  <c r="T81" i="9"/>
  <c r="I86" i="151" s="1"/>
  <c r="K86" i="151" s="1"/>
  <c r="T82" i="9"/>
  <c r="I87" i="151" s="1"/>
  <c r="K87" i="151" s="1"/>
  <c r="T83" i="9"/>
  <c r="I88" i="151" s="1"/>
  <c r="K88" i="151" s="1"/>
  <c r="T84" i="9"/>
  <c r="AC84" i="9"/>
  <c r="AC85" i="9"/>
  <c r="AC86" i="9"/>
  <c r="I89" i="151" l="1"/>
  <c r="K89" i="151" s="1"/>
  <c r="A762" i="170"/>
  <c r="A779" i="170" s="1"/>
  <c r="A796" i="170" s="1"/>
  <c r="A813" i="170" s="1"/>
  <c r="G745" i="170"/>
  <c r="G762" i="170" s="1"/>
  <c r="G779" i="170" s="1"/>
  <c r="G796" i="170" s="1"/>
  <c r="AC82" i="9"/>
  <c r="G158" i="151"/>
  <c r="F74" i="101"/>
  <c r="G162" i="151"/>
  <c r="AC81" i="9"/>
  <c r="AC153" i="9"/>
  <c r="F80" i="101" l="1"/>
  <c r="A830" i="170"/>
  <c r="G813" i="170"/>
  <c r="G164" i="151"/>
  <c r="AA164" i="151" s="1"/>
  <c r="AC164" i="151" s="1"/>
  <c r="G165" i="151"/>
  <c r="G86" i="151"/>
  <c r="G88" i="151"/>
  <c r="G87" i="151"/>
  <c r="AA165" i="151" l="1"/>
  <c r="AC165" i="151" s="1"/>
  <c r="G830" i="170"/>
  <c r="A847" i="170"/>
  <c r="AE95" i="9"/>
  <c r="R51" i="59"/>
  <c r="R37" i="59"/>
  <c r="R82" i="59" s="1"/>
  <c r="S82" i="59" s="1"/>
  <c r="C83" i="59"/>
  <c r="C76" i="59"/>
  <c r="G83" i="59"/>
  <c r="G76" i="59"/>
  <c r="G847" i="170" l="1"/>
  <c r="A864" i="170"/>
  <c r="G93" i="99"/>
  <c r="J93" i="99" s="1"/>
  <c r="U88" i="9"/>
  <c r="G84" i="59"/>
  <c r="C84" i="59"/>
  <c r="L178" i="132"/>
  <c r="Q85" i="59"/>
  <c r="A881" i="170" l="1"/>
  <c r="G864" i="170"/>
  <c r="A898" i="170" l="1"/>
  <c r="G881" i="170"/>
  <c r="G898" i="170" l="1"/>
  <c r="A915" i="170"/>
  <c r="A932" i="170" l="1"/>
  <c r="G915" i="170"/>
  <c r="H91" i="99"/>
  <c r="A949" i="170" l="1"/>
  <c r="G932" i="170"/>
  <c r="H90" i="99"/>
  <c r="H89" i="99"/>
  <c r="A966" i="170" l="1"/>
  <c r="G949" i="170"/>
  <c r="AT161" i="128"/>
  <c r="G966" i="170" l="1"/>
  <c r="A983" i="170"/>
  <c r="G983" i="170" l="1"/>
  <c r="A1000" i="170"/>
  <c r="U84" i="9"/>
  <c r="U85" i="9"/>
  <c r="U86" i="9"/>
  <c r="G91" i="99"/>
  <c r="G90" i="99"/>
  <c r="G89" i="99"/>
  <c r="E19" i="136"/>
  <c r="AX158" i="8"/>
  <c r="E21" i="136" l="1"/>
  <c r="J89" i="99"/>
  <c r="J90" i="99"/>
  <c r="J91" i="99"/>
  <c r="G1000" i="170"/>
  <c r="A1017" i="170"/>
  <c r="A1034" i="170" l="1"/>
  <c r="G1017" i="170"/>
  <c r="I173" i="132" l="1"/>
  <c r="I172" i="132" s="1"/>
  <c r="I177" i="132" s="1"/>
  <c r="A1051" i="170"/>
  <c r="G1034" i="170"/>
  <c r="J20" i="136"/>
  <c r="I19" i="136"/>
  <c r="G19" i="180" s="1"/>
  <c r="Q19" i="180" s="1"/>
  <c r="K4" i="9"/>
  <c r="P59" i="59"/>
  <c r="C62" i="59"/>
  <c r="C70" i="59" s="1"/>
  <c r="P17" i="59"/>
  <c r="G34" i="154" l="1"/>
  <c r="J173" i="132"/>
  <c r="J172" i="132" s="1"/>
  <c r="J177" i="132" s="1"/>
  <c r="G13" i="167"/>
  <c r="A1068" i="170"/>
  <c r="G1051" i="170"/>
  <c r="J19" i="136"/>
  <c r="R19" i="180" s="1"/>
  <c r="S19" i="180" s="1"/>
  <c r="K20" i="136"/>
  <c r="J4" i="9"/>
  <c r="C11" i="9"/>
  <c r="C12" i="9"/>
  <c r="Y12" i="9" s="1"/>
  <c r="P19" i="59"/>
  <c r="P21" i="59"/>
  <c r="P22" i="59"/>
  <c r="P23" i="59"/>
  <c r="P24" i="59"/>
  <c r="P25" i="59"/>
  <c r="P26" i="59"/>
  <c r="P29" i="59"/>
  <c r="P44" i="59"/>
  <c r="P45" i="59"/>
  <c r="P46" i="59"/>
  <c r="P47" i="59"/>
  <c r="P49" i="59"/>
  <c r="P50" i="59"/>
  <c r="P51" i="59"/>
  <c r="P52" i="59"/>
  <c r="P53" i="59"/>
  <c r="P54" i="59"/>
  <c r="P57" i="59"/>
  <c r="P58" i="59"/>
  <c r="P60" i="59"/>
  <c r="P61" i="59"/>
  <c r="P63" i="59"/>
  <c r="P64" i="59"/>
  <c r="P65" i="59"/>
  <c r="P66" i="59"/>
  <c r="P67" i="59"/>
  <c r="P68" i="59"/>
  <c r="P7" i="59"/>
  <c r="P8" i="59"/>
  <c r="P10" i="59"/>
  <c r="P11" i="59"/>
  <c r="P12" i="59"/>
  <c r="P15" i="59"/>
  <c r="P16" i="59"/>
  <c r="P18" i="59"/>
  <c r="P4" i="59"/>
  <c r="P5" i="59"/>
  <c r="P3" i="59"/>
  <c r="Y11" i="9" l="1"/>
  <c r="Y10" i="9" s="1"/>
  <c r="S92" i="99"/>
  <c r="T90" i="99"/>
  <c r="S93" i="99"/>
  <c r="T91" i="99"/>
  <c r="R94" i="99"/>
  <c r="V94" i="99" s="1"/>
  <c r="T94" i="99"/>
  <c r="T92" i="99"/>
  <c r="R90" i="99"/>
  <c r="V90" i="99" s="1"/>
  <c r="S95" i="99"/>
  <c r="T93" i="99"/>
  <c r="R91" i="99"/>
  <c r="V91" i="99" s="1"/>
  <c r="R95" i="99"/>
  <c r="V95" i="99" s="1"/>
  <c r="R92" i="99"/>
  <c r="V92" i="99" s="1"/>
  <c r="T95" i="99"/>
  <c r="R93" i="99"/>
  <c r="V93" i="99" s="1"/>
  <c r="S94" i="99"/>
  <c r="S90" i="99"/>
  <c r="S91" i="99"/>
  <c r="S89" i="99"/>
  <c r="T89" i="99"/>
  <c r="R89" i="99"/>
  <c r="V89" i="99" s="1"/>
  <c r="K173" i="132"/>
  <c r="Q94" i="99"/>
  <c r="Q95" i="99"/>
  <c r="P95" i="99"/>
  <c r="O95" i="99"/>
  <c r="O80" i="99"/>
  <c r="O64" i="99"/>
  <c r="O48" i="99"/>
  <c r="O32" i="99"/>
  <c r="O93" i="99"/>
  <c r="O77" i="99"/>
  <c r="O61" i="99"/>
  <c r="O45" i="99"/>
  <c r="O29" i="99"/>
  <c r="O90" i="99"/>
  <c r="O74" i="99"/>
  <c r="O58" i="99"/>
  <c r="O42" i="99"/>
  <c r="O26" i="99"/>
  <c r="O87" i="99"/>
  <c r="O71" i="99"/>
  <c r="O55" i="99"/>
  <c r="O39" i="99"/>
  <c r="O19" i="99"/>
  <c r="O84" i="99"/>
  <c r="O68" i="99"/>
  <c r="O52" i="99"/>
  <c r="O36" i="99"/>
  <c r="O20" i="99"/>
  <c r="O81" i="99"/>
  <c r="O65" i="99"/>
  <c r="O49" i="99"/>
  <c r="O33" i="99"/>
  <c r="O94" i="99"/>
  <c r="O78" i="99"/>
  <c r="O62" i="99"/>
  <c r="O46" i="99"/>
  <c r="O30" i="99"/>
  <c r="O91" i="99"/>
  <c r="O75" i="99"/>
  <c r="O59" i="99"/>
  <c r="O43" i="99"/>
  <c r="O27" i="99"/>
  <c r="O88" i="99"/>
  <c r="O72" i="99"/>
  <c r="O56" i="99"/>
  <c r="O40" i="99"/>
  <c r="O24" i="99"/>
  <c r="O85" i="99"/>
  <c r="O69" i="99"/>
  <c r="O53" i="99"/>
  <c r="O37" i="99"/>
  <c r="O21" i="99"/>
  <c r="O82" i="99"/>
  <c r="O66" i="99"/>
  <c r="O50" i="99"/>
  <c r="O34" i="99"/>
  <c r="O18" i="99"/>
  <c r="O79" i="99"/>
  <c r="O63" i="99"/>
  <c r="O47" i="99"/>
  <c r="O31" i="99"/>
  <c r="O92" i="99"/>
  <c r="O76" i="99"/>
  <c r="O60" i="99"/>
  <c r="O44" i="99"/>
  <c r="O28" i="99"/>
  <c r="O89" i="99"/>
  <c r="O73" i="99"/>
  <c r="O57" i="99"/>
  <c r="O41" i="99"/>
  <c r="O25" i="99"/>
  <c r="O86" i="99"/>
  <c r="O70" i="99"/>
  <c r="O54" i="99"/>
  <c r="O38" i="99"/>
  <c r="O22" i="99"/>
  <c r="O83" i="99"/>
  <c r="O67" i="99"/>
  <c r="O51" i="99"/>
  <c r="O35" i="99"/>
  <c r="O23" i="99"/>
  <c r="Q86" i="99"/>
  <c r="Q78" i="99"/>
  <c r="Q70" i="99"/>
  <c r="Q62" i="99"/>
  <c r="Q54" i="99"/>
  <c r="Q46" i="99"/>
  <c r="Q38" i="99"/>
  <c r="Q30" i="99"/>
  <c r="P19" i="99"/>
  <c r="Q91" i="99"/>
  <c r="Q83" i="99"/>
  <c r="Q75" i="99"/>
  <c r="Q67" i="99"/>
  <c r="Q59" i="99"/>
  <c r="Q51" i="99"/>
  <c r="Q43" i="99"/>
  <c r="Q35" i="99"/>
  <c r="Q27" i="99"/>
  <c r="Q19" i="99"/>
  <c r="Q88" i="99"/>
  <c r="Q80" i="99"/>
  <c r="Q72" i="99"/>
  <c r="Q64" i="99"/>
  <c r="Q56" i="99"/>
  <c r="Q48" i="99"/>
  <c r="Q40" i="99"/>
  <c r="Q32" i="99"/>
  <c r="Q24" i="99"/>
  <c r="Q93" i="99"/>
  <c r="Q85" i="99"/>
  <c r="Q77" i="99"/>
  <c r="Q69" i="99"/>
  <c r="Q61" i="99"/>
  <c r="Q53" i="99"/>
  <c r="Q45" i="99"/>
  <c r="Q37" i="99"/>
  <c r="Q29" i="99"/>
  <c r="Q21" i="99"/>
  <c r="P87" i="99"/>
  <c r="P79" i="99"/>
  <c r="P71" i="99"/>
  <c r="P63" i="99"/>
  <c r="P55" i="99"/>
  <c r="P47" i="99"/>
  <c r="P39" i="99"/>
  <c r="P31" i="99"/>
  <c r="Q22" i="99"/>
  <c r="P92" i="99"/>
  <c r="P84" i="99"/>
  <c r="P76" i="99"/>
  <c r="P68" i="99"/>
  <c r="P60" i="99"/>
  <c r="P52" i="99"/>
  <c r="P44" i="99"/>
  <c r="P36" i="99"/>
  <c r="P28" i="99"/>
  <c r="P20" i="99"/>
  <c r="P89" i="99"/>
  <c r="P81" i="99"/>
  <c r="P73" i="99"/>
  <c r="P65" i="99"/>
  <c r="P57" i="99"/>
  <c r="P49" i="99"/>
  <c r="P41" i="99"/>
  <c r="P33" i="99"/>
  <c r="P25" i="99"/>
  <c r="P94" i="99"/>
  <c r="P86" i="99"/>
  <c r="P78" i="99"/>
  <c r="P70" i="99"/>
  <c r="P62" i="99"/>
  <c r="P54" i="99"/>
  <c r="P46" i="99"/>
  <c r="P38" i="99"/>
  <c r="P30" i="99"/>
  <c r="P22" i="99"/>
  <c r="Q90" i="99"/>
  <c r="Q82" i="99"/>
  <c r="Q74" i="99"/>
  <c r="Q66" i="99"/>
  <c r="Q58" i="99"/>
  <c r="Q50" i="99"/>
  <c r="Q42" i="99"/>
  <c r="Q34" i="99"/>
  <c r="Q26" i="99"/>
  <c r="Q87" i="99"/>
  <c r="Q79" i="99"/>
  <c r="Q71" i="99"/>
  <c r="Q63" i="99"/>
  <c r="Q55" i="99"/>
  <c r="Q47" i="99"/>
  <c r="Q39" i="99"/>
  <c r="Q31" i="99"/>
  <c r="Q23" i="99"/>
  <c r="Q92" i="99"/>
  <c r="Q84" i="99"/>
  <c r="Q76" i="99"/>
  <c r="Q68" i="99"/>
  <c r="Q60" i="99"/>
  <c r="Q52" i="99"/>
  <c r="Q44" i="99"/>
  <c r="Q36" i="99"/>
  <c r="Q28" i="99"/>
  <c r="Q20" i="99"/>
  <c r="Q89" i="99"/>
  <c r="Q81" i="99"/>
  <c r="Q73" i="99"/>
  <c r="Q65" i="99"/>
  <c r="Q57" i="99"/>
  <c r="Q49" i="99"/>
  <c r="Q41" i="99"/>
  <c r="Q33" i="99"/>
  <c r="Q25" i="99"/>
  <c r="P91" i="99"/>
  <c r="P83" i="99"/>
  <c r="P75" i="99"/>
  <c r="P67" i="99"/>
  <c r="P59" i="99"/>
  <c r="P51" i="99"/>
  <c r="P43" i="99"/>
  <c r="P35" i="99"/>
  <c r="P27" i="99"/>
  <c r="Q18" i="99"/>
  <c r="P88" i="99"/>
  <c r="P80" i="99"/>
  <c r="P72" i="99"/>
  <c r="P64" i="99"/>
  <c r="P56" i="99"/>
  <c r="P48" i="99"/>
  <c r="P40" i="99"/>
  <c r="P32" i="99"/>
  <c r="P24" i="99"/>
  <c r="P93" i="99"/>
  <c r="P85" i="99"/>
  <c r="P77" i="99"/>
  <c r="P69" i="99"/>
  <c r="P61" i="99"/>
  <c r="P53" i="99"/>
  <c r="P45" i="99"/>
  <c r="P37" i="99"/>
  <c r="P29" i="99"/>
  <c r="P21" i="99"/>
  <c r="P90" i="99"/>
  <c r="P82" i="99"/>
  <c r="P74" i="99"/>
  <c r="P66" i="99"/>
  <c r="P58" i="99"/>
  <c r="P50" i="99"/>
  <c r="P42" i="99"/>
  <c r="P34" i="99"/>
  <c r="P26" i="99"/>
  <c r="P18" i="99"/>
  <c r="P23" i="99"/>
  <c r="S20" i="99"/>
  <c r="C17" i="99"/>
  <c r="M17" i="99" s="1"/>
  <c r="N17" i="99" s="1"/>
  <c r="R12" i="9"/>
  <c r="V12" i="9"/>
  <c r="W12" i="9"/>
  <c r="AD12" i="9"/>
  <c r="S97" i="151"/>
  <c r="P97" i="151"/>
  <c r="T97" i="151"/>
  <c r="Q97" i="151"/>
  <c r="U97" i="151"/>
  <c r="R97" i="151"/>
  <c r="AD11" i="9"/>
  <c r="F99" i="99"/>
  <c r="Z99" i="99" s="1"/>
  <c r="V11" i="9"/>
  <c r="W11" i="9"/>
  <c r="Q96" i="151"/>
  <c r="P96" i="151"/>
  <c r="R11" i="9"/>
  <c r="R10" i="9" s="1"/>
  <c r="Q95" i="151"/>
  <c r="P95" i="151"/>
  <c r="P93" i="151"/>
  <c r="Q93" i="151"/>
  <c r="Q94" i="151"/>
  <c r="P91" i="151"/>
  <c r="P94" i="151"/>
  <c r="Q91" i="151"/>
  <c r="Q92" i="151"/>
  <c r="P92" i="151"/>
  <c r="P53" i="151"/>
  <c r="Q77" i="151"/>
  <c r="P43" i="151"/>
  <c r="Q59" i="151"/>
  <c r="Q18" i="151"/>
  <c r="Q58" i="151"/>
  <c r="P78" i="151"/>
  <c r="P41" i="151"/>
  <c r="Q49" i="151"/>
  <c r="P73" i="151"/>
  <c r="Q81" i="151"/>
  <c r="P31" i="151"/>
  <c r="Q47" i="151"/>
  <c r="Q30" i="151"/>
  <c r="P46" i="151"/>
  <c r="P90" i="151"/>
  <c r="Q32" i="151"/>
  <c r="P40" i="151"/>
  <c r="Q64" i="151"/>
  <c r="P72" i="151"/>
  <c r="Q88" i="151"/>
  <c r="Q29" i="151"/>
  <c r="P69" i="151"/>
  <c r="Q85" i="151"/>
  <c r="P55" i="151"/>
  <c r="Q71" i="151"/>
  <c r="Q38" i="151"/>
  <c r="P54" i="151"/>
  <c r="Q82" i="151"/>
  <c r="P20" i="151"/>
  <c r="Q36" i="151"/>
  <c r="Q52" i="151"/>
  <c r="P60" i="151"/>
  <c r="Q76" i="151"/>
  <c r="P84" i="151"/>
  <c r="P35" i="151"/>
  <c r="P67" i="151"/>
  <c r="Q34" i="151"/>
  <c r="P50" i="151"/>
  <c r="P37" i="151"/>
  <c r="Q53" i="151"/>
  <c r="Q43" i="151"/>
  <c r="P18" i="151"/>
  <c r="Q42" i="151"/>
  <c r="P58" i="151"/>
  <c r="P33" i="151"/>
  <c r="Q41" i="151"/>
  <c r="P65" i="151"/>
  <c r="Q73" i="151"/>
  <c r="P89" i="151"/>
  <c r="Q31" i="151"/>
  <c r="P79" i="151"/>
  <c r="P30" i="151"/>
  <c r="Q74" i="151"/>
  <c r="Q24" i="151"/>
  <c r="P32" i="151"/>
  <c r="Q56" i="151"/>
  <c r="P64" i="151"/>
  <c r="P88" i="151"/>
  <c r="P61" i="151"/>
  <c r="Q69" i="151"/>
  <c r="P39" i="151"/>
  <c r="Q55" i="151"/>
  <c r="P87" i="151"/>
  <c r="P38" i="151"/>
  <c r="Q70" i="151"/>
  <c r="P82" i="151"/>
  <c r="Q28" i="151"/>
  <c r="P36" i="151"/>
  <c r="P52" i="151"/>
  <c r="P76" i="151"/>
  <c r="P23" i="151"/>
  <c r="Q35" i="151"/>
  <c r="Q67" i="151"/>
  <c r="Q22" i="151"/>
  <c r="P34" i="151"/>
  <c r="Q86" i="151"/>
  <c r="P21" i="151"/>
  <c r="Q37" i="151"/>
  <c r="P27" i="151"/>
  <c r="P75" i="151"/>
  <c r="Q26" i="151"/>
  <c r="P42" i="151"/>
  <c r="P25" i="151"/>
  <c r="Q33" i="151"/>
  <c r="P57" i="151"/>
  <c r="Q65" i="151"/>
  <c r="Q89" i="151"/>
  <c r="P63" i="151"/>
  <c r="Q79" i="151"/>
  <c r="Q62" i="151"/>
  <c r="P74" i="151"/>
  <c r="P24" i="151"/>
  <c r="Q48" i="151"/>
  <c r="P56" i="151"/>
  <c r="Q80" i="151"/>
  <c r="P45" i="151"/>
  <c r="Q61" i="151"/>
  <c r="P19" i="151"/>
  <c r="Q39" i="151"/>
  <c r="Q87" i="151"/>
  <c r="P70" i="151"/>
  <c r="P28" i="151"/>
  <c r="Q44" i="151"/>
  <c r="Q68" i="151"/>
  <c r="Q23" i="151"/>
  <c r="P51" i="151"/>
  <c r="P83" i="151"/>
  <c r="P22" i="151"/>
  <c r="Q66" i="151"/>
  <c r="P86" i="151"/>
  <c r="Q21" i="151"/>
  <c r="P77" i="151"/>
  <c r="Q27" i="151"/>
  <c r="P59" i="151"/>
  <c r="Q75" i="151"/>
  <c r="P26" i="151"/>
  <c r="Q78" i="151"/>
  <c r="Q25" i="151"/>
  <c r="P49" i="151"/>
  <c r="Q57" i="151"/>
  <c r="P81" i="151"/>
  <c r="P47" i="151"/>
  <c r="Q63" i="151"/>
  <c r="Q46" i="151"/>
  <c r="P62" i="151"/>
  <c r="Q90" i="151"/>
  <c r="Q40" i="151"/>
  <c r="P48" i="151"/>
  <c r="Q72" i="151"/>
  <c r="P80" i="151"/>
  <c r="P29" i="151"/>
  <c r="Q45" i="151"/>
  <c r="P85" i="151"/>
  <c r="Q19" i="151"/>
  <c r="P71" i="151"/>
  <c r="Q54" i="151"/>
  <c r="Q20" i="151"/>
  <c r="P44" i="151"/>
  <c r="Q60" i="151"/>
  <c r="P68" i="151"/>
  <c r="Q84" i="151"/>
  <c r="Q51" i="151"/>
  <c r="Q83" i="151"/>
  <c r="Q50" i="151"/>
  <c r="P66" i="151"/>
  <c r="U91" i="151"/>
  <c r="U92" i="151"/>
  <c r="R94" i="151"/>
  <c r="U96" i="151"/>
  <c r="R89" i="151"/>
  <c r="T94" i="151"/>
  <c r="S90" i="151"/>
  <c r="S93" i="151"/>
  <c r="R93" i="151"/>
  <c r="S96" i="151"/>
  <c r="S95" i="151"/>
  <c r="S89" i="151"/>
  <c r="R90" i="151"/>
  <c r="R95" i="151"/>
  <c r="U93" i="151"/>
  <c r="S91" i="151"/>
  <c r="S92" i="151"/>
  <c r="R92" i="151"/>
  <c r="U94" i="151"/>
  <c r="U95" i="151"/>
  <c r="S94" i="151"/>
  <c r="R91" i="151"/>
  <c r="T93" i="151"/>
  <c r="T95" i="151"/>
  <c r="T92" i="151"/>
  <c r="R96" i="151"/>
  <c r="T91" i="151"/>
  <c r="T96" i="151"/>
  <c r="T90" i="151"/>
  <c r="U89" i="151"/>
  <c r="U90" i="151"/>
  <c r="T89" i="151"/>
  <c r="A1085" i="170"/>
  <c r="G1068" i="170"/>
  <c r="AA11" i="9"/>
  <c r="Z11" i="9"/>
  <c r="F95" i="99"/>
  <c r="T98" i="99"/>
  <c r="S98" i="99"/>
  <c r="F98" i="99"/>
  <c r="R98" i="99"/>
  <c r="F93" i="99"/>
  <c r="F94" i="99"/>
  <c r="F92" i="99"/>
  <c r="F90" i="99"/>
  <c r="Z12" i="9"/>
  <c r="AA12" i="9"/>
  <c r="AC11" i="9"/>
  <c r="S82" i="99"/>
  <c r="S61" i="99"/>
  <c r="S71" i="99"/>
  <c r="T76" i="99"/>
  <c r="T67" i="99"/>
  <c r="T88" i="99"/>
  <c r="S80" i="99"/>
  <c r="T87" i="99"/>
  <c r="T58" i="99"/>
  <c r="T74" i="99"/>
  <c r="S66" i="99"/>
  <c r="S77" i="99"/>
  <c r="T71" i="99"/>
  <c r="T60" i="99"/>
  <c r="T69" i="99"/>
  <c r="T85" i="99"/>
  <c r="S63" i="99"/>
  <c r="T72" i="99"/>
  <c r="S64" i="99"/>
  <c r="S75" i="99"/>
  <c r="S57" i="99"/>
  <c r="T68" i="99"/>
  <c r="T64" i="99"/>
  <c r="S58" i="99"/>
  <c r="S85" i="99"/>
  <c r="S88" i="99"/>
  <c r="S60" i="99"/>
  <c r="S62" i="99"/>
  <c r="T30" i="99"/>
  <c r="T57" i="99"/>
  <c r="T44" i="99"/>
  <c r="S42" i="99"/>
  <c r="S65" i="99"/>
  <c r="T47" i="99"/>
  <c r="T53" i="99"/>
  <c r="T40" i="99"/>
  <c r="T45" i="99"/>
  <c r="S43" i="99"/>
  <c r="T18" i="99"/>
  <c r="T42" i="99"/>
  <c r="S33" i="99"/>
  <c r="T19" i="99"/>
  <c r="T35" i="99"/>
  <c r="T51" i="99"/>
  <c r="S32" i="99"/>
  <c r="S30" i="99"/>
  <c r="S29" i="99"/>
  <c r="T20" i="99"/>
  <c r="R26" i="151"/>
  <c r="R42" i="151"/>
  <c r="R58" i="151"/>
  <c r="R74" i="151"/>
  <c r="S33" i="151"/>
  <c r="S49" i="151"/>
  <c r="S65" i="151"/>
  <c r="S81" i="151"/>
  <c r="T20" i="151"/>
  <c r="R36" i="151"/>
  <c r="U36" i="151"/>
  <c r="T56" i="151"/>
  <c r="R76" i="151"/>
  <c r="U76" i="151"/>
  <c r="U88" i="151"/>
  <c r="U27" i="151"/>
  <c r="S27" i="151"/>
  <c r="T43" i="151"/>
  <c r="U59" i="151"/>
  <c r="R59" i="151"/>
  <c r="T75" i="151"/>
  <c r="U87" i="151"/>
  <c r="R87" i="151"/>
  <c r="R44" i="151"/>
  <c r="T44" i="151"/>
  <c r="U60" i="151"/>
  <c r="R72" i="151"/>
  <c r="T23" i="151"/>
  <c r="U39" i="151"/>
  <c r="R39" i="151"/>
  <c r="T55" i="151"/>
  <c r="U71" i="151"/>
  <c r="R71" i="151"/>
  <c r="T22" i="151"/>
  <c r="R30" i="151"/>
  <c r="R46" i="151"/>
  <c r="R62" i="151"/>
  <c r="R78" i="151"/>
  <c r="T21" i="151"/>
  <c r="U29" i="151"/>
  <c r="R29" i="151"/>
  <c r="T37" i="151"/>
  <c r="U45" i="151"/>
  <c r="R45" i="151"/>
  <c r="T53" i="151"/>
  <c r="U61" i="151"/>
  <c r="R61" i="151"/>
  <c r="T69" i="151"/>
  <c r="U77" i="151"/>
  <c r="R77" i="151"/>
  <c r="T85" i="151"/>
  <c r="R28" i="151"/>
  <c r="T28" i="151"/>
  <c r="R68" i="151"/>
  <c r="T68" i="151"/>
  <c r="U80" i="151"/>
  <c r="U19" i="151"/>
  <c r="R19" i="151"/>
  <c r="T35" i="151"/>
  <c r="U51" i="151"/>
  <c r="R51" i="151"/>
  <c r="T67" i="151"/>
  <c r="U79" i="151"/>
  <c r="S79" i="151"/>
  <c r="T24" i="151"/>
  <c r="R40" i="151"/>
  <c r="U40" i="151"/>
  <c r="R64" i="151"/>
  <c r="T64" i="151"/>
  <c r="U31" i="151"/>
  <c r="S31" i="151"/>
  <c r="T47" i="151"/>
  <c r="U63" i="151"/>
  <c r="R63" i="151"/>
  <c r="T83" i="151"/>
  <c r="S70" i="99"/>
  <c r="T54" i="99"/>
  <c r="S18" i="99"/>
  <c r="S83" i="99"/>
  <c r="T37" i="99"/>
  <c r="S68" i="99"/>
  <c r="T34" i="99"/>
  <c r="T28" i="99"/>
  <c r="T27" i="99"/>
  <c r="S37" i="99"/>
  <c r="S46" i="99"/>
  <c r="S41" i="99"/>
  <c r="S56" i="99"/>
  <c r="R34" i="151"/>
  <c r="R66" i="151"/>
  <c r="T74" i="151"/>
  <c r="S41" i="151"/>
  <c r="S73" i="151"/>
  <c r="U20" i="151"/>
  <c r="R56" i="151"/>
  <c r="T76" i="151"/>
  <c r="U43" i="151"/>
  <c r="T59" i="151"/>
  <c r="R75" i="151"/>
  <c r="R32" i="151"/>
  <c r="U23" i="151"/>
  <c r="T39" i="151"/>
  <c r="R55" i="151"/>
  <c r="R22" i="151"/>
  <c r="T30" i="151"/>
  <c r="R54" i="151"/>
  <c r="T62" i="151"/>
  <c r="T70" i="151"/>
  <c r="R86" i="151"/>
  <c r="T29" i="151"/>
  <c r="R37" i="151"/>
  <c r="U53" i="151"/>
  <c r="T61" i="151"/>
  <c r="R69" i="151"/>
  <c r="U85" i="151"/>
  <c r="T48" i="151"/>
  <c r="R80" i="151"/>
  <c r="T19" i="151"/>
  <c r="R35" i="151"/>
  <c r="U67" i="151"/>
  <c r="T79" i="151"/>
  <c r="U24" i="151"/>
  <c r="R52" i="151"/>
  <c r="U64" i="151"/>
  <c r="T84" i="151"/>
  <c r="U47" i="151"/>
  <c r="T63" i="151"/>
  <c r="R83" i="151"/>
  <c r="T62" i="99"/>
  <c r="T80" i="99"/>
  <c r="T84" i="99"/>
  <c r="T66" i="99"/>
  <c r="T78" i="99"/>
  <c r="S72" i="99"/>
  <c r="T86" i="99"/>
  <c r="S27" i="99"/>
  <c r="T50" i="99"/>
  <c r="T23" i="99"/>
  <c r="S79" i="99"/>
  <c r="S26" i="99"/>
  <c r="S39" i="99"/>
  <c r="S44" i="99"/>
  <c r="S28" i="99"/>
  <c r="S18" i="151"/>
  <c r="U26" i="151"/>
  <c r="T34" i="151"/>
  <c r="S50" i="151"/>
  <c r="U58" i="151"/>
  <c r="T66" i="151"/>
  <c r="S82" i="151"/>
  <c r="T25" i="151"/>
  <c r="R33" i="151"/>
  <c r="U49" i="151"/>
  <c r="T57" i="151"/>
  <c r="R65" i="151"/>
  <c r="U81" i="151"/>
  <c r="S56" i="151"/>
  <c r="T88" i="151"/>
  <c r="S75" i="151"/>
  <c r="S32" i="151"/>
  <c r="T60" i="151"/>
  <c r="S55" i="151"/>
  <c r="S22" i="151"/>
  <c r="U30" i="151"/>
  <c r="S54" i="151"/>
  <c r="U62" i="151"/>
  <c r="S86" i="151"/>
  <c r="S21" i="151"/>
  <c r="S53" i="151"/>
  <c r="S85" i="151"/>
  <c r="S48" i="151"/>
  <c r="S67" i="151"/>
  <c r="S24" i="151"/>
  <c r="U52" i="151"/>
  <c r="S84" i="151"/>
  <c r="R47" i="151"/>
  <c r="S86" i="99"/>
  <c r="T79" i="99"/>
  <c r="T83" i="99"/>
  <c r="T82" i="99"/>
  <c r="T77" i="99"/>
  <c r="S76" i="99"/>
  <c r="S87" i="99"/>
  <c r="S78" i="99"/>
  <c r="T24" i="99"/>
  <c r="S84" i="99"/>
  <c r="S51" i="99"/>
  <c r="T26" i="99"/>
  <c r="S45" i="99"/>
  <c r="S81" i="99"/>
  <c r="T39" i="99"/>
  <c r="T32" i="99"/>
  <c r="T29" i="99"/>
  <c r="S73" i="99"/>
  <c r="S19" i="99"/>
  <c r="S40" i="99"/>
  <c r="S34" i="99"/>
  <c r="S25" i="99"/>
  <c r="S36" i="99"/>
  <c r="S31" i="99"/>
  <c r="S47" i="99"/>
  <c r="T49" i="99"/>
  <c r="S22" i="99"/>
  <c r="S54" i="99"/>
  <c r="T25" i="99"/>
  <c r="S53" i="99"/>
  <c r="S48" i="99"/>
  <c r="U18" i="151"/>
  <c r="S26" i="151"/>
  <c r="U34" i="151"/>
  <c r="S42" i="151"/>
  <c r="T42" i="151"/>
  <c r="U50" i="151"/>
  <c r="S58" i="151"/>
  <c r="T58" i="151"/>
  <c r="U66" i="151"/>
  <c r="S74" i="151"/>
  <c r="U82" i="151"/>
  <c r="U25" i="151"/>
  <c r="R25" i="151"/>
  <c r="T33" i="151"/>
  <c r="U41" i="151"/>
  <c r="R41" i="151"/>
  <c r="T49" i="151"/>
  <c r="U57" i="151"/>
  <c r="R57" i="151"/>
  <c r="T65" i="151"/>
  <c r="U73" i="151"/>
  <c r="R73" i="151"/>
  <c r="T81" i="151"/>
  <c r="S36" i="151"/>
  <c r="S76" i="151"/>
  <c r="R27" i="151"/>
  <c r="S59" i="151"/>
  <c r="S87" i="151"/>
  <c r="S44" i="151"/>
  <c r="U44" i="151"/>
  <c r="S72" i="151"/>
  <c r="T72" i="151"/>
  <c r="S39" i="151"/>
  <c r="S71" i="151"/>
  <c r="U22" i="151"/>
  <c r="S30" i="151"/>
  <c r="U38" i="151"/>
  <c r="S46" i="151"/>
  <c r="U54" i="151"/>
  <c r="S62" i="151"/>
  <c r="U70" i="151"/>
  <c r="S78" i="151"/>
  <c r="T78" i="151"/>
  <c r="U86" i="151"/>
  <c r="S29" i="151"/>
  <c r="S45" i="151"/>
  <c r="S61" i="151"/>
  <c r="S77" i="151"/>
  <c r="S28" i="151"/>
  <c r="U28" i="151"/>
  <c r="S68" i="151"/>
  <c r="U68" i="151"/>
  <c r="S19" i="151"/>
  <c r="S51" i="151"/>
  <c r="R79" i="151"/>
  <c r="S40" i="151"/>
  <c r="S64" i="151"/>
  <c r="R31" i="151"/>
  <c r="S63" i="151"/>
  <c r="T73" i="99"/>
  <c r="S67" i="99"/>
  <c r="T63" i="99"/>
  <c r="S74" i="99"/>
  <c r="S69" i="99"/>
  <c r="T81" i="99"/>
  <c r="T75" i="99"/>
  <c r="T70" i="99"/>
  <c r="S35" i="99"/>
  <c r="T41" i="99"/>
  <c r="T31" i="99"/>
  <c r="T21" i="99"/>
  <c r="T46" i="99"/>
  <c r="S24" i="99"/>
  <c r="T43" i="99"/>
  <c r="T52" i="99"/>
  <c r="S21" i="99"/>
  <c r="T36" i="99"/>
  <c r="R18" i="151"/>
  <c r="T26" i="151"/>
  <c r="R50" i="151"/>
  <c r="R82" i="151"/>
  <c r="S25" i="151"/>
  <c r="S57" i="151"/>
  <c r="R20" i="151"/>
  <c r="T36" i="151"/>
  <c r="U56" i="151"/>
  <c r="R88" i="151"/>
  <c r="T27" i="151"/>
  <c r="S43" i="151"/>
  <c r="U75" i="151"/>
  <c r="T87" i="151"/>
  <c r="T32" i="151"/>
  <c r="R60" i="151"/>
  <c r="U72" i="151"/>
  <c r="R23" i="151"/>
  <c r="U55" i="151"/>
  <c r="T71" i="151"/>
  <c r="R38" i="151"/>
  <c r="T46" i="151"/>
  <c r="R70" i="151"/>
  <c r="T86" i="151"/>
  <c r="U21" i="151"/>
  <c r="R21" i="151"/>
  <c r="U37" i="151"/>
  <c r="T45" i="151"/>
  <c r="R53" i="151"/>
  <c r="U69" i="151"/>
  <c r="T77" i="151"/>
  <c r="R85" i="151"/>
  <c r="R48" i="151"/>
  <c r="T80" i="151"/>
  <c r="U35" i="151"/>
  <c r="T51" i="151"/>
  <c r="R67" i="151"/>
  <c r="R24" i="151"/>
  <c r="T40" i="151"/>
  <c r="T52" i="151"/>
  <c r="R84" i="151"/>
  <c r="T31" i="151"/>
  <c r="S47" i="151"/>
  <c r="U83" i="151"/>
  <c r="T65" i="99"/>
  <c r="T61" i="99"/>
  <c r="T59" i="99"/>
  <c r="T38" i="99"/>
  <c r="S52" i="99"/>
  <c r="S59" i="99"/>
  <c r="T55" i="99"/>
  <c r="T48" i="99"/>
  <c r="T22" i="99"/>
  <c r="S49" i="99"/>
  <c r="S50" i="99"/>
  <c r="S23" i="99"/>
  <c r="S55" i="99"/>
  <c r="S38" i="99"/>
  <c r="T33" i="99"/>
  <c r="T56" i="99"/>
  <c r="T18" i="151"/>
  <c r="S34" i="151"/>
  <c r="U42" i="151"/>
  <c r="T50" i="151"/>
  <c r="S66" i="151"/>
  <c r="U74" i="151"/>
  <c r="T82" i="151"/>
  <c r="U33" i="151"/>
  <c r="T41" i="151"/>
  <c r="R49" i="151"/>
  <c r="U65" i="151"/>
  <c r="T73" i="151"/>
  <c r="R81" i="151"/>
  <c r="S20" i="151"/>
  <c r="S88" i="151"/>
  <c r="R43" i="151"/>
  <c r="U32" i="151"/>
  <c r="S60" i="151"/>
  <c r="S23" i="151"/>
  <c r="S38" i="151"/>
  <c r="U46" i="151"/>
  <c r="T54" i="151"/>
  <c r="S70" i="151"/>
  <c r="U78" i="151"/>
  <c r="S37" i="151"/>
  <c r="S69" i="151"/>
  <c r="U48" i="151"/>
  <c r="S80" i="151"/>
  <c r="S35" i="151"/>
  <c r="S52" i="151"/>
  <c r="U84" i="151"/>
  <c r="S83" i="151"/>
  <c r="H34" i="154"/>
  <c r="K19" i="136"/>
  <c r="G81" i="151"/>
  <c r="G73" i="151"/>
  <c r="G65" i="151"/>
  <c r="G57" i="151"/>
  <c r="G49" i="151"/>
  <c r="G41" i="151"/>
  <c r="G33" i="151"/>
  <c r="G25" i="151"/>
  <c r="G82" i="151"/>
  <c r="G74" i="151"/>
  <c r="G66" i="151"/>
  <c r="G58" i="151"/>
  <c r="G50" i="151"/>
  <c r="G46" i="151"/>
  <c r="G38" i="151"/>
  <c r="G30" i="151"/>
  <c r="G26" i="151"/>
  <c r="G22" i="151"/>
  <c r="G18" i="151"/>
  <c r="G83" i="151"/>
  <c r="G79" i="151"/>
  <c r="G75" i="151"/>
  <c r="G71" i="151"/>
  <c r="G67" i="151"/>
  <c r="G63" i="151"/>
  <c r="G59" i="151"/>
  <c r="G55" i="151"/>
  <c r="G51" i="151"/>
  <c r="G47" i="151"/>
  <c r="G43" i="151"/>
  <c r="G39" i="151"/>
  <c r="G35" i="151"/>
  <c r="G31" i="151"/>
  <c r="G27" i="151"/>
  <c r="G23" i="151"/>
  <c r="G19" i="151"/>
  <c r="G77" i="151"/>
  <c r="G69" i="151"/>
  <c r="G61" i="151"/>
  <c r="G53" i="151"/>
  <c r="G45" i="151"/>
  <c r="G37" i="151"/>
  <c r="G29" i="151"/>
  <c r="G21" i="151"/>
  <c r="G78" i="151"/>
  <c r="G70" i="151"/>
  <c r="G62" i="151"/>
  <c r="G54" i="151"/>
  <c r="G42" i="151"/>
  <c r="G34" i="151"/>
  <c r="G84" i="151"/>
  <c r="G80" i="151"/>
  <c r="G76" i="151"/>
  <c r="G72" i="151"/>
  <c r="G68" i="151"/>
  <c r="G64" i="151"/>
  <c r="G60" i="151"/>
  <c r="G56" i="151"/>
  <c r="G52" i="151"/>
  <c r="G48" i="151"/>
  <c r="G44" i="151"/>
  <c r="G40" i="151"/>
  <c r="G36" i="151"/>
  <c r="G32" i="151"/>
  <c r="G28" i="151"/>
  <c r="G24" i="151"/>
  <c r="G20" i="151"/>
  <c r="AC80" i="9"/>
  <c r="G153" i="151"/>
  <c r="F69" i="101"/>
  <c r="F61" i="101"/>
  <c r="G145" i="151"/>
  <c r="F53" i="101"/>
  <c r="G137" i="151"/>
  <c r="F45" i="101"/>
  <c r="G129" i="151"/>
  <c r="F37" i="101"/>
  <c r="G121" i="151"/>
  <c r="G113" i="151"/>
  <c r="F29" i="101"/>
  <c r="F21" i="101"/>
  <c r="G105" i="151"/>
  <c r="G150" i="151"/>
  <c r="F66" i="101"/>
  <c r="G142" i="151"/>
  <c r="F58" i="101"/>
  <c r="G138" i="151"/>
  <c r="F54" i="101"/>
  <c r="G130" i="151"/>
  <c r="F46" i="101"/>
  <c r="F42" i="101"/>
  <c r="G126" i="151"/>
  <c r="G118" i="151"/>
  <c r="F34" i="101"/>
  <c r="G110" i="151"/>
  <c r="F26" i="101"/>
  <c r="G106" i="151"/>
  <c r="F22" i="101"/>
  <c r="F71" i="101"/>
  <c r="G155" i="151"/>
  <c r="G151" i="151"/>
  <c r="F67" i="101"/>
  <c r="G147" i="151"/>
  <c r="F63" i="101"/>
  <c r="G143" i="151"/>
  <c r="F59" i="101"/>
  <c r="F55" i="101"/>
  <c r="G139" i="151"/>
  <c r="F51" i="101"/>
  <c r="G135" i="151"/>
  <c r="G131" i="151"/>
  <c r="F47" i="101"/>
  <c r="F43" i="101"/>
  <c r="G127" i="151"/>
  <c r="F39" i="101"/>
  <c r="G123" i="151"/>
  <c r="G119" i="151"/>
  <c r="F35" i="101"/>
  <c r="F31" i="101"/>
  <c r="G115" i="151"/>
  <c r="F27" i="101"/>
  <c r="G111" i="151"/>
  <c r="G107" i="151"/>
  <c r="F23" i="101"/>
  <c r="G103" i="151"/>
  <c r="F19" i="101"/>
  <c r="G157" i="151"/>
  <c r="F73" i="101"/>
  <c r="G149" i="151"/>
  <c r="F65" i="101"/>
  <c r="G141" i="151"/>
  <c r="F57" i="101"/>
  <c r="G133" i="151"/>
  <c r="F49" i="101"/>
  <c r="G125" i="151"/>
  <c r="F41" i="101"/>
  <c r="G117" i="151"/>
  <c r="F33" i="101"/>
  <c r="G109" i="151"/>
  <c r="F25" i="101"/>
  <c r="F70" i="101"/>
  <c r="G154" i="151"/>
  <c r="G146" i="151"/>
  <c r="F62" i="101"/>
  <c r="G134" i="151"/>
  <c r="F50" i="101"/>
  <c r="G122" i="151"/>
  <c r="F38" i="101"/>
  <c r="G114" i="151"/>
  <c r="F30" i="101"/>
  <c r="G156" i="151"/>
  <c r="F72" i="101"/>
  <c r="F68" i="101"/>
  <c r="G152" i="151"/>
  <c r="G148" i="151"/>
  <c r="F64" i="101"/>
  <c r="G144" i="151"/>
  <c r="F60" i="101"/>
  <c r="F56" i="101"/>
  <c r="G140" i="151"/>
  <c r="G136" i="151"/>
  <c r="F52" i="101"/>
  <c r="G132" i="151"/>
  <c r="F48" i="101"/>
  <c r="G128" i="151"/>
  <c r="F44" i="101"/>
  <c r="G124" i="151"/>
  <c r="F40" i="101"/>
  <c r="G120" i="151"/>
  <c r="F36" i="101"/>
  <c r="G116" i="151"/>
  <c r="F32" i="101"/>
  <c r="G112" i="151"/>
  <c r="F28" i="101"/>
  <c r="F24" i="101"/>
  <c r="G108" i="151"/>
  <c r="G104" i="151"/>
  <c r="F20" i="101"/>
  <c r="C16" i="99"/>
  <c r="M16" i="99" s="1"/>
  <c r="N16" i="99" s="1"/>
  <c r="R28" i="99"/>
  <c r="V28" i="99" s="1"/>
  <c r="R35" i="99"/>
  <c r="V35" i="99" s="1"/>
  <c r="R66" i="99"/>
  <c r="V66" i="99" s="1"/>
  <c r="R68" i="99"/>
  <c r="V68" i="99" s="1"/>
  <c r="R19" i="99"/>
  <c r="V19" i="99" s="1"/>
  <c r="R50" i="99"/>
  <c r="V50" i="99" s="1"/>
  <c r="R85" i="99"/>
  <c r="V85" i="99" s="1"/>
  <c r="R24" i="99"/>
  <c r="V24" i="99" s="1"/>
  <c r="R41" i="99"/>
  <c r="V41" i="99" s="1"/>
  <c r="R73" i="99"/>
  <c r="V73" i="99" s="1"/>
  <c r="R60" i="99"/>
  <c r="V60" i="99" s="1"/>
  <c r="R69" i="99"/>
  <c r="V69" i="99" s="1"/>
  <c r="R67" i="99"/>
  <c r="V67" i="99" s="1"/>
  <c r="R42" i="99"/>
  <c r="V42" i="99" s="1"/>
  <c r="R21" i="99"/>
  <c r="V21" i="99" s="1"/>
  <c r="R44" i="99"/>
  <c r="V44" i="99" s="1"/>
  <c r="R59" i="99"/>
  <c r="V59" i="99" s="1"/>
  <c r="R26" i="99"/>
  <c r="V26" i="99" s="1"/>
  <c r="R82" i="99"/>
  <c r="V82" i="99" s="1"/>
  <c r="R72" i="99"/>
  <c r="V72" i="99" s="1"/>
  <c r="R84" i="99"/>
  <c r="V84" i="99" s="1"/>
  <c r="R77" i="99"/>
  <c r="V77" i="99" s="1"/>
  <c r="R29" i="99"/>
  <c r="V29" i="99" s="1"/>
  <c r="R43" i="99"/>
  <c r="V43" i="99" s="1"/>
  <c r="R88" i="99"/>
  <c r="V88" i="99" s="1"/>
  <c r="R64" i="99"/>
  <c r="V64" i="99" s="1"/>
  <c r="R23" i="99"/>
  <c r="V23" i="99" s="1"/>
  <c r="R55" i="99"/>
  <c r="V55" i="99" s="1"/>
  <c r="R87" i="99"/>
  <c r="V87" i="99" s="1"/>
  <c r="R30" i="99"/>
  <c r="V30" i="99" s="1"/>
  <c r="R62" i="99"/>
  <c r="V62" i="99" s="1"/>
  <c r="R36" i="99"/>
  <c r="V36" i="99" s="1"/>
  <c r="R83" i="99"/>
  <c r="V83" i="99" s="1"/>
  <c r="R58" i="99"/>
  <c r="V58" i="99" s="1"/>
  <c r="R37" i="99"/>
  <c r="V37" i="99" s="1"/>
  <c r="R76" i="99"/>
  <c r="V76" i="99" s="1"/>
  <c r="R48" i="99"/>
  <c r="V48" i="99" s="1"/>
  <c r="R56" i="99"/>
  <c r="V56" i="99" s="1"/>
  <c r="R47" i="99"/>
  <c r="V47" i="99" s="1"/>
  <c r="R79" i="99"/>
  <c r="V79" i="99" s="1"/>
  <c r="R22" i="99"/>
  <c r="V22" i="99" s="1"/>
  <c r="R54" i="99"/>
  <c r="V54" i="99" s="1"/>
  <c r="R86" i="99"/>
  <c r="V86" i="99" s="1"/>
  <c r="R65" i="99"/>
  <c r="V65" i="99" s="1"/>
  <c r="R51" i="99"/>
  <c r="V51" i="99" s="1"/>
  <c r="R18" i="99"/>
  <c r="V18" i="99" s="1"/>
  <c r="R52" i="99"/>
  <c r="V52" i="99" s="1"/>
  <c r="R74" i="99"/>
  <c r="V74" i="99" s="1"/>
  <c r="R45" i="99"/>
  <c r="V45" i="99" s="1"/>
  <c r="R33" i="99"/>
  <c r="V33" i="99" s="1"/>
  <c r="R40" i="99"/>
  <c r="V40" i="99" s="1"/>
  <c r="R39" i="99"/>
  <c r="V39" i="99" s="1"/>
  <c r="R71" i="99"/>
  <c r="V71" i="99" s="1"/>
  <c r="R46" i="99"/>
  <c r="V46" i="99" s="1"/>
  <c r="R78" i="99"/>
  <c r="V78" i="99" s="1"/>
  <c r="R25" i="99"/>
  <c r="V25" i="99" s="1"/>
  <c r="R57" i="99"/>
  <c r="V57" i="99" s="1"/>
  <c r="R53" i="99"/>
  <c r="V53" i="99" s="1"/>
  <c r="R27" i="99"/>
  <c r="V27" i="99" s="1"/>
  <c r="R20" i="99"/>
  <c r="V20" i="99" s="1"/>
  <c r="R61" i="99"/>
  <c r="V61" i="99" s="1"/>
  <c r="R75" i="99"/>
  <c r="V75" i="99" s="1"/>
  <c r="R34" i="99"/>
  <c r="V34" i="99" s="1"/>
  <c r="R81" i="99"/>
  <c r="V81" i="99" s="1"/>
  <c r="R32" i="99"/>
  <c r="V32" i="99" s="1"/>
  <c r="R80" i="99"/>
  <c r="V80" i="99" s="1"/>
  <c r="R31" i="99"/>
  <c r="V31" i="99" s="1"/>
  <c r="R63" i="99"/>
  <c r="V63" i="99" s="1"/>
  <c r="R38" i="99"/>
  <c r="V38" i="99" s="1"/>
  <c r="R70" i="99"/>
  <c r="V70" i="99" s="1"/>
  <c r="R49" i="99"/>
  <c r="V49" i="99" s="1"/>
  <c r="D17" i="151"/>
  <c r="D16" i="151"/>
  <c r="C350" i="170" s="1"/>
  <c r="E350" i="170" s="1"/>
  <c r="H88" i="99"/>
  <c r="H75" i="99"/>
  <c r="H67" i="99"/>
  <c r="H59" i="99"/>
  <c r="H51" i="99"/>
  <c r="H43" i="99"/>
  <c r="H39" i="99"/>
  <c r="H31" i="99"/>
  <c r="H19" i="99"/>
  <c r="H87" i="99"/>
  <c r="H82" i="99"/>
  <c r="H78" i="99"/>
  <c r="H74" i="99"/>
  <c r="H70" i="99"/>
  <c r="H66" i="99"/>
  <c r="H62" i="99"/>
  <c r="H58" i="99"/>
  <c r="H54" i="99"/>
  <c r="H50" i="99"/>
  <c r="H46" i="99"/>
  <c r="H42" i="99"/>
  <c r="H38" i="99"/>
  <c r="H34" i="99"/>
  <c r="H30" i="99"/>
  <c r="H26" i="99"/>
  <c r="H22" i="99"/>
  <c r="H18" i="99"/>
  <c r="H83" i="99"/>
  <c r="H79" i="99"/>
  <c r="H71" i="99"/>
  <c r="H63" i="99"/>
  <c r="H55" i="99"/>
  <c r="H47" i="99"/>
  <c r="H35" i="99"/>
  <c r="H27" i="99"/>
  <c r="H23" i="99"/>
  <c r="H86" i="99"/>
  <c r="H81" i="99"/>
  <c r="H77" i="99"/>
  <c r="H73" i="99"/>
  <c r="H69" i="99"/>
  <c r="H65" i="99"/>
  <c r="H61" i="99"/>
  <c r="H57" i="99"/>
  <c r="H53" i="99"/>
  <c r="H49" i="99"/>
  <c r="H45" i="99"/>
  <c r="H41" i="99"/>
  <c r="H37" i="99"/>
  <c r="H33" i="99"/>
  <c r="H29" i="99"/>
  <c r="H25" i="99"/>
  <c r="H21" i="99"/>
  <c r="H85" i="99"/>
  <c r="H80" i="99"/>
  <c r="H76" i="99"/>
  <c r="H72" i="99"/>
  <c r="H68" i="99"/>
  <c r="H64" i="99"/>
  <c r="H60" i="99"/>
  <c r="H56" i="99"/>
  <c r="H52" i="99"/>
  <c r="H48" i="99"/>
  <c r="H44" i="99"/>
  <c r="H40" i="99"/>
  <c r="H36" i="99"/>
  <c r="H32" i="99"/>
  <c r="H28" i="99"/>
  <c r="H24" i="99"/>
  <c r="O69" i="59"/>
  <c r="P69" i="59" s="1"/>
  <c r="O62" i="59"/>
  <c r="K62" i="59"/>
  <c r="K70" i="59" s="1"/>
  <c r="G62" i="59"/>
  <c r="O48" i="59"/>
  <c r="K48" i="59"/>
  <c r="G48" i="59"/>
  <c r="Y35" i="99" l="1"/>
  <c r="Y22" i="99"/>
  <c r="Y86" i="99"/>
  <c r="Y73" i="99"/>
  <c r="Y60" i="99"/>
  <c r="Y47" i="99"/>
  <c r="Y34" i="99"/>
  <c r="Y21" i="99"/>
  <c r="Y85" i="99"/>
  <c r="Y72" i="99"/>
  <c r="Y59" i="99"/>
  <c r="Y46" i="99"/>
  <c r="Y33" i="99"/>
  <c r="Y20" i="99"/>
  <c r="Y84" i="99"/>
  <c r="Y71" i="99"/>
  <c r="Y58" i="99"/>
  <c r="Y45" i="99"/>
  <c r="Y32" i="99"/>
  <c r="Y95" i="99"/>
  <c r="Y51" i="99"/>
  <c r="Y38" i="99"/>
  <c r="Y25" i="99"/>
  <c r="Y89" i="99"/>
  <c r="Y76" i="99"/>
  <c r="Y63" i="99"/>
  <c r="Y50" i="99"/>
  <c r="Y37" i="99"/>
  <c r="Y24" i="99"/>
  <c r="Y88" i="99"/>
  <c r="Y75" i="99"/>
  <c r="Y62" i="99"/>
  <c r="Y49" i="99"/>
  <c r="Y36" i="99"/>
  <c r="Y19" i="99"/>
  <c r="Y87" i="99"/>
  <c r="Y74" i="99"/>
  <c r="Y61" i="99"/>
  <c r="Y48" i="99"/>
  <c r="Y67" i="99"/>
  <c r="Y54" i="99"/>
  <c r="Y41" i="99"/>
  <c r="Y28" i="99"/>
  <c r="Y92" i="99"/>
  <c r="Y79" i="99"/>
  <c r="Y66" i="99"/>
  <c r="Y53" i="99"/>
  <c r="Y40" i="99"/>
  <c r="Y27" i="99"/>
  <c r="Y91" i="99"/>
  <c r="Y78" i="99"/>
  <c r="Y65" i="99"/>
  <c r="Y52" i="99"/>
  <c r="Y39" i="99"/>
  <c r="Y26" i="99"/>
  <c r="Y90" i="99"/>
  <c r="Y77" i="99"/>
  <c r="Y64" i="99"/>
  <c r="Y23" i="99"/>
  <c r="Y83" i="99"/>
  <c r="Y70" i="99"/>
  <c r="Y57" i="99"/>
  <c r="Y44" i="99"/>
  <c r="Y31" i="99"/>
  <c r="Y18" i="99"/>
  <c r="Y82" i="99"/>
  <c r="Y69" i="99"/>
  <c r="Y56" i="99"/>
  <c r="Y43" i="99"/>
  <c r="Y30" i="99"/>
  <c r="Y94" i="99"/>
  <c r="Y81" i="99"/>
  <c r="Y68" i="99"/>
  <c r="Y55" i="99"/>
  <c r="Y42" i="99"/>
  <c r="Y29" i="99"/>
  <c r="Y93" i="99"/>
  <c r="Y80" i="99"/>
  <c r="I589" i="170"/>
  <c r="K589" i="170" s="1"/>
  <c r="C474" i="170"/>
  <c r="E474" i="170" s="1"/>
  <c r="C45" i="170"/>
  <c r="E45" i="170" s="1"/>
  <c r="C301" i="170"/>
  <c r="E301" i="170" s="1"/>
  <c r="I215" i="170"/>
  <c r="K215" i="170" s="1"/>
  <c r="I423" i="170"/>
  <c r="K423" i="170" s="1"/>
  <c r="C318" i="170"/>
  <c r="E318" i="170" s="1"/>
  <c r="I164" i="170"/>
  <c r="K164" i="170" s="1"/>
  <c r="I181" i="170"/>
  <c r="K181" i="170" s="1"/>
  <c r="I336" i="170"/>
  <c r="K336" i="170" s="1"/>
  <c r="I509" i="170"/>
  <c r="K509" i="170" s="1"/>
  <c r="C354" i="170"/>
  <c r="E354" i="170" s="1"/>
  <c r="I388" i="170"/>
  <c r="K388" i="170" s="1"/>
  <c r="C130" i="170"/>
  <c r="E130" i="170" s="1"/>
  <c r="C492" i="170"/>
  <c r="E492" i="170" s="1"/>
  <c r="I610" i="170"/>
  <c r="K610" i="170" s="1"/>
  <c r="C371" i="170"/>
  <c r="E371" i="170" s="1"/>
  <c r="C437" i="170"/>
  <c r="E437" i="170" s="1"/>
  <c r="I590" i="170"/>
  <c r="K590" i="170" s="1"/>
  <c r="C403" i="170"/>
  <c r="E403" i="170" s="1"/>
  <c r="I556" i="170"/>
  <c r="K556" i="170" s="1"/>
  <c r="C471" i="170"/>
  <c r="E471" i="170" s="1"/>
  <c r="I351" i="170"/>
  <c r="K351" i="170" s="1"/>
  <c r="I42" i="170"/>
  <c r="K42" i="170" s="1"/>
  <c r="C315" i="170"/>
  <c r="E315" i="170" s="1"/>
  <c r="I195" i="170"/>
  <c r="K195" i="170" s="1"/>
  <c r="C420" i="170"/>
  <c r="E420" i="170" s="1"/>
  <c r="I624" i="170"/>
  <c r="K624" i="170" s="1"/>
  <c r="I144" i="170"/>
  <c r="K144" i="170" s="1"/>
  <c r="C42" i="170"/>
  <c r="E42" i="170" s="1"/>
  <c r="C212" i="170"/>
  <c r="E212" i="170" s="1"/>
  <c r="I489" i="170"/>
  <c r="K489" i="170" s="1"/>
  <c r="I643" i="170"/>
  <c r="K643" i="170" s="1"/>
  <c r="I660" i="170"/>
  <c r="K660" i="170" s="1"/>
  <c r="I143" i="170"/>
  <c r="K143" i="170" s="1"/>
  <c r="I280" i="170"/>
  <c r="K280" i="170" s="1"/>
  <c r="I419" i="170"/>
  <c r="K419" i="170" s="1"/>
  <c r="I555" i="170"/>
  <c r="K555" i="170" s="1"/>
  <c r="C280" i="170"/>
  <c r="E280" i="170" s="1"/>
  <c r="C24" i="170"/>
  <c r="E24" i="170" s="1"/>
  <c r="C160" i="170"/>
  <c r="E160" i="170" s="1"/>
  <c r="C297" i="170"/>
  <c r="E297" i="170" s="1"/>
  <c r="C436" i="170"/>
  <c r="E436" i="170" s="1"/>
  <c r="C572" i="170"/>
  <c r="E572" i="170" s="1"/>
  <c r="C419" i="170"/>
  <c r="E419" i="170" s="1"/>
  <c r="I92" i="170"/>
  <c r="K92" i="170" s="1"/>
  <c r="I229" i="170"/>
  <c r="K229" i="170" s="1"/>
  <c r="I367" i="170"/>
  <c r="K367" i="170" s="1"/>
  <c r="I505" i="170"/>
  <c r="K505" i="170" s="1"/>
  <c r="C246" i="170"/>
  <c r="E246" i="170" s="1"/>
  <c r="I284" i="170"/>
  <c r="K284" i="170" s="1"/>
  <c r="C79" i="170"/>
  <c r="E79" i="170" s="1"/>
  <c r="I45" i="170"/>
  <c r="K45" i="170" s="1"/>
  <c r="I62" i="170"/>
  <c r="K62" i="170" s="1"/>
  <c r="C627" i="170"/>
  <c r="E627" i="170" s="1"/>
  <c r="I542" i="170"/>
  <c r="K542" i="170" s="1"/>
  <c r="I354" i="170"/>
  <c r="K354" i="170" s="1"/>
  <c r="I456" i="170"/>
  <c r="K456" i="170" s="1"/>
  <c r="C336" i="170"/>
  <c r="E336" i="170" s="1"/>
  <c r="C440" i="170"/>
  <c r="E440" i="170" s="1"/>
  <c r="I406" i="170"/>
  <c r="K406" i="170" s="1"/>
  <c r="C215" i="170"/>
  <c r="E215" i="170" s="1"/>
  <c r="I28" i="170"/>
  <c r="K28" i="170" s="1"/>
  <c r="C456" i="170"/>
  <c r="E456" i="170" s="1"/>
  <c r="I526" i="170"/>
  <c r="K526" i="170" s="1"/>
  <c r="C542" i="170"/>
  <c r="E542" i="170" s="1"/>
  <c r="I198" i="170"/>
  <c r="K198" i="170" s="1"/>
  <c r="C181" i="170"/>
  <c r="E181" i="170" s="1"/>
  <c r="C233" i="170"/>
  <c r="E233" i="170" s="1"/>
  <c r="C679" i="170"/>
  <c r="E679" i="170" s="1"/>
  <c r="C453" i="170"/>
  <c r="E453" i="170" s="1"/>
  <c r="C281" i="170"/>
  <c r="E281" i="170" s="1"/>
  <c r="C93" i="170"/>
  <c r="E93" i="170" s="1"/>
  <c r="I523" i="170"/>
  <c r="K523" i="170" s="1"/>
  <c r="C59" i="170"/>
  <c r="E59" i="170" s="1"/>
  <c r="I608" i="170"/>
  <c r="K608" i="170" s="1"/>
  <c r="I247" i="170"/>
  <c r="K247" i="170" s="1"/>
  <c r="C76" i="170"/>
  <c r="E76" i="170" s="1"/>
  <c r="I403" i="170"/>
  <c r="K403" i="170" s="1"/>
  <c r="I506" i="170"/>
  <c r="K506" i="170" s="1"/>
  <c r="C608" i="170"/>
  <c r="E608" i="170" s="1"/>
  <c r="C178" i="170"/>
  <c r="E178" i="170" s="1"/>
  <c r="C195" i="170"/>
  <c r="E195" i="170" s="1"/>
  <c r="C127" i="170"/>
  <c r="E127" i="170" s="1"/>
  <c r="C368" i="170"/>
  <c r="E368" i="170" s="1"/>
  <c r="I437" i="170"/>
  <c r="K437" i="170" s="1"/>
  <c r="C385" i="170"/>
  <c r="E385" i="170" s="1"/>
  <c r="I333" i="170"/>
  <c r="K333" i="170" s="1"/>
  <c r="C625" i="170"/>
  <c r="E625" i="170" s="1"/>
  <c r="I315" i="170"/>
  <c r="K315" i="170" s="1"/>
  <c r="C676" i="170"/>
  <c r="E676" i="170" s="1"/>
  <c r="I659" i="170"/>
  <c r="K659" i="170" s="1"/>
  <c r="I41" i="170"/>
  <c r="K41" i="170" s="1"/>
  <c r="I177" i="170"/>
  <c r="K177" i="170" s="1"/>
  <c r="I314" i="170"/>
  <c r="K314" i="170" s="1"/>
  <c r="I452" i="170"/>
  <c r="K452" i="170" s="1"/>
  <c r="I572" i="170"/>
  <c r="K572" i="170" s="1"/>
  <c r="C384" i="170"/>
  <c r="E384" i="170" s="1"/>
  <c r="C58" i="170"/>
  <c r="E58" i="170" s="1"/>
  <c r="C194" i="170"/>
  <c r="E194" i="170" s="1"/>
  <c r="C332" i="170"/>
  <c r="E332" i="170" s="1"/>
  <c r="C470" i="170"/>
  <c r="E470" i="170" s="1"/>
  <c r="C109" i="170"/>
  <c r="E109" i="170" s="1"/>
  <c r="C522" i="170"/>
  <c r="E522" i="170" s="1"/>
  <c r="I126" i="170"/>
  <c r="K126" i="170" s="1"/>
  <c r="I263" i="170"/>
  <c r="K263" i="170" s="1"/>
  <c r="I402" i="170"/>
  <c r="K402" i="170" s="1"/>
  <c r="I538" i="170"/>
  <c r="K538" i="170" s="1"/>
  <c r="K700" i="170"/>
  <c r="I699" i="170"/>
  <c r="K699" i="170" s="1"/>
  <c r="E717" i="170"/>
  <c r="I692" i="170"/>
  <c r="K692" i="170" s="1"/>
  <c r="E700" i="170"/>
  <c r="I675" i="170"/>
  <c r="K675" i="170" s="1"/>
  <c r="C692" i="170"/>
  <c r="E692" i="170" s="1"/>
  <c r="K683" i="170"/>
  <c r="C699" i="170"/>
  <c r="E699" i="170" s="1"/>
  <c r="I682" i="170"/>
  <c r="K682" i="170" s="1"/>
  <c r="C658" i="170"/>
  <c r="E658" i="170" s="1"/>
  <c r="C682" i="170"/>
  <c r="E682" i="170" s="1"/>
  <c r="I648" i="170"/>
  <c r="K648" i="170" s="1"/>
  <c r="K666" i="170"/>
  <c r="C675" i="170"/>
  <c r="E675" i="170" s="1"/>
  <c r="E666" i="170"/>
  <c r="I658" i="170"/>
  <c r="K658" i="170" s="1"/>
  <c r="E683" i="170"/>
  <c r="I641" i="170"/>
  <c r="K641" i="170" s="1"/>
  <c r="C665" i="170"/>
  <c r="E665" i="170" s="1"/>
  <c r="I665" i="170"/>
  <c r="K665" i="170" s="1"/>
  <c r="K649" i="170"/>
  <c r="E271" i="170"/>
  <c r="C339" i="170"/>
  <c r="E339" i="170" s="1"/>
  <c r="I562" i="170"/>
  <c r="K562" i="170" s="1"/>
  <c r="K597" i="170"/>
  <c r="I477" i="170"/>
  <c r="K477" i="170" s="1"/>
  <c r="E460" i="170"/>
  <c r="K631" i="170"/>
  <c r="E83" i="170"/>
  <c r="C374" i="170"/>
  <c r="E374" i="170" s="1"/>
  <c r="I321" i="170"/>
  <c r="K321" i="170" s="1"/>
  <c r="K202" i="170"/>
  <c r="I82" i="170"/>
  <c r="K82" i="170" s="1"/>
  <c r="C184" i="170"/>
  <c r="E184" i="170" s="1"/>
  <c r="E117" i="170"/>
  <c r="K530" i="170"/>
  <c r="E614" i="170"/>
  <c r="I374" i="170"/>
  <c r="K374" i="170" s="1"/>
  <c r="C495" i="170"/>
  <c r="E495" i="170" s="1"/>
  <c r="I409" i="170"/>
  <c r="K409" i="170" s="1"/>
  <c r="C477" i="170"/>
  <c r="E477" i="170" s="1"/>
  <c r="K546" i="170"/>
  <c r="K254" i="170"/>
  <c r="K219" i="170"/>
  <c r="E580" i="170"/>
  <c r="E410" i="170"/>
  <c r="I31" i="170"/>
  <c r="K31" i="170" s="1"/>
  <c r="K271" i="170"/>
  <c r="C133" i="170"/>
  <c r="E133" i="170" s="1"/>
  <c r="I391" i="170"/>
  <c r="K391" i="170" s="1"/>
  <c r="I304" i="170"/>
  <c r="K304" i="170" s="1"/>
  <c r="E100" i="170"/>
  <c r="E237" i="170"/>
  <c r="K358" i="170"/>
  <c r="I133" i="170"/>
  <c r="K133" i="170" s="1"/>
  <c r="E530" i="170"/>
  <c r="C426" i="170"/>
  <c r="E426" i="170" s="1"/>
  <c r="E631" i="170"/>
  <c r="C31" i="170"/>
  <c r="E31" i="170" s="1"/>
  <c r="I357" i="170"/>
  <c r="K357" i="170" s="1"/>
  <c r="E305" i="170"/>
  <c r="C253" i="170"/>
  <c r="E253" i="170" s="1"/>
  <c r="C48" i="170"/>
  <c r="E48" i="170" s="1"/>
  <c r="E185" i="170"/>
  <c r="C116" i="170"/>
  <c r="E116" i="170" s="1"/>
  <c r="K496" i="170"/>
  <c r="K460" i="170"/>
  <c r="E597" i="170"/>
  <c r="I596" i="170"/>
  <c r="K596" i="170" s="1"/>
  <c r="C150" i="170"/>
  <c r="E150" i="170" s="1"/>
  <c r="K237" i="170"/>
  <c r="C65" i="170"/>
  <c r="E65" i="170" s="1"/>
  <c r="C167" i="170"/>
  <c r="E167" i="170" s="1"/>
  <c r="K49" i="170"/>
  <c r="I630" i="170"/>
  <c r="K630" i="170" s="1"/>
  <c r="K151" i="170"/>
  <c r="C82" i="170"/>
  <c r="E82" i="170" s="1"/>
  <c r="E322" i="170"/>
  <c r="I426" i="170"/>
  <c r="K426" i="170" s="1"/>
  <c r="E563" i="170"/>
  <c r="I495" i="170"/>
  <c r="K495" i="170" s="1"/>
  <c r="I529" i="170"/>
  <c r="K529" i="170" s="1"/>
  <c r="I443" i="170"/>
  <c r="K443" i="170" s="1"/>
  <c r="E358" i="170"/>
  <c r="C443" i="170"/>
  <c r="E443" i="170" s="1"/>
  <c r="K614" i="170"/>
  <c r="I116" i="170"/>
  <c r="K116" i="170" s="1"/>
  <c r="I253" i="170"/>
  <c r="K253" i="170" s="1"/>
  <c r="I218" i="170"/>
  <c r="K218" i="170" s="1"/>
  <c r="E649" i="170"/>
  <c r="K185" i="170"/>
  <c r="K513" i="170"/>
  <c r="C201" i="170"/>
  <c r="E201" i="170" s="1"/>
  <c r="I339" i="170"/>
  <c r="K339" i="170" s="1"/>
  <c r="C630" i="170"/>
  <c r="E630" i="170" s="1"/>
  <c r="I150" i="170"/>
  <c r="K150" i="170" s="1"/>
  <c r="I65" i="170"/>
  <c r="K65" i="170" s="1"/>
  <c r="E375" i="170"/>
  <c r="C321" i="170"/>
  <c r="E321" i="170" s="1"/>
  <c r="K427" i="170"/>
  <c r="E478" i="170"/>
  <c r="E392" i="170"/>
  <c r="E444" i="170"/>
  <c r="I613" i="170"/>
  <c r="K613" i="170" s="1"/>
  <c r="E513" i="170"/>
  <c r="C579" i="170"/>
  <c r="E579" i="170" s="1"/>
  <c r="C648" i="170"/>
  <c r="E648" i="170" s="1"/>
  <c r="K340" i="170"/>
  <c r="C99" i="170"/>
  <c r="E99" i="170" s="1"/>
  <c r="C218" i="170"/>
  <c r="E218" i="170" s="1"/>
  <c r="K134" i="170"/>
  <c r="I287" i="170"/>
  <c r="K287" i="170" s="1"/>
  <c r="C270" i="170"/>
  <c r="E270" i="170" s="1"/>
  <c r="C596" i="170"/>
  <c r="E596" i="170" s="1"/>
  <c r="E340" i="170"/>
  <c r="K168" i="170"/>
  <c r="E288" i="170"/>
  <c r="E546" i="170"/>
  <c r="I236" i="170"/>
  <c r="K236" i="170" s="1"/>
  <c r="K478" i="170"/>
  <c r="C459" i="170"/>
  <c r="E459" i="170" s="1"/>
  <c r="E168" i="170"/>
  <c r="I48" i="170"/>
  <c r="K48" i="170" s="1"/>
  <c r="I623" i="170"/>
  <c r="K623" i="170" s="1"/>
  <c r="E254" i="170"/>
  <c r="K66" i="170"/>
  <c r="E49" i="170"/>
  <c r="K322" i="170"/>
  <c r="I201" i="170"/>
  <c r="K201" i="170" s="1"/>
  <c r="C562" i="170"/>
  <c r="E562" i="170" s="1"/>
  <c r="K83" i="170"/>
  <c r="C613" i="170"/>
  <c r="E613" i="170" s="1"/>
  <c r="K580" i="170"/>
  <c r="K375" i="170"/>
  <c r="K100" i="170"/>
  <c r="C357" i="170"/>
  <c r="E357" i="170" s="1"/>
  <c r="K410" i="170"/>
  <c r="C391" i="170"/>
  <c r="E391" i="170" s="1"/>
  <c r="I545" i="170"/>
  <c r="K545" i="170" s="1"/>
  <c r="C512" i="170"/>
  <c r="E512" i="170" s="1"/>
  <c r="K117" i="170"/>
  <c r="C641" i="170"/>
  <c r="E641" i="170" s="1"/>
  <c r="I184" i="170"/>
  <c r="K184" i="170" s="1"/>
  <c r="I512" i="170"/>
  <c r="K512" i="170" s="1"/>
  <c r="I270" i="170"/>
  <c r="K270" i="170" s="1"/>
  <c r="K392" i="170"/>
  <c r="K305" i="170"/>
  <c r="C236" i="170"/>
  <c r="E236" i="170" s="1"/>
  <c r="E219" i="170"/>
  <c r="C529" i="170"/>
  <c r="E529" i="170" s="1"/>
  <c r="C304" i="170"/>
  <c r="E304" i="170" s="1"/>
  <c r="E427" i="170"/>
  <c r="E32" i="170"/>
  <c r="K288" i="170"/>
  <c r="I459" i="170"/>
  <c r="K459" i="170" s="1"/>
  <c r="K563" i="170"/>
  <c r="I167" i="170"/>
  <c r="K167" i="170" s="1"/>
  <c r="C287" i="170"/>
  <c r="E287" i="170" s="1"/>
  <c r="E151" i="170"/>
  <c r="C545" i="170"/>
  <c r="E545" i="170" s="1"/>
  <c r="E66" i="170"/>
  <c r="K444" i="170"/>
  <c r="I579" i="170"/>
  <c r="K579" i="170" s="1"/>
  <c r="E496" i="170"/>
  <c r="I99" i="170"/>
  <c r="K99" i="170" s="1"/>
  <c r="C409" i="170"/>
  <c r="E409" i="170" s="1"/>
  <c r="K32" i="170"/>
  <c r="E202" i="170"/>
  <c r="E134" i="170"/>
  <c r="I606" i="170"/>
  <c r="K606" i="170" s="1"/>
  <c r="C623" i="170"/>
  <c r="E623" i="170" s="1"/>
  <c r="C606" i="170"/>
  <c r="E606" i="170" s="1"/>
  <c r="I559" i="170"/>
  <c r="K559" i="170" s="1"/>
  <c r="C593" i="170"/>
  <c r="E593" i="170" s="1"/>
  <c r="I440" i="170"/>
  <c r="K440" i="170" s="1"/>
  <c r="C284" i="170"/>
  <c r="E284" i="170" s="1"/>
  <c r="I318" i="170"/>
  <c r="K318" i="170" s="1"/>
  <c r="C198" i="170"/>
  <c r="E198" i="170" s="1"/>
  <c r="C28" i="170"/>
  <c r="E28" i="170" s="1"/>
  <c r="I130" i="170"/>
  <c r="K130" i="170" s="1"/>
  <c r="I96" i="170"/>
  <c r="K96" i="170" s="1"/>
  <c r="I492" i="170"/>
  <c r="K492" i="170" s="1"/>
  <c r="C559" i="170"/>
  <c r="E559" i="170" s="1"/>
  <c r="C610" i="170"/>
  <c r="E610" i="170" s="1"/>
  <c r="C164" i="170"/>
  <c r="E164" i="170" s="1"/>
  <c r="I301" i="170"/>
  <c r="K301" i="170" s="1"/>
  <c r="I113" i="170"/>
  <c r="K113" i="170" s="1"/>
  <c r="C406" i="170"/>
  <c r="E406" i="170" s="1"/>
  <c r="I474" i="170"/>
  <c r="K474" i="170" s="1"/>
  <c r="C526" i="170"/>
  <c r="E526" i="170" s="1"/>
  <c r="C96" i="170"/>
  <c r="E96" i="170" s="1"/>
  <c r="I645" i="170"/>
  <c r="K645" i="170" s="1"/>
  <c r="C662" i="170"/>
  <c r="E662" i="170" s="1"/>
  <c r="I679" i="170"/>
  <c r="K679" i="170" s="1"/>
  <c r="I471" i="170"/>
  <c r="K471" i="170" s="1"/>
  <c r="I110" i="170"/>
  <c r="K110" i="170" s="1"/>
  <c r="I281" i="170"/>
  <c r="K281" i="170" s="1"/>
  <c r="I573" i="170"/>
  <c r="K573" i="170" s="1"/>
  <c r="C506" i="170"/>
  <c r="E506" i="170" s="1"/>
  <c r="I625" i="170"/>
  <c r="K625" i="170" s="1"/>
  <c r="I76" i="170"/>
  <c r="K76" i="170" s="1"/>
  <c r="I93" i="170"/>
  <c r="K93" i="170" s="1"/>
  <c r="C161" i="170"/>
  <c r="E161" i="170" s="1"/>
  <c r="I59" i="170"/>
  <c r="K59" i="170" s="1"/>
  <c r="I607" i="170"/>
  <c r="K607" i="170" s="1"/>
  <c r="I385" i="170"/>
  <c r="K385" i="170" s="1"/>
  <c r="C144" i="170"/>
  <c r="E144" i="170" s="1"/>
  <c r="I539" i="170"/>
  <c r="K539" i="170" s="1"/>
  <c r="I420" i="170"/>
  <c r="K420" i="170" s="1"/>
  <c r="I178" i="170"/>
  <c r="K178" i="170" s="1"/>
  <c r="I161" i="170"/>
  <c r="K161" i="170" s="1"/>
  <c r="C333" i="170"/>
  <c r="E333" i="170" s="1"/>
  <c r="I591" i="170"/>
  <c r="K591" i="170" s="1"/>
  <c r="C489" i="170"/>
  <c r="E489" i="170" s="1"/>
  <c r="C642" i="170"/>
  <c r="E642" i="170" s="1"/>
  <c r="I127" i="170"/>
  <c r="K127" i="170" s="1"/>
  <c r="I212" i="170"/>
  <c r="K212" i="170" s="1"/>
  <c r="C659" i="170"/>
  <c r="E659" i="170" s="1"/>
  <c r="I642" i="170"/>
  <c r="K642" i="170" s="1"/>
  <c r="I676" i="170"/>
  <c r="K676" i="170" s="1"/>
  <c r="I75" i="170"/>
  <c r="K75" i="170" s="1"/>
  <c r="I211" i="170"/>
  <c r="K211" i="170" s="1"/>
  <c r="I350" i="170"/>
  <c r="K350" i="170" s="1"/>
  <c r="I488" i="170"/>
  <c r="K488" i="170" s="1"/>
  <c r="C75" i="170"/>
  <c r="E75" i="170" s="1"/>
  <c r="C488" i="170"/>
  <c r="E488" i="170" s="1"/>
  <c r="C92" i="170"/>
  <c r="E92" i="170" s="1"/>
  <c r="C229" i="170"/>
  <c r="E229" i="170" s="1"/>
  <c r="C367" i="170"/>
  <c r="E367" i="170" s="1"/>
  <c r="C505" i="170"/>
  <c r="E505" i="170" s="1"/>
  <c r="C211" i="170"/>
  <c r="E211" i="170" s="1"/>
  <c r="I24" i="170"/>
  <c r="K24" i="170" s="1"/>
  <c r="I160" i="170"/>
  <c r="K160" i="170" s="1"/>
  <c r="I297" i="170"/>
  <c r="K297" i="170" s="1"/>
  <c r="I436" i="170"/>
  <c r="K436" i="170" s="1"/>
  <c r="C41" i="170"/>
  <c r="E41" i="170" s="1"/>
  <c r="C452" i="170"/>
  <c r="E452" i="170" s="1"/>
  <c r="I233" i="170"/>
  <c r="K233" i="170" s="1"/>
  <c r="I593" i="170"/>
  <c r="K593" i="170" s="1"/>
  <c r="C388" i="170"/>
  <c r="E388" i="170" s="1"/>
  <c r="C576" i="170"/>
  <c r="E576" i="170" s="1"/>
  <c r="I79" i="170"/>
  <c r="K79" i="170" s="1"/>
  <c r="I267" i="170"/>
  <c r="K267" i="170" s="1"/>
  <c r="I147" i="170"/>
  <c r="K147" i="170" s="1"/>
  <c r="I576" i="170"/>
  <c r="K576" i="170" s="1"/>
  <c r="C62" i="170"/>
  <c r="E62" i="170" s="1"/>
  <c r="C147" i="170"/>
  <c r="E147" i="170" s="1"/>
  <c r="C423" i="170"/>
  <c r="E423" i="170" s="1"/>
  <c r="C113" i="170"/>
  <c r="E113" i="170" s="1"/>
  <c r="I250" i="170"/>
  <c r="K250" i="170" s="1"/>
  <c r="C267" i="170"/>
  <c r="E267" i="170" s="1"/>
  <c r="C250" i="170"/>
  <c r="E250" i="170" s="1"/>
  <c r="I371" i="170"/>
  <c r="K371" i="170" s="1"/>
  <c r="C509" i="170"/>
  <c r="E509" i="170" s="1"/>
  <c r="C645" i="170"/>
  <c r="E645" i="170" s="1"/>
  <c r="I662" i="170"/>
  <c r="K662" i="170" s="1"/>
  <c r="I627" i="170"/>
  <c r="K627" i="170" s="1"/>
  <c r="C247" i="170"/>
  <c r="E247" i="170" s="1"/>
  <c r="C556" i="170"/>
  <c r="E556" i="170" s="1"/>
  <c r="C643" i="170"/>
  <c r="E643" i="170" s="1"/>
  <c r="I264" i="170"/>
  <c r="K264" i="170" s="1"/>
  <c r="I368" i="170"/>
  <c r="K368" i="170" s="1"/>
  <c r="C607" i="170"/>
  <c r="E607" i="170" s="1"/>
  <c r="I298" i="170"/>
  <c r="K298" i="170" s="1"/>
  <c r="C110" i="170"/>
  <c r="E110" i="170" s="1"/>
  <c r="I25" i="170"/>
  <c r="K25" i="170" s="1"/>
  <c r="C351" i="170"/>
  <c r="E351" i="170" s="1"/>
  <c r="C230" i="170"/>
  <c r="E230" i="170" s="1"/>
  <c r="C523" i="170"/>
  <c r="E523" i="170" s="1"/>
  <c r="C573" i="170"/>
  <c r="E573" i="170" s="1"/>
  <c r="C624" i="170"/>
  <c r="E624" i="170" s="1"/>
  <c r="C25" i="170"/>
  <c r="E25" i="170" s="1"/>
  <c r="C298" i="170"/>
  <c r="E298" i="170" s="1"/>
  <c r="C590" i="170"/>
  <c r="E590" i="170" s="1"/>
  <c r="I453" i="170"/>
  <c r="K453" i="170" s="1"/>
  <c r="C264" i="170"/>
  <c r="E264" i="170" s="1"/>
  <c r="C539" i="170"/>
  <c r="E539" i="170" s="1"/>
  <c r="I230" i="170"/>
  <c r="K230" i="170" s="1"/>
  <c r="C660" i="170"/>
  <c r="E660" i="170" s="1"/>
  <c r="C677" i="170"/>
  <c r="E677" i="170" s="1"/>
  <c r="I677" i="170"/>
  <c r="K677" i="170" s="1"/>
  <c r="I109" i="170"/>
  <c r="K109" i="170" s="1"/>
  <c r="I246" i="170"/>
  <c r="K246" i="170" s="1"/>
  <c r="I384" i="170"/>
  <c r="K384" i="170" s="1"/>
  <c r="I522" i="170"/>
  <c r="K522" i="170" s="1"/>
  <c r="C177" i="170"/>
  <c r="E177" i="170" s="1"/>
  <c r="C589" i="170"/>
  <c r="E589" i="170" s="1"/>
  <c r="C126" i="170"/>
  <c r="E126" i="170" s="1"/>
  <c r="C263" i="170"/>
  <c r="E263" i="170" s="1"/>
  <c r="C402" i="170"/>
  <c r="E402" i="170" s="1"/>
  <c r="C538" i="170"/>
  <c r="E538" i="170" s="1"/>
  <c r="C314" i="170"/>
  <c r="E314" i="170" s="1"/>
  <c r="I58" i="170"/>
  <c r="K58" i="170" s="1"/>
  <c r="I194" i="170"/>
  <c r="K194" i="170" s="1"/>
  <c r="I332" i="170"/>
  <c r="K332" i="170" s="1"/>
  <c r="I470" i="170"/>
  <c r="K470" i="170" s="1"/>
  <c r="C143" i="170"/>
  <c r="E143" i="170" s="1"/>
  <c r="C555" i="170"/>
  <c r="E555" i="170" s="1"/>
  <c r="W80" i="151"/>
  <c r="C561" i="170" s="1"/>
  <c r="E561" i="170" s="1"/>
  <c r="C560" i="170"/>
  <c r="E560" i="170" s="1"/>
  <c r="W76" i="151"/>
  <c r="C528" i="170" s="1"/>
  <c r="E528" i="170" s="1"/>
  <c r="C527" i="170"/>
  <c r="E527" i="170" s="1"/>
  <c r="W67" i="151"/>
  <c r="I442" i="170" s="1"/>
  <c r="K442" i="170" s="1"/>
  <c r="I441" i="170"/>
  <c r="K441" i="170" s="1"/>
  <c r="W79" i="151"/>
  <c r="I544" i="170" s="1"/>
  <c r="K544" i="170" s="1"/>
  <c r="I543" i="170"/>
  <c r="K543" i="170" s="1"/>
  <c r="W27" i="151"/>
  <c r="I98" i="170" s="1"/>
  <c r="K98" i="170" s="1"/>
  <c r="I97" i="170"/>
  <c r="K97" i="170" s="1"/>
  <c r="W33" i="151"/>
  <c r="I149" i="170" s="1"/>
  <c r="K149" i="170" s="1"/>
  <c r="I148" i="170"/>
  <c r="K148" i="170" s="1"/>
  <c r="W35" i="151"/>
  <c r="I166" i="170" s="1"/>
  <c r="K166" i="170" s="1"/>
  <c r="I165" i="170"/>
  <c r="K165" i="170" s="1"/>
  <c r="W37" i="151"/>
  <c r="I183" i="170" s="1"/>
  <c r="K183" i="170" s="1"/>
  <c r="I182" i="170"/>
  <c r="K182" i="170" s="1"/>
  <c r="W66" i="151"/>
  <c r="C442" i="170" s="1"/>
  <c r="E442" i="170" s="1"/>
  <c r="C441" i="170"/>
  <c r="E441" i="170" s="1"/>
  <c r="W25" i="151"/>
  <c r="I81" i="170" s="1"/>
  <c r="K81" i="170" s="1"/>
  <c r="I80" i="170"/>
  <c r="K80" i="170" s="1"/>
  <c r="W51" i="151"/>
  <c r="I303" i="170" s="1"/>
  <c r="K303" i="170" s="1"/>
  <c r="I302" i="170"/>
  <c r="K302" i="170" s="1"/>
  <c r="W45" i="151"/>
  <c r="I252" i="170" s="1"/>
  <c r="K252" i="170" s="1"/>
  <c r="I251" i="170"/>
  <c r="K251" i="170" s="1"/>
  <c r="W78" i="151"/>
  <c r="C544" i="170" s="1"/>
  <c r="E544" i="170" s="1"/>
  <c r="C543" i="170"/>
  <c r="E543" i="170" s="1"/>
  <c r="W46" i="151"/>
  <c r="C269" i="170" s="1"/>
  <c r="E269" i="170" s="1"/>
  <c r="C268" i="170"/>
  <c r="E268" i="170" s="1"/>
  <c r="W71" i="151"/>
  <c r="I476" i="170" s="1"/>
  <c r="K476" i="170" s="1"/>
  <c r="I475" i="170"/>
  <c r="K475" i="170" s="1"/>
  <c r="W74" i="151"/>
  <c r="C511" i="170" s="1"/>
  <c r="E511" i="170" s="1"/>
  <c r="C510" i="170"/>
  <c r="E510" i="170" s="1"/>
  <c r="W26" i="151"/>
  <c r="C98" i="170" s="1"/>
  <c r="E98" i="170" s="1"/>
  <c r="C97" i="170"/>
  <c r="E97" i="170" s="1"/>
  <c r="W24" i="151"/>
  <c r="C81" i="170" s="1"/>
  <c r="E81" i="170" s="1"/>
  <c r="C80" i="170"/>
  <c r="E80" i="170" s="1"/>
  <c r="W53" i="151"/>
  <c r="I320" i="170" s="1"/>
  <c r="K320" i="170" s="1"/>
  <c r="I319" i="170"/>
  <c r="K319" i="170" s="1"/>
  <c r="W54" i="151"/>
  <c r="C338" i="170" s="1"/>
  <c r="E338" i="170" s="1"/>
  <c r="C337" i="170"/>
  <c r="E337" i="170" s="1"/>
  <c r="W56" i="151"/>
  <c r="C356" i="170" s="1"/>
  <c r="E356" i="170" s="1"/>
  <c r="C355" i="170"/>
  <c r="E355" i="170" s="1"/>
  <c r="W73" i="151"/>
  <c r="I494" i="170" s="1"/>
  <c r="K494" i="170" s="1"/>
  <c r="I493" i="170"/>
  <c r="K493" i="170" s="1"/>
  <c r="W49" i="151"/>
  <c r="I286" i="170" s="1"/>
  <c r="K286" i="170" s="1"/>
  <c r="I285" i="170"/>
  <c r="K285" i="170" s="1"/>
  <c r="W95" i="151"/>
  <c r="I681" i="170" s="1"/>
  <c r="K681" i="170" s="1"/>
  <c r="I680" i="170"/>
  <c r="K680" i="170" s="1"/>
  <c r="W90" i="151"/>
  <c r="C647" i="170" s="1"/>
  <c r="E647" i="170" s="1"/>
  <c r="C646" i="170"/>
  <c r="E646" i="170" s="1"/>
  <c r="I693" i="170"/>
  <c r="K693" i="170" s="1"/>
  <c r="C693" i="170"/>
  <c r="E693" i="170" s="1"/>
  <c r="W83" i="151"/>
  <c r="I578" i="170" s="1"/>
  <c r="K578" i="170" s="1"/>
  <c r="I577" i="170"/>
  <c r="K577" i="170" s="1"/>
  <c r="W38" i="151"/>
  <c r="C200" i="170" s="1"/>
  <c r="E200" i="170" s="1"/>
  <c r="C199" i="170"/>
  <c r="E199" i="170" s="1"/>
  <c r="W64" i="151"/>
  <c r="C425" i="170" s="1"/>
  <c r="E425" i="170" s="1"/>
  <c r="C424" i="170"/>
  <c r="E424" i="170" s="1"/>
  <c r="W28" i="151"/>
  <c r="C115" i="170" s="1"/>
  <c r="E115" i="170" s="1"/>
  <c r="C114" i="170"/>
  <c r="E114" i="170" s="1"/>
  <c r="W39" i="151"/>
  <c r="I200" i="170" s="1"/>
  <c r="K200" i="170" s="1"/>
  <c r="I199" i="170"/>
  <c r="K199" i="170" s="1"/>
  <c r="W44" i="151"/>
  <c r="C252" i="170" s="1"/>
  <c r="E252" i="170" s="1"/>
  <c r="C251" i="170"/>
  <c r="E251" i="170" s="1"/>
  <c r="W18" i="151"/>
  <c r="C30" i="170" s="1"/>
  <c r="E30" i="170" s="1"/>
  <c r="C29" i="170"/>
  <c r="E29" i="170" s="1"/>
  <c r="W41" i="151"/>
  <c r="I217" i="170" s="1"/>
  <c r="K217" i="170" s="1"/>
  <c r="I216" i="170"/>
  <c r="K216" i="170" s="1"/>
  <c r="W88" i="151"/>
  <c r="C629" i="170" s="1"/>
  <c r="E629" i="170" s="1"/>
  <c r="C628" i="170"/>
  <c r="E628" i="170" s="1"/>
  <c r="W40" i="151"/>
  <c r="C217" i="170" s="1"/>
  <c r="E217" i="170" s="1"/>
  <c r="C216" i="170"/>
  <c r="E216" i="170" s="1"/>
  <c r="W87" i="151"/>
  <c r="I612" i="170" s="1"/>
  <c r="K612" i="170" s="1"/>
  <c r="I611" i="170"/>
  <c r="K611" i="170" s="1"/>
  <c r="W42" i="151"/>
  <c r="C235" i="170" s="1"/>
  <c r="E235" i="170" s="1"/>
  <c r="C234" i="170"/>
  <c r="E234" i="170" s="1"/>
  <c r="W48" i="151"/>
  <c r="C286" i="170" s="1"/>
  <c r="E286" i="170" s="1"/>
  <c r="C285" i="170"/>
  <c r="E285" i="170" s="1"/>
  <c r="W75" i="151"/>
  <c r="I511" i="170" s="1"/>
  <c r="K511" i="170" s="1"/>
  <c r="I510" i="170"/>
  <c r="K510" i="170" s="1"/>
  <c r="W50" i="151"/>
  <c r="C303" i="170" s="1"/>
  <c r="E303" i="170" s="1"/>
  <c r="C302" i="170"/>
  <c r="E302" i="170" s="1"/>
  <c r="W31" i="151"/>
  <c r="I132" i="170" s="1"/>
  <c r="K132" i="170" s="1"/>
  <c r="I131" i="170"/>
  <c r="K131" i="170" s="1"/>
  <c r="W81" i="151"/>
  <c r="I561" i="170" s="1"/>
  <c r="K561" i="170" s="1"/>
  <c r="I560" i="170"/>
  <c r="K560" i="170" s="1"/>
  <c r="W94" i="151"/>
  <c r="C681" i="170" s="1"/>
  <c r="E681" i="170" s="1"/>
  <c r="C680" i="170"/>
  <c r="E680" i="170" s="1"/>
  <c r="W92" i="151"/>
  <c r="C664" i="170" s="1"/>
  <c r="E664" i="170" s="1"/>
  <c r="C663" i="170"/>
  <c r="E663" i="170" s="1"/>
  <c r="W43" i="151"/>
  <c r="I235" i="170" s="1"/>
  <c r="K235" i="170" s="1"/>
  <c r="I234" i="170"/>
  <c r="K234" i="170" s="1"/>
  <c r="W19" i="151"/>
  <c r="I30" i="170" s="1"/>
  <c r="K30" i="170" s="1"/>
  <c r="I29" i="170"/>
  <c r="K29" i="170" s="1"/>
  <c r="W29" i="151"/>
  <c r="I115" i="170" s="1"/>
  <c r="K115" i="170" s="1"/>
  <c r="I114" i="170"/>
  <c r="K114" i="170" s="1"/>
  <c r="W21" i="151"/>
  <c r="I47" i="170" s="1"/>
  <c r="K47" i="170" s="1"/>
  <c r="I46" i="170"/>
  <c r="K46" i="170" s="1"/>
  <c r="W32" i="151"/>
  <c r="C149" i="170" s="1"/>
  <c r="E149" i="170" s="1"/>
  <c r="C148" i="170"/>
  <c r="E148" i="170" s="1"/>
  <c r="I696" i="170"/>
  <c r="K696" i="170" s="1"/>
  <c r="C696" i="170"/>
  <c r="E696" i="170" s="1"/>
  <c r="W96" i="151"/>
  <c r="Z96" i="151" s="1"/>
  <c r="I697" i="170"/>
  <c r="K697" i="170" s="1"/>
  <c r="C697" i="170"/>
  <c r="E697" i="170" s="1"/>
  <c r="I694" i="170"/>
  <c r="K694" i="170" s="1"/>
  <c r="C694" i="170"/>
  <c r="E694" i="170" s="1"/>
  <c r="W70" i="151"/>
  <c r="C476" i="170" s="1"/>
  <c r="E476" i="170" s="1"/>
  <c r="C475" i="170"/>
  <c r="E475" i="170" s="1"/>
  <c r="W23" i="151"/>
  <c r="I64" i="170" s="1"/>
  <c r="K64" i="170" s="1"/>
  <c r="I63" i="170"/>
  <c r="K63" i="170" s="1"/>
  <c r="W47" i="151"/>
  <c r="I269" i="170" s="1"/>
  <c r="K269" i="170" s="1"/>
  <c r="I268" i="170"/>
  <c r="K268" i="170" s="1"/>
  <c r="W77" i="151"/>
  <c r="I528" i="170" s="1"/>
  <c r="K528" i="170" s="1"/>
  <c r="I527" i="170"/>
  <c r="K527" i="170" s="1"/>
  <c r="W62" i="151"/>
  <c r="C408" i="170" s="1"/>
  <c r="E408" i="170" s="1"/>
  <c r="C407" i="170"/>
  <c r="E407" i="170" s="1"/>
  <c r="W30" i="151"/>
  <c r="C132" i="170" s="1"/>
  <c r="E132" i="170" s="1"/>
  <c r="C131" i="170"/>
  <c r="E131" i="170" s="1"/>
  <c r="W36" i="151"/>
  <c r="C183" i="170" s="1"/>
  <c r="E183" i="170" s="1"/>
  <c r="C182" i="170"/>
  <c r="E182" i="170" s="1"/>
  <c r="W84" i="151"/>
  <c r="C595" i="170" s="1"/>
  <c r="E595" i="170" s="1"/>
  <c r="C594" i="170"/>
  <c r="E594" i="170" s="1"/>
  <c r="W86" i="151"/>
  <c r="C612" i="170" s="1"/>
  <c r="E612" i="170" s="1"/>
  <c r="C611" i="170"/>
  <c r="E611" i="170" s="1"/>
  <c r="W22" i="151"/>
  <c r="C64" i="170" s="1"/>
  <c r="E64" i="170" s="1"/>
  <c r="C63" i="170"/>
  <c r="E63" i="170" s="1"/>
  <c r="W52" i="151"/>
  <c r="C320" i="170" s="1"/>
  <c r="E320" i="170" s="1"/>
  <c r="C319" i="170"/>
  <c r="E319" i="170" s="1"/>
  <c r="W69" i="151"/>
  <c r="I458" i="170" s="1"/>
  <c r="K458" i="170" s="1"/>
  <c r="I457" i="170"/>
  <c r="K457" i="170" s="1"/>
  <c r="W60" i="151"/>
  <c r="C390" i="170" s="1"/>
  <c r="E390" i="170" s="1"/>
  <c r="C389" i="170"/>
  <c r="E389" i="170" s="1"/>
  <c r="W20" i="151"/>
  <c r="C47" i="170" s="1"/>
  <c r="E47" i="170" s="1"/>
  <c r="C46" i="170"/>
  <c r="E46" i="170" s="1"/>
  <c r="W34" i="151"/>
  <c r="C166" i="170" s="1"/>
  <c r="E166" i="170" s="1"/>
  <c r="C165" i="170"/>
  <c r="E165" i="170" s="1"/>
  <c r="W57" i="151"/>
  <c r="I356" i="170" s="1"/>
  <c r="K356" i="170" s="1"/>
  <c r="I355" i="170"/>
  <c r="K355" i="170" s="1"/>
  <c r="W63" i="151"/>
  <c r="I408" i="170" s="1"/>
  <c r="K408" i="170" s="1"/>
  <c r="I407" i="170"/>
  <c r="K407" i="170" s="1"/>
  <c r="W68" i="151"/>
  <c r="C458" i="170" s="1"/>
  <c r="E458" i="170" s="1"/>
  <c r="C457" i="170"/>
  <c r="E457" i="170" s="1"/>
  <c r="W61" i="151"/>
  <c r="I390" i="170" s="1"/>
  <c r="K390" i="170" s="1"/>
  <c r="I389" i="170"/>
  <c r="K389" i="170" s="1"/>
  <c r="W72" i="151"/>
  <c r="C494" i="170" s="1"/>
  <c r="E494" i="170" s="1"/>
  <c r="C493" i="170"/>
  <c r="E493" i="170" s="1"/>
  <c r="W59" i="151"/>
  <c r="I373" i="170" s="1"/>
  <c r="K373" i="170" s="1"/>
  <c r="I372" i="170"/>
  <c r="K372" i="170" s="1"/>
  <c r="W58" i="151"/>
  <c r="C373" i="170" s="1"/>
  <c r="E373" i="170" s="1"/>
  <c r="C372" i="170"/>
  <c r="E372" i="170" s="1"/>
  <c r="W85" i="151"/>
  <c r="I595" i="170" s="1"/>
  <c r="K595" i="170" s="1"/>
  <c r="I594" i="170"/>
  <c r="K594" i="170" s="1"/>
  <c r="W55" i="151"/>
  <c r="I338" i="170" s="1"/>
  <c r="K338" i="170" s="1"/>
  <c r="I337" i="170"/>
  <c r="K337" i="170" s="1"/>
  <c r="W82" i="151"/>
  <c r="C578" i="170" s="1"/>
  <c r="E578" i="170" s="1"/>
  <c r="C577" i="170"/>
  <c r="E577" i="170" s="1"/>
  <c r="W65" i="151"/>
  <c r="I425" i="170" s="1"/>
  <c r="K425" i="170" s="1"/>
  <c r="I424" i="170"/>
  <c r="K424" i="170" s="1"/>
  <c r="W91" i="151"/>
  <c r="I647" i="170" s="1"/>
  <c r="K647" i="170" s="1"/>
  <c r="I646" i="170"/>
  <c r="K646" i="170" s="1"/>
  <c r="W89" i="151"/>
  <c r="I629" i="170" s="1"/>
  <c r="K629" i="170" s="1"/>
  <c r="I628" i="170"/>
  <c r="K628" i="170" s="1"/>
  <c r="W93" i="151"/>
  <c r="I664" i="170" s="1"/>
  <c r="K664" i="170" s="1"/>
  <c r="I663" i="170"/>
  <c r="K663" i="170" s="1"/>
  <c r="M173" i="132"/>
  <c r="K172" i="132"/>
  <c r="K177" i="132" s="1"/>
  <c r="Z97" i="151"/>
  <c r="Z10" i="9"/>
  <c r="Z9" i="9" s="1"/>
  <c r="W10" i="9"/>
  <c r="V10" i="9"/>
  <c r="AA10" i="9"/>
  <c r="AA9" i="9" s="1"/>
  <c r="P17" i="99"/>
  <c r="O17" i="99"/>
  <c r="R16" i="99"/>
  <c r="C730" i="170"/>
  <c r="E730" i="170" s="1"/>
  <c r="C727" i="170"/>
  <c r="E727" i="170" s="1"/>
  <c r="E734" i="170"/>
  <c r="C733" i="170"/>
  <c r="E733" i="170" s="1"/>
  <c r="C728" i="170"/>
  <c r="E728" i="170" s="1"/>
  <c r="C726" i="170"/>
  <c r="E726" i="170" s="1"/>
  <c r="C732" i="170"/>
  <c r="E732" i="170" s="1"/>
  <c r="C731" i="170"/>
  <c r="E731" i="170" s="1"/>
  <c r="I726" i="170"/>
  <c r="K726" i="170" s="1"/>
  <c r="I730" i="170"/>
  <c r="K730" i="170" s="1"/>
  <c r="K734" i="170"/>
  <c r="I727" i="170"/>
  <c r="K727" i="170" s="1"/>
  <c r="I731" i="170"/>
  <c r="K731" i="170" s="1"/>
  <c r="I733" i="170"/>
  <c r="K733" i="170" s="1"/>
  <c r="I732" i="170"/>
  <c r="K732" i="170" s="1"/>
  <c r="I728" i="170"/>
  <c r="K728" i="170" s="1"/>
  <c r="Q16" i="99"/>
  <c r="Q17" i="99"/>
  <c r="F86" i="132"/>
  <c r="F94" i="132"/>
  <c r="F96" i="132"/>
  <c r="I96" i="132" s="1"/>
  <c r="F95" i="132"/>
  <c r="F97" i="132"/>
  <c r="F87" i="132"/>
  <c r="F90" i="132"/>
  <c r="F92" i="132"/>
  <c r="F91" i="132"/>
  <c r="F88" i="132"/>
  <c r="F93" i="132"/>
  <c r="F89" i="132"/>
  <c r="K96" i="132"/>
  <c r="M96" i="132" s="1"/>
  <c r="K97" i="132"/>
  <c r="M97" i="132" s="1"/>
  <c r="U11" i="9"/>
  <c r="P16" i="99"/>
  <c r="O16" i="99"/>
  <c r="G102" i="151"/>
  <c r="Q16" i="151"/>
  <c r="P16" i="151"/>
  <c r="P17" i="151"/>
  <c r="Q17" i="151"/>
  <c r="H17" i="151"/>
  <c r="S17" i="99"/>
  <c r="S16" i="99"/>
  <c r="Y98" i="99"/>
  <c r="Z98" i="99" s="1"/>
  <c r="H5" i="170"/>
  <c r="B5" i="170"/>
  <c r="F18" i="101"/>
  <c r="A1102" i="170"/>
  <c r="G1085" i="170"/>
  <c r="D15" i="132"/>
  <c r="F85" i="132"/>
  <c r="R17" i="99"/>
  <c r="V17" i="99" s="1"/>
  <c r="F89" i="99"/>
  <c r="T16" i="99"/>
  <c r="T17" i="99"/>
  <c r="U17" i="151"/>
  <c r="T17" i="151"/>
  <c r="S17" i="151"/>
  <c r="W17" i="151" s="1"/>
  <c r="R17" i="151"/>
  <c r="U16" i="151"/>
  <c r="T16" i="151"/>
  <c r="F91" i="99"/>
  <c r="G85" i="151"/>
  <c r="F83" i="132" s="1"/>
  <c r="D14" i="132"/>
  <c r="F56" i="132"/>
  <c r="F60" i="132"/>
  <c r="F61" i="132"/>
  <c r="F66" i="132"/>
  <c r="F57" i="132"/>
  <c r="F45" i="132"/>
  <c r="F23" i="132"/>
  <c r="F65" i="132"/>
  <c r="F36" i="132"/>
  <c r="F74" i="132"/>
  <c r="F78" i="132"/>
  <c r="F72" i="132"/>
  <c r="F81" i="132"/>
  <c r="F68" i="132"/>
  <c r="F58" i="132"/>
  <c r="F28" i="132"/>
  <c r="F24" i="132"/>
  <c r="F20" i="132"/>
  <c r="F21" i="132"/>
  <c r="F30" i="132"/>
  <c r="F82" i="132"/>
  <c r="F46" i="132"/>
  <c r="F18" i="132"/>
  <c r="F17" i="132"/>
  <c r="F27" i="132"/>
  <c r="F59" i="132"/>
  <c r="F67" i="132"/>
  <c r="F79" i="132"/>
  <c r="F32" i="132"/>
  <c r="F69" i="132"/>
  <c r="F50" i="132"/>
  <c r="F22" i="132"/>
  <c r="F75" i="132"/>
  <c r="F16" i="132"/>
  <c r="F52" i="132"/>
  <c r="F63" i="132"/>
  <c r="F55" i="132"/>
  <c r="F84" i="132"/>
  <c r="F19" i="132"/>
  <c r="F31" i="132"/>
  <c r="F70" i="132"/>
  <c r="F41" i="132"/>
  <c r="F51" i="132"/>
  <c r="F76" i="132"/>
  <c r="F53" i="132"/>
  <c r="F48" i="132"/>
  <c r="F35" i="132"/>
  <c r="F43" i="132"/>
  <c r="F73" i="132"/>
  <c r="F44" i="132"/>
  <c r="F29" i="132"/>
  <c r="F34" i="132"/>
  <c r="F25" i="132"/>
  <c r="F47" i="132"/>
  <c r="F39" i="132"/>
  <c r="F40" i="132"/>
  <c r="F33" i="132"/>
  <c r="F77" i="132"/>
  <c r="F42" i="132"/>
  <c r="F38" i="132"/>
  <c r="F64" i="132"/>
  <c r="F49" i="132"/>
  <c r="F37" i="132"/>
  <c r="F26" i="132"/>
  <c r="F71" i="132"/>
  <c r="F62" i="132"/>
  <c r="F54" i="132"/>
  <c r="F80" i="132"/>
  <c r="S16" i="151"/>
  <c r="F50" i="99"/>
  <c r="F20" i="99"/>
  <c r="F52" i="99"/>
  <c r="F84" i="99"/>
  <c r="F47" i="99"/>
  <c r="F79" i="99"/>
  <c r="F58" i="99"/>
  <c r="F25" i="99"/>
  <c r="F21" i="99"/>
  <c r="F81" i="99"/>
  <c r="F70" i="99"/>
  <c r="F32" i="99"/>
  <c r="F80" i="99"/>
  <c r="F73" i="99"/>
  <c r="F43" i="99"/>
  <c r="F75" i="99"/>
  <c r="F62" i="99"/>
  <c r="F34" i="99"/>
  <c r="F69" i="99"/>
  <c r="F44" i="99"/>
  <c r="F76" i="99"/>
  <c r="F39" i="99"/>
  <c r="F71" i="99"/>
  <c r="F42" i="99"/>
  <c r="F77" i="99"/>
  <c r="F65" i="99"/>
  <c r="F54" i="99"/>
  <c r="F24" i="99"/>
  <c r="F72" i="99"/>
  <c r="F57" i="99"/>
  <c r="F35" i="99"/>
  <c r="F67" i="99"/>
  <c r="F46" i="99"/>
  <c r="F18" i="99"/>
  <c r="F33" i="99"/>
  <c r="F68" i="99"/>
  <c r="F63" i="99"/>
  <c r="F86" i="99"/>
  <c r="F61" i="99"/>
  <c r="F49" i="99"/>
  <c r="F38" i="99"/>
  <c r="F41" i="99"/>
  <c r="F27" i="99"/>
  <c r="F22" i="99"/>
  <c r="F29" i="99"/>
  <c r="F83" i="99"/>
  <c r="F30" i="99"/>
  <c r="F66" i="99"/>
  <c r="F28" i="99"/>
  <c r="F23" i="99"/>
  <c r="F87" i="99"/>
  <c r="F60" i="99"/>
  <c r="F55" i="99"/>
  <c r="F74" i="99"/>
  <c r="F45" i="99"/>
  <c r="F37" i="99"/>
  <c r="F88" i="99"/>
  <c r="F19" i="99"/>
  <c r="F78" i="99"/>
  <c r="F36" i="99"/>
  <c r="F31" i="99"/>
  <c r="F26" i="99"/>
  <c r="F85" i="99"/>
  <c r="F48" i="99"/>
  <c r="F59" i="99"/>
  <c r="F53" i="99"/>
  <c r="F40" i="99"/>
  <c r="F51" i="99"/>
  <c r="F64" i="99"/>
  <c r="F56" i="99"/>
  <c r="F82" i="99"/>
  <c r="K56" i="59"/>
  <c r="H84" i="99"/>
  <c r="O70" i="59"/>
  <c r="G70" i="59"/>
  <c r="P55" i="59"/>
  <c r="O56" i="59"/>
  <c r="G56" i="59"/>
  <c r="P62" i="59"/>
  <c r="U15" i="151" l="1"/>
  <c r="H95" i="132"/>
  <c r="I95" i="132" s="1"/>
  <c r="H94" i="132"/>
  <c r="Z73" i="151"/>
  <c r="H71" i="132" s="1"/>
  <c r="Z89" i="151"/>
  <c r="H87" i="132" s="1"/>
  <c r="I87" i="132" s="1"/>
  <c r="Z21" i="151"/>
  <c r="H19" i="132" s="1"/>
  <c r="Z62" i="151"/>
  <c r="H60" i="132" s="1"/>
  <c r="Z46" i="151"/>
  <c r="H44" i="132" s="1"/>
  <c r="Z18" i="151"/>
  <c r="H16" i="132" s="1"/>
  <c r="Z42" i="151"/>
  <c r="H40" i="132" s="1"/>
  <c r="Z51" i="151"/>
  <c r="H49" i="132" s="1"/>
  <c r="Z80" i="151"/>
  <c r="H78" i="132" s="1"/>
  <c r="Z41" i="151"/>
  <c r="H39" i="132" s="1"/>
  <c r="Z54" i="151"/>
  <c r="H52" i="132" s="1"/>
  <c r="Z79" i="151"/>
  <c r="H77" i="132" s="1"/>
  <c r="Z23" i="151"/>
  <c r="H21" i="132" s="1"/>
  <c r="Z74" i="151"/>
  <c r="H72" i="132" s="1"/>
  <c r="Z71" i="151"/>
  <c r="H69" i="132" s="1"/>
  <c r="Z55" i="151"/>
  <c r="H53" i="132" s="1"/>
  <c r="Z30" i="151"/>
  <c r="H28" i="132" s="1"/>
  <c r="Z63" i="151"/>
  <c r="H61" i="132" s="1"/>
  <c r="Z77" i="151"/>
  <c r="H75" i="132" s="1"/>
  <c r="Z40" i="151"/>
  <c r="H38" i="132" s="1"/>
  <c r="Z64" i="151"/>
  <c r="H62" i="132" s="1"/>
  <c r="Z57" i="151"/>
  <c r="H55" i="132" s="1"/>
  <c r="Z85" i="151"/>
  <c r="H83" i="132" s="1"/>
  <c r="Z69" i="151"/>
  <c r="H67" i="132" s="1"/>
  <c r="Z88" i="151"/>
  <c r="H86" i="132" s="1"/>
  <c r="I86" i="132" s="1"/>
  <c r="Z56" i="151"/>
  <c r="H54" i="132" s="1"/>
  <c r="Z86" i="151"/>
  <c r="H84" i="132" s="1"/>
  <c r="Z44" i="151"/>
  <c r="H42" i="132" s="1"/>
  <c r="Z95" i="151"/>
  <c r="H93" i="132" s="1"/>
  <c r="I93" i="132" s="1"/>
  <c r="Z31" i="151"/>
  <c r="H29" i="132" s="1"/>
  <c r="Z35" i="151"/>
  <c r="H33" i="132" s="1"/>
  <c r="Z32" i="151"/>
  <c r="H30" i="132" s="1"/>
  <c r="Z34" i="151"/>
  <c r="H32" i="132" s="1"/>
  <c r="Z83" i="151"/>
  <c r="H81" i="132" s="1"/>
  <c r="Z93" i="151"/>
  <c r="H91" i="132" s="1"/>
  <c r="I91" i="132" s="1"/>
  <c r="Z60" i="151"/>
  <c r="H58" i="132" s="1"/>
  <c r="Z38" i="151"/>
  <c r="H36" i="132" s="1"/>
  <c r="Z24" i="151"/>
  <c r="H22" i="132" s="1"/>
  <c r="Z26" i="151"/>
  <c r="H24" i="132" s="1"/>
  <c r="Y17" i="99"/>
  <c r="Z20" i="151"/>
  <c r="H18" i="132" s="1"/>
  <c r="Z39" i="151"/>
  <c r="H37" i="132" s="1"/>
  <c r="Z70" i="151"/>
  <c r="H68" i="132" s="1"/>
  <c r="Z66" i="151"/>
  <c r="H64" i="132" s="1"/>
  <c r="Z43" i="151"/>
  <c r="H41" i="132" s="1"/>
  <c r="Z84" i="151"/>
  <c r="H82" i="132" s="1"/>
  <c r="Z82" i="151"/>
  <c r="H80" i="132" s="1"/>
  <c r="Z19" i="151"/>
  <c r="H17" i="132" s="1"/>
  <c r="Z59" i="151"/>
  <c r="H57" i="132" s="1"/>
  <c r="Z91" i="151"/>
  <c r="H89" i="132" s="1"/>
  <c r="Z90" i="151"/>
  <c r="H88" i="132" s="1"/>
  <c r="Z37" i="151"/>
  <c r="H35" i="132" s="1"/>
  <c r="Z61" i="151"/>
  <c r="H59" i="132" s="1"/>
  <c r="Z27" i="151"/>
  <c r="H25" i="132" s="1"/>
  <c r="Z49" i="151"/>
  <c r="H47" i="132" s="1"/>
  <c r="Z94" i="151"/>
  <c r="H92" i="132" s="1"/>
  <c r="I92" i="132" s="1"/>
  <c r="Z67" i="151"/>
  <c r="H65" i="132" s="1"/>
  <c r="Z36" i="151"/>
  <c r="H34" i="132" s="1"/>
  <c r="Z45" i="151"/>
  <c r="H43" i="132" s="1"/>
  <c r="Z48" i="151"/>
  <c r="H46" i="132" s="1"/>
  <c r="Z17" i="151"/>
  <c r="H15" i="132" s="1"/>
  <c r="Z33" i="151"/>
  <c r="H31" i="132" s="1"/>
  <c r="Z52" i="151"/>
  <c r="H50" i="132" s="1"/>
  <c r="Z81" i="151"/>
  <c r="H79" i="132" s="1"/>
  <c r="Z78" i="151"/>
  <c r="H76" i="132" s="1"/>
  <c r="Z50" i="151"/>
  <c r="H48" i="132" s="1"/>
  <c r="Z76" i="151"/>
  <c r="H74" i="132" s="1"/>
  <c r="Z28" i="151"/>
  <c r="H26" i="132" s="1"/>
  <c r="Z47" i="151"/>
  <c r="H45" i="132" s="1"/>
  <c r="Z92" i="151"/>
  <c r="H90" i="132" s="1"/>
  <c r="I90" i="132" s="1"/>
  <c r="Z72" i="151"/>
  <c r="H70" i="132" s="1"/>
  <c r="Z65" i="151"/>
  <c r="H63" i="132" s="1"/>
  <c r="Z87" i="151"/>
  <c r="H85" i="132" s="1"/>
  <c r="Z25" i="151"/>
  <c r="H23" i="132" s="1"/>
  <c r="Z29" i="151"/>
  <c r="H27" i="132" s="1"/>
  <c r="Z53" i="151"/>
  <c r="H51" i="132" s="1"/>
  <c r="Z58" i="151"/>
  <c r="H56" i="132" s="1"/>
  <c r="Z75" i="151"/>
  <c r="H73" i="132" s="1"/>
  <c r="Z22" i="151"/>
  <c r="H20" i="132" s="1"/>
  <c r="Z68" i="151"/>
  <c r="H66" i="132" s="1"/>
  <c r="I88" i="132"/>
  <c r="I89" i="132"/>
  <c r="I698" i="170"/>
  <c r="K698" i="170" s="1"/>
  <c r="C698" i="170"/>
  <c r="E698" i="170" s="1"/>
  <c r="E100" i="99"/>
  <c r="F14" i="180" s="1"/>
  <c r="C12" i="170"/>
  <c r="E12" i="170" s="1"/>
  <c r="K15" i="170"/>
  <c r="I12" i="170"/>
  <c r="K12" i="170" s="1"/>
  <c r="I14" i="170"/>
  <c r="K14" i="170" s="1"/>
  <c r="I8" i="170"/>
  <c r="K8" i="170" s="1"/>
  <c r="I13" i="170"/>
  <c r="K13" i="170" s="1"/>
  <c r="I11" i="170"/>
  <c r="K11" i="170" s="1"/>
  <c r="I7" i="170"/>
  <c r="K7" i="170" s="1"/>
  <c r="I6" i="170"/>
  <c r="J10" i="170" s="1"/>
  <c r="P100" i="99"/>
  <c r="M14" i="180" s="1"/>
  <c r="M100" i="99"/>
  <c r="T15" i="151"/>
  <c r="S15" i="151"/>
  <c r="S100" i="99"/>
  <c r="Q15" i="151"/>
  <c r="V16" i="99"/>
  <c r="V100" i="99" s="1"/>
  <c r="R100" i="99"/>
  <c r="T100" i="99"/>
  <c r="F15" i="151"/>
  <c r="P15" i="151"/>
  <c r="O100" i="99"/>
  <c r="L14" i="180" s="1"/>
  <c r="Q100" i="99"/>
  <c r="W16" i="151"/>
  <c r="W15" i="151" s="1"/>
  <c r="E15" i="170"/>
  <c r="C6" i="170"/>
  <c r="D10" i="170" s="1"/>
  <c r="Z89" i="99"/>
  <c r="Z90" i="99"/>
  <c r="Z93" i="99"/>
  <c r="Z95" i="99"/>
  <c r="Z91" i="99"/>
  <c r="Z92" i="99"/>
  <c r="Z94" i="99"/>
  <c r="L719" i="170"/>
  <c r="P70" i="59"/>
  <c r="C7" i="170"/>
  <c r="E7" i="170" s="1"/>
  <c r="G1102" i="170"/>
  <c r="A1119" i="170"/>
  <c r="G17" i="151"/>
  <c r="F15" i="132" s="1"/>
  <c r="F16" i="99"/>
  <c r="G16" i="151"/>
  <c r="F17" i="99"/>
  <c r="Y16" i="99" l="1"/>
  <c r="C13" i="170"/>
  <c r="Y100" i="99"/>
  <c r="P14" i="180" s="1"/>
  <c r="G15" i="151"/>
  <c r="F100" i="99"/>
  <c r="G14" i="180" s="1"/>
  <c r="F14" i="132"/>
  <c r="F13" i="132" s="1"/>
  <c r="I97" i="132"/>
  <c r="AA92" i="151"/>
  <c r="AC92" i="151" s="1"/>
  <c r="AA95" i="151"/>
  <c r="AC95" i="151" s="1"/>
  <c r="AA96" i="151"/>
  <c r="AA91" i="151"/>
  <c r="AC91" i="151" s="1"/>
  <c r="AA90" i="151"/>
  <c r="AC90" i="151" s="1"/>
  <c r="AA94" i="151"/>
  <c r="AC94" i="151" s="1"/>
  <c r="AA93" i="151"/>
  <c r="AC93" i="151" s="1"/>
  <c r="AA89" i="151"/>
  <c r="AC89" i="151" s="1"/>
  <c r="G1119" i="170"/>
  <c r="A1136" i="170"/>
  <c r="F11" i="79"/>
  <c r="AC96" i="151" l="1"/>
  <c r="AB96" i="99"/>
  <c r="K87" i="132"/>
  <c r="M87" i="132" s="1"/>
  <c r="AB91" i="99"/>
  <c r="AC91" i="99" s="1"/>
  <c r="K89" i="132"/>
  <c r="M89" i="132" s="1"/>
  <c r="AB95" i="99"/>
  <c r="K93" i="132"/>
  <c r="M93" i="132" s="1"/>
  <c r="AB90" i="99"/>
  <c r="AC90" i="99" s="1"/>
  <c r="K88" i="132"/>
  <c r="M88" i="132" s="1"/>
  <c r="AB93" i="99"/>
  <c r="AC93" i="99" s="1"/>
  <c r="K91" i="132"/>
  <c r="AB92" i="99"/>
  <c r="AC92" i="99" s="1"/>
  <c r="K90" i="132"/>
  <c r="M90" i="132" s="1"/>
  <c r="AB94" i="99"/>
  <c r="AC94" i="99" s="1"/>
  <c r="K92" i="132"/>
  <c r="M92" i="132" s="1"/>
  <c r="AB89" i="99"/>
  <c r="AC89" i="99" s="1"/>
  <c r="A1153" i="170"/>
  <c r="G1136" i="170"/>
  <c r="M91" i="132" l="1"/>
  <c r="A1170" i="170"/>
  <c r="G1153" i="170"/>
  <c r="A1187" i="170" l="1"/>
  <c r="G1170" i="170"/>
  <c r="G1187" i="170" l="1"/>
  <c r="A1204" i="170"/>
  <c r="H20" i="79"/>
  <c r="A1221" i="170" l="1"/>
  <c r="G1204" i="170"/>
  <c r="D100" i="128"/>
  <c r="D101" i="128"/>
  <c r="D102" i="128"/>
  <c r="D103" i="128"/>
  <c r="D104" i="128"/>
  <c r="D105" i="128"/>
  <c r="D106" i="128"/>
  <c r="D107" i="128"/>
  <c r="D108" i="128"/>
  <c r="D109" i="128"/>
  <c r="D110" i="128"/>
  <c r="D111" i="128"/>
  <c r="D112" i="128"/>
  <c r="D113" i="128"/>
  <c r="D114" i="128"/>
  <c r="D115" i="128"/>
  <c r="D116" i="128"/>
  <c r="D117" i="128"/>
  <c r="D118" i="128"/>
  <c r="D119" i="128"/>
  <c r="D120" i="128"/>
  <c r="D121" i="128"/>
  <c r="D122" i="128"/>
  <c r="D123" i="128"/>
  <c r="D124" i="128"/>
  <c r="D125" i="128"/>
  <c r="D126" i="128"/>
  <c r="D127" i="128"/>
  <c r="D128" i="128"/>
  <c r="D129" i="128"/>
  <c r="D130" i="128"/>
  <c r="D131" i="128"/>
  <c r="D132" i="128"/>
  <c r="D133" i="128"/>
  <c r="D134" i="128"/>
  <c r="D135" i="128"/>
  <c r="D136" i="128"/>
  <c r="D137" i="128"/>
  <c r="D138" i="128"/>
  <c r="D139" i="128"/>
  <c r="D140" i="128"/>
  <c r="D141" i="128"/>
  <c r="D142" i="128"/>
  <c r="D143" i="128"/>
  <c r="D144" i="128"/>
  <c r="D145" i="128"/>
  <c r="D146" i="128"/>
  <c r="D147" i="128"/>
  <c r="D148" i="128"/>
  <c r="D149" i="128"/>
  <c r="D150" i="128"/>
  <c r="D151" i="128"/>
  <c r="D152" i="128"/>
  <c r="D153" i="128"/>
  <c r="D154" i="128"/>
  <c r="D99" i="128"/>
  <c r="C1274" i="170" l="1"/>
  <c r="D1278" i="170" s="1"/>
  <c r="I1257" i="170"/>
  <c r="J1261" i="170" s="1"/>
  <c r="C1257" i="170"/>
  <c r="D1261" i="170" s="1"/>
  <c r="I1240" i="170"/>
  <c r="J1244" i="170" s="1"/>
  <c r="C1240" i="170"/>
  <c r="D1244" i="170" s="1"/>
  <c r="I1223" i="170"/>
  <c r="J1227" i="170" s="1"/>
  <c r="C1223" i="170"/>
  <c r="D1227" i="170" s="1"/>
  <c r="I1206" i="170"/>
  <c r="J1210" i="170" s="1"/>
  <c r="C1206" i="170"/>
  <c r="D1210" i="170" s="1"/>
  <c r="I1189" i="170"/>
  <c r="J1193" i="170" s="1"/>
  <c r="C1189" i="170"/>
  <c r="D1193" i="170" s="1"/>
  <c r="I1172" i="170"/>
  <c r="J1176" i="170" s="1"/>
  <c r="C1172" i="170"/>
  <c r="D1176" i="170" s="1"/>
  <c r="I1155" i="170"/>
  <c r="J1159" i="170" s="1"/>
  <c r="C1155" i="170"/>
  <c r="D1159" i="170" s="1"/>
  <c r="I1138" i="170"/>
  <c r="J1142" i="170" s="1"/>
  <c r="C1138" i="170"/>
  <c r="D1142" i="170" s="1"/>
  <c r="I1121" i="170"/>
  <c r="J1125" i="170" s="1"/>
  <c r="C1121" i="170"/>
  <c r="D1125" i="170" s="1"/>
  <c r="I1104" i="170"/>
  <c r="J1108" i="170" s="1"/>
  <c r="C1104" i="170"/>
  <c r="D1108" i="170" s="1"/>
  <c r="I1087" i="170"/>
  <c r="J1091" i="170" s="1"/>
  <c r="C1087" i="170"/>
  <c r="D1091" i="170" s="1"/>
  <c r="I1070" i="170"/>
  <c r="J1074" i="170" s="1"/>
  <c r="C1070" i="170"/>
  <c r="D1074" i="170" s="1"/>
  <c r="I1053" i="170"/>
  <c r="J1057" i="170" s="1"/>
  <c r="C1053" i="170"/>
  <c r="D1057" i="170" s="1"/>
  <c r="I1036" i="170"/>
  <c r="J1040" i="170" s="1"/>
  <c r="C1036" i="170"/>
  <c r="D1040" i="170" s="1"/>
  <c r="I1019" i="170"/>
  <c r="J1023" i="170" s="1"/>
  <c r="C1019" i="170"/>
  <c r="D1023" i="170" s="1"/>
  <c r="I1002" i="170"/>
  <c r="J1006" i="170" s="1"/>
  <c r="C1002" i="170"/>
  <c r="D1006" i="170" s="1"/>
  <c r="I985" i="170"/>
  <c r="J989" i="170" s="1"/>
  <c r="C985" i="170"/>
  <c r="D989" i="170" s="1"/>
  <c r="I968" i="170"/>
  <c r="J972" i="170" s="1"/>
  <c r="C968" i="170"/>
  <c r="D972" i="170" s="1"/>
  <c r="I951" i="170"/>
  <c r="J955" i="170" s="1"/>
  <c r="C951" i="170"/>
  <c r="D955" i="170" s="1"/>
  <c r="I934" i="170"/>
  <c r="J938" i="170" s="1"/>
  <c r="C934" i="170"/>
  <c r="D938" i="170" s="1"/>
  <c r="I917" i="170"/>
  <c r="J921" i="170" s="1"/>
  <c r="C917" i="170"/>
  <c r="D921" i="170" s="1"/>
  <c r="I900" i="170"/>
  <c r="J904" i="170" s="1"/>
  <c r="C900" i="170"/>
  <c r="D904" i="170" s="1"/>
  <c r="I883" i="170"/>
  <c r="J887" i="170" s="1"/>
  <c r="C883" i="170"/>
  <c r="D887" i="170" s="1"/>
  <c r="I866" i="170"/>
  <c r="J870" i="170" s="1"/>
  <c r="C866" i="170"/>
  <c r="D870" i="170" s="1"/>
  <c r="I849" i="170"/>
  <c r="J853" i="170" s="1"/>
  <c r="C849" i="170"/>
  <c r="D853" i="170" s="1"/>
  <c r="I832" i="170"/>
  <c r="J836" i="170" s="1"/>
  <c r="C832" i="170"/>
  <c r="D836" i="170" s="1"/>
  <c r="I815" i="170"/>
  <c r="J819" i="170" s="1"/>
  <c r="C815" i="170"/>
  <c r="D819" i="170" s="1"/>
  <c r="I798" i="170"/>
  <c r="J802" i="170" s="1"/>
  <c r="C798" i="170"/>
  <c r="D802" i="170" s="1"/>
  <c r="I781" i="170"/>
  <c r="J785" i="170" s="1"/>
  <c r="C781" i="170"/>
  <c r="D785" i="170" s="1"/>
  <c r="C764" i="170"/>
  <c r="D768" i="170" s="1"/>
  <c r="I764" i="170"/>
  <c r="J768" i="170" s="1"/>
  <c r="I747" i="170"/>
  <c r="J751" i="170" s="1"/>
  <c r="R103" i="9"/>
  <c r="G24" i="101" s="1"/>
  <c r="R119" i="9"/>
  <c r="G40" i="101" s="1"/>
  <c r="R131" i="9"/>
  <c r="G52" i="101" s="1"/>
  <c r="R143" i="9"/>
  <c r="G64" i="101" s="1"/>
  <c r="R107" i="9"/>
  <c r="G28" i="101" s="1"/>
  <c r="R123" i="9"/>
  <c r="G44" i="101" s="1"/>
  <c r="R132" i="9"/>
  <c r="G53" i="101" s="1"/>
  <c r="R97" i="9"/>
  <c r="R99" i="9"/>
  <c r="G20" i="101" s="1"/>
  <c r="R111" i="9"/>
  <c r="G32" i="101" s="1"/>
  <c r="R124" i="9"/>
  <c r="G45" i="101" s="1"/>
  <c r="R135" i="9"/>
  <c r="G56" i="101" s="1"/>
  <c r="R100" i="9"/>
  <c r="G21" i="101" s="1"/>
  <c r="R115" i="9"/>
  <c r="G36" i="101" s="1"/>
  <c r="R127" i="9"/>
  <c r="G48" i="101" s="1"/>
  <c r="R139" i="9"/>
  <c r="G60" i="101" s="1"/>
  <c r="R118" i="9"/>
  <c r="G39" i="101" s="1"/>
  <c r="R102" i="9"/>
  <c r="G23" i="101" s="1"/>
  <c r="R126" i="9"/>
  <c r="G47" i="101" s="1"/>
  <c r="R106" i="9"/>
  <c r="G27" i="101" s="1"/>
  <c r="R137" i="9"/>
  <c r="G58" i="101" s="1"/>
  <c r="R121" i="9"/>
  <c r="G42" i="101" s="1"/>
  <c r="R105" i="9"/>
  <c r="G26" i="101" s="1"/>
  <c r="R136" i="9"/>
  <c r="G57" i="101" s="1"/>
  <c r="R112" i="9"/>
  <c r="G33" i="101" s="1"/>
  <c r="R134" i="9"/>
  <c r="G55" i="101" s="1"/>
  <c r="R142" i="9"/>
  <c r="G63" i="101" s="1"/>
  <c r="R122" i="9"/>
  <c r="G43" i="101" s="1"/>
  <c r="R98" i="9"/>
  <c r="G19" i="101" s="1"/>
  <c r="R133" i="9"/>
  <c r="G54" i="101" s="1"/>
  <c r="R117" i="9"/>
  <c r="G38" i="101" s="1"/>
  <c r="R101" i="9"/>
  <c r="G22" i="101" s="1"/>
  <c r="R128" i="9"/>
  <c r="G49" i="101" s="1"/>
  <c r="R108" i="9"/>
  <c r="G29" i="101" s="1"/>
  <c r="R138" i="9"/>
  <c r="G59" i="101" s="1"/>
  <c r="R114" i="9"/>
  <c r="G35" i="101" s="1"/>
  <c r="R157" i="9"/>
  <c r="G78" i="101" s="1"/>
  <c r="R129" i="9"/>
  <c r="G50" i="101" s="1"/>
  <c r="R113" i="9"/>
  <c r="G34" i="101" s="1"/>
  <c r="R144" i="9"/>
  <c r="G65" i="101" s="1"/>
  <c r="R120" i="9"/>
  <c r="G41" i="101" s="1"/>
  <c r="R104" i="9"/>
  <c r="G25" i="101" s="1"/>
  <c r="R130" i="9"/>
  <c r="G51" i="101" s="1"/>
  <c r="R110" i="9"/>
  <c r="G31" i="101" s="1"/>
  <c r="R141" i="9"/>
  <c r="G62" i="101" s="1"/>
  <c r="R125" i="9"/>
  <c r="R109" i="9"/>
  <c r="G30" i="101" s="1"/>
  <c r="R140" i="9"/>
  <c r="G61" i="101" s="1"/>
  <c r="R116" i="9"/>
  <c r="G37" i="101" s="1"/>
  <c r="R154" i="9"/>
  <c r="G75" i="101" s="1"/>
  <c r="R152" i="9"/>
  <c r="G73" i="101" s="1"/>
  <c r="R146" i="9"/>
  <c r="G67" i="101" s="1"/>
  <c r="R147" i="9"/>
  <c r="G68" i="101" s="1"/>
  <c r="R155" i="9"/>
  <c r="G76" i="101" s="1"/>
  <c r="R145" i="9"/>
  <c r="G66" i="101" s="1"/>
  <c r="R153" i="9"/>
  <c r="G74" i="101" s="1"/>
  <c r="R148" i="9"/>
  <c r="G69" i="101" s="1"/>
  <c r="R150" i="9"/>
  <c r="G71" i="101" s="1"/>
  <c r="R151" i="9"/>
  <c r="G72" i="101" s="1"/>
  <c r="R156" i="9"/>
  <c r="G77" i="101" s="1"/>
  <c r="R149" i="9"/>
  <c r="G70" i="101" s="1"/>
  <c r="AD100" i="9"/>
  <c r="AD120" i="9"/>
  <c r="AD109" i="9"/>
  <c r="AD125" i="9"/>
  <c r="AD141" i="9"/>
  <c r="AD106" i="9"/>
  <c r="AD122" i="9"/>
  <c r="AD138" i="9"/>
  <c r="AD154" i="9"/>
  <c r="AD144" i="9"/>
  <c r="AD103" i="9"/>
  <c r="AD119" i="9"/>
  <c r="AD135" i="9"/>
  <c r="AD151" i="9"/>
  <c r="AD140" i="9"/>
  <c r="AD112" i="9"/>
  <c r="AD105" i="9"/>
  <c r="AD121" i="9"/>
  <c r="AD137" i="9"/>
  <c r="AD153" i="9"/>
  <c r="AD102" i="9"/>
  <c r="AD118" i="9"/>
  <c r="AD134" i="9"/>
  <c r="AD150" i="9"/>
  <c r="AD136" i="9"/>
  <c r="AD99" i="9"/>
  <c r="AD115" i="9"/>
  <c r="AD131" i="9"/>
  <c r="AD147" i="9"/>
  <c r="AD128" i="9"/>
  <c r="AD108" i="9"/>
  <c r="AD148" i="9"/>
  <c r="AD101" i="9"/>
  <c r="AD117" i="9"/>
  <c r="AD133" i="9"/>
  <c r="AD149" i="9"/>
  <c r="AD98" i="9"/>
  <c r="AD114" i="9"/>
  <c r="AD130" i="9"/>
  <c r="AD146" i="9"/>
  <c r="AD124" i="9"/>
  <c r="AD127" i="9"/>
  <c r="AD143" i="9"/>
  <c r="AD116" i="9"/>
  <c r="AD104" i="9"/>
  <c r="AD132" i="9"/>
  <c r="AD113" i="9"/>
  <c r="AD129" i="9"/>
  <c r="AD145" i="9"/>
  <c r="AD110" i="9"/>
  <c r="AD126" i="9"/>
  <c r="AD142" i="9"/>
  <c r="AD156" i="9"/>
  <c r="AD107" i="9"/>
  <c r="AD123" i="9"/>
  <c r="AD139" i="9"/>
  <c r="AD155" i="9"/>
  <c r="AD152" i="9"/>
  <c r="H146" i="151"/>
  <c r="H133" i="151"/>
  <c r="K133" i="151" s="1"/>
  <c r="H117" i="151"/>
  <c r="K117" i="151" s="1"/>
  <c r="H112" i="151"/>
  <c r="K112" i="151" s="1"/>
  <c r="H123" i="151"/>
  <c r="K123" i="151" s="1"/>
  <c r="H147" i="151"/>
  <c r="H142" i="151"/>
  <c r="H108" i="151"/>
  <c r="K108" i="151" s="1"/>
  <c r="H103" i="151"/>
  <c r="K103" i="151" s="1"/>
  <c r="H154" i="151"/>
  <c r="H125" i="151"/>
  <c r="K125" i="151" s="1"/>
  <c r="H104" i="151"/>
  <c r="K104" i="151" s="1"/>
  <c r="H105" i="151"/>
  <c r="K105" i="151" s="1"/>
  <c r="H143" i="151"/>
  <c r="H152" i="151"/>
  <c r="H121" i="151"/>
  <c r="K121" i="151" s="1"/>
  <c r="H148" i="151"/>
  <c r="H102" i="151"/>
  <c r="K102" i="151" s="1"/>
  <c r="H162" i="151"/>
  <c r="H153" i="151"/>
  <c r="A1238" i="170"/>
  <c r="G1221" i="170"/>
  <c r="H139" i="151" l="1"/>
  <c r="H120" i="151"/>
  <c r="K120" i="151" s="1"/>
  <c r="H116" i="151"/>
  <c r="K116" i="151" s="1"/>
  <c r="H157" i="151"/>
  <c r="H156" i="151"/>
  <c r="H131" i="151"/>
  <c r="K131" i="151" s="1"/>
  <c r="H113" i="151"/>
  <c r="K113" i="151" s="1"/>
  <c r="H109" i="151"/>
  <c r="K109" i="151" s="1"/>
  <c r="H134" i="151"/>
  <c r="K134" i="151" s="1"/>
  <c r="H126" i="151"/>
  <c r="K126" i="151" s="1"/>
  <c r="H107" i="151"/>
  <c r="K107" i="151" s="1"/>
  <c r="H128" i="151"/>
  <c r="K128" i="151" s="1"/>
  <c r="H138" i="151"/>
  <c r="H124" i="151"/>
  <c r="K124" i="151" s="1"/>
  <c r="H137" i="151"/>
  <c r="K137" i="151" s="1"/>
  <c r="H122" i="151"/>
  <c r="K122" i="151" s="1"/>
  <c r="H135" i="151"/>
  <c r="K135" i="151" s="1"/>
  <c r="H114" i="151"/>
  <c r="K114" i="151" s="1"/>
  <c r="G46" i="101"/>
  <c r="U125" i="9"/>
  <c r="H118" i="151"/>
  <c r="K118" i="151" s="1"/>
  <c r="H136" i="151"/>
  <c r="K136" i="151" s="1"/>
  <c r="H129" i="151"/>
  <c r="K129" i="151" s="1"/>
  <c r="H132" i="151"/>
  <c r="K132" i="151" s="1"/>
  <c r="H110" i="151"/>
  <c r="K110" i="151" s="1"/>
  <c r="H150" i="151"/>
  <c r="H106" i="151"/>
  <c r="K106" i="151" s="1"/>
  <c r="H119" i="151"/>
  <c r="K119" i="151" s="1"/>
  <c r="H149" i="151"/>
  <c r="H127" i="151"/>
  <c r="K127" i="151" s="1"/>
  <c r="H141" i="151"/>
  <c r="H140" i="151"/>
  <c r="H145" i="151"/>
  <c r="H115" i="151"/>
  <c r="K115" i="151" s="1"/>
  <c r="H144" i="151"/>
  <c r="H111" i="151"/>
  <c r="K111" i="151" s="1"/>
  <c r="H151" i="151"/>
  <c r="H161" i="151"/>
  <c r="H158" i="151"/>
  <c r="H159" i="151"/>
  <c r="H155" i="151"/>
  <c r="H160" i="151"/>
  <c r="K160" i="151" s="1"/>
  <c r="H130" i="151"/>
  <c r="K130" i="151" s="1"/>
  <c r="G1238" i="170"/>
  <c r="A1255" i="170"/>
  <c r="U155" i="9"/>
  <c r="U156" i="9"/>
  <c r="U154" i="9"/>
  <c r="U157" i="9"/>
  <c r="A1272" i="170" l="1"/>
  <c r="G1255" i="170"/>
  <c r="I16" i="151"/>
  <c r="A1289" i="170" l="1"/>
  <c r="G1289" i="170" s="1"/>
  <c r="G1272" i="170"/>
  <c r="AT163" i="128"/>
  <c r="E19" i="154" l="1"/>
  <c r="H18" i="154"/>
  <c r="U36" i="9"/>
  <c r="U81" i="9"/>
  <c r="I84" i="132"/>
  <c r="U121" i="9"/>
  <c r="U137" i="9"/>
  <c r="U153" i="9"/>
  <c r="U21" i="9"/>
  <c r="U37" i="9"/>
  <c r="U53" i="9"/>
  <c r="U69" i="9"/>
  <c r="U77" i="9"/>
  <c r="U67" i="9"/>
  <c r="U136" i="9"/>
  <c r="U64" i="9"/>
  <c r="U102" i="9"/>
  <c r="U118" i="9"/>
  <c r="U134" i="9"/>
  <c r="U150" i="9"/>
  <c r="U18" i="9"/>
  <c r="U26" i="9"/>
  <c r="U46" i="9"/>
  <c r="U62" i="9"/>
  <c r="U43" i="9"/>
  <c r="U55" i="9"/>
  <c r="U116" i="9"/>
  <c r="U16" i="9"/>
  <c r="U40" i="9"/>
  <c r="U103" i="9"/>
  <c r="U119" i="9"/>
  <c r="U143" i="9"/>
  <c r="U19" i="9"/>
  <c r="U14" i="9"/>
  <c r="U101" i="9"/>
  <c r="U109" i="9"/>
  <c r="U117" i="9"/>
  <c r="U133" i="9"/>
  <c r="U141" i="9"/>
  <c r="U149" i="9"/>
  <c r="U17" i="9"/>
  <c r="U25" i="9"/>
  <c r="U33" i="9"/>
  <c r="U41" i="9"/>
  <c r="U49" i="9"/>
  <c r="U57" i="9"/>
  <c r="U65" i="9"/>
  <c r="U73" i="9"/>
  <c r="U74" i="9"/>
  <c r="U59" i="9"/>
  <c r="U75" i="9"/>
  <c r="U104" i="9"/>
  <c r="U124" i="9"/>
  <c r="U148" i="9"/>
  <c r="U12" i="9"/>
  <c r="U52" i="9"/>
  <c r="U76" i="9"/>
  <c r="U98" i="9"/>
  <c r="U106" i="9"/>
  <c r="U114" i="9"/>
  <c r="U122" i="9"/>
  <c r="U130" i="9"/>
  <c r="U138" i="9"/>
  <c r="U146" i="9"/>
  <c r="U22" i="9"/>
  <c r="U30" i="9"/>
  <c r="U42" i="9"/>
  <c r="U50" i="9"/>
  <c r="U58" i="9"/>
  <c r="U66" i="9"/>
  <c r="U78" i="9"/>
  <c r="U51" i="9"/>
  <c r="U63" i="9"/>
  <c r="U105" i="9"/>
  <c r="U113" i="9"/>
  <c r="U129" i="9"/>
  <c r="U145" i="9"/>
  <c r="U13" i="9"/>
  <c r="U29" i="9"/>
  <c r="U45" i="9"/>
  <c r="U61" i="9"/>
  <c r="U47" i="9"/>
  <c r="U112" i="9"/>
  <c r="U24" i="9"/>
  <c r="U110" i="9"/>
  <c r="U126" i="9"/>
  <c r="U142" i="9"/>
  <c r="U38" i="9"/>
  <c r="U54" i="9"/>
  <c r="U70" i="9"/>
  <c r="U79" i="9"/>
  <c r="H16" i="151"/>
  <c r="K16" i="151" s="1"/>
  <c r="U83" i="9"/>
  <c r="U140" i="9"/>
  <c r="U60" i="9"/>
  <c r="U111" i="9"/>
  <c r="U127" i="9"/>
  <c r="U135" i="9"/>
  <c r="U151" i="9"/>
  <c r="U27" i="9"/>
  <c r="U35" i="9"/>
  <c r="U71" i="9"/>
  <c r="U100" i="9"/>
  <c r="U120" i="9"/>
  <c r="U144" i="9"/>
  <c r="U32" i="9"/>
  <c r="U56" i="9"/>
  <c r="U82" i="9"/>
  <c r="I85" i="132"/>
  <c r="U34" i="9"/>
  <c r="U80" i="9"/>
  <c r="I83" i="132"/>
  <c r="U128" i="9"/>
  <c r="U152" i="9"/>
  <c r="U28" i="9"/>
  <c r="U48" i="9"/>
  <c r="U72" i="9"/>
  <c r="U99" i="9"/>
  <c r="U107" i="9"/>
  <c r="U115" i="9"/>
  <c r="U123" i="9"/>
  <c r="U131" i="9"/>
  <c r="U139" i="9"/>
  <c r="U147" i="9"/>
  <c r="U97" i="9"/>
  <c r="U15" i="9"/>
  <c r="U23" i="9"/>
  <c r="U31" i="9"/>
  <c r="U39" i="9"/>
  <c r="U108" i="9"/>
  <c r="U132" i="9"/>
  <c r="U20" i="9"/>
  <c r="U44" i="9"/>
  <c r="U68" i="9"/>
  <c r="G41" i="99"/>
  <c r="G86" i="99"/>
  <c r="G22" i="99"/>
  <c r="G30" i="99"/>
  <c r="G38" i="99"/>
  <c r="G46" i="99"/>
  <c r="G54" i="99"/>
  <c r="G62" i="99"/>
  <c r="G70" i="99"/>
  <c r="G78" i="99"/>
  <c r="G79" i="99"/>
  <c r="G64" i="99"/>
  <c r="G80" i="99"/>
  <c r="G57" i="99"/>
  <c r="G81" i="99"/>
  <c r="G27" i="99"/>
  <c r="G35" i="99"/>
  <c r="G47" i="99"/>
  <c r="G55" i="99"/>
  <c r="G63" i="99"/>
  <c r="G71" i="99"/>
  <c r="G83" i="99"/>
  <c r="G56" i="99"/>
  <c r="G68" i="99"/>
  <c r="G33" i="99"/>
  <c r="G53" i="99"/>
  <c r="G77" i="99"/>
  <c r="G24" i="99"/>
  <c r="G32" i="99"/>
  <c r="G40" i="99"/>
  <c r="G76" i="99"/>
  <c r="G37" i="99"/>
  <c r="G61" i="99"/>
  <c r="G39" i="99"/>
  <c r="G85" i="99"/>
  <c r="G88" i="99"/>
  <c r="G87" i="99"/>
  <c r="G19" i="99"/>
  <c r="G18" i="99"/>
  <c r="G26" i="99"/>
  <c r="G34" i="99"/>
  <c r="G42" i="99"/>
  <c r="G50" i="99"/>
  <c r="G58" i="99"/>
  <c r="G66" i="99"/>
  <c r="G74" i="99"/>
  <c r="G82" i="99"/>
  <c r="G52" i="99"/>
  <c r="G72" i="99"/>
  <c r="G29" i="99"/>
  <c r="G69" i="99"/>
  <c r="G23" i="99"/>
  <c r="G31" i="99"/>
  <c r="G43" i="99"/>
  <c r="G51" i="99"/>
  <c r="G59" i="99"/>
  <c r="G67" i="99"/>
  <c r="G75" i="99"/>
  <c r="G48" i="99"/>
  <c r="G60" i="99"/>
  <c r="G84" i="99"/>
  <c r="G21" i="99"/>
  <c r="G45" i="99"/>
  <c r="G65" i="99"/>
  <c r="G20" i="99"/>
  <c r="G28" i="99"/>
  <c r="G36" i="99"/>
  <c r="G44" i="99"/>
  <c r="G25" i="99"/>
  <c r="G49" i="99"/>
  <c r="G73" i="99"/>
  <c r="H15" i="151" l="1"/>
  <c r="U10" i="9"/>
  <c r="J49" i="99"/>
  <c r="J44" i="99"/>
  <c r="J67" i="99"/>
  <c r="J74" i="99"/>
  <c r="J77" i="99"/>
  <c r="J35" i="99"/>
  <c r="J54" i="99"/>
  <c r="J86" i="99"/>
  <c r="J25" i="99"/>
  <c r="J36" i="99"/>
  <c r="J21" i="99"/>
  <c r="J60" i="99"/>
  <c r="J59" i="99"/>
  <c r="J23" i="99"/>
  <c r="J69" i="99"/>
  <c r="J72" i="99"/>
  <c r="J66" i="99"/>
  <c r="J34" i="99"/>
  <c r="J37" i="99"/>
  <c r="J76" i="99"/>
  <c r="J53" i="99"/>
  <c r="J68" i="99"/>
  <c r="J63" i="99"/>
  <c r="J27" i="99"/>
  <c r="J81" i="99"/>
  <c r="J78" i="99"/>
  <c r="J46" i="99"/>
  <c r="J41" i="99"/>
  <c r="J28" i="99"/>
  <c r="J48" i="99"/>
  <c r="J51" i="99"/>
  <c r="J29" i="99"/>
  <c r="J52" i="99"/>
  <c r="J58" i="99"/>
  <c r="J26" i="99"/>
  <c r="J85" i="99"/>
  <c r="J40" i="99"/>
  <c r="J33" i="99"/>
  <c r="J56" i="99"/>
  <c r="J55" i="99"/>
  <c r="J57" i="99"/>
  <c r="J80" i="99"/>
  <c r="J70" i="99"/>
  <c r="J38" i="99"/>
  <c r="J45" i="99"/>
  <c r="J84" i="99"/>
  <c r="J31" i="99"/>
  <c r="J42" i="99"/>
  <c r="J61" i="99"/>
  <c r="J24" i="99"/>
  <c r="J71" i="99"/>
  <c r="J79" i="99"/>
  <c r="J22" i="99"/>
  <c r="J73" i="99"/>
  <c r="J20" i="99"/>
  <c r="J65" i="99"/>
  <c r="J75" i="99"/>
  <c r="J43" i="99"/>
  <c r="J82" i="99"/>
  <c r="J50" i="99"/>
  <c r="J18" i="99"/>
  <c r="J19" i="99"/>
  <c r="J39" i="99"/>
  <c r="J32" i="99"/>
  <c r="J83" i="99"/>
  <c r="J47" i="99"/>
  <c r="J64" i="99"/>
  <c r="J62" i="99"/>
  <c r="J30" i="99"/>
  <c r="AQ161" i="128"/>
  <c r="AQ166" i="128" s="1"/>
  <c r="J87" i="99"/>
  <c r="J88" i="99"/>
  <c r="H19" i="154"/>
  <c r="G19" i="154"/>
  <c r="G15" i="154" s="1"/>
  <c r="H17" i="154"/>
  <c r="H16" i="154"/>
  <c r="AC11" i="151" l="1"/>
  <c r="K158" i="151"/>
  <c r="J60" i="101"/>
  <c r="J79" i="101"/>
  <c r="N79" i="101" s="1"/>
  <c r="K162" i="151"/>
  <c r="AA194" i="128"/>
  <c r="T194" i="128"/>
  <c r="T193" i="128"/>
  <c r="T189" i="128" s="1"/>
  <c r="K155" i="151"/>
  <c r="K145" i="151"/>
  <c r="K148" i="151"/>
  <c r="K153" i="151"/>
  <c r="K138" i="151"/>
  <c r="K150" i="151"/>
  <c r="K146" i="151"/>
  <c r="J66" i="101"/>
  <c r="J75" i="101"/>
  <c r="J65" i="101"/>
  <c r="K157" i="151"/>
  <c r="J43" i="101"/>
  <c r="J33" i="101"/>
  <c r="J34" i="101"/>
  <c r="J28" i="101"/>
  <c r="K144" i="151"/>
  <c r="J59" i="101"/>
  <c r="J27" i="101"/>
  <c r="J50" i="101"/>
  <c r="J21" i="101"/>
  <c r="J49" i="101"/>
  <c r="J76" i="101"/>
  <c r="J44" i="101"/>
  <c r="K141" i="151"/>
  <c r="K140" i="151"/>
  <c r="K142" i="151"/>
  <c r="K143" i="151"/>
  <c r="K147" i="151"/>
  <c r="K152" i="151"/>
  <c r="J23" i="101"/>
  <c r="J51" i="101"/>
  <c r="J74" i="101"/>
  <c r="J42" i="101"/>
  <c r="J73" i="101"/>
  <c r="J41" i="101"/>
  <c r="J68" i="101"/>
  <c r="J36" i="101"/>
  <c r="J67" i="101"/>
  <c r="J35" i="101"/>
  <c r="J58" i="101"/>
  <c r="J26" i="101"/>
  <c r="J57" i="101"/>
  <c r="J25" i="101"/>
  <c r="J52" i="101"/>
  <c r="K139" i="151"/>
  <c r="K154" i="151"/>
  <c r="K151" i="151"/>
  <c r="K156" i="151"/>
  <c r="K149" i="151"/>
  <c r="K161" i="151"/>
  <c r="K159" i="151"/>
  <c r="J19" i="101"/>
  <c r="J63" i="101"/>
  <c r="J47" i="101"/>
  <c r="J31" i="101"/>
  <c r="J70" i="101"/>
  <c r="J54" i="101"/>
  <c r="J38" i="101"/>
  <c r="AB13" i="101"/>
  <c r="J69" i="101"/>
  <c r="J53" i="101"/>
  <c r="J37" i="101"/>
  <c r="J20" i="101"/>
  <c r="J64" i="101"/>
  <c r="J48" i="101"/>
  <c r="J32" i="101"/>
  <c r="J78" i="101"/>
  <c r="J71" i="101"/>
  <c r="J55" i="101"/>
  <c r="J39" i="101"/>
  <c r="J22" i="101"/>
  <c r="J62" i="101"/>
  <c r="J46" i="101"/>
  <c r="J30" i="101"/>
  <c r="J77" i="101"/>
  <c r="J61" i="101"/>
  <c r="J45" i="101"/>
  <c r="J29" i="101"/>
  <c r="J72" i="101"/>
  <c r="J56" i="101"/>
  <c r="J40" i="101"/>
  <c r="J24" i="101"/>
  <c r="H15" i="154"/>
  <c r="L79" i="101" l="1"/>
  <c r="L83" i="101" s="1"/>
  <c r="Z79" i="101"/>
  <c r="K163" i="151"/>
  <c r="O163" i="151" s="1"/>
  <c r="G161" i="132" s="1"/>
  <c r="T195" i="128"/>
  <c r="AA191" i="128"/>
  <c r="AA193" i="128"/>
  <c r="AA188" i="128"/>
  <c r="AA190" i="128"/>
  <c r="AA163" i="151" l="1"/>
  <c r="AC163" i="151" s="1"/>
  <c r="M163" i="151"/>
  <c r="M100" i="151" s="1"/>
  <c r="M167" i="151" s="1"/>
  <c r="AA189" i="128"/>
  <c r="AH192" i="128" s="1"/>
  <c r="AH191" i="128" l="1"/>
  <c r="AH190" i="128"/>
  <c r="Q192" i="128"/>
  <c r="Q191" i="128"/>
  <c r="Q190" i="128"/>
  <c r="AA195" i="128"/>
  <c r="AH193" i="128"/>
  <c r="Q186" i="128" l="1"/>
  <c r="Q193" i="128"/>
  <c r="AH189" i="128"/>
  <c r="Q185" i="128"/>
  <c r="Q182" i="128" l="1"/>
  <c r="Q189" i="128"/>
  <c r="G20" i="79" l="1"/>
  <c r="N3" i="9"/>
  <c r="AC12" i="9"/>
  <c r="T12" i="9"/>
  <c r="AC13" i="9"/>
  <c r="T13" i="9"/>
  <c r="I18" i="151" s="1"/>
  <c r="K18" i="151" s="1"/>
  <c r="AC14" i="9"/>
  <c r="T14" i="9"/>
  <c r="I19" i="151" s="1"/>
  <c r="K19" i="151" s="1"/>
  <c r="AC15" i="9"/>
  <c r="T15" i="9"/>
  <c r="I20" i="151" s="1"/>
  <c r="K20" i="151" s="1"/>
  <c r="AC16" i="9"/>
  <c r="T16" i="9"/>
  <c r="I21" i="151" s="1"/>
  <c r="K21" i="151" s="1"/>
  <c r="AC17" i="9"/>
  <c r="T17" i="9"/>
  <c r="I22" i="151" s="1"/>
  <c r="K22" i="151" s="1"/>
  <c r="AC18" i="9"/>
  <c r="T18" i="9"/>
  <c r="I23" i="151" s="1"/>
  <c r="K23" i="151" s="1"/>
  <c r="AC19" i="9"/>
  <c r="T19" i="9"/>
  <c r="I24" i="151" s="1"/>
  <c r="K24" i="151" s="1"/>
  <c r="AC20" i="9"/>
  <c r="T20" i="9"/>
  <c r="I25" i="151" s="1"/>
  <c r="K25" i="151" s="1"/>
  <c r="AC21" i="9"/>
  <c r="T21" i="9"/>
  <c r="I26" i="151" s="1"/>
  <c r="K26" i="151" s="1"/>
  <c r="AC22" i="9"/>
  <c r="T22" i="9"/>
  <c r="I27" i="151" s="1"/>
  <c r="K27" i="151" s="1"/>
  <c r="AC23" i="9"/>
  <c r="T23" i="9"/>
  <c r="I28" i="151" s="1"/>
  <c r="K28" i="151" s="1"/>
  <c r="AC24" i="9"/>
  <c r="T24" i="9"/>
  <c r="I29" i="151" s="1"/>
  <c r="K29" i="151" s="1"/>
  <c r="AC25" i="9"/>
  <c r="T25" i="9"/>
  <c r="I30" i="151" s="1"/>
  <c r="K30" i="151" s="1"/>
  <c r="AC26" i="9"/>
  <c r="T26" i="9"/>
  <c r="I31" i="151" s="1"/>
  <c r="K31" i="151" s="1"/>
  <c r="AC27" i="9"/>
  <c r="T27" i="9"/>
  <c r="I32" i="151" s="1"/>
  <c r="K32" i="151" s="1"/>
  <c r="AC28" i="9"/>
  <c r="T28" i="9"/>
  <c r="I33" i="151" s="1"/>
  <c r="K33" i="151" s="1"/>
  <c r="AC29" i="9"/>
  <c r="T29" i="9"/>
  <c r="I34" i="151" s="1"/>
  <c r="K34" i="151" s="1"/>
  <c r="AC30" i="9"/>
  <c r="T30" i="9"/>
  <c r="I35" i="151" s="1"/>
  <c r="K35" i="151" s="1"/>
  <c r="AC31" i="9"/>
  <c r="T31" i="9"/>
  <c r="I36" i="151" s="1"/>
  <c r="K36" i="151" s="1"/>
  <c r="AC32" i="9"/>
  <c r="T32" i="9"/>
  <c r="I37" i="151" s="1"/>
  <c r="K37" i="151" s="1"/>
  <c r="AC33" i="9"/>
  <c r="T33" i="9"/>
  <c r="I38" i="151" s="1"/>
  <c r="K38" i="151" s="1"/>
  <c r="AC34" i="9"/>
  <c r="T34" i="9"/>
  <c r="I39" i="151" s="1"/>
  <c r="K39" i="151" s="1"/>
  <c r="AC35" i="9"/>
  <c r="T35" i="9"/>
  <c r="I40" i="151" s="1"/>
  <c r="K40" i="151" s="1"/>
  <c r="AC36" i="9"/>
  <c r="T36" i="9"/>
  <c r="I41" i="151" s="1"/>
  <c r="K41" i="151" s="1"/>
  <c r="AC37" i="9"/>
  <c r="T37" i="9"/>
  <c r="I42" i="151" s="1"/>
  <c r="K42" i="151" s="1"/>
  <c r="AC38" i="9"/>
  <c r="T38" i="9"/>
  <c r="I43" i="151" s="1"/>
  <c r="K43" i="151" s="1"/>
  <c r="AC39" i="9"/>
  <c r="T39" i="9"/>
  <c r="I44" i="151" s="1"/>
  <c r="K44" i="151" s="1"/>
  <c r="AC40" i="9"/>
  <c r="T40" i="9"/>
  <c r="I45" i="151" s="1"/>
  <c r="K45" i="151" s="1"/>
  <c r="AC41" i="9"/>
  <c r="T41" i="9"/>
  <c r="I46" i="151" s="1"/>
  <c r="K46" i="151" s="1"/>
  <c r="AC42" i="9"/>
  <c r="T42" i="9"/>
  <c r="I47" i="151" s="1"/>
  <c r="K47" i="151" s="1"/>
  <c r="AC43" i="9"/>
  <c r="T43" i="9"/>
  <c r="I48" i="151" s="1"/>
  <c r="K48" i="151" s="1"/>
  <c r="AC44" i="9"/>
  <c r="T44" i="9"/>
  <c r="I49" i="151" s="1"/>
  <c r="K49" i="151" s="1"/>
  <c r="AC45" i="9"/>
  <c r="T45" i="9"/>
  <c r="I50" i="151" s="1"/>
  <c r="K50" i="151" s="1"/>
  <c r="AC46" i="9"/>
  <c r="T46" i="9"/>
  <c r="I51" i="151" s="1"/>
  <c r="K51" i="151" s="1"/>
  <c r="AC47" i="9"/>
  <c r="T47" i="9"/>
  <c r="I52" i="151" s="1"/>
  <c r="K52" i="151" s="1"/>
  <c r="AC48" i="9"/>
  <c r="T48" i="9"/>
  <c r="I53" i="151" s="1"/>
  <c r="K53" i="151" s="1"/>
  <c r="AC49" i="9"/>
  <c r="T49" i="9"/>
  <c r="I54" i="151" s="1"/>
  <c r="K54" i="151" s="1"/>
  <c r="AC50" i="9"/>
  <c r="T50" i="9"/>
  <c r="I55" i="151" s="1"/>
  <c r="K55" i="151" s="1"/>
  <c r="AC51" i="9"/>
  <c r="T51" i="9"/>
  <c r="I56" i="151" s="1"/>
  <c r="K56" i="151" s="1"/>
  <c r="AC52" i="9"/>
  <c r="T52" i="9"/>
  <c r="I57" i="151" s="1"/>
  <c r="K57" i="151" s="1"/>
  <c r="AC53" i="9"/>
  <c r="T53" i="9"/>
  <c r="I58" i="151" s="1"/>
  <c r="K58" i="151" s="1"/>
  <c r="AC54" i="9"/>
  <c r="T54" i="9"/>
  <c r="I59" i="151" s="1"/>
  <c r="K59" i="151" s="1"/>
  <c r="AC55" i="9"/>
  <c r="T55" i="9"/>
  <c r="I60" i="151" s="1"/>
  <c r="K60" i="151" s="1"/>
  <c r="AC56" i="9"/>
  <c r="T56" i="9"/>
  <c r="I61" i="151" s="1"/>
  <c r="K61" i="151" s="1"/>
  <c r="AC57" i="9"/>
  <c r="T57" i="9"/>
  <c r="I62" i="151" s="1"/>
  <c r="K62" i="151" s="1"/>
  <c r="AC58" i="9"/>
  <c r="T58" i="9"/>
  <c r="I63" i="151" s="1"/>
  <c r="K63" i="151" s="1"/>
  <c r="AC59" i="9"/>
  <c r="T59" i="9"/>
  <c r="I64" i="151" s="1"/>
  <c r="K64" i="151" s="1"/>
  <c r="AC60" i="9"/>
  <c r="T60" i="9"/>
  <c r="I65" i="151" s="1"/>
  <c r="K65" i="151" s="1"/>
  <c r="AC61" i="9"/>
  <c r="T61" i="9"/>
  <c r="I66" i="151" s="1"/>
  <c r="K66" i="151" s="1"/>
  <c r="AC62" i="9"/>
  <c r="T62" i="9"/>
  <c r="I67" i="151" s="1"/>
  <c r="K67" i="151" s="1"/>
  <c r="AC63" i="9"/>
  <c r="T63" i="9"/>
  <c r="I68" i="151" s="1"/>
  <c r="K68" i="151" s="1"/>
  <c r="AC64" i="9"/>
  <c r="T64" i="9"/>
  <c r="I69" i="151" s="1"/>
  <c r="K69" i="151" s="1"/>
  <c r="AC65" i="9"/>
  <c r="T65" i="9"/>
  <c r="I70" i="151" s="1"/>
  <c r="K70" i="151" s="1"/>
  <c r="AC66" i="9"/>
  <c r="T66" i="9"/>
  <c r="I71" i="151" s="1"/>
  <c r="K71" i="151" s="1"/>
  <c r="AC67" i="9"/>
  <c r="T67" i="9"/>
  <c r="I72" i="151" s="1"/>
  <c r="K72" i="151" s="1"/>
  <c r="AC68" i="9"/>
  <c r="T68" i="9"/>
  <c r="I73" i="151" s="1"/>
  <c r="K73" i="151" s="1"/>
  <c r="AC69" i="9"/>
  <c r="T69" i="9"/>
  <c r="I74" i="151" s="1"/>
  <c r="K74" i="151" s="1"/>
  <c r="T70" i="9"/>
  <c r="I75" i="151" s="1"/>
  <c r="K75" i="151" s="1"/>
  <c r="AC71" i="9"/>
  <c r="T71" i="9"/>
  <c r="I76" i="151" s="1"/>
  <c r="K76" i="151" s="1"/>
  <c r="AC72" i="9"/>
  <c r="T72" i="9"/>
  <c r="I77" i="151" s="1"/>
  <c r="K77" i="151" s="1"/>
  <c r="AC73" i="9"/>
  <c r="T73" i="9"/>
  <c r="I78" i="151" s="1"/>
  <c r="K78" i="151" s="1"/>
  <c r="AC74" i="9"/>
  <c r="T74" i="9"/>
  <c r="I79" i="151" s="1"/>
  <c r="K79" i="151" s="1"/>
  <c r="AC75" i="9"/>
  <c r="T75" i="9"/>
  <c r="I80" i="151" s="1"/>
  <c r="K80" i="151" s="1"/>
  <c r="AC76" i="9"/>
  <c r="T76" i="9"/>
  <c r="I81" i="151" s="1"/>
  <c r="K81" i="151" s="1"/>
  <c r="AC77" i="9"/>
  <c r="T77" i="9"/>
  <c r="I82" i="151" s="1"/>
  <c r="K82" i="151" s="1"/>
  <c r="AC78" i="9"/>
  <c r="T78" i="9"/>
  <c r="I83" i="151" s="1"/>
  <c r="K83" i="151" s="1"/>
  <c r="AC79" i="9"/>
  <c r="T79" i="9"/>
  <c r="I84" i="151" s="1"/>
  <c r="K84" i="151" s="1"/>
  <c r="AF100" i="9"/>
  <c r="C96" i="9"/>
  <c r="Y96" i="9" s="1"/>
  <c r="Y95" i="9" s="1"/>
  <c r="Y9" i="9" s="1"/>
  <c r="T96" i="9"/>
  <c r="T95" i="9" s="1"/>
  <c r="AC98" i="9"/>
  <c r="AC99" i="9"/>
  <c r="AC100" i="9"/>
  <c r="AC101" i="9"/>
  <c r="AG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G139" i="9"/>
  <c r="AC140" i="9"/>
  <c r="AC141" i="9"/>
  <c r="AC142" i="9"/>
  <c r="AC143" i="9"/>
  <c r="AC144" i="9"/>
  <c r="AC145" i="9"/>
  <c r="AC146" i="9"/>
  <c r="AC147" i="9"/>
  <c r="AC148" i="9"/>
  <c r="AC149" i="9"/>
  <c r="AC150" i="9"/>
  <c r="AC151" i="9"/>
  <c r="AC152" i="9"/>
  <c r="O162" i="9"/>
  <c r="AF162" i="9"/>
  <c r="AG163" i="9"/>
  <c r="AH168" i="9"/>
  <c r="AH169" i="9" s="1"/>
  <c r="AI168" i="9"/>
  <c r="AI169" i="9" s="1"/>
  <c r="AJ168" i="9"/>
  <c r="AJ169" i="9" s="1"/>
  <c r="AK168" i="9"/>
  <c r="AK169" i="9" s="1"/>
  <c r="AO171" i="9"/>
  <c r="C156" i="99"/>
  <c r="Q156" i="99"/>
  <c r="F176" i="99"/>
  <c r="F178" i="99"/>
  <c r="Y197" i="99"/>
  <c r="Y198" i="99"/>
  <c r="Y199" i="99"/>
  <c r="Y145" i="101"/>
  <c r="Y146" i="101"/>
  <c r="Y147" i="101"/>
  <c r="T10" i="9" l="1"/>
  <c r="R96" i="9"/>
  <c r="R95" i="9" s="1"/>
  <c r="AD96" i="9"/>
  <c r="C591" i="170"/>
  <c r="E591" i="170" s="1"/>
  <c r="T9" i="9"/>
  <c r="Q80" i="101"/>
  <c r="V80" i="101" s="1"/>
  <c r="X96" i="9"/>
  <c r="X95" i="9" s="1"/>
  <c r="W96" i="9"/>
  <c r="W95" i="9" s="1"/>
  <c r="Q23" i="101"/>
  <c r="Q25" i="101"/>
  <c r="Q58" i="101"/>
  <c r="Q52" i="101"/>
  <c r="Q27" i="101"/>
  <c r="Q41" i="101"/>
  <c r="Q62" i="101"/>
  <c r="Q28" i="101"/>
  <c r="Q47" i="101"/>
  <c r="Q50" i="101"/>
  <c r="Q36" i="101"/>
  <c r="Q35" i="101"/>
  <c r="Q56" i="101"/>
  <c r="Q22" i="101"/>
  <c r="Q69" i="101"/>
  <c r="R127" i="151"/>
  <c r="R159" i="151"/>
  <c r="R157" i="151"/>
  <c r="R156" i="151"/>
  <c r="R122" i="151"/>
  <c r="R154" i="151"/>
  <c r="R137" i="151"/>
  <c r="R144" i="151"/>
  <c r="R115" i="151"/>
  <c r="R147" i="151"/>
  <c r="R104" i="151"/>
  <c r="R110" i="151"/>
  <c r="R142" i="151"/>
  <c r="R117" i="151"/>
  <c r="R120" i="151"/>
  <c r="R103" i="151"/>
  <c r="R135" i="151"/>
  <c r="R141" i="151"/>
  <c r="R140" i="151"/>
  <c r="R130" i="151"/>
  <c r="R162" i="151"/>
  <c r="R153" i="151"/>
  <c r="R160" i="151"/>
  <c r="Q71" i="101"/>
  <c r="Q64" i="101"/>
  <c r="Q42" i="101"/>
  <c r="Q77" i="101"/>
  <c r="Q75" i="101"/>
  <c r="Q46" i="101"/>
  <c r="Q53" i="101"/>
  <c r="Q31" i="101"/>
  <c r="Q34" i="101"/>
  <c r="Q61" i="101"/>
  <c r="R107" i="151"/>
  <c r="R139" i="151"/>
  <c r="R109" i="151"/>
  <c r="R116" i="151"/>
  <c r="R118" i="151"/>
  <c r="R150" i="151"/>
  <c r="R129" i="151"/>
  <c r="R136" i="151"/>
  <c r="Q19" i="101"/>
  <c r="Q57" i="101"/>
  <c r="Q24" i="101"/>
  <c r="Q70" i="101"/>
  <c r="Q37" i="101"/>
  <c r="Q55" i="101"/>
  <c r="Q32" i="101"/>
  <c r="Q26" i="101"/>
  <c r="Q45" i="101"/>
  <c r="Q59" i="101"/>
  <c r="Q72" i="101"/>
  <c r="Q30" i="101"/>
  <c r="Q29" i="101"/>
  <c r="Q49" i="101"/>
  <c r="Q48" i="101"/>
  <c r="Q33" i="101"/>
  <c r="Q67" i="101"/>
  <c r="Q54" i="101"/>
  <c r="Q76" i="101"/>
  <c r="R111" i="151"/>
  <c r="R143" i="151"/>
  <c r="R125" i="151"/>
  <c r="R124" i="151"/>
  <c r="R106" i="151"/>
  <c r="R138" i="151"/>
  <c r="R113" i="151"/>
  <c r="R112" i="151"/>
  <c r="R131" i="151"/>
  <c r="R133" i="151"/>
  <c r="R132" i="151"/>
  <c r="R126" i="151"/>
  <c r="R158" i="151"/>
  <c r="R145" i="151"/>
  <c r="R152" i="151"/>
  <c r="R119" i="151"/>
  <c r="R151" i="151"/>
  <c r="R108" i="151"/>
  <c r="R114" i="151"/>
  <c r="R146" i="151"/>
  <c r="R121" i="151"/>
  <c r="R128" i="151"/>
  <c r="Q39" i="101"/>
  <c r="Q65" i="101"/>
  <c r="Q74" i="101"/>
  <c r="Q21" i="101"/>
  <c r="Q43" i="101"/>
  <c r="Q73" i="101"/>
  <c r="Q40" i="101"/>
  <c r="Q78" i="101"/>
  <c r="Q60" i="101"/>
  <c r="Q63" i="101"/>
  <c r="Q20" i="101"/>
  <c r="Q66" i="101"/>
  <c r="Q68" i="101"/>
  <c r="R123" i="151"/>
  <c r="R155" i="151"/>
  <c r="R149" i="151"/>
  <c r="R148" i="151"/>
  <c r="R134" i="151"/>
  <c r="R105" i="151"/>
  <c r="R161" i="151"/>
  <c r="Q51" i="101"/>
  <c r="Q38" i="101"/>
  <c r="Q44" i="101"/>
  <c r="R102" i="151"/>
  <c r="Q18" i="101"/>
  <c r="V96" i="9"/>
  <c r="V95" i="9" s="1"/>
  <c r="R9" i="9"/>
  <c r="I17" i="151"/>
  <c r="S41" i="101"/>
  <c r="P149" i="151"/>
  <c r="Q149" i="151"/>
  <c r="U155" i="151"/>
  <c r="S43" i="101"/>
  <c r="T75" i="101"/>
  <c r="P20" i="101"/>
  <c r="R28" i="101"/>
  <c r="V28" i="101" s="1"/>
  <c r="T28" i="101"/>
  <c r="P36" i="101"/>
  <c r="R44" i="101"/>
  <c r="V44" i="101" s="1"/>
  <c r="O44" i="101"/>
  <c r="P52" i="101"/>
  <c r="R60" i="101"/>
  <c r="V60" i="101" s="1"/>
  <c r="O60" i="101"/>
  <c r="P68" i="101"/>
  <c r="R76" i="101"/>
  <c r="V76" i="101" s="1"/>
  <c r="O76" i="101"/>
  <c r="S147" i="151"/>
  <c r="P38" i="101"/>
  <c r="S125" i="151"/>
  <c r="T106" i="151"/>
  <c r="S122" i="151"/>
  <c r="Q138" i="151"/>
  <c r="P138" i="151"/>
  <c r="U154" i="151"/>
  <c r="T105" i="151"/>
  <c r="U105" i="151"/>
  <c r="S117" i="151"/>
  <c r="T73" i="101"/>
  <c r="S130" i="151"/>
  <c r="O31" i="101"/>
  <c r="U103" i="151"/>
  <c r="S113" i="151"/>
  <c r="R78" i="101"/>
  <c r="V78" i="101" s="1"/>
  <c r="P78" i="101"/>
  <c r="S25" i="101"/>
  <c r="P121" i="151"/>
  <c r="Q121" i="151"/>
  <c r="T133" i="151"/>
  <c r="U133" i="151"/>
  <c r="S57" i="101"/>
  <c r="P153" i="151"/>
  <c r="Q153" i="151"/>
  <c r="R62" i="101"/>
  <c r="V62" i="101" s="1"/>
  <c r="P62" i="101"/>
  <c r="T123" i="151"/>
  <c r="Q123" i="151"/>
  <c r="S135" i="151"/>
  <c r="S71" i="101"/>
  <c r="P27" i="101"/>
  <c r="O59" i="101"/>
  <c r="U127" i="151"/>
  <c r="S24" i="101"/>
  <c r="T32" i="101"/>
  <c r="S40" i="101"/>
  <c r="S48" i="101"/>
  <c r="O56" i="101"/>
  <c r="S64" i="101"/>
  <c r="O72" i="101"/>
  <c r="P115" i="151"/>
  <c r="T70" i="101"/>
  <c r="O26" i="101"/>
  <c r="S42" i="101"/>
  <c r="P58" i="101"/>
  <c r="O74" i="101"/>
  <c r="T134" i="151"/>
  <c r="P109" i="151"/>
  <c r="Q109" i="151"/>
  <c r="O19" i="101"/>
  <c r="P51" i="101"/>
  <c r="R51" i="101"/>
  <c r="V51" i="101" s="1"/>
  <c r="T111" i="151"/>
  <c r="Q111" i="151"/>
  <c r="Q108" i="151"/>
  <c r="S108" i="151"/>
  <c r="U116" i="151"/>
  <c r="P124" i="151"/>
  <c r="T132" i="151"/>
  <c r="Q140" i="151"/>
  <c r="S140" i="151"/>
  <c r="U148" i="151"/>
  <c r="P156" i="151"/>
  <c r="O54" i="101"/>
  <c r="U146" i="151"/>
  <c r="S110" i="151"/>
  <c r="Q126" i="151"/>
  <c r="P126" i="151"/>
  <c r="U142" i="151"/>
  <c r="T158" i="151"/>
  <c r="P145" i="151"/>
  <c r="Q145" i="151"/>
  <c r="O29" i="101"/>
  <c r="P37" i="101"/>
  <c r="R37" i="101"/>
  <c r="V37" i="101" s="1"/>
  <c r="O49" i="101"/>
  <c r="P61" i="101"/>
  <c r="R61" i="101"/>
  <c r="V61" i="101" s="1"/>
  <c r="O69" i="101"/>
  <c r="S139" i="151"/>
  <c r="S151" i="151"/>
  <c r="R30" i="101"/>
  <c r="V30" i="101" s="1"/>
  <c r="S30" i="101"/>
  <c r="U118" i="151"/>
  <c r="P129" i="151"/>
  <c r="Q129" i="151"/>
  <c r="S141" i="151"/>
  <c r="P35" i="101"/>
  <c r="O67" i="101"/>
  <c r="U143" i="151"/>
  <c r="T104" i="151"/>
  <c r="Q112" i="151"/>
  <c r="S112" i="151"/>
  <c r="U120" i="151"/>
  <c r="P128" i="151"/>
  <c r="T136" i="151"/>
  <c r="Q144" i="151"/>
  <c r="S144" i="151"/>
  <c r="U152" i="151"/>
  <c r="T160" i="151"/>
  <c r="U131" i="151"/>
  <c r="P22" i="101"/>
  <c r="U114" i="151"/>
  <c r="T34" i="101"/>
  <c r="R50" i="101"/>
  <c r="V50" i="101" s="1"/>
  <c r="S50" i="101"/>
  <c r="T66" i="101"/>
  <c r="O21" i="101"/>
  <c r="P33" i="101"/>
  <c r="R33" i="101"/>
  <c r="V33" i="101" s="1"/>
  <c r="O45" i="101"/>
  <c r="P53" i="101"/>
  <c r="R53" i="101"/>
  <c r="V53" i="101" s="1"/>
  <c r="O65" i="101"/>
  <c r="P77" i="101"/>
  <c r="R77" i="101"/>
  <c r="V77" i="101" s="1"/>
  <c r="O39" i="101"/>
  <c r="U107" i="151"/>
  <c r="U162" i="151"/>
  <c r="O55" i="101"/>
  <c r="U119" i="151"/>
  <c r="T47" i="101"/>
  <c r="R47" i="101"/>
  <c r="V47" i="101" s="1"/>
  <c r="S23" i="101"/>
  <c r="O46" i="101"/>
  <c r="T63" i="101"/>
  <c r="R63" i="101"/>
  <c r="V63" i="101" s="1"/>
  <c r="Q150" i="151"/>
  <c r="P150" i="151"/>
  <c r="U161" i="151"/>
  <c r="T41" i="101"/>
  <c r="S149" i="151"/>
  <c r="T155" i="151"/>
  <c r="Q155" i="151"/>
  <c r="T43" i="101"/>
  <c r="R43" i="101"/>
  <c r="V43" i="101" s="1"/>
  <c r="S75" i="101"/>
  <c r="U159" i="151"/>
  <c r="T159" i="151"/>
  <c r="R20" i="101"/>
  <c r="V20" i="101" s="1"/>
  <c r="T20" i="101"/>
  <c r="P28" i="101"/>
  <c r="R36" i="101"/>
  <c r="V36" i="101" s="1"/>
  <c r="T36" i="101"/>
  <c r="P44" i="101"/>
  <c r="R52" i="101"/>
  <c r="V52" i="101" s="1"/>
  <c r="O52" i="101"/>
  <c r="Y52" i="101" s="1"/>
  <c r="P60" i="101"/>
  <c r="R68" i="101"/>
  <c r="V68" i="101" s="1"/>
  <c r="O68" i="101"/>
  <c r="P76" i="101"/>
  <c r="P147" i="151"/>
  <c r="O38" i="101"/>
  <c r="P125" i="151"/>
  <c r="Q125" i="151"/>
  <c r="Q106" i="151"/>
  <c r="P106" i="151"/>
  <c r="U122" i="151"/>
  <c r="T138" i="151"/>
  <c r="S154" i="151"/>
  <c r="P117" i="151"/>
  <c r="Q117" i="151"/>
  <c r="T137" i="151"/>
  <c r="U137" i="151"/>
  <c r="S73" i="101"/>
  <c r="U130" i="151"/>
  <c r="P31" i="101"/>
  <c r="R31" i="101"/>
  <c r="V31" i="101" s="1"/>
  <c r="T103" i="151"/>
  <c r="Q103" i="151"/>
  <c r="P113" i="151"/>
  <c r="Q113" i="151"/>
  <c r="T78" i="101"/>
  <c r="T25" i="101"/>
  <c r="S121" i="151"/>
  <c r="T57" i="101"/>
  <c r="S153" i="151"/>
  <c r="T62" i="101"/>
  <c r="U123" i="151"/>
  <c r="P135" i="151"/>
  <c r="T71" i="101"/>
  <c r="R71" i="101"/>
  <c r="V71" i="101" s="1"/>
  <c r="O27" i="101"/>
  <c r="Y27" i="101" s="1"/>
  <c r="P59" i="101"/>
  <c r="R59" i="101"/>
  <c r="V59" i="101" s="1"/>
  <c r="T127" i="151"/>
  <c r="Q127" i="151"/>
  <c r="T24" i="101"/>
  <c r="S32" i="101"/>
  <c r="T40" i="101"/>
  <c r="O48" i="101"/>
  <c r="S56" i="101"/>
  <c r="O64" i="101"/>
  <c r="S72" i="101"/>
  <c r="S115" i="151"/>
  <c r="R70" i="101"/>
  <c r="V70" i="101" s="1"/>
  <c r="P70" i="101"/>
  <c r="T157" i="151"/>
  <c r="U157" i="151"/>
  <c r="S26" i="101"/>
  <c r="O42" i="101"/>
  <c r="O58" i="101"/>
  <c r="P74" i="101"/>
  <c r="Q134" i="151"/>
  <c r="P134" i="151"/>
  <c r="S109" i="151"/>
  <c r="P19" i="101"/>
  <c r="O51" i="101"/>
  <c r="U111" i="151"/>
  <c r="P108" i="151"/>
  <c r="T116" i="151"/>
  <c r="Q124" i="151"/>
  <c r="S124" i="151"/>
  <c r="U132" i="151"/>
  <c r="P140" i="151"/>
  <c r="T148" i="151"/>
  <c r="Q156" i="151"/>
  <c r="S156" i="151"/>
  <c r="S54" i="101"/>
  <c r="S146" i="151"/>
  <c r="U110" i="151"/>
  <c r="T126" i="151"/>
  <c r="S142" i="151"/>
  <c r="Q158" i="151"/>
  <c r="P158" i="151"/>
  <c r="S145" i="151"/>
  <c r="P29" i="101"/>
  <c r="R29" i="101"/>
  <c r="V29" i="101" s="1"/>
  <c r="O37" i="101"/>
  <c r="P49" i="101"/>
  <c r="R49" i="101"/>
  <c r="V49" i="101" s="1"/>
  <c r="O61" i="101"/>
  <c r="P69" i="101"/>
  <c r="R69" i="101"/>
  <c r="V69" i="101" s="1"/>
  <c r="P139" i="151"/>
  <c r="P151" i="151"/>
  <c r="T30" i="101"/>
  <c r="S118" i="151"/>
  <c r="S129" i="151"/>
  <c r="P141" i="151"/>
  <c r="Q141" i="151"/>
  <c r="O35" i="101"/>
  <c r="P67" i="101"/>
  <c r="R67" i="101"/>
  <c r="V67" i="101" s="1"/>
  <c r="T143" i="151"/>
  <c r="Q143" i="151"/>
  <c r="U104" i="151"/>
  <c r="P112" i="151"/>
  <c r="T120" i="151"/>
  <c r="Q128" i="151"/>
  <c r="S128" i="151"/>
  <c r="U136" i="151"/>
  <c r="P144" i="151"/>
  <c r="T152" i="151"/>
  <c r="U160" i="151"/>
  <c r="S160" i="151"/>
  <c r="T131" i="151"/>
  <c r="Q131" i="151"/>
  <c r="O22" i="101"/>
  <c r="S114" i="151"/>
  <c r="R34" i="101"/>
  <c r="V34" i="101" s="1"/>
  <c r="P34" i="101"/>
  <c r="T50" i="101"/>
  <c r="R66" i="101"/>
  <c r="V66" i="101" s="1"/>
  <c r="S66" i="101"/>
  <c r="P21" i="101"/>
  <c r="R21" i="101"/>
  <c r="V21" i="101" s="1"/>
  <c r="O33" i="101"/>
  <c r="P45" i="101"/>
  <c r="R45" i="101"/>
  <c r="V45" i="101" s="1"/>
  <c r="O53" i="101"/>
  <c r="P65" i="101"/>
  <c r="R65" i="101"/>
  <c r="V65" i="101" s="1"/>
  <c r="O77" i="101"/>
  <c r="P39" i="101"/>
  <c r="R39" i="101"/>
  <c r="V39" i="101" s="1"/>
  <c r="T107" i="151"/>
  <c r="Q107" i="151"/>
  <c r="Q162" i="151"/>
  <c r="P55" i="101"/>
  <c r="T119" i="151"/>
  <c r="Q119" i="151"/>
  <c r="S47" i="101"/>
  <c r="T23" i="101"/>
  <c r="S46" i="101"/>
  <c r="S63" i="101"/>
  <c r="T150" i="151"/>
  <c r="V161" i="151"/>
  <c r="T161" i="151"/>
  <c r="P155" i="151"/>
  <c r="O36" i="101"/>
  <c r="T44" i="101"/>
  <c r="S68" i="101"/>
  <c r="T76" i="101"/>
  <c r="U147" i="151"/>
  <c r="T38" i="101"/>
  <c r="S106" i="151"/>
  <c r="P122" i="151"/>
  <c r="S138" i="151"/>
  <c r="P154" i="151"/>
  <c r="S105" i="151"/>
  <c r="S137" i="151"/>
  <c r="R73" i="101"/>
  <c r="V73" i="101" s="1"/>
  <c r="T31" i="101"/>
  <c r="P103" i="151"/>
  <c r="U113" i="151"/>
  <c r="O25" i="101"/>
  <c r="S133" i="151"/>
  <c r="R57" i="101"/>
  <c r="V57" i="101" s="1"/>
  <c r="U153" i="151"/>
  <c r="T135" i="151"/>
  <c r="S27" i="101"/>
  <c r="O24" i="101"/>
  <c r="R40" i="101"/>
  <c r="V40" i="101" s="1"/>
  <c r="P48" i="101"/>
  <c r="T56" i="101"/>
  <c r="R72" i="101"/>
  <c r="V72" i="101" s="1"/>
  <c r="Q115" i="151"/>
  <c r="R42" i="101"/>
  <c r="V42" i="101" s="1"/>
  <c r="T58" i="101"/>
  <c r="S74" i="101"/>
  <c r="T109" i="151"/>
  <c r="S19" i="101"/>
  <c r="T108" i="151"/>
  <c r="S116" i="151"/>
  <c r="T124" i="151"/>
  <c r="S132" i="151"/>
  <c r="T140" i="151"/>
  <c r="S148" i="151"/>
  <c r="T156" i="151"/>
  <c r="T29" i="101"/>
  <c r="S37" i="101"/>
  <c r="T69" i="101"/>
  <c r="U139" i="151"/>
  <c r="Q151" i="151"/>
  <c r="P118" i="151"/>
  <c r="U141" i="151"/>
  <c r="T67" i="101"/>
  <c r="P143" i="151"/>
  <c r="P104" i="151"/>
  <c r="U112" i="151"/>
  <c r="P120" i="151"/>
  <c r="U128" i="151"/>
  <c r="P136" i="151"/>
  <c r="U144" i="151"/>
  <c r="P152" i="151"/>
  <c r="P160" i="151"/>
  <c r="P131" i="151"/>
  <c r="T22" i="101"/>
  <c r="T114" i="151"/>
  <c r="O34" i="101"/>
  <c r="Y34" i="101" s="1"/>
  <c r="T21" i="101"/>
  <c r="S33" i="101"/>
  <c r="T65" i="101"/>
  <c r="S77" i="101"/>
  <c r="T162" i="151"/>
  <c r="P47" i="101"/>
  <c r="O23" i="101"/>
  <c r="P46" i="101"/>
  <c r="P63" i="101"/>
  <c r="R41" i="101"/>
  <c r="V41" i="101" s="1"/>
  <c r="U149" i="151"/>
  <c r="O43" i="101"/>
  <c r="Y43" i="101" s="1"/>
  <c r="R75" i="101"/>
  <c r="V75" i="101" s="1"/>
  <c r="P159" i="151"/>
  <c r="S20" i="101"/>
  <c r="S44" i="101"/>
  <c r="T52" i="101"/>
  <c r="S76" i="101"/>
  <c r="T147" i="151"/>
  <c r="R38" i="101"/>
  <c r="V38" i="101" s="1"/>
  <c r="T125" i="151"/>
  <c r="U106" i="151"/>
  <c r="T122" i="151"/>
  <c r="U138" i="151"/>
  <c r="T154" i="151"/>
  <c r="P105" i="151"/>
  <c r="T117" i="151"/>
  <c r="P137" i="151"/>
  <c r="O73" i="101"/>
  <c r="P130" i="151"/>
  <c r="O78" i="101"/>
  <c r="P25" i="101"/>
  <c r="T121" i="151"/>
  <c r="P133" i="151"/>
  <c r="O57" i="101"/>
  <c r="S123" i="151"/>
  <c r="T27" i="101"/>
  <c r="S59" i="101"/>
  <c r="S127" i="151"/>
  <c r="P24" i="101"/>
  <c r="O32" i="101"/>
  <c r="R48" i="101"/>
  <c r="V48" i="101" s="1"/>
  <c r="P56" i="101"/>
  <c r="T64" i="101"/>
  <c r="U115" i="151"/>
  <c r="O70" i="101"/>
  <c r="Q157" i="151"/>
  <c r="P26" i="101"/>
  <c r="R58" i="101"/>
  <c r="V58" i="101" s="1"/>
  <c r="T74" i="101"/>
  <c r="T19" i="101"/>
  <c r="S51" i="101"/>
  <c r="S111" i="151"/>
  <c r="U108" i="151"/>
  <c r="P116" i="151"/>
  <c r="U124" i="151"/>
  <c r="P132" i="151"/>
  <c r="U140" i="151"/>
  <c r="P148" i="151"/>
  <c r="U156" i="151"/>
  <c r="P54" i="101"/>
  <c r="P146" i="151"/>
  <c r="P110" i="151"/>
  <c r="S126" i="151"/>
  <c r="P142" i="151"/>
  <c r="S158" i="151"/>
  <c r="U145" i="151"/>
  <c r="T37" i="101"/>
  <c r="S49" i="101"/>
  <c r="T139" i="151"/>
  <c r="U151" i="151"/>
  <c r="P30" i="101"/>
  <c r="T118" i="151"/>
  <c r="U129" i="151"/>
  <c r="R35" i="101"/>
  <c r="V35" i="101" s="1"/>
  <c r="Q104" i="151"/>
  <c r="Q120" i="151"/>
  <c r="Q136" i="151"/>
  <c r="Q152" i="151"/>
  <c r="Q160" i="151"/>
  <c r="R22" i="101"/>
  <c r="V22" i="101" s="1"/>
  <c r="Q114" i="151"/>
  <c r="S34" i="101"/>
  <c r="P50" i="101"/>
  <c r="T33" i="101"/>
  <c r="S45" i="101"/>
  <c r="T77" i="101"/>
  <c r="S39" i="101"/>
  <c r="S107" i="151"/>
  <c r="P162" i="151"/>
  <c r="R55" i="101"/>
  <c r="V55" i="101" s="1"/>
  <c r="P23" i="101"/>
  <c r="T46" i="101"/>
  <c r="S150" i="151"/>
  <c r="S161" i="151"/>
  <c r="O41" i="101"/>
  <c r="Y41" i="101" s="1"/>
  <c r="P43" i="101"/>
  <c r="O75" i="101"/>
  <c r="S159" i="151"/>
  <c r="O20" i="101"/>
  <c r="Y20" i="101" s="1"/>
  <c r="S28" i="101"/>
  <c r="S52" i="101"/>
  <c r="T60" i="101"/>
  <c r="Q122" i="151"/>
  <c r="Q154" i="151"/>
  <c r="P73" i="101"/>
  <c r="T130" i="151"/>
  <c r="T113" i="151"/>
  <c r="S78" i="101"/>
  <c r="P57" i="101"/>
  <c r="T153" i="151"/>
  <c r="O62" i="101"/>
  <c r="Y62" i="101" s="1"/>
  <c r="P123" i="151"/>
  <c r="Q135" i="151"/>
  <c r="O71" i="101"/>
  <c r="T59" i="101"/>
  <c r="P127" i="151"/>
  <c r="R24" i="101"/>
  <c r="V24" i="101" s="1"/>
  <c r="P32" i="101"/>
  <c r="O40" i="101"/>
  <c r="R56" i="101"/>
  <c r="V56" i="101" s="1"/>
  <c r="P64" i="101"/>
  <c r="T72" i="101"/>
  <c r="T115" i="151"/>
  <c r="S70" i="101"/>
  <c r="S157" i="151"/>
  <c r="T26" i="101"/>
  <c r="P42" i="101"/>
  <c r="R74" i="101"/>
  <c r="V74" i="101" s="1"/>
  <c r="S134" i="151"/>
  <c r="U109" i="151"/>
  <c r="T51" i="101"/>
  <c r="P111" i="151"/>
  <c r="Q116" i="151"/>
  <c r="Q132" i="151"/>
  <c r="Q148" i="151"/>
  <c r="T54" i="101"/>
  <c r="T146" i="151"/>
  <c r="T110" i="151"/>
  <c r="U126" i="151"/>
  <c r="T142" i="151"/>
  <c r="U158" i="151"/>
  <c r="T49" i="101"/>
  <c r="S61" i="101"/>
  <c r="T151" i="151"/>
  <c r="O30" i="101"/>
  <c r="Q118" i="151"/>
  <c r="T141" i="151"/>
  <c r="S35" i="101"/>
  <c r="O50" i="101"/>
  <c r="P66" i="101"/>
  <c r="T45" i="101"/>
  <c r="S53" i="101"/>
  <c r="T39" i="101"/>
  <c r="P107" i="151"/>
  <c r="V162" i="151"/>
  <c r="S55" i="101"/>
  <c r="S119" i="151"/>
  <c r="R46" i="101"/>
  <c r="V46" i="101" s="1"/>
  <c r="U150" i="151"/>
  <c r="P161" i="151"/>
  <c r="P41" i="101"/>
  <c r="T149" i="151"/>
  <c r="S155" i="151"/>
  <c r="P75" i="101"/>
  <c r="Q159" i="151"/>
  <c r="O28" i="101"/>
  <c r="S36" i="101"/>
  <c r="S60" i="101"/>
  <c r="T68" i="101"/>
  <c r="Q147" i="151"/>
  <c r="S38" i="101"/>
  <c r="U125" i="151"/>
  <c r="Q105" i="151"/>
  <c r="U117" i="151"/>
  <c r="Q137" i="151"/>
  <c r="Q130" i="151"/>
  <c r="S31" i="101"/>
  <c r="S103" i="151"/>
  <c r="R25" i="101"/>
  <c r="V25" i="101" s="1"/>
  <c r="U121" i="151"/>
  <c r="Q133" i="151"/>
  <c r="S62" i="101"/>
  <c r="U135" i="151"/>
  <c r="P71" i="101"/>
  <c r="R27" i="101"/>
  <c r="V27" i="101" s="1"/>
  <c r="R32" i="101"/>
  <c r="V32" i="101" s="1"/>
  <c r="P40" i="101"/>
  <c r="T48" i="101"/>
  <c r="R64" i="101"/>
  <c r="V64" i="101" s="1"/>
  <c r="P72" i="101"/>
  <c r="P157" i="151"/>
  <c r="R26" i="101"/>
  <c r="V26" i="101" s="1"/>
  <c r="T42" i="101"/>
  <c r="S58" i="101"/>
  <c r="U134" i="151"/>
  <c r="R19" i="101"/>
  <c r="V19" i="101" s="1"/>
  <c r="R54" i="101"/>
  <c r="V54" i="101" s="1"/>
  <c r="Q146" i="151"/>
  <c r="Q110" i="151"/>
  <c r="Q142" i="151"/>
  <c r="T145" i="151"/>
  <c r="S29" i="101"/>
  <c r="T61" i="101"/>
  <c r="S69" i="101"/>
  <c r="Q139" i="151"/>
  <c r="T129" i="151"/>
  <c r="T35" i="101"/>
  <c r="S67" i="101"/>
  <c r="S143" i="151"/>
  <c r="S104" i="151"/>
  <c r="T112" i="151"/>
  <c r="S120" i="151"/>
  <c r="T128" i="151"/>
  <c r="S136" i="151"/>
  <c r="T144" i="151"/>
  <c r="S152" i="151"/>
  <c r="V160" i="151"/>
  <c r="S131" i="151"/>
  <c r="S22" i="101"/>
  <c r="P114" i="151"/>
  <c r="O66" i="101"/>
  <c r="S21" i="101"/>
  <c r="T53" i="101"/>
  <c r="S65" i="101"/>
  <c r="S162" i="151"/>
  <c r="T55" i="101"/>
  <c r="P119" i="151"/>
  <c r="O47" i="101"/>
  <c r="R23" i="101"/>
  <c r="V23" i="101" s="1"/>
  <c r="O63" i="101"/>
  <c r="Q161" i="151"/>
  <c r="T18" i="101"/>
  <c r="S102" i="151"/>
  <c r="P18" i="101"/>
  <c r="P102" i="151"/>
  <c r="O18" i="101"/>
  <c r="T102" i="151"/>
  <c r="R18" i="101"/>
  <c r="V18" i="101" s="1"/>
  <c r="U102" i="151"/>
  <c r="S18" i="101"/>
  <c r="Q102" i="151"/>
  <c r="C17" i="101"/>
  <c r="V159" i="151"/>
  <c r="D101" i="151"/>
  <c r="AC96" i="9"/>
  <c r="I162" i="9"/>
  <c r="AC70" i="9"/>
  <c r="AC10" i="9" s="1"/>
  <c r="V176" i="99"/>
  <c r="AC97" i="9"/>
  <c r="L162" i="9"/>
  <c r="J162" i="9"/>
  <c r="P162" i="9"/>
  <c r="Q167" i="9" s="1"/>
  <c r="M162" i="9"/>
  <c r="N162" i="9"/>
  <c r="G162" i="9"/>
  <c r="P181" i="9" s="1"/>
  <c r="K162" i="9"/>
  <c r="H162" i="9"/>
  <c r="Y63" i="101" l="1"/>
  <c r="Y28" i="101"/>
  <c r="Y71" i="101"/>
  <c r="Y57" i="101"/>
  <c r="Y78" i="101"/>
  <c r="Y75" i="101"/>
  <c r="Y40" i="101"/>
  <c r="Y36" i="101"/>
  <c r="Y53" i="101"/>
  <c r="Y22" i="101"/>
  <c r="Y48" i="101"/>
  <c r="Y45" i="101"/>
  <c r="Y69" i="101"/>
  <c r="Y26" i="101"/>
  <c r="Y60" i="101"/>
  <c r="Y23" i="101"/>
  <c r="Y77" i="101"/>
  <c r="Y35" i="101"/>
  <c r="Y58" i="101"/>
  <c r="Y68" i="101"/>
  <c r="Y65" i="101"/>
  <c r="Y19" i="101"/>
  <c r="Y74" i="101"/>
  <c r="Y56" i="101"/>
  <c r="Y76" i="101"/>
  <c r="Y25" i="101"/>
  <c r="Y50" i="101"/>
  <c r="Y30" i="101"/>
  <c r="Y70" i="101"/>
  <c r="Y24" i="101"/>
  <c r="Y37" i="101"/>
  <c r="Y42" i="101"/>
  <c r="Y64" i="101"/>
  <c r="Y38" i="101"/>
  <c r="Y46" i="101"/>
  <c r="Y39" i="101"/>
  <c r="Y67" i="101"/>
  <c r="Y29" i="101"/>
  <c r="Y18" i="101"/>
  <c r="Y47" i="101"/>
  <c r="Y32" i="101"/>
  <c r="Y73" i="101"/>
  <c r="Y33" i="101"/>
  <c r="Y61" i="101"/>
  <c r="Y51" i="101"/>
  <c r="Y55" i="101"/>
  <c r="Y21" i="101"/>
  <c r="Y49" i="101"/>
  <c r="Y54" i="101"/>
  <c r="Y72" i="101"/>
  <c r="Y59" i="101"/>
  <c r="Y31" i="101"/>
  <c r="Y44" i="101"/>
  <c r="I15" i="151"/>
  <c r="K17" i="151"/>
  <c r="I51" i="132"/>
  <c r="I316" i="170"/>
  <c r="K316" i="170" s="1"/>
  <c r="I45" i="132"/>
  <c r="I265" i="170"/>
  <c r="K265" i="170" s="1"/>
  <c r="I76" i="132"/>
  <c r="C540" i="170"/>
  <c r="E540" i="170" s="1"/>
  <c r="I46" i="132"/>
  <c r="C282" i="170"/>
  <c r="E282" i="170" s="1"/>
  <c r="I18" i="132"/>
  <c r="C43" i="170"/>
  <c r="E43" i="170" s="1"/>
  <c r="I40" i="132"/>
  <c r="C231" i="170"/>
  <c r="E231" i="170" s="1"/>
  <c r="I72" i="132"/>
  <c r="C507" i="170"/>
  <c r="E507" i="170" s="1"/>
  <c r="I79" i="132"/>
  <c r="I557" i="170"/>
  <c r="K557" i="170" s="1"/>
  <c r="I37" i="132"/>
  <c r="I196" i="170"/>
  <c r="K196" i="170" s="1"/>
  <c r="I55" i="132"/>
  <c r="I352" i="170"/>
  <c r="K352" i="170" s="1"/>
  <c r="I71" i="132"/>
  <c r="I490" i="170"/>
  <c r="K490" i="170" s="1"/>
  <c r="I23" i="132"/>
  <c r="I77" i="170"/>
  <c r="K77" i="170" s="1"/>
  <c r="I35" i="132"/>
  <c r="I179" i="170"/>
  <c r="K179" i="170" s="1"/>
  <c r="I49" i="132"/>
  <c r="I299" i="170"/>
  <c r="K299" i="170" s="1"/>
  <c r="I63" i="132"/>
  <c r="I421" i="170"/>
  <c r="K421" i="170" s="1"/>
  <c r="I78" i="132"/>
  <c r="C557" i="170"/>
  <c r="E557" i="170" s="1"/>
  <c r="I34" i="132"/>
  <c r="C179" i="170"/>
  <c r="E179" i="170" s="1"/>
  <c r="I50" i="132"/>
  <c r="C316" i="170"/>
  <c r="E316" i="170" s="1"/>
  <c r="I66" i="132"/>
  <c r="C454" i="170"/>
  <c r="E454" i="170" s="1"/>
  <c r="I20" i="132"/>
  <c r="C60" i="170"/>
  <c r="E60" i="170" s="1"/>
  <c r="I30" i="132"/>
  <c r="C145" i="170"/>
  <c r="E145" i="170" s="1"/>
  <c r="I44" i="132"/>
  <c r="C265" i="170"/>
  <c r="E265" i="170" s="1"/>
  <c r="I60" i="132"/>
  <c r="C404" i="170"/>
  <c r="E404" i="170" s="1"/>
  <c r="I33" i="132"/>
  <c r="I162" i="170"/>
  <c r="K162" i="170" s="1"/>
  <c r="I21" i="132"/>
  <c r="I60" i="170"/>
  <c r="K60" i="170" s="1"/>
  <c r="I26" i="132"/>
  <c r="C111" i="170"/>
  <c r="E111" i="170" s="1"/>
  <c r="I73" i="132"/>
  <c r="I507" i="170"/>
  <c r="K507" i="170" s="1"/>
  <c r="I81" i="132"/>
  <c r="I574" i="170"/>
  <c r="K574" i="170" s="1"/>
  <c r="I43" i="132"/>
  <c r="I248" i="170"/>
  <c r="K248" i="170" s="1"/>
  <c r="I59" i="132"/>
  <c r="I386" i="170"/>
  <c r="K386" i="170" s="1"/>
  <c r="I17" i="132"/>
  <c r="I26" i="170"/>
  <c r="K26" i="170" s="1"/>
  <c r="I25" i="132"/>
  <c r="I94" i="170"/>
  <c r="K94" i="170" s="1"/>
  <c r="I39" i="132"/>
  <c r="I213" i="170"/>
  <c r="K213" i="170" s="1"/>
  <c r="I53" i="132"/>
  <c r="I334" i="170"/>
  <c r="K334" i="170" s="1"/>
  <c r="I67" i="132"/>
  <c r="I454" i="170"/>
  <c r="K454" i="170" s="1"/>
  <c r="I80" i="132"/>
  <c r="C574" i="170"/>
  <c r="E574" i="170" s="1"/>
  <c r="I38" i="132"/>
  <c r="C213" i="170"/>
  <c r="E213" i="170" s="1"/>
  <c r="I54" i="132"/>
  <c r="C352" i="170"/>
  <c r="E352" i="170" s="1"/>
  <c r="I70" i="132"/>
  <c r="C490" i="170"/>
  <c r="E490" i="170" s="1"/>
  <c r="I22" i="132"/>
  <c r="C77" i="170"/>
  <c r="E77" i="170" s="1"/>
  <c r="I32" i="132"/>
  <c r="C162" i="170"/>
  <c r="E162" i="170" s="1"/>
  <c r="I48" i="132"/>
  <c r="C299" i="170"/>
  <c r="E299" i="170" s="1"/>
  <c r="I64" i="132"/>
  <c r="C438" i="170"/>
  <c r="E438" i="170" s="1"/>
  <c r="I77" i="132"/>
  <c r="I540" i="170"/>
  <c r="K540" i="170" s="1"/>
  <c r="I69" i="132"/>
  <c r="I472" i="170"/>
  <c r="K472" i="170" s="1"/>
  <c r="I31" i="132"/>
  <c r="I145" i="170"/>
  <c r="K145" i="170" s="1"/>
  <c r="I61" i="132"/>
  <c r="I404" i="170"/>
  <c r="K404" i="170" s="1"/>
  <c r="I28" i="132"/>
  <c r="C128" i="170"/>
  <c r="E128" i="170" s="1"/>
  <c r="I62" i="132"/>
  <c r="C421" i="170"/>
  <c r="E421" i="170" s="1"/>
  <c r="I56" i="132"/>
  <c r="C369" i="170"/>
  <c r="E369" i="170" s="1"/>
  <c r="I75" i="132"/>
  <c r="I524" i="170"/>
  <c r="K524" i="170" s="1"/>
  <c r="I29" i="132"/>
  <c r="I128" i="170"/>
  <c r="K128" i="170" s="1"/>
  <c r="I47" i="132"/>
  <c r="I282" i="170"/>
  <c r="K282" i="170" s="1"/>
  <c r="I65" i="132"/>
  <c r="I438" i="170"/>
  <c r="K438" i="170" s="1"/>
  <c r="I19" i="132"/>
  <c r="I43" i="170"/>
  <c r="K43" i="170" s="1"/>
  <c r="I27" i="132"/>
  <c r="I111" i="170"/>
  <c r="K111" i="170" s="1"/>
  <c r="I41" i="132"/>
  <c r="I231" i="170"/>
  <c r="K231" i="170" s="1"/>
  <c r="I57" i="132"/>
  <c r="I369" i="170"/>
  <c r="K369" i="170" s="1"/>
  <c r="I74" i="132"/>
  <c r="C524" i="170"/>
  <c r="E524" i="170" s="1"/>
  <c r="I42" i="132"/>
  <c r="C248" i="170"/>
  <c r="E248" i="170" s="1"/>
  <c r="I58" i="132"/>
  <c r="C386" i="170"/>
  <c r="E386" i="170" s="1"/>
  <c r="I16" i="132"/>
  <c r="C26" i="170"/>
  <c r="E26" i="170" s="1"/>
  <c r="I24" i="132"/>
  <c r="C94" i="170"/>
  <c r="E94" i="170" s="1"/>
  <c r="I36" i="132"/>
  <c r="C196" i="170"/>
  <c r="E196" i="170" s="1"/>
  <c r="I52" i="132"/>
  <c r="C334" i="170"/>
  <c r="E334" i="170" s="1"/>
  <c r="I68" i="132"/>
  <c r="C472" i="170"/>
  <c r="E472" i="170" s="1"/>
  <c r="I851" i="170"/>
  <c r="K851" i="170" s="1"/>
  <c r="I1090" i="170"/>
  <c r="K1090" i="170" s="1"/>
  <c r="I988" i="170"/>
  <c r="K988" i="170" s="1"/>
  <c r="C1259" i="170"/>
  <c r="E1259" i="170" s="1"/>
  <c r="C834" i="170"/>
  <c r="E834" i="170" s="1"/>
  <c r="C970" i="170"/>
  <c r="E970" i="170" s="1"/>
  <c r="C936" i="170"/>
  <c r="E936" i="170" s="1"/>
  <c r="I1192" i="170"/>
  <c r="K1192" i="170" s="1"/>
  <c r="I903" i="170"/>
  <c r="K903" i="170" s="1"/>
  <c r="I1089" i="170"/>
  <c r="K1089" i="170" s="1"/>
  <c r="I1004" i="170"/>
  <c r="K1004" i="170" s="1"/>
  <c r="C1004" i="170"/>
  <c r="E1004" i="170" s="1"/>
  <c r="I1038" i="170"/>
  <c r="K1038" i="170" s="1"/>
  <c r="I766" i="170"/>
  <c r="K766" i="170" s="1"/>
  <c r="I885" i="170"/>
  <c r="K885" i="170" s="1"/>
  <c r="I1191" i="170"/>
  <c r="K1191" i="170" s="1"/>
  <c r="I834" i="170"/>
  <c r="K834" i="170" s="1"/>
  <c r="C1089" i="170"/>
  <c r="E1089" i="170" s="1"/>
  <c r="C1174" i="170"/>
  <c r="E1174" i="170" s="1"/>
  <c r="I1226" i="170"/>
  <c r="K1226" i="170" s="1"/>
  <c r="I937" i="170"/>
  <c r="K937" i="170" s="1"/>
  <c r="I1022" i="170"/>
  <c r="K1022" i="170" s="1"/>
  <c r="C1038" i="170"/>
  <c r="E1038" i="170" s="1"/>
  <c r="C852" i="170"/>
  <c r="E852" i="170" s="1"/>
  <c r="I784" i="170"/>
  <c r="K784" i="170" s="1"/>
  <c r="C1140" i="170"/>
  <c r="E1140" i="170" s="1"/>
  <c r="I1158" i="170"/>
  <c r="K1158" i="170" s="1"/>
  <c r="I835" i="170"/>
  <c r="K835" i="170" s="1"/>
  <c r="C1124" i="170"/>
  <c r="E1124" i="170" s="1"/>
  <c r="I953" i="170"/>
  <c r="K953" i="170" s="1"/>
  <c r="I1073" i="170"/>
  <c r="K1073" i="170" s="1"/>
  <c r="C817" i="170"/>
  <c r="E817" i="170" s="1"/>
  <c r="C937" i="170"/>
  <c r="E937" i="170" s="1"/>
  <c r="C1192" i="170"/>
  <c r="E1192" i="170" s="1"/>
  <c r="I1056" i="170"/>
  <c r="K1056" i="170" s="1"/>
  <c r="C1260" i="170"/>
  <c r="E1260" i="170" s="1"/>
  <c r="C1225" i="170"/>
  <c r="E1225" i="170" s="1"/>
  <c r="I1124" i="170"/>
  <c r="K1124" i="170" s="1"/>
  <c r="C1141" i="170"/>
  <c r="E1141" i="170" s="1"/>
  <c r="C800" i="170"/>
  <c r="E800" i="170" s="1"/>
  <c r="I886" i="170"/>
  <c r="K886" i="170" s="1"/>
  <c r="I1005" i="170"/>
  <c r="K1005" i="170" s="1"/>
  <c r="I1175" i="170"/>
  <c r="K1175" i="170" s="1"/>
  <c r="I817" i="170"/>
  <c r="K817" i="170" s="1"/>
  <c r="I1140" i="170"/>
  <c r="K1140" i="170" s="1"/>
  <c r="I868" i="170"/>
  <c r="K868" i="170" s="1"/>
  <c r="C1226" i="170"/>
  <c r="E1226" i="170" s="1"/>
  <c r="I1174" i="170"/>
  <c r="K1174" i="170" s="1"/>
  <c r="I902" i="170"/>
  <c r="K902" i="170" s="1"/>
  <c r="C869" i="170"/>
  <c r="E869" i="170" s="1"/>
  <c r="I919" i="170"/>
  <c r="K919" i="170" s="1"/>
  <c r="C1208" i="170"/>
  <c r="E1208" i="170" s="1"/>
  <c r="C903" i="170"/>
  <c r="E903" i="170" s="1"/>
  <c r="C801" i="170"/>
  <c r="E801" i="170" s="1"/>
  <c r="C1005" i="170"/>
  <c r="E1005" i="170" s="1"/>
  <c r="I971" i="170"/>
  <c r="K971" i="170" s="1"/>
  <c r="C1107" i="170"/>
  <c r="E1107" i="170" s="1"/>
  <c r="I800" i="170"/>
  <c r="K800" i="170" s="1"/>
  <c r="C767" i="170"/>
  <c r="E767" i="170" s="1"/>
  <c r="C886" i="170"/>
  <c r="E886" i="170" s="1"/>
  <c r="C953" i="170"/>
  <c r="E953" i="170" s="1"/>
  <c r="C1209" i="170"/>
  <c r="E1209" i="170" s="1"/>
  <c r="C988" i="170"/>
  <c r="E988" i="170" s="1"/>
  <c r="I936" i="170"/>
  <c r="K936" i="170" s="1"/>
  <c r="C835" i="170"/>
  <c r="E835" i="170" s="1"/>
  <c r="C919" i="170"/>
  <c r="E919" i="170" s="1"/>
  <c r="C1157" i="170"/>
  <c r="E1157" i="170" s="1"/>
  <c r="I750" i="170"/>
  <c r="K750" i="170" s="1"/>
  <c r="C1073" i="170"/>
  <c r="E1073" i="170" s="1"/>
  <c r="C1022" i="170"/>
  <c r="E1022" i="170" s="1"/>
  <c r="C784" i="170"/>
  <c r="E784" i="170" s="1"/>
  <c r="C1243" i="170"/>
  <c r="E1243" i="170" s="1"/>
  <c r="I869" i="170"/>
  <c r="K869" i="170" s="1"/>
  <c r="C1039" i="170"/>
  <c r="E1039" i="170" s="1"/>
  <c r="I1259" i="170"/>
  <c r="K1259" i="170" s="1"/>
  <c r="I852" i="170"/>
  <c r="K852" i="170" s="1"/>
  <c r="I1039" i="170"/>
  <c r="K1039" i="170" s="1"/>
  <c r="I1123" i="170"/>
  <c r="K1123" i="170" s="1"/>
  <c r="C1021" i="170"/>
  <c r="E1021" i="170" s="1"/>
  <c r="I987" i="170"/>
  <c r="K987" i="170" s="1"/>
  <c r="C783" i="170"/>
  <c r="E783" i="170" s="1"/>
  <c r="C1242" i="170"/>
  <c r="E1242" i="170" s="1"/>
  <c r="C766" i="170"/>
  <c r="E766" i="170" s="1"/>
  <c r="I1106" i="170"/>
  <c r="K1106" i="170" s="1"/>
  <c r="C1090" i="170"/>
  <c r="E1090" i="170" s="1"/>
  <c r="I1225" i="170"/>
  <c r="K1225" i="170" s="1"/>
  <c r="I1209" i="170"/>
  <c r="K1209" i="170" s="1"/>
  <c r="I1021" i="170"/>
  <c r="K1021" i="170" s="1"/>
  <c r="C885" i="170"/>
  <c r="E885" i="170" s="1"/>
  <c r="I783" i="170"/>
  <c r="K783" i="170" s="1"/>
  <c r="I1157" i="170"/>
  <c r="K1157" i="170" s="1"/>
  <c r="I1107" i="170"/>
  <c r="K1107" i="170" s="1"/>
  <c r="C987" i="170"/>
  <c r="E987" i="170" s="1"/>
  <c r="C818" i="170"/>
  <c r="E818" i="170" s="1"/>
  <c r="C868" i="170"/>
  <c r="E868" i="170" s="1"/>
  <c r="I1055" i="170"/>
  <c r="K1055" i="170" s="1"/>
  <c r="AB82" i="101"/>
  <c r="E1283" i="170"/>
  <c r="C1280" i="170"/>
  <c r="E1280" i="170" s="1"/>
  <c r="I976" i="170"/>
  <c r="K976" i="170" s="1"/>
  <c r="C976" i="170"/>
  <c r="E976" i="170" s="1"/>
  <c r="I959" i="170"/>
  <c r="K959" i="170" s="1"/>
  <c r="C959" i="170"/>
  <c r="E959" i="170" s="1"/>
  <c r="I942" i="170"/>
  <c r="K942" i="170" s="1"/>
  <c r="C942" i="170"/>
  <c r="E942" i="170" s="1"/>
  <c r="I925" i="170"/>
  <c r="K925" i="170" s="1"/>
  <c r="C925" i="170"/>
  <c r="E925" i="170" s="1"/>
  <c r="I908" i="170"/>
  <c r="K908" i="170" s="1"/>
  <c r="C908" i="170"/>
  <c r="E908" i="170" s="1"/>
  <c r="I891" i="170"/>
  <c r="K891" i="170" s="1"/>
  <c r="C891" i="170"/>
  <c r="E891" i="170" s="1"/>
  <c r="I874" i="170"/>
  <c r="K874" i="170" s="1"/>
  <c r="C874" i="170"/>
  <c r="E874" i="170" s="1"/>
  <c r="I857" i="170"/>
  <c r="K857" i="170" s="1"/>
  <c r="C857" i="170"/>
  <c r="E857" i="170" s="1"/>
  <c r="I840" i="170"/>
  <c r="K840" i="170" s="1"/>
  <c r="C840" i="170"/>
  <c r="E840" i="170" s="1"/>
  <c r="I823" i="170"/>
  <c r="K823" i="170" s="1"/>
  <c r="C823" i="170"/>
  <c r="E823" i="170" s="1"/>
  <c r="I806" i="170"/>
  <c r="K806" i="170" s="1"/>
  <c r="C806" i="170"/>
  <c r="E806" i="170" s="1"/>
  <c r="I789" i="170"/>
  <c r="K789" i="170" s="1"/>
  <c r="E790" i="170"/>
  <c r="K926" i="170"/>
  <c r="E892" i="170"/>
  <c r="K858" i="170"/>
  <c r="E841" i="170"/>
  <c r="K807" i="170"/>
  <c r="C1282" i="170"/>
  <c r="E1282" i="170" s="1"/>
  <c r="C1277" i="170"/>
  <c r="E1277" i="170" s="1"/>
  <c r="C789" i="170"/>
  <c r="E789" i="170" s="1"/>
  <c r="C1278" i="170"/>
  <c r="I1265" i="170"/>
  <c r="K1265" i="170" s="1"/>
  <c r="C1248" i="170"/>
  <c r="E1248" i="170" s="1"/>
  <c r="I1231" i="170"/>
  <c r="K1231" i="170" s="1"/>
  <c r="C1214" i="170"/>
  <c r="E1214" i="170" s="1"/>
  <c r="C1197" i="170"/>
  <c r="E1197" i="170" s="1"/>
  <c r="C1180" i="170"/>
  <c r="E1180" i="170" s="1"/>
  <c r="C1163" i="170"/>
  <c r="E1163" i="170" s="1"/>
  <c r="C1146" i="170"/>
  <c r="E1146" i="170" s="1"/>
  <c r="C1129" i="170"/>
  <c r="E1129" i="170" s="1"/>
  <c r="C1112" i="170"/>
  <c r="E1112" i="170" s="1"/>
  <c r="C1095" i="170"/>
  <c r="E1095" i="170" s="1"/>
  <c r="C1078" i="170"/>
  <c r="E1078" i="170" s="1"/>
  <c r="C1061" i="170"/>
  <c r="E1061" i="170" s="1"/>
  <c r="C1044" i="170"/>
  <c r="E1044" i="170" s="1"/>
  <c r="C1027" i="170"/>
  <c r="E1027" i="170" s="1"/>
  <c r="C1010" i="170"/>
  <c r="E1010" i="170" s="1"/>
  <c r="C993" i="170"/>
  <c r="E993" i="170" s="1"/>
  <c r="E977" i="170"/>
  <c r="E960" i="170"/>
  <c r="E943" i="170"/>
  <c r="K909" i="170"/>
  <c r="E909" i="170"/>
  <c r="K875" i="170"/>
  <c r="K841" i="170"/>
  <c r="K824" i="170"/>
  <c r="K790" i="170"/>
  <c r="C1281" i="170"/>
  <c r="E1281" i="170" s="1"/>
  <c r="C1279" i="170"/>
  <c r="E1279" i="170" s="1"/>
  <c r="K1266" i="170"/>
  <c r="E1266" i="170"/>
  <c r="K1249" i="170"/>
  <c r="E1249" i="170"/>
  <c r="K1232" i="170"/>
  <c r="E1232" i="170"/>
  <c r="K1215" i="170"/>
  <c r="E1215" i="170"/>
  <c r="K1198" i="170"/>
  <c r="E1198" i="170"/>
  <c r="K1181" i="170"/>
  <c r="E1181" i="170"/>
  <c r="K1164" i="170"/>
  <c r="E1164" i="170"/>
  <c r="K1147" i="170"/>
  <c r="E1147" i="170"/>
  <c r="K1130" i="170"/>
  <c r="E1130" i="170"/>
  <c r="K1113" i="170"/>
  <c r="E1113" i="170"/>
  <c r="K1096" i="170"/>
  <c r="E1096" i="170"/>
  <c r="K1079" i="170"/>
  <c r="E1079" i="170"/>
  <c r="K1062" i="170"/>
  <c r="E1062" i="170"/>
  <c r="K1045" i="170"/>
  <c r="E1045" i="170"/>
  <c r="K1028" i="170"/>
  <c r="E1028" i="170"/>
  <c r="K1011" i="170"/>
  <c r="E1011" i="170"/>
  <c r="K994" i="170"/>
  <c r="E994" i="170"/>
  <c r="C1276" i="170"/>
  <c r="E1276" i="170" s="1"/>
  <c r="C1265" i="170"/>
  <c r="E1265" i="170" s="1"/>
  <c r="I1248" i="170"/>
  <c r="K1248" i="170" s="1"/>
  <c r="C1231" i="170"/>
  <c r="E1231" i="170" s="1"/>
  <c r="I1214" i="170"/>
  <c r="K1214" i="170" s="1"/>
  <c r="I1197" i="170"/>
  <c r="K1197" i="170" s="1"/>
  <c r="I1180" i="170"/>
  <c r="K1180" i="170" s="1"/>
  <c r="I1163" i="170"/>
  <c r="K1163" i="170" s="1"/>
  <c r="I1146" i="170"/>
  <c r="K1146" i="170" s="1"/>
  <c r="I1129" i="170"/>
  <c r="K1129" i="170" s="1"/>
  <c r="I1112" i="170"/>
  <c r="K1112" i="170" s="1"/>
  <c r="I1095" i="170"/>
  <c r="K1095" i="170" s="1"/>
  <c r="I1078" i="170"/>
  <c r="K1078" i="170" s="1"/>
  <c r="I1061" i="170"/>
  <c r="K1061" i="170" s="1"/>
  <c r="I1044" i="170"/>
  <c r="K1044" i="170" s="1"/>
  <c r="I1027" i="170"/>
  <c r="K1027" i="170" s="1"/>
  <c r="I1010" i="170"/>
  <c r="K1010" i="170" s="1"/>
  <c r="I993" i="170"/>
  <c r="K993" i="170" s="1"/>
  <c r="K977" i="170"/>
  <c r="K960" i="170"/>
  <c r="K943" i="170"/>
  <c r="E926" i="170"/>
  <c r="K892" i="170"/>
  <c r="E875" i="170"/>
  <c r="E858" i="170"/>
  <c r="E824" i="170"/>
  <c r="E807" i="170"/>
  <c r="E773" i="170"/>
  <c r="K773" i="170"/>
  <c r="C772" i="170"/>
  <c r="E772" i="170" s="1"/>
  <c r="I772" i="170"/>
  <c r="K772" i="170" s="1"/>
  <c r="I1258" i="170"/>
  <c r="K1258" i="170" s="1"/>
  <c r="C1258" i="170"/>
  <c r="E1258" i="170" s="1"/>
  <c r="I1241" i="170"/>
  <c r="K1241" i="170" s="1"/>
  <c r="C1241" i="170"/>
  <c r="E1241" i="170" s="1"/>
  <c r="K756" i="170"/>
  <c r="I755" i="170"/>
  <c r="K755" i="170" s="1"/>
  <c r="I1224" i="170"/>
  <c r="K1224" i="170" s="1"/>
  <c r="C1275" i="170"/>
  <c r="E1275" i="170" s="1"/>
  <c r="I1207" i="170"/>
  <c r="K1207" i="170" s="1"/>
  <c r="I1071" i="170"/>
  <c r="K1071" i="170" s="1"/>
  <c r="I935" i="170"/>
  <c r="K935" i="170" s="1"/>
  <c r="I799" i="170"/>
  <c r="K799" i="170" s="1"/>
  <c r="C1139" i="170"/>
  <c r="E1139" i="170" s="1"/>
  <c r="C1003" i="170"/>
  <c r="E1003" i="170" s="1"/>
  <c r="C867" i="170"/>
  <c r="E867" i="170" s="1"/>
  <c r="I1190" i="170"/>
  <c r="K1190" i="170" s="1"/>
  <c r="I1054" i="170"/>
  <c r="K1054" i="170" s="1"/>
  <c r="I918" i="170"/>
  <c r="K918" i="170" s="1"/>
  <c r="I782" i="170"/>
  <c r="K782" i="170" s="1"/>
  <c r="C1122" i="170"/>
  <c r="E1122" i="170" s="1"/>
  <c r="C986" i="170"/>
  <c r="E986" i="170" s="1"/>
  <c r="C850" i="170"/>
  <c r="E850" i="170" s="1"/>
  <c r="I1173" i="170"/>
  <c r="K1173" i="170" s="1"/>
  <c r="I1037" i="170"/>
  <c r="K1037" i="170" s="1"/>
  <c r="I901" i="170"/>
  <c r="K901" i="170" s="1"/>
  <c r="I765" i="170"/>
  <c r="K765" i="170" s="1"/>
  <c r="C1105" i="170"/>
  <c r="E1105" i="170" s="1"/>
  <c r="C969" i="170"/>
  <c r="E969" i="170" s="1"/>
  <c r="C833" i="170"/>
  <c r="E833" i="170" s="1"/>
  <c r="I1156" i="170"/>
  <c r="K1156" i="170" s="1"/>
  <c r="I1020" i="170"/>
  <c r="K1020" i="170" s="1"/>
  <c r="I884" i="170"/>
  <c r="K884" i="170" s="1"/>
  <c r="C1224" i="170"/>
  <c r="E1224" i="170" s="1"/>
  <c r="C1088" i="170"/>
  <c r="E1088" i="170" s="1"/>
  <c r="C952" i="170"/>
  <c r="E952" i="170" s="1"/>
  <c r="C816" i="170"/>
  <c r="E816" i="170" s="1"/>
  <c r="I1139" i="170"/>
  <c r="K1139" i="170" s="1"/>
  <c r="I1003" i="170"/>
  <c r="K1003" i="170" s="1"/>
  <c r="I867" i="170"/>
  <c r="K867" i="170" s="1"/>
  <c r="C1207" i="170"/>
  <c r="E1207" i="170" s="1"/>
  <c r="C1071" i="170"/>
  <c r="E1071" i="170" s="1"/>
  <c r="C935" i="170"/>
  <c r="E935" i="170" s="1"/>
  <c r="C799" i="170"/>
  <c r="E799" i="170" s="1"/>
  <c r="I1122" i="170"/>
  <c r="K1122" i="170" s="1"/>
  <c r="I986" i="170"/>
  <c r="K986" i="170" s="1"/>
  <c r="I850" i="170"/>
  <c r="K850" i="170" s="1"/>
  <c r="C1190" i="170"/>
  <c r="E1190" i="170" s="1"/>
  <c r="C1054" i="170"/>
  <c r="E1054" i="170" s="1"/>
  <c r="C918" i="170"/>
  <c r="E918" i="170" s="1"/>
  <c r="C782" i="170"/>
  <c r="E782" i="170" s="1"/>
  <c r="I1105" i="170"/>
  <c r="K1105" i="170" s="1"/>
  <c r="I969" i="170"/>
  <c r="K969" i="170" s="1"/>
  <c r="I833" i="170"/>
  <c r="K833" i="170" s="1"/>
  <c r="C1173" i="170"/>
  <c r="E1173" i="170" s="1"/>
  <c r="C1037" i="170"/>
  <c r="E1037" i="170" s="1"/>
  <c r="C901" i="170"/>
  <c r="E901" i="170" s="1"/>
  <c r="C765" i="170"/>
  <c r="E765" i="170" s="1"/>
  <c r="I1088" i="170"/>
  <c r="K1088" i="170" s="1"/>
  <c r="I952" i="170"/>
  <c r="K952" i="170" s="1"/>
  <c r="I816" i="170"/>
  <c r="K816" i="170" s="1"/>
  <c r="C1156" i="170"/>
  <c r="E1156" i="170" s="1"/>
  <c r="C1020" i="170"/>
  <c r="E1020" i="170" s="1"/>
  <c r="C884" i="170"/>
  <c r="E884" i="170" s="1"/>
  <c r="I748" i="170"/>
  <c r="K748" i="170" s="1"/>
  <c r="C1244" i="170"/>
  <c r="E1244" i="170" s="1"/>
  <c r="I1227" i="170"/>
  <c r="K1227" i="170" s="1"/>
  <c r="C1142" i="170"/>
  <c r="E1142" i="170" s="1"/>
  <c r="I1159" i="170"/>
  <c r="K1159" i="170" s="1"/>
  <c r="C1261" i="170"/>
  <c r="E1261" i="170" s="1"/>
  <c r="C1159" i="170"/>
  <c r="E1159" i="170" s="1"/>
  <c r="C1227" i="170"/>
  <c r="E1227" i="170" s="1"/>
  <c r="C1125" i="170"/>
  <c r="E1125" i="170" s="1"/>
  <c r="I1108" i="170"/>
  <c r="K1108" i="170" s="1"/>
  <c r="I1074" i="170"/>
  <c r="K1074" i="170" s="1"/>
  <c r="C1091" i="170"/>
  <c r="E1091" i="170" s="1"/>
  <c r="I1210" i="170"/>
  <c r="K1210" i="170" s="1"/>
  <c r="I1091" i="170"/>
  <c r="K1091" i="170" s="1"/>
  <c r="I1142" i="170"/>
  <c r="K1142" i="170" s="1"/>
  <c r="C1193" i="170"/>
  <c r="E1193" i="170" s="1"/>
  <c r="C1074" i="170"/>
  <c r="E1074" i="170" s="1"/>
  <c r="C1210" i="170"/>
  <c r="E1210" i="170" s="1"/>
  <c r="I1176" i="170"/>
  <c r="K1176" i="170" s="1"/>
  <c r="C1176" i="170"/>
  <c r="E1176" i="170" s="1"/>
  <c r="I1057" i="170"/>
  <c r="K1057" i="170" s="1"/>
  <c r="I1193" i="170"/>
  <c r="K1193" i="170" s="1"/>
  <c r="I1125" i="170"/>
  <c r="K1125" i="170" s="1"/>
  <c r="I1261" i="170"/>
  <c r="K1261" i="170" s="1"/>
  <c r="I1244" i="170"/>
  <c r="K1244" i="170" s="1"/>
  <c r="C1108" i="170"/>
  <c r="E1108" i="170" s="1"/>
  <c r="I749" i="170"/>
  <c r="K749" i="170" s="1"/>
  <c r="C902" i="170"/>
  <c r="E902" i="170" s="1"/>
  <c r="I818" i="170"/>
  <c r="K818" i="170" s="1"/>
  <c r="C1056" i="170"/>
  <c r="E1056" i="170" s="1"/>
  <c r="I1141" i="170"/>
  <c r="K1141" i="170" s="1"/>
  <c r="I920" i="170"/>
  <c r="K920" i="170" s="1"/>
  <c r="I1243" i="170"/>
  <c r="K1243" i="170" s="1"/>
  <c r="I767" i="170"/>
  <c r="K767" i="170" s="1"/>
  <c r="C1055" i="170"/>
  <c r="E1055" i="170" s="1"/>
  <c r="I1242" i="170"/>
  <c r="K1242" i="170" s="1"/>
  <c r="C1106" i="170"/>
  <c r="E1106" i="170" s="1"/>
  <c r="C1175" i="170"/>
  <c r="E1175" i="170" s="1"/>
  <c r="I1260" i="170"/>
  <c r="K1260" i="170" s="1"/>
  <c r="C1072" i="170"/>
  <c r="E1072" i="170" s="1"/>
  <c r="I1072" i="170"/>
  <c r="K1072" i="170" s="1"/>
  <c r="C971" i="170"/>
  <c r="E971" i="170" s="1"/>
  <c r="C851" i="170"/>
  <c r="E851" i="170" s="1"/>
  <c r="C954" i="170"/>
  <c r="E954" i="170" s="1"/>
  <c r="I970" i="170"/>
  <c r="K970" i="170" s="1"/>
  <c r="C1123" i="170"/>
  <c r="E1123" i="170" s="1"/>
  <c r="I954" i="170"/>
  <c r="K954" i="170" s="1"/>
  <c r="I1208" i="170"/>
  <c r="K1208" i="170" s="1"/>
  <c r="I801" i="170"/>
  <c r="K801" i="170" s="1"/>
  <c r="C1191" i="170"/>
  <c r="E1191" i="170" s="1"/>
  <c r="C920" i="170"/>
  <c r="E920" i="170" s="1"/>
  <c r="C1158" i="170"/>
  <c r="E1158" i="170" s="1"/>
  <c r="I1263" i="170"/>
  <c r="K1263" i="170" s="1"/>
  <c r="W162" i="151"/>
  <c r="I1264" i="170" s="1"/>
  <c r="K1264" i="170" s="1"/>
  <c r="C1008" i="170"/>
  <c r="E1008" i="170" s="1"/>
  <c r="W131" i="151"/>
  <c r="C1009" i="170" s="1"/>
  <c r="E1009" i="170" s="1"/>
  <c r="I1042" i="170"/>
  <c r="K1042" i="170" s="1"/>
  <c r="W136" i="151"/>
  <c r="I1043" i="170" s="1"/>
  <c r="K1043" i="170" s="1"/>
  <c r="I770" i="170"/>
  <c r="K770" i="170" s="1"/>
  <c r="W104" i="151"/>
  <c r="I771" i="170" s="1"/>
  <c r="K771" i="170" s="1"/>
  <c r="C770" i="170"/>
  <c r="E770" i="170" s="1"/>
  <c r="W103" i="151"/>
  <c r="C771" i="170" s="1"/>
  <c r="E771" i="170" s="1"/>
  <c r="C1246" i="170"/>
  <c r="E1246" i="170" s="1"/>
  <c r="W159" i="151"/>
  <c r="C1247" i="170" s="1"/>
  <c r="E1247" i="170" s="1"/>
  <c r="C1263" i="170"/>
  <c r="E1263" i="170" s="1"/>
  <c r="W161" i="151"/>
  <c r="C1264" i="170" s="1"/>
  <c r="E1264" i="170" s="1"/>
  <c r="C974" i="170"/>
  <c r="E974" i="170" s="1"/>
  <c r="W127" i="151"/>
  <c r="C975" i="170" s="1"/>
  <c r="E975" i="170" s="1"/>
  <c r="C1059" i="170"/>
  <c r="E1059" i="170" s="1"/>
  <c r="W137" i="151"/>
  <c r="C1060" i="170" s="1"/>
  <c r="E1060" i="170" s="1"/>
  <c r="I889" i="170"/>
  <c r="K889" i="170" s="1"/>
  <c r="W118" i="151"/>
  <c r="I890" i="170" s="1"/>
  <c r="K890" i="170" s="1"/>
  <c r="C1127" i="170"/>
  <c r="E1127" i="170" s="1"/>
  <c r="W145" i="151"/>
  <c r="C1128" i="170" s="1"/>
  <c r="E1128" i="170" s="1"/>
  <c r="I1212" i="170"/>
  <c r="K1212" i="170" s="1"/>
  <c r="W156" i="151"/>
  <c r="I1213" i="170" s="1"/>
  <c r="K1213" i="170" s="1"/>
  <c r="C821" i="170"/>
  <c r="E821" i="170" s="1"/>
  <c r="W109" i="151"/>
  <c r="C822" i="170" s="1"/>
  <c r="E822" i="170" s="1"/>
  <c r="I1110" i="170"/>
  <c r="K1110" i="170" s="1"/>
  <c r="W144" i="151"/>
  <c r="I1111" i="170" s="1"/>
  <c r="K1111" i="170" s="1"/>
  <c r="I821" i="170"/>
  <c r="K821" i="170" s="1"/>
  <c r="W110" i="151"/>
  <c r="I822" i="170" s="1"/>
  <c r="K822" i="170" s="1"/>
  <c r="C855" i="170"/>
  <c r="E855" i="170" s="1"/>
  <c r="W113" i="151"/>
  <c r="C856" i="170" s="1"/>
  <c r="E856" i="170" s="1"/>
  <c r="I1161" i="170"/>
  <c r="K1161" i="170" s="1"/>
  <c r="W150" i="151"/>
  <c r="I1162" i="170" s="1"/>
  <c r="K1162" i="170" s="1"/>
  <c r="I1229" i="170"/>
  <c r="K1229" i="170" s="1"/>
  <c r="W158" i="151"/>
  <c r="I1230" i="170" s="1"/>
  <c r="K1230" i="170" s="1"/>
  <c r="I1144" i="170"/>
  <c r="K1144" i="170" s="1"/>
  <c r="W148" i="151"/>
  <c r="I1145" i="170" s="1"/>
  <c r="K1145" i="170" s="1"/>
  <c r="I872" i="170"/>
  <c r="K872" i="170" s="1"/>
  <c r="W116" i="151"/>
  <c r="I873" i="170" s="1"/>
  <c r="K873" i="170" s="1"/>
  <c r="C787" i="170"/>
  <c r="E787" i="170" s="1"/>
  <c r="W105" i="151"/>
  <c r="C788" i="170" s="1"/>
  <c r="E788" i="170" s="1"/>
  <c r="I787" i="170"/>
  <c r="K787" i="170" s="1"/>
  <c r="W106" i="151"/>
  <c r="I788" i="170" s="1"/>
  <c r="K788" i="170" s="1"/>
  <c r="I940" i="170"/>
  <c r="K940" i="170" s="1"/>
  <c r="W124" i="151"/>
  <c r="I941" i="170" s="1"/>
  <c r="K941" i="170" s="1"/>
  <c r="C1195" i="170"/>
  <c r="E1195" i="170" s="1"/>
  <c r="W153" i="151"/>
  <c r="C1196" i="170" s="1"/>
  <c r="E1196" i="170" s="1"/>
  <c r="I838" i="170"/>
  <c r="K838" i="170" s="1"/>
  <c r="W112" i="151"/>
  <c r="I839" i="170" s="1"/>
  <c r="K839" i="170" s="1"/>
  <c r="C1178" i="170"/>
  <c r="E1178" i="170" s="1"/>
  <c r="W151" i="151"/>
  <c r="C1179" i="170" s="1"/>
  <c r="E1179" i="170" s="1"/>
  <c r="I1076" i="170"/>
  <c r="K1076" i="170" s="1"/>
  <c r="W140" i="151"/>
  <c r="I1077" i="170" s="1"/>
  <c r="K1077" i="170" s="1"/>
  <c r="C1042" i="170"/>
  <c r="E1042" i="170" s="1"/>
  <c r="W135" i="151"/>
  <c r="C1043" i="170" s="1"/>
  <c r="E1043" i="170" s="1"/>
  <c r="C889" i="170"/>
  <c r="E889" i="170" s="1"/>
  <c r="W117" i="151"/>
  <c r="C890" i="170" s="1"/>
  <c r="E890" i="170" s="1"/>
  <c r="C957" i="170"/>
  <c r="E957" i="170" s="1"/>
  <c r="W125" i="151"/>
  <c r="C958" i="170" s="1"/>
  <c r="E958" i="170" s="1"/>
  <c r="I753" i="170"/>
  <c r="K753" i="170" s="1"/>
  <c r="W102" i="151"/>
  <c r="I754" i="170" s="1"/>
  <c r="K754" i="170" s="1"/>
  <c r="I1025" i="170"/>
  <c r="K1025" i="170" s="1"/>
  <c r="W134" i="151"/>
  <c r="Z134" i="151" s="1"/>
  <c r="I1178" i="170"/>
  <c r="K1178" i="170" s="1"/>
  <c r="W152" i="151"/>
  <c r="I1179" i="170" s="1"/>
  <c r="K1179" i="170" s="1"/>
  <c r="I906" i="170"/>
  <c r="K906" i="170" s="1"/>
  <c r="W120" i="151"/>
  <c r="I907" i="170" s="1"/>
  <c r="K907" i="170" s="1"/>
  <c r="C804" i="170"/>
  <c r="E804" i="170" s="1"/>
  <c r="W107" i="151"/>
  <c r="C805" i="170" s="1"/>
  <c r="E805" i="170" s="1"/>
  <c r="C838" i="170"/>
  <c r="E838" i="170" s="1"/>
  <c r="W111" i="151"/>
  <c r="C839" i="170" s="1"/>
  <c r="E839" i="170" s="1"/>
  <c r="C1025" i="170"/>
  <c r="E1025" i="170" s="1"/>
  <c r="W133" i="151"/>
  <c r="C1026" i="170" s="1"/>
  <c r="E1026" i="170" s="1"/>
  <c r="I855" i="170"/>
  <c r="K855" i="170" s="1"/>
  <c r="W114" i="151"/>
  <c r="I856" i="170" s="1"/>
  <c r="K856" i="170" s="1"/>
  <c r="I1246" i="170"/>
  <c r="K1246" i="170" s="1"/>
  <c r="W160" i="151"/>
  <c r="I1247" i="170" s="1"/>
  <c r="K1247" i="170" s="1"/>
  <c r="I1127" i="170"/>
  <c r="K1127" i="170" s="1"/>
  <c r="W146" i="151"/>
  <c r="I1128" i="170" s="1"/>
  <c r="K1128" i="170" s="1"/>
  <c r="I1195" i="170"/>
  <c r="K1195" i="170" s="1"/>
  <c r="W154" i="151"/>
  <c r="I1196" i="170" s="1"/>
  <c r="K1196" i="170" s="1"/>
  <c r="C1161" i="170"/>
  <c r="E1161" i="170" s="1"/>
  <c r="W149" i="151"/>
  <c r="C1162" i="170" s="1"/>
  <c r="E1162" i="170" s="1"/>
  <c r="C1076" i="170"/>
  <c r="E1076" i="170" s="1"/>
  <c r="W139" i="151"/>
  <c r="C1077" i="170" s="1"/>
  <c r="E1077" i="170" s="1"/>
  <c r="I804" i="170"/>
  <c r="K804" i="170" s="1"/>
  <c r="W108" i="151"/>
  <c r="I805" i="170" s="1"/>
  <c r="K805" i="170" s="1"/>
  <c r="C1110" i="170"/>
  <c r="E1110" i="170" s="1"/>
  <c r="W143" i="151"/>
  <c r="C1111" i="170" s="1"/>
  <c r="E1111" i="170" s="1"/>
  <c r="C906" i="170"/>
  <c r="E906" i="170" s="1"/>
  <c r="W119" i="151"/>
  <c r="C907" i="170" s="1"/>
  <c r="E907" i="170" s="1"/>
  <c r="C1229" i="170"/>
  <c r="E1229" i="170" s="1"/>
  <c r="W157" i="151"/>
  <c r="C1230" i="170" s="1"/>
  <c r="E1230" i="170" s="1"/>
  <c r="C1212" i="170"/>
  <c r="E1212" i="170" s="1"/>
  <c r="W155" i="151"/>
  <c r="C1213" i="170" s="1"/>
  <c r="E1213" i="170" s="1"/>
  <c r="I957" i="170"/>
  <c r="K957" i="170" s="1"/>
  <c r="W126" i="151"/>
  <c r="I958" i="170" s="1"/>
  <c r="K958" i="170" s="1"/>
  <c r="C940" i="170"/>
  <c r="E940" i="170" s="1"/>
  <c r="W123" i="151"/>
  <c r="C941" i="170" s="1"/>
  <c r="E941" i="170" s="1"/>
  <c r="I1008" i="170"/>
  <c r="K1008" i="170" s="1"/>
  <c r="W132" i="151"/>
  <c r="I1009" i="170" s="1"/>
  <c r="K1009" i="170" s="1"/>
  <c r="I1059" i="170"/>
  <c r="K1059" i="170" s="1"/>
  <c r="W138" i="151"/>
  <c r="I1060" i="170" s="1"/>
  <c r="K1060" i="170" s="1"/>
  <c r="I974" i="170"/>
  <c r="K974" i="170" s="1"/>
  <c r="W128" i="151"/>
  <c r="I975" i="170" s="1"/>
  <c r="K975" i="170" s="1"/>
  <c r="C991" i="170"/>
  <c r="E991" i="170" s="1"/>
  <c r="W129" i="151"/>
  <c r="C992" i="170" s="1"/>
  <c r="E992" i="170" s="1"/>
  <c r="I1093" i="170"/>
  <c r="K1093" i="170" s="1"/>
  <c r="W142" i="151"/>
  <c r="I1094" i="170" s="1"/>
  <c r="K1094" i="170" s="1"/>
  <c r="C872" i="170"/>
  <c r="E872" i="170" s="1"/>
  <c r="W115" i="151"/>
  <c r="C873" i="170" s="1"/>
  <c r="E873" i="170" s="1"/>
  <c r="C923" i="170"/>
  <c r="E923" i="170" s="1"/>
  <c r="W121" i="151"/>
  <c r="Z121" i="151" s="1"/>
  <c r="C1093" i="170"/>
  <c r="E1093" i="170" s="1"/>
  <c r="W141" i="151"/>
  <c r="C1094" i="170" s="1"/>
  <c r="E1094" i="170" s="1"/>
  <c r="I991" i="170"/>
  <c r="K991" i="170" s="1"/>
  <c r="W130" i="151"/>
  <c r="Z130" i="151" s="1"/>
  <c r="I923" i="170"/>
  <c r="K923" i="170" s="1"/>
  <c r="W122" i="151"/>
  <c r="I924" i="170" s="1"/>
  <c r="K924" i="170" s="1"/>
  <c r="C1144" i="170"/>
  <c r="E1144" i="170" s="1"/>
  <c r="W147" i="151"/>
  <c r="C1145" i="170" s="1"/>
  <c r="E1145" i="170" s="1"/>
  <c r="AC95" i="9"/>
  <c r="Z78" i="101"/>
  <c r="I1026" i="170"/>
  <c r="K1026" i="170" s="1"/>
  <c r="I1024" i="170"/>
  <c r="K1024" i="170" s="1"/>
  <c r="C939" i="170"/>
  <c r="E939" i="170" s="1"/>
  <c r="I1126" i="170"/>
  <c r="K1126" i="170" s="1"/>
  <c r="C905" i="170"/>
  <c r="E905" i="170" s="1"/>
  <c r="I956" i="170"/>
  <c r="K956" i="170" s="1"/>
  <c r="I837" i="170"/>
  <c r="K837" i="170" s="1"/>
  <c r="I939" i="170"/>
  <c r="K939" i="170" s="1"/>
  <c r="C990" i="170"/>
  <c r="E990" i="170" s="1"/>
  <c r="C820" i="170"/>
  <c r="E820" i="170" s="1"/>
  <c r="I992" i="170"/>
  <c r="K992" i="170" s="1"/>
  <c r="I990" i="170"/>
  <c r="K990" i="170" s="1"/>
  <c r="C769" i="170"/>
  <c r="E769" i="170" s="1"/>
  <c r="I820" i="170"/>
  <c r="K820" i="170" s="1"/>
  <c r="I1109" i="170"/>
  <c r="K1109" i="170" s="1"/>
  <c r="I1211" i="170"/>
  <c r="K1211" i="170" s="1"/>
  <c r="I1143" i="170"/>
  <c r="K1143" i="170" s="1"/>
  <c r="I854" i="170"/>
  <c r="K854" i="170" s="1"/>
  <c r="I1177" i="170"/>
  <c r="K1177" i="170" s="1"/>
  <c r="I1007" i="170"/>
  <c r="K1007" i="170" s="1"/>
  <c r="C854" i="170"/>
  <c r="E854" i="170" s="1"/>
  <c r="C956" i="170"/>
  <c r="E956" i="170" s="1"/>
  <c r="I1160" i="170"/>
  <c r="K1160" i="170" s="1"/>
  <c r="C1075" i="170"/>
  <c r="E1075" i="170" s="1"/>
  <c r="I1075" i="170"/>
  <c r="K1075" i="170" s="1"/>
  <c r="I905" i="170"/>
  <c r="K905" i="170" s="1"/>
  <c r="I769" i="170"/>
  <c r="K769" i="170" s="1"/>
  <c r="C1058" i="170"/>
  <c r="E1058" i="170" s="1"/>
  <c r="C1228" i="170"/>
  <c r="E1228" i="170" s="1"/>
  <c r="I752" i="170"/>
  <c r="K752" i="170" s="1"/>
  <c r="C1160" i="170"/>
  <c r="E1160" i="170" s="1"/>
  <c r="I973" i="170"/>
  <c r="K973" i="170" s="1"/>
  <c r="I803" i="170"/>
  <c r="K803" i="170" s="1"/>
  <c r="C1126" i="170"/>
  <c r="E1126" i="170" s="1"/>
  <c r="C1024" i="170"/>
  <c r="E1024" i="170" s="1"/>
  <c r="I1058" i="170"/>
  <c r="K1058" i="170" s="1"/>
  <c r="C1109" i="170"/>
  <c r="E1109" i="170" s="1"/>
  <c r="I888" i="170"/>
  <c r="K888" i="170" s="1"/>
  <c r="C803" i="170"/>
  <c r="E803" i="170" s="1"/>
  <c r="C1194" i="170"/>
  <c r="E1194" i="170" s="1"/>
  <c r="C1092" i="170"/>
  <c r="E1092" i="170" s="1"/>
  <c r="C888" i="170"/>
  <c r="E888" i="170" s="1"/>
  <c r="C1143" i="170"/>
  <c r="E1143" i="170" s="1"/>
  <c r="I1194" i="170"/>
  <c r="K1194" i="170" s="1"/>
  <c r="C786" i="170"/>
  <c r="E786" i="170" s="1"/>
  <c r="C1211" i="170"/>
  <c r="E1211" i="170" s="1"/>
  <c r="C924" i="170"/>
  <c r="E924" i="170" s="1"/>
  <c r="C922" i="170"/>
  <c r="E922" i="170" s="1"/>
  <c r="C1177" i="170"/>
  <c r="E1177" i="170" s="1"/>
  <c r="C1007" i="170"/>
  <c r="E1007" i="170" s="1"/>
  <c r="I786" i="170"/>
  <c r="K786" i="170" s="1"/>
  <c r="C837" i="170"/>
  <c r="E837" i="170" s="1"/>
  <c r="I1041" i="170"/>
  <c r="K1041" i="170" s="1"/>
  <c r="I871" i="170"/>
  <c r="K871" i="170" s="1"/>
  <c r="C1041" i="170"/>
  <c r="E1041" i="170" s="1"/>
  <c r="I1092" i="170"/>
  <c r="K1092" i="170" s="1"/>
  <c r="C871" i="170"/>
  <c r="E871" i="170" s="1"/>
  <c r="I922" i="170"/>
  <c r="K922" i="170" s="1"/>
  <c r="C973" i="170"/>
  <c r="E973" i="170" s="1"/>
  <c r="I1245" i="170"/>
  <c r="K1245" i="170" s="1"/>
  <c r="C1262" i="170"/>
  <c r="E1262" i="170" s="1"/>
  <c r="C1245" i="170"/>
  <c r="E1245" i="170" s="1"/>
  <c r="I1228" i="170"/>
  <c r="K1228" i="170" s="1"/>
  <c r="I1262" i="170"/>
  <c r="K1262" i="170" s="1"/>
  <c r="V100" i="151"/>
  <c r="V167" i="151" s="1"/>
  <c r="I82" i="132"/>
  <c r="I94" i="132"/>
  <c r="G164" i="132"/>
  <c r="H164" i="132"/>
  <c r="K164" i="132"/>
  <c r="M164" i="132" s="1"/>
  <c r="F164" i="132"/>
  <c r="M83" i="101"/>
  <c r="G17" i="101"/>
  <c r="AC9" i="9"/>
  <c r="I1275" i="170"/>
  <c r="K1275" i="170" s="1"/>
  <c r="K1283" i="170"/>
  <c r="I1277" i="170"/>
  <c r="K1277" i="170" s="1"/>
  <c r="I1276" i="170"/>
  <c r="K1276" i="170" s="1"/>
  <c r="I1279" i="170"/>
  <c r="K1279" i="170" s="1"/>
  <c r="I1278" i="170"/>
  <c r="K1278" i="170" s="1"/>
  <c r="I1281" i="170"/>
  <c r="K1281" i="170" s="1"/>
  <c r="I1282" i="170"/>
  <c r="K1282" i="170" s="1"/>
  <c r="I1280" i="170"/>
  <c r="K1280" i="170" s="1"/>
  <c r="O17" i="101"/>
  <c r="V9" i="9"/>
  <c r="V162" i="9" s="1"/>
  <c r="N100" i="151"/>
  <c r="G163" i="132"/>
  <c r="F162" i="132"/>
  <c r="F161" i="132"/>
  <c r="F163" i="132"/>
  <c r="H162" i="132"/>
  <c r="H163" i="132"/>
  <c r="G162" i="132"/>
  <c r="AB79" i="101"/>
  <c r="K161" i="132"/>
  <c r="M161" i="132" s="1"/>
  <c r="F158" i="132"/>
  <c r="F157" i="132"/>
  <c r="F160" i="132"/>
  <c r="F159" i="132"/>
  <c r="AB80" i="101"/>
  <c r="K162" i="132"/>
  <c r="M162" i="132" s="1"/>
  <c r="AB81" i="101"/>
  <c r="AC81" i="101" s="1"/>
  <c r="K163" i="132"/>
  <c r="M163" i="132" s="1"/>
  <c r="X9" i="9"/>
  <c r="W9" i="9"/>
  <c r="F107" i="132"/>
  <c r="F138" i="132"/>
  <c r="F102" i="132"/>
  <c r="F155" i="132"/>
  <c r="F126" i="132"/>
  <c r="F143" i="132"/>
  <c r="F104" i="132"/>
  <c r="F148" i="132"/>
  <c r="F128" i="132"/>
  <c r="F108" i="132"/>
  <c r="F154" i="132"/>
  <c r="F132" i="132"/>
  <c r="F112" i="132"/>
  <c r="F130" i="132"/>
  <c r="F122" i="132"/>
  <c r="F105" i="132"/>
  <c r="F133" i="132"/>
  <c r="F113" i="132"/>
  <c r="F125" i="132"/>
  <c r="F103" i="132"/>
  <c r="F144" i="132"/>
  <c r="F124" i="132"/>
  <c r="F123" i="132"/>
  <c r="F114" i="132"/>
  <c r="F139" i="132"/>
  <c r="F145" i="132"/>
  <c r="F147" i="132"/>
  <c r="F149" i="132"/>
  <c r="F129" i="132"/>
  <c r="F141" i="132"/>
  <c r="F127" i="132"/>
  <c r="F118" i="132"/>
  <c r="F135" i="132"/>
  <c r="F146" i="132"/>
  <c r="F106" i="132"/>
  <c r="F131" i="132"/>
  <c r="F109" i="132"/>
  <c r="F137" i="132"/>
  <c r="F101" i="132"/>
  <c r="F142" i="132"/>
  <c r="F121" i="132"/>
  <c r="F150" i="132"/>
  <c r="F110" i="132"/>
  <c r="F116" i="132"/>
  <c r="F140" i="132"/>
  <c r="F120" i="132"/>
  <c r="F153" i="132"/>
  <c r="F117" i="132"/>
  <c r="F111" i="132"/>
  <c r="F134" i="132"/>
  <c r="F151" i="132"/>
  <c r="F115" i="132"/>
  <c r="F152" i="132"/>
  <c r="F119" i="132"/>
  <c r="F156" i="132"/>
  <c r="F136" i="132"/>
  <c r="F100" i="132"/>
  <c r="C1294" i="170"/>
  <c r="E1294" i="170" s="1"/>
  <c r="C1292" i="170"/>
  <c r="E1292" i="170" s="1"/>
  <c r="C1293" i="170"/>
  <c r="E1293" i="170" s="1"/>
  <c r="C1299" i="170"/>
  <c r="E1299" i="170" s="1"/>
  <c r="C1297" i="170"/>
  <c r="E1297" i="170" s="1"/>
  <c r="C1295" i="170"/>
  <c r="E1295" i="170" s="1"/>
  <c r="C1298" i="170"/>
  <c r="E1298" i="170" s="1"/>
  <c r="C1296" i="170"/>
  <c r="E1296" i="170" s="1"/>
  <c r="Q17" i="101"/>
  <c r="Q83" i="101" s="1"/>
  <c r="E1272" i="170"/>
  <c r="E1289" i="170"/>
  <c r="K1272" i="170"/>
  <c r="R101" i="151"/>
  <c r="R100" i="151" s="1"/>
  <c r="B746" i="170"/>
  <c r="E756" i="170" s="1"/>
  <c r="AC95" i="99"/>
  <c r="AC96" i="99"/>
  <c r="U101" i="151"/>
  <c r="U100" i="151" s="1"/>
  <c r="T101" i="151"/>
  <c r="T100" i="151" s="1"/>
  <c r="T17" i="101"/>
  <c r="T83" i="101" s="1"/>
  <c r="S17" i="101"/>
  <c r="S83" i="101" s="1"/>
  <c r="Z162" i="9"/>
  <c r="AA162" i="9"/>
  <c r="R17" i="101"/>
  <c r="AA73" i="151"/>
  <c r="AA47" i="151"/>
  <c r="AA20" i="151"/>
  <c r="AA40" i="151"/>
  <c r="AA80" i="151"/>
  <c r="AA38" i="151"/>
  <c r="U96" i="9"/>
  <c r="U95" i="9" s="1"/>
  <c r="R162" i="9"/>
  <c r="P17" i="101"/>
  <c r="P83" i="101" s="1"/>
  <c r="M15" i="180" s="1"/>
  <c r="M16" i="180" s="1"/>
  <c r="M20" i="180" s="1"/>
  <c r="E83" i="101"/>
  <c r="F15" i="180" s="1"/>
  <c r="F16" i="180" s="1"/>
  <c r="F20" i="180" s="1"/>
  <c r="D99" i="132"/>
  <c r="R16" i="151"/>
  <c r="Z16" i="151" s="1"/>
  <c r="H14" i="132" s="1"/>
  <c r="P101" i="151"/>
  <c r="Q101" i="151"/>
  <c r="Q100" i="151" s="1"/>
  <c r="S101" i="151"/>
  <c r="H101" i="151"/>
  <c r="I101" i="151"/>
  <c r="I100" i="151" s="1"/>
  <c r="F100" i="151"/>
  <c r="P27" i="59"/>
  <c r="P13" i="59"/>
  <c r="F162" i="9"/>
  <c r="F179" i="99"/>
  <c r="AB162" i="9"/>
  <c r="T162" i="9"/>
  <c r="S162" i="9"/>
  <c r="AC79" i="101" l="1"/>
  <c r="Z136" i="151"/>
  <c r="Z132" i="151"/>
  <c r="Z111" i="151"/>
  <c r="Z102" i="151"/>
  <c r="Z129" i="151"/>
  <c r="Z150" i="151"/>
  <c r="Z159" i="151"/>
  <c r="Z149" i="151"/>
  <c r="Z120" i="151"/>
  <c r="Z110" i="151"/>
  <c r="Z153" i="151"/>
  <c r="Z126" i="151"/>
  <c r="Z147" i="151"/>
  <c r="Z151" i="151"/>
  <c r="Z154" i="151"/>
  <c r="Z131" i="151"/>
  <c r="Z142" i="151"/>
  <c r="Z161" i="151"/>
  <c r="Z138" i="151"/>
  <c r="Z144" i="151"/>
  <c r="Z105" i="151"/>
  <c r="Z146" i="151"/>
  <c r="Z148" i="151"/>
  <c r="Z125" i="151"/>
  <c r="Z152" i="151"/>
  <c r="Z137" i="151"/>
  <c r="Z128" i="151"/>
  <c r="Z140" i="151"/>
  <c r="Z135" i="151"/>
  <c r="Z141" i="151"/>
  <c r="Z118" i="151"/>
  <c r="Z123" i="151"/>
  <c r="Z114" i="151"/>
  <c r="Z107" i="151"/>
  <c r="Z115" i="151"/>
  <c r="Z106" i="151"/>
  <c r="Z103" i="151"/>
  <c r="Z162" i="151"/>
  <c r="Z124" i="151"/>
  <c r="Z155" i="151"/>
  <c r="Z157" i="151"/>
  <c r="Z156" i="151"/>
  <c r="Z139" i="151"/>
  <c r="Z109" i="151"/>
  <c r="Z112" i="151"/>
  <c r="Z104" i="151"/>
  <c r="Z127" i="151"/>
  <c r="Z143" i="151"/>
  <c r="Z117" i="151"/>
  <c r="Z158" i="151"/>
  <c r="Z133" i="151"/>
  <c r="Z160" i="151"/>
  <c r="Z108" i="151"/>
  <c r="Z122" i="151"/>
  <c r="Z116" i="151"/>
  <c r="Z145" i="151"/>
  <c r="Z113" i="151"/>
  <c r="Z119" i="151"/>
  <c r="H100" i="151"/>
  <c r="H167" i="151" s="1"/>
  <c r="K101" i="151"/>
  <c r="K100" i="151" s="1"/>
  <c r="I9" i="170"/>
  <c r="K9" i="170" s="1"/>
  <c r="K202" i="151"/>
  <c r="O202" i="151" s="1"/>
  <c r="F167" i="151"/>
  <c r="S100" i="151"/>
  <c r="W101" i="151"/>
  <c r="Z101" i="151" s="1"/>
  <c r="R83" i="101"/>
  <c r="N15" i="180" s="1"/>
  <c r="N16" i="180" s="1"/>
  <c r="N20" i="180" s="1"/>
  <c r="V17" i="101"/>
  <c r="V83" i="101" s="1"/>
  <c r="O15" i="180" s="1"/>
  <c r="O16" i="180" s="1"/>
  <c r="O20" i="180" s="1"/>
  <c r="I128" i="132"/>
  <c r="I153" i="132"/>
  <c r="I135" i="132"/>
  <c r="I116" i="132"/>
  <c r="I151" i="132"/>
  <c r="I117" i="132"/>
  <c r="I130" i="132"/>
  <c r="I123" i="132"/>
  <c r="I118" i="132"/>
  <c r="I154" i="132"/>
  <c r="I100" i="132"/>
  <c r="I112" i="132"/>
  <c r="I108" i="132"/>
  <c r="I137" i="132"/>
  <c r="I110" i="132"/>
  <c r="I127" i="132"/>
  <c r="I121" i="132"/>
  <c r="I126" i="132"/>
  <c r="I160" i="132"/>
  <c r="I133" i="132"/>
  <c r="I152" i="132"/>
  <c r="I125" i="132"/>
  <c r="I113" i="132"/>
  <c r="I157" i="132"/>
  <c r="I149" i="132"/>
  <c r="I134" i="132"/>
  <c r="I104" i="132"/>
  <c r="I143" i="132"/>
  <c r="I136" i="132"/>
  <c r="I115" i="132"/>
  <c r="I144" i="132"/>
  <c r="I101" i="132"/>
  <c r="I106" i="132"/>
  <c r="I102" i="132"/>
  <c r="I147" i="132"/>
  <c r="I150" i="132"/>
  <c r="I111" i="132"/>
  <c r="I107" i="132"/>
  <c r="I148" i="132"/>
  <c r="I156" i="132"/>
  <c r="I122" i="132"/>
  <c r="I114" i="132"/>
  <c r="I141" i="132"/>
  <c r="I132" i="132"/>
  <c r="I138" i="132"/>
  <c r="I155" i="132"/>
  <c r="I124" i="132"/>
  <c r="I142" i="132"/>
  <c r="I131" i="132"/>
  <c r="I146" i="132"/>
  <c r="I129" i="132"/>
  <c r="I159" i="132"/>
  <c r="I109" i="132"/>
  <c r="I105" i="132"/>
  <c r="I139" i="132"/>
  <c r="I140" i="132"/>
  <c r="I103" i="132"/>
  <c r="I145" i="132"/>
  <c r="I119" i="132"/>
  <c r="I120" i="132"/>
  <c r="I158" i="132"/>
  <c r="Z15" i="151"/>
  <c r="C11" i="170"/>
  <c r="E11" i="170" s="1"/>
  <c r="R15" i="151"/>
  <c r="R167" i="151" s="1"/>
  <c r="P100" i="151"/>
  <c r="O83" i="101"/>
  <c r="L15" i="180" s="1"/>
  <c r="L16" i="180" s="1"/>
  <c r="L20" i="180" s="1"/>
  <c r="I164" i="132"/>
  <c r="W100" i="151"/>
  <c r="K1236" i="170"/>
  <c r="K1202" i="170"/>
  <c r="E1117" i="170"/>
  <c r="K1066" i="170"/>
  <c r="K1270" i="170"/>
  <c r="K1151" i="170"/>
  <c r="E1100" i="170"/>
  <c r="K1083" i="170"/>
  <c r="E1219" i="170"/>
  <c r="K1185" i="170"/>
  <c r="E1202" i="170"/>
  <c r="K1219" i="170"/>
  <c r="E1185" i="170"/>
  <c r="K1117" i="170"/>
  <c r="E1253" i="170"/>
  <c r="K1253" i="170"/>
  <c r="K1287" i="170"/>
  <c r="E1151" i="170"/>
  <c r="E1236" i="170"/>
  <c r="E1270" i="170"/>
  <c r="E1168" i="170"/>
  <c r="E1134" i="170"/>
  <c r="K1100" i="170"/>
  <c r="K1168" i="170"/>
  <c r="K1134" i="170"/>
  <c r="E1083" i="170"/>
  <c r="E1287" i="170"/>
  <c r="G13" i="132"/>
  <c r="C747" i="170"/>
  <c r="D751" i="170" s="1"/>
  <c r="I163" i="132"/>
  <c r="I162" i="132"/>
  <c r="I161" i="132"/>
  <c r="S167" i="151"/>
  <c r="T167" i="151"/>
  <c r="Q167" i="151"/>
  <c r="O100" i="151"/>
  <c r="I167" i="151"/>
  <c r="U167" i="151"/>
  <c r="U9" i="9"/>
  <c r="U162" i="9" s="1"/>
  <c r="Z23" i="99"/>
  <c r="Z40" i="99"/>
  <c r="Z61" i="99"/>
  <c r="Z51" i="99"/>
  <c r="Z39" i="99"/>
  <c r="Z77" i="99"/>
  <c r="Z66" i="99"/>
  <c r="Z76" i="99"/>
  <c r="Z82" i="99"/>
  <c r="Z46" i="99"/>
  <c r="Z59" i="99"/>
  <c r="Z58" i="99"/>
  <c r="Z68" i="99"/>
  <c r="Z55" i="99"/>
  <c r="Z65" i="99"/>
  <c r="Y80" i="101"/>
  <c r="Z72" i="99"/>
  <c r="Z78" i="99"/>
  <c r="Z87" i="99"/>
  <c r="Z22" i="99"/>
  <c r="Z36" i="99"/>
  <c r="Z81" i="99"/>
  <c r="Z67" i="99"/>
  <c r="Z71" i="99"/>
  <c r="Z28" i="99"/>
  <c r="Z73" i="99"/>
  <c r="Z29" i="99"/>
  <c r="Z33" i="99"/>
  <c r="Z41" i="99"/>
  <c r="Z25" i="99"/>
  <c r="Z31" i="99"/>
  <c r="Z37" i="99"/>
  <c r="Z27" i="99"/>
  <c r="Z84" i="99"/>
  <c r="Z21" i="99"/>
  <c r="Z26" i="99"/>
  <c r="Z44" i="99"/>
  <c r="Z54" i="99"/>
  <c r="Z38" i="99"/>
  <c r="Z75" i="101"/>
  <c r="Z42" i="99"/>
  <c r="Z74" i="99"/>
  <c r="Z60" i="99"/>
  <c r="Z48" i="99"/>
  <c r="Z70" i="99"/>
  <c r="Z50" i="99"/>
  <c r="Z52" i="99"/>
  <c r="Z76" i="101"/>
  <c r="Z77" i="101"/>
  <c r="Z45" i="99"/>
  <c r="Z18" i="99"/>
  <c r="Z80" i="99"/>
  <c r="Z49" i="99"/>
  <c r="Z24" i="99"/>
  <c r="Z57" i="99"/>
  <c r="Z47" i="99"/>
  <c r="Z35" i="99"/>
  <c r="Z43" i="99"/>
  <c r="Z86" i="99"/>
  <c r="Z56" i="99"/>
  <c r="Z32" i="99"/>
  <c r="Z62" i="99"/>
  <c r="E1304" i="170"/>
  <c r="L1304" i="170" s="1"/>
  <c r="Z64" i="99"/>
  <c r="Z20" i="99"/>
  <c r="Z74" i="101"/>
  <c r="Z75" i="99"/>
  <c r="Z63" i="99"/>
  <c r="C9" i="170"/>
  <c r="E9" i="170" s="1"/>
  <c r="C748" i="170"/>
  <c r="E748" i="170" s="1"/>
  <c r="C753" i="170"/>
  <c r="E753" i="170" s="1"/>
  <c r="C8" i="170"/>
  <c r="E8" i="170" s="1"/>
  <c r="C752" i="170"/>
  <c r="E752" i="170" s="1"/>
  <c r="Z34" i="99"/>
  <c r="Z53" i="99"/>
  <c r="Z85" i="99"/>
  <c r="Z69" i="99"/>
  <c r="Z79" i="99"/>
  <c r="Z30" i="99"/>
  <c r="Z83" i="99"/>
  <c r="Z19" i="99"/>
  <c r="AA61" i="151"/>
  <c r="AC61" i="151" s="1"/>
  <c r="AA56" i="151"/>
  <c r="AA18" i="151"/>
  <c r="AA81" i="151"/>
  <c r="AA28" i="151"/>
  <c r="AC28" i="151" s="1"/>
  <c r="AA58" i="151"/>
  <c r="AA84" i="151"/>
  <c r="AC84" i="151" s="1"/>
  <c r="K94" i="132" s="1"/>
  <c r="M94" i="132" s="1"/>
  <c r="AA37" i="151"/>
  <c r="AC37" i="151" s="1"/>
  <c r="AA87" i="151"/>
  <c r="AA54" i="151"/>
  <c r="AA79" i="151"/>
  <c r="AC79" i="151" s="1"/>
  <c r="AA52" i="151"/>
  <c r="AC52" i="151" s="1"/>
  <c r="AA77" i="151"/>
  <c r="AA85" i="151"/>
  <c r="AA55" i="151"/>
  <c r="AA59" i="151"/>
  <c r="AC59" i="151" s="1"/>
  <c r="AA78" i="151"/>
  <c r="AA36" i="151"/>
  <c r="AC36" i="151" s="1"/>
  <c r="AA43" i="151"/>
  <c r="AC43" i="151" s="1"/>
  <c r="AA82" i="151"/>
  <c r="AA32" i="151"/>
  <c r="AC32" i="151" s="1"/>
  <c r="AA31" i="151"/>
  <c r="AA45" i="151"/>
  <c r="AC45" i="151" s="1"/>
  <c r="AA34" i="151"/>
  <c r="AA44" i="151"/>
  <c r="AC44" i="151" s="1"/>
  <c r="AA75" i="151"/>
  <c r="AC75" i="151" s="1"/>
  <c r="AA41" i="151"/>
  <c r="AC41" i="151" s="1"/>
  <c r="AA21" i="151"/>
  <c r="AA71" i="151"/>
  <c r="AA63" i="151"/>
  <c r="AA39" i="151"/>
  <c r="AC39" i="151" s="1"/>
  <c r="AA30" i="151"/>
  <c r="F17" i="101"/>
  <c r="F83" i="101" s="1"/>
  <c r="G15" i="180" s="1"/>
  <c r="G16" i="180" s="1"/>
  <c r="AA24" i="151"/>
  <c r="AA46" i="151"/>
  <c r="AC46" i="151" s="1"/>
  <c r="AA62" i="151"/>
  <c r="AC62" i="151" s="1"/>
  <c r="AA22" i="151"/>
  <c r="AA67" i="151"/>
  <c r="AA26" i="151"/>
  <c r="AA27" i="151"/>
  <c r="AA35" i="151"/>
  <c r="AA83" i="151"/>
  <c r="AA53" i="151"/>
  <c r="AC53" i="151" s="1"/>
  <c r="AA69" i="151"/>
  <c r="AC69" i="151" s="1"/>
  <c r="AA74" i="151"/>
  <c r="AA19" i="151"/>
  <c r="AC19" i="151" s="1"/>
  <c r="AA64" i="151"/>
  <c r="AC64" i="151" s="1"/>
  <c r="AA70" i="151"/>
  <c r="AC70" i="151" s="1"/>
  <c r="AA51" i="151"/>
  <c r="AA50" i="151"/>
  <c r="AA72" i="151"/>
  <c r="AA29" i="151"/>
  <c r="AA48" i="151"/>
  <c r="AA86" i="151"/>
  <c r="AC86" i="151" s="1"/>
  <c r="AA42" i="151"/>
  <c r="AA65" i="151"/>
  <c r="AA23" i="151"/>
  <c r="AC23" i="151" s="1"/>
  <c r="AA25" i="151"/>
  <c r="AA76" i="151"/>
  <c r="AA66" i="151"/>
  <c r="AA33" i="151"/>
  <c r="AA49" i="151"/>
  <c r="AC49" i="151" s="1"/>
  <c r="AA57" i="151"/>
  <c r="AC57" i="151" s="1"/>
  <c r="AA60" i="151"/>
  <c r="AC60" i="151" s="1"/>
  <c r="AA68" i="151"/>
  <c r="AC68" i="151" s="1"/>
  <c r="X162" i="9"/>
  <c r="AC80" i="151"/>
  <c r="AC20" i="151"/>
  <c r="AC47" i="151"/>
  <c r="AC40" i="151"/>
  <c r="AC38" i="151"/>
  <c r="AC73" i="151"/>
  <c r="G101" i="151"/>
  <c r="G100" i="151" s="1"/>
  <c r="W162" i="9"/>
  <c r="Y162" i="9"/>
  <c r="H16" i="99"/>
  <c r="G16" i="99"/>
  <c r="H17" i="99"/>
  <c r="G17" i="99"/>
  <c r="G18" i="101"/>
  <c r="G83" i="101" s="1"/>
  <c r="H18" i="101"/>
  <c r="H17" i="101"/>
  <c r="F180" i="99"/>
  <c r="AF166" i="9"/>
  <c r="AF164" i="9"/>
  <c r="AF165" i="9"/>
  <c r="J16" i="99" l="1"/>
  <c r="Y17" i="101"/>
  <c r="C750" i="170"/>
  <c r="E750" i="170" s="1"/>
  <c r="AD84" i="101"/>
  <c r="H15" i="180"/>
  <c r="Z100" i="151"/>
  <c r="Y83" i="101"/>
  <c r="P15" i="180" s="1"/>
  <c r="P16" i="180" s="1"/>
  <c r="P20" i="180" s="1"/>
  <c r="H83" i="101"/>
  <c r="H100" i="99"/>
  <c r="G100" i="99"/>
  <c r="Z80" i="101"/>
  <c r="AC80" i="101" s="1"/>
  <c r="I15" i="132"/>
  <c r="L1287" i="170"/>
  <c r="AA16" i="151"/>
  <c r="H13" i="132"/>
  <c r="G167" i="151"/>
  <c r="AG178" i="151" s="1"/>
  <c r="G98" i="132"/>
  <c r="J17" i="101"/>
  <c r="P167" i="151"/>
  <c r="D22" i="154" s="1"/>
  <c r="G22" i="154" s="1"/>
  <c r="J17" i="99"/>
  <c r="J100" i="99" s="1"/>
  <c r="H16" i="153" s="1"/>
  <c r="AB73" i="99"/>
  <c r="AC73" i="99" s="1"/>
  <c r="K71" i="132"/>
  <c r="M71" i="132" s="1"/>
  <c r="AB60" i="99"/>
  <c r="AC60" i="99" s="1"/>
  <c r="K58" i="132"/>
  <c r="M58" i="132" s="1"/>
  <c r="AB23" i="99"/>
  <c r="K21" i="132"/>
  <c r="M21" i="132" s="1"/>
  <c r="AB46" i="99"/>
  <c r="AC46" i="99" s="1"/>
  <c r="K44" i="132"/>
  <c r="M44" i="132" s="1"/>
  <c r="AB59" i="99"/>
  <c r="AC59" i="99" s="1"/>
  <c r="K57" i="132"/>
  <c r="M57" i="132" s="1"/>
  <c r="AB28" i="99"/>
  <c r="AC28" i="99" s="1"/>
  <c r="K26" i="132"/>
  <c r="M26" i="132" s="1"/>
  <c r="AB61" i="99"/>
  <c r="AC61" i="99" s="1"/>
  <c r="K59" i="132"/>
  <c r="M59" i="132" s="1"/>
  <c r="AB38" i="99"/>
  <c r="AC38" i="99" s="1"/>
  <c r="K36" i="132"/>
  <c r="M36" i="132" s="1"/>
  <c r="AB80" i="99"/>
  <c r="AC80" i="99" s="1"/>
  <c r="K78" i="132"/>
  <c r="M78" i="132" s="1"/>
  <c r="AB70" i="99"/>
  <c r="AC70" i="99" s="1"/>
  <c r="K68" i="132"/>
  <c r="M68" i="132" s="1"/>
  <c r="AB69" i="99"/>
  <c r="AC69" i="99" s="1"/>
  <c r="K67" i="132"/>
  <c r="M67" i="132" s="1"/>
  <c r="AB39" i="99"/>
  <c r="AC39" i="99" s="1"/>
  <c r="K37" i="132"/>
  <c r="M37" i="132" s="1"/>
  <c r="AB41" i="99"/>
  <c r="AC41" i="99" s="1"/>
  <c r="K39" i="132"/>
  <c r="M39" i="132" s="1"/>
  <c r="AB45" i="99"/>
  <c r="AC45" i="99" s="1"/>
  <c r="K43" i="132"/>
  <c r="M43" i="132" s="1"/>
  <c r="AB43" i="99"/>
  <c r="AC43" i="99" s="1"/>
  <c r="K41" i="132"/>
  <c r="M41" i="132" s="1"/>
  <c r="AB79" i="99"/>
  <c r="AC79" i="99" s="1"/>
  <c r="K77" i="132"/>
  <c r="M77" i="132" s="1"/>
  <c r="AB37" i="99"/>
  <c r="AC37" i="99" s="1"/>
  <c r="K35" i="132"/>
  <c r="M35" i="132" s="1"/>
  <c r="AB40" i="99"/>
  <c r="AC40" i="99" s="1"/>
  <c r="K38" i="132"/>
  <c r="M38" i="132" s="1"/>
  <c r="AB57" i="99"/>
  <c r="AC57" i="99" s="1"/>
  <c r="K55" i="132"/>
  <c r="M55" i="132" s="1"/>
  <c r="AB64" i="99"/>
  <c r="AC64" i="99" s="1"/>
  <c r="K62" i="132"/>
  <c r="M62" i="132" s="1"/>
  <c r="AB53" i="99"/>
  <c r="AC53" i="99" s="1"/>
  <c r="K51" i="132"/>
  <c r="M51" i="132" s="1"/>
  <c r="AB75" i="99"/>
  <c r="AC75" i="99" s="1"/>
  <c r="K73" i="132"/>
  <c r="M73" i="132" s="1"/>
  <c r="AB36" i="99"/>
  <c r="AC36" i="99" s="1"/>
  <c r="K34" i="132"/>
  <c r="M34" i="132" s="1"/>
  <c r="AB84" i="99"/>
  <c r="AC84" i="99" s="1"/>
  <c r="K82" i="132"/>
  <c r="M82" i="132" s="1"/>
  <c r="AB20" i="99"/>
  <c r="AC20" i="99" s="1"/>
  <c r="K18" i="132"/>
  <c r="M18" i="132" s="1"/>
  <c r="AB52" i="99"/>
  <c r="AC52" i="99" s="1"/>
  <c r="K50" i="132"/>
  <c r="M50" i="132" s="1"/>
  <c r="AB47" i="99"/>
  <c r="AC47" i="99" s="1"/>
  <c r="K45" i="132"/>
  <c r="M45" i="132" s="1"/>
  <c r="AB68" i="99"/>
  <c r="AC68" i="99" s="1"/>
  <c r="K66" i="132"/>
  <c r="M66" i="132" s="1"/>
  <c r="AB49" i="99"/>
  <c r="AC49" i="99" s="1"/>
  <c r="K47" i="132"/>
  <c r="M47" i="132" s="1"/>
  <c r="AB86" i="99"/>
  <c r="AC86" i="99" s="1"/>
  <c r="K84" i="132"/>
  <c r="M84" i="132" s="1"/>
  <c r="AB19" i="99"/>
  <c r="K17" i="132"/>
  <c r="M17" i="132" s="1"/>
  <c r="AB62" i="99"/>
  <c r="AC62" i="99" s="1"/>
  <c r="K60" i="132"/>
  <c r="M60" i="132" s="1"/>
  <c r="AB44" i="99"/>
  <c r="AC44" i="99" s="1"/>
  <c r="K42" i="132"/>
  <c r="M42" i="132" s="1"/>
  <c r="AB32" i="99"/>
  <c r="AC32" i="99" s="1"/>
  <c r="K30" i="132"/>
  <c r="M30" i="132" s="1"/>
  <c r="Z88" i="99"/>
  <c r="F99" i="132"/>
  <c r="F98" i="132" s="1"/>
  <c r="W167" i="151"/>
  <c r="D28" i="154" s="1"/>
  <c r="C14" i="170"/>
  <c r="E14" i="170" s="1"/>
  <c r="C755" i="170"/>
  <c r="E755" i="170" s="1"/>
  <c r="C749" i="170"/>
  <c r="E749" i="170" s="1"/>
  <c r="AA115" i="151"/>
  <c r="AC115" i="151" s="1"/>
  <c r="E864" i="170" s="1"/>
  <c r="AA151" i="151"/>
  <c r="AC151" i="151" s="1"/>
  <c r="E1170" i="170" s="1"/>
  <c r="AA127" i="151"/>
  <c r="AC127" i="151" s="1"/>
  <c r="E966" i="170" s="1"/>
  <c r="AA126" i="151"/>
  <c r="AC126" i="151" s="1"/>
  <c r="K949" i="170" s="1"/>
  <c r="AA124" i="151"/>
  <c r="AC124" i="151" s="1"/>
  <c r="K932" i="170" s="1"/>
  <c r="AA125" i="151"/>
  <c r="AC125" i="151" s="1"/>
  <c r="E949" i="170" s="1"/>
  <c r="AA141" i="151"/>
  <c r="AC141" i="151" s="1"/>
  <c r="E1085" i="170" s="1"/>
  <c r="AA105" i="151"/>
  <c r="AC105" i="151" s="1"/>
  <c r="E779" i="170" s="1"/>
  <c r="AA153" i="151"/>
  <c r="AC153" i="151" s="1"/>
  <c r="E1187" i="170" s="1"/>
  <c r="AA133" i="151"/>
  <c r="AC133" i="151" s="1"/>
  <c r="E1017" i="170" s="1"/>
  <c r="AA157" i="151"/>
  <c r="AC157" i="151" s="1"/>
  <c r="E1221" i="170" s="1"/>
  <c r="AA104" i="151"/>
  <c r="AC104" i="151" s="1"/>
  <c r="K762" i="170" s="1"/>
  <c r="AA150" i="151"/>
  <c r="AC150" i="151" s="1"/>
  <c r="K1153" i="170" s="1"/>
  <c r="AA130" i="151"/>
  <c r="AC130" i="151" s="1"/>
  <c r="K983" i="170" s="1"/>
  <c r="AA146" i="151"/>
  <c r="AC146" i="151" s="1"/>
  <c r="K1119" i="170" s="1"/>
  <c r="AA132" i="151"/>
  <c r="AC132" i="151" s="1"/>
  <c r="K1000" i="170" s="1"/>
  <c r="AA117" i="151"/>
  <c r="AC117" i="151" s="1"/>
  <c r="E881" i="170" s="1"/>
  <c r="AA136" i="151"/>
  <c r="AC136" i="151" s="1"/>
  <c r="K1034" i="170" s="1"/>
  <c r="AA149" i="151"/>
  <c r="AA139" i="151"/>
  <c r="AC139" i="151" s="1"/>
  <c r="E1068" i="170" s="1"/>
  <c r="AA113" i="151"/>
  <c r="AC113" i="151" s="1"/>
  <c r="E847" i="170" s="1"/>
  <c r="AA145" i="151"/>
  <c r="AC145" i="151" s="1"/>
  <c r="E1119" i="170" s="1"/>
  <c r="AA116" i="151"/>
  <c r="AC116" i="151" s="1"/>
  <c r="K864" i="170" s="1"/>
  <c r="AA140" i="151"/>
  <c r="AC140" i="151" s="1"/>
  <c r="K1068" i="170" s="1"/>
  <c r="AA109" i="151"/>
  <c r="AC109" i="151" s="1"/>
  <c r="E813" i="170" s="1"/>
  <c r="AA122" i="151"/>
  <c r="AC122" i="151" s="1"/>
  <c r="K915" i="170" s="1"/>
  <c r="AA121" i="151"/>
  <c r="AC121" i="151" s="1"/>
  <c r="E915" i="170" s="1"/>
  <c r="AA106" i="151"/>
  <c r="AC106" i="151" s="1"/>
  <c r="K779" i="170" s="1"/>
  <c r="AA119" i="151"/>
  <c r="AC119" i="151" s="1"/>
  <c r="E898" i="170" s="1"/>
  <c r="AA120" i="151"/>
  <c r="AC120" i="151" s="1"/>
  <c r="K898" i="170" s="1"/>
  <c r="AA111" i="151"/>
  <c r="AC111" i="151" s="1"/>
  <c r="E830" i="170" s="1"/>
  <c r="AA137" i="151"/>
  <c r="AC137" i="151" s="1"/>
  <c r="E1051" i="170" s="1"/>
  <c r="AA123" i="151"/>
  <c r="AC123" i="151" s="1"/>
  <c r="E932" i="170" s="1"/>
  <c r="L1253" i="170"/>
  <c r="L1100" i="170"/>
  <c r="AA161" i="151"/>
  <c r="AC161" i="151" s="1"/>
  <c r="E1255" i="170" s="1"/>
  <c r="L1134" i="170"/>
  <c r="L1083" i="170"/>
  <c r="L1236" i="170"/>
  <c r="AA128" i="151"/>
  <c r="AC128" i="151" s="1"/>
  <c r="K966" i="170" s="1"/>
  <c r="AA155" i="151"/>
  <c r="AC155" i="151" s="1"/>
  <c r="E1204" i="170" s="1"/>
  <c r="AA102" i="151"/>
  <c r="AA158" i="151"/>
  <c r="AC158" i="151" s="1"/>
  <c r="K1221" i="170" s="1"/>
  <c r="AA152" i="151"/>
  <c r="AC152" i="151" s="1"/>
  <c r="K1170" i="170" s="1"/>
  <c r="AA110" i="151"/>
  <c r="AC110" i="151" s="1"/>
  <c r="K813" i="170" s="1"/>
  <c r="AA143" i="151"/>
  <c r="AC143" i="151" s="1"/>
  <c r="E1102" i="170" s="1"/>
  <c r="AA159" i="151"/>
  <c r="AC159" i="151" s="1"/>
  <c r="E1238" i="170" s="1"/>
  <c r="AA142" i="151"/>
  <c r="AC142" i="151" s="1"/>
  <c r="K1085" i="170" s="1"/>
  <c r="AA154" i="151"/>
  <c r="AC154" i="151" s="1"/>
  <c r="K1187" i="170" s="1"/>
  <c r="AA103" i="151"/>
  <c r="AC103" i="151" s="1"/>
  <c r="E762" i="170" s="1"/>
  <c r="AA147" i="151"/>
  <c r="AC147" i="151" s="1"/>
  <c r="E1136" i="170" s="1"/>
  <c r="AA129" i="151"/>
  <c r="AC129" i="151" s="1"/>
  <c r="E983" i="170" s="1"/>
  <c r="AA138" i="151"/>
  <c r="AC138" i="151" s="1"/>
  <c r="K1051" i="170" s="1"/>
  <c r="AA144" i="151"/>
  <c r="AC144" i="151" s="1"/>
  <c r="K1102" i="170" s="1"/>
  <c r="AA118" i="151"/>
  <c r="AC118" i="151" s="1"/>
  <c r="K881" i="170" s="1"/>
  <c r="AA112" i="151"/>
  <c r="AC112" i="151" s="1"/>
  <c r="K830" i="170" s="1"/>
  <c r="AA131" i="151"/>
  <c r="AC131" i="151" s="1"/>
  <c r="E1000" i="170" s="1"/>
  <c r="AA114" i="151"/>
  <c r="AC114" i="151" s="1"/>
  <c r="K847" i="170" s="1"/>
  <c r="AA107" i="151"/>
  <c r="AC107" i="151" s="1"/>
  <c r="E796" i="170" s="1"/>
  <c r="L1117" i="170"/>
  <c r="AA160" i="151"/>
  <c r="AC160" i="151" s="1"/>
  <c r="K1238" i="170" s="1"/>
  <c r="L1168" i="170"/>
  <c r="AA162" i="151"/>
  <c r="AC162" i="151" s="1"/>
  <c r="K1255" i="170" s="1"/>
  <c r="D26" i="154"/>
  <c r="G26" i="154" s="1"/>
  <c r="L1219" i="170"/>
  <c r="L1202" i="170"/>
  <c r="L1151" i="170"/>
  <c r="L1185" i="170"/>
  <c r="L1270" i="170"/>
  <c r="D27" i="154"/>
  <c r="G27" i="154" s="1"/>
  <c r="AA135" i="151"/>
  <c r="AC135" i="151" s="1"/>
  <c r="E1034" i="170" s="1"/>
  <c r="C754" i="170"/>
  <c r="E754" i="170" s="1"/>
  <c r="AA108" i="151"/>
  <c r="AC108" i="151" s="1"/>
  <c r="K796" i="170" s="1"/>
  <c r="AA156" i="151"/>
  <c r="AC156" i="151" s="1"/>
  <c r="K1204" i="170" s="1"/>
  <c r="AA134" i="151"/>
  <c r="AC134" i="151" s="1"/>
  <c r="K1017" i="170" s="1"/>
  <c r="AA148" i="151"/>
  <c r="AC148" i="151" s="1"/>
  <c r="K1136" i="170" s="1"/>
  <c r="E13" i="170"/>
  <c r="D25" i="154"/>
  <c r="AC81" i="151"/>
  <c r="AC56" i="151"/>
  <c r="AC71" i="151"/>
  <c r="AC58" i="151"/>
  <c r="AC78" i="151"/>
  <c r="AC18" i="151"/>
  <c r="AC54" i="151"/>
  <c r="AC85" i="151"/>
  <c r="AC87" i="151"/>
  <c r="AA17" i="151"/>
  <c r="AC77" i="151"/>
  <c r="AC55" i="151"/>
  <c r="AC21" i="151"/>
  <c r="AC34" i="151"/>
  <c r="AC82" i="151"/>
  <c r="AC63" i="151"/>
  <c r="AC31" i="151"/>
  <c r="AC30" i="151"/>
  <c r="AC24" i="151"/>
  <c r="AC27" i="151"/>
  <c r="AC35" i="151"/>
  <c r="AC48" i="151"/>
  <c r="AC67" i="151"/>
  <c r="AC22" i="151"/>
  <c r="AC51" i="151"/>
  <c r="AC83" i="151"/>
  <c r="AC50" i="151"/>
  <c r="AC26" i="151"/>
  <c r="AC29" i="151"/>
  <c r="AC74" i="151"/>
  <c r="AC72" i="151"/>
  <c r="AC42" i="151"/>
  <c r="AC76" i="151"/>
  <c r="AC65" i="151"/>
  <c r="AC66" i="151"/>
  <c r="AC33" i="151"/>
  <c r="AC25" i="151"/>
  <c r="AA88" i="151"/>
  <c r="D24" i="154"/>
  <c r="D23" i="154"/>
  <c r="G23" i="154" s="1"/>
  <c r="Z40" i="101"/>
  <c r="Z55" i="101"/>
  <c r="Z50" i="101"/>
  <c r="Z33" i="101"/>
  <c r="Z48" i="101"/>
  <c r="Z29" i="101"/>
  <c r="Z36" i="101"/>
  <c r="Z23" i="101"/>
  <c r="Z24" i="101"/>
  <c r="Z46" i="101"/>
  <c r="Z49" i="101"/>
  <c r="Z54" i="101"/>
  <c r="Z72" i="101"/>
  <c r="Z37" i="101"/>
  <c r="Z64" i="101"/>
  <c r="Z41" i="101"/>
  <c r="Z53" i="101"/>
  <c r="Z67" i="101"/>
  <c r="Z31" i="101"/>
  <c r="Z61" i="101"/>
  <c r="Z69" i="101"/>
  <c r="Z45" i="101"/>
  <c r="Z52" i="101"/>
  <c r="Z21" i="101"/>
  <c r="Z47" i="101"/>
  <c r="Z39" i="101"/>
  <c r="Z38" i="101"/>
  <c r="Z22" i="101"/>
  <c r="Z20" i="101"/>
  <c r="Z71" i="101"/>
  <c r="Z60" i="101"/>
  <c r="Z44" i="101"/>
  <c r="Z30" i="101"/>
  <c r="Z35" i="101"/>
  <c r="Z28" i="101"/>
  <c r="Z58" i="101"/>
  <c r="Z34" i="101"/>
  <c r="Z66" i="101"/>
  <c r="Z57" i="101"/>
  <c r="Z26" i="101"/>
  <c r="Z62" i="101"/>
  <c r="Z59" i="101"/>
  <c r="Z19" i="101"/>
  <c r="Z63" i="101"/>
  <c r="J18" i="101"/>
  <c r="Z65" i="101"/>
  <c r="Z43" i="101"/>
  <c r="Z70" i="101"/>
  <c r="Z32" i="101"/>
  <c r="Z51" i="101"/>
  <c r="Z56" i="101"/>
  <c r="Z42" i="101"/>
  <c r="AD101" i="99" l="1"/>
  <c r="H14" i="180"/>
  <c r="H16" i="180" s="1"/>
  <c r="H20" i="180" s="1"/>
  <c r="H98" i="132"/>
  <c r="Z17" i="101"/>
  <c r="N100" i="99"/>
  <c r="K14" i="180" s="1"/>
  <c r="J83" i="101"/>
  <c r="H17" i="153" s="1"/>
  <c r="N83" i="101"/>
  <c r="K15" i="180" s="1"/>
  <c r="Q15" i="180" s="1"/>
  <c r="H24" i="154"/>
  <c r="G24" i="154"/>
  <c r="AB76" i="101"/>
  <c r="AC76" i="101" s="1"/>
  <c r="K158" i="132"/>
  <c r="M158" i="132" s="1"/>
  <c r="AB77" i="101"/>
  <c r="AC77" i="101" s="1"/>
  <c r="K159" i="132"/>
  <c r="M159" i="132" s="1"/>
  <c r="AB75" i="101"/>
  <c r="AC75" i="101" s="1"/>
  <c r="K157" i="132"/>
  <c r="M157" i="132" s="1"/>
  <c r="AB78" i="101"/>
  <c r="AC78" i="101" s="1"/>
  <c r="K160" i="132"/>
  <c r="M160" i="132" s="1"/>
  <c r="AC102" i="151"/>
  <c r="K745" i="170" s="1"/>
  <c r="F174" i="132"/>
  <c r="Z16" i="99"/>
  <c r="X167" i="151"/>
  <c r="D29" i="154" s="1"/>
  <c r="K31" i="132"/>
  <c r="M31" i="132" s="1"/>
  <c r="AB33" i="99"/>
  <c r="AC33" i="99" s="1"/>
  <c r="AB76" i="99"/>
  <c r="AC76" i="99" s="1"/>
  <c r="K74" i="132"/>
  <c r="M74" i="132" s="1"/>
  <c r="AB74" i="99"/>
  <c r="AC74" i="99" s="1"/>
  <c r="K72" i="132"/>
  <c r="M72" i="132" s="1"/>
  <c r="AB83" i="99"/>
  <c r="AC83" i="99" s="1"/>
  <c r="K81" i="132"/>
  <c r="M81" i="132" s="1"/>
  <c r="AB48" i="99"/>
  <c r="AC48" i="99" s="1"/>
  <c r="K46" i="132"/>
  <c r="M46" i="132" s="1"/>
  <c r="AB30" i="99"/>
  <c r="AC30" i="99" s="1"/>
  <c r="K28" i="132"/>
  <c r="M28" i="132" s="1"/>
  <c r="AB34" i="99"/>
  <c r="AC34" i="99" s="1"/>
  <c r="K32" i="132"/>
  <c r="M32" i="132" s="1"/>
  <c r="AB18" i="99"/>
  <c r="AC18" i="99" s="1"/>
  <c r="K16" i="132"/>
  <c r="M16" i="132" s="1"/>
  <c r="AB56" i="99"/>
  <c r="AC56" i="99" s="1"/>
  <c r="K54" i="132"/>
  <c r="M54" i="132" s="1"/>
  <c r="AB47" i="101"/>
  <c r="AC47" i="101" s="1"/>
  <c r="K129" i="132"/>
  <c r="M129" i="132" s="1"/>
  <c r="AB19" i="101"/>
  <c r="AC19" i="101" s="1"/>
  <c r="K101" i="132"/>
  <c r="M101" i="132" s="1"/>
  <c r="AB44" i="101"/>
  <c r="AC44" i="101" s="1"/>
  <c r="K126" i="132"/>
  <c r="M126" i="132" s="1"/>
  <c r="AB53" i="101"/>
  <c r="AC53" i="101" s="1"/>
  <c r="K135" i="132"/>
  <c r="M135" i="132" s="1"/>
  <c r="AB22" i="101"/>
  <c r="AC22" i="101" s="1"/>
  <c r="K104" i="132"/>
  <c r="M104" i="132" s="1"/>
  <c r="AB56" i="101"/>
  <c r="AC56" i="101" s="1"/>
  <c r="K138" i="132"/>
  <c r="M138" i="132" s="1"/>
  <c r="K114" i="132"/>
  <c r="M114" i="132" s="1"/>
  <c r="AB32" i="101"/>
  <c r="AC32" i="101" s="1"/>
  <c r="AB62" i="101"/>
  <c r="AC62" i="101" s="1"/>
  <c r="K144" i="132"/>
  <c r="M144" i="132" s="1"/>
  <c r="AB40" i="101"/>
  <c r="AC40" i="101" s="1"/>
  <c r="K122" i="132"/>
  <c r="M122" i="132" s="1"/>
  <c r="AB67" i="101"/>
  <c r="AC67" i="101" s="1"/>
  <c r="K149" i="132"/>
  <c r="M149" i="132" s="1"/>
  <c r="AB78" i="99"/>
  <c r="AC78" i="99" s="1"/>
  <c r="K76" i="132"/>
  <c r="M76" i="132" s="1"/>
  <c r="AB25" i="99"/>
  <c r="AC25" i="99" s="1"/>
  <c r="K23" i="132"/>
  <c r="M23" i="132" s="1"/>
  <c r="K63" i="132"/>
  <c r="M63" i="132" s="1"/>
  <c r="AB65" i="99"/>
  <c r="AC65" i="99" s="1"/>
  <c r="AB72" i="99"/>
  <c r="AC72" i="99" s="1"/>
  <c r="K70" i="132"/>
  <c r="M70" i="132" s="1"/>
  <c r="AB50" i="99"/>
  <c r="AC50" i="99" s="1"/>
  <c r="K48" i="132"/>
  <c r="M48" i="132" s="1"/>
  <c r="AB67" i="99"/>
  <c r="AC67" i="99" s="1"/>
  <c r="K65" i="132"/>
  <c r="M65" i="132" s="1"/>
  <c r="AB24" i="99"/>
  <c r="AC24" i="99" s="1"/>
  <c r="K22" i="132"/>
  <c r="M22" i="132" s="1"/>
  <c r="AB82" i="99"/>
  <c r="AC82" i="99" s="1"/>
  <c r="K80" i="132"/>
  <c r="M80" i="132" s="1"/>
  <c r="AB77" i="99"/>
  <c r="AC77" i="99" s="1"/>
  <c r="K75" i="132"/>
  <c r="M75" i="132" s="1"/>
  <c r="AB54" i="99"/>
  <c r="AC54" i="99" s="1"/>
  <c r="K52" i="132"/>
  <c r="M52" i="132" s="1"/>
  <c r="AB71" i="99"/>
  <c r="AC71" i="99" s="1"/>
  <c r="K69" i="132"/>
  <c r="M69" i="132" s="1"/>
  <c r="AB50" i="101"/>
  <c r="AC50" i="101" s="1"/>
  <c r="K132" i="132"/>
  <c r="M132" i="132" s="1"/>
  <c r="AB54" i="101"/>
  <c r="AC54" i="101" s="1"/>
  <c r="K136" i="132"/>
  <c r="M136" i="132" s="1"/>
  <c r="AB68" i="101"/>
  <c r="K150" i="132"/>
  <c r="M150" i="132" s="1"/>
  <c r="AB71" i="101"/>
  <c r="AC71" i="101" s="1"/>
  <c r="K153" i="132"/>
  <c r="M153" i="132" s="1"/>
  <c r="AB39" i="101"/>
  <c r="AC39" i="101" s="1"/>
  <c r="K121" i="132"/>
  <c r="M121" i="132" s="1"/>
  <c r="AB35" i="101"/>
  <c r="AC35" i="101" s="1"/>
  <c r="K117" i="132"/>
  <c r="M117" i="132" s="1"/>
  <c r="AB25" i="101"/>
  <c r="K107" i="132"/>
  <c r="M107" i="132" s="1"/>
  <c r="AB55" i="101"/>
  <c r="AC55" i="101" s="1"/>
  <c r="K137" i="132"/>
  <c r="M137" i="132" s="1"/>
  <c r="K130" i="132"/>
  <c r="M130" i="132" s="1"/>
  <c r="AB48" i="101"/>
  <c r="AC48" i="101" s="1"/>
  <c r="AB73" i="101"/>
  <c r="K155" i="132"/>
  <c r="M155" i="132" s="1"/>
  <c r="AB21" i="101"/>
  <c r="AC21" i="101" s="1"/>
  <c r="K103" i="132"/>
  <c r="M103" i="132" s="1"/>
  <c r="AB57" i="101"/>
  <c r="AC57" i="101" s="1"/>
  <c r="K139" i="132"/>
  <c r="M139" i="132" s="1"/>
  <c r="AB41" i="101"/>
  <c r="AC41" i="101" s="1"/>
  <c r="K123" i="132"/>
  <c r="M123" i="132" s="1"/>
  <c r="AB29" i="99"/>
  <c r="AC29" i="99" s="1"/>
  <c r="K27" i="132"/>
  <c r="M27" i="132" s="1"/>
  <c r="AB51" i="99"/>
  <c r="AC51" i="99" s="1"/>
  <c r="K49" i="132"/>
  <c r="M49" i="132" s="1"/>
  <c r="AB35" i="99"/>
  <c r="AC35" i="99" s="1"/>
  <c r="K33" i="132"/>
  <c r="M33" i="132" s="1"/>
  <c r="AB31" i="99"/>
  <c r="AC31" i="99" s="1"/>
  <c r="K29" i="132"/>
  <c r="M29" i="132" s="1"/>
  <c r="AB21" i="99"/>
  <c r="AC21" i="99" s="1"/>
  <c r="K19" i="132"/>
  <c r="M19" i="132" s="1"/>
  <c r="AB87" i="99"/>
  <c r="AC87" i="99" s="1"/>
  <c r="K85" i="132"/>
  <c r="M85" i="132" s="1"/>
  <c r="AB81" i="99"/>
  <c r="AC81" i="99" s="1"/>
  <c r="K79" i="132"/>
  <c r="M79" i="132" s="1"/>
  <c r="AB64" i="101"/>
  <c r="AC64" i="101" s="1"/>
  <c r="K146" i="132"/>
  <c r="M146" i="132" s="1"/>
  <c r="AB72" i="101"/>
  <c r="AC72" i="101" s="1"/>
  <c r="K154" i="132"/>
  <c r="M154" i="132" s="1"/>
  <c r="AB30" i="101"/>
  <c r="AC30" i="101" s="1"/>
  <c r="K112" i="132"/>
  <c r="M112" i="132" s="1"/>
  <c r="AB28" i="101"/>
  <c r="AC28" i="101" s="1"/>
  <c r="K110" i="132"/>
  <c r="M110" i="132" s="1"/>
  <c r="AB45" i="101"/>
  <c r="AC45" i="101" s="1"/>
  <c r="K127" i="132"/>
  <c r="M127" i="132" s="1"/>
  <c r="AB63" i="101"/>
  <c r="AC63" i="101" s="1"/>
  <c r="K145" i="132"/>
  <c r="M145" i="132" s="1"/>
  <c r="AB70" i="101"/>
  <c r="AC70" i="101" s="1"/>
  <c r="K152" i="132"/>
  <c r="M152" i="132" s="1"/>
  <c r="AB59" i="101"/>
  <c r="AC59" i="101" s="1"/>
  <c r="K141" i="132"/>
  <c r="M141" i="132" s="1"/>
  <c r="AB74" i="101"/>
  <c r="AC74" i="101" s="1"/>
  <c r="K156" i="132"/>
  <c r="M156" i="132" s="1"/>
  <c r="AB27" i="101"/>
  <c r="K109" i="132"/>
  <c r="M109" i="132" s="1"/>
  <c r="AB37" i="101"/>
  <c r="AC37" i="101" s="1"/>
  <c r="K119" i="132"/>
  <c r="M119" i="132" s="1"/>
  <c r="AB61" i="101"/>
  <c r="AC61" i="101" s="1"/>
  <c r="K143" i="132"/>
  <c r="M143" i="132" s="1"/>
  <c r="AB52" i="101"/>
  <c r="AC52" i="101" s="1"/>
  <c r="K134" i="132"/>
  <c r="M134" i="132" s="1"/>
  <c r="AB46" i="101"/>
  <c r="AC46" i="101" s="1"/>
  <c r="K128" i="132"/>
  <c r="M128" i="132" s="1"/>
  <c r="AB66" i="101"/>
  <c r="AC66" i="101" s="1"/>
  <c r="K148" i="132"/>
  <c r="M148" i="132" s="1"/>
  <c r="AB49" i="101"/>
  <c r="AC49" i="101" s="1"/>
  <c r="K131" i="132"/>
  <c r="M131" i="132" s="1"/>
  <c r="AB42" i="101"/>
  <c r="AC42" i="101" s="1"/>
  <c r="K124" i="132"/>
  <c r="M124" i="132" s="1"/>
  <c r="AB43" i="101"/>
  <c r="AC43" i="101" s="1"/>
  <c r="K125" i="132"/>
  <c r="M125" i="132" s="1"/>
  <c r="AB66" i="99"/>
  <c r="AC66" i="99" s="1"/>
  <c r="K64" i="132"/>
  <c r="M64" i="132" s="1"/>
  <c r="AB42" i="99"/>
  <c r="AC42" i="99" s="1"/>
  <c r="K40" i="132"/>
  <c r="M40" i="132" s="1"/>
  <c r="AB26" i="99"/>
  <c r="AC26" i="99" s="1"/>
  <c r="K24" i="132"/>
  <c r="M24" i="132" s="1"/>
  <c r="AB22" i="99"/>
  <c r="AC22" i="99" s="1"/>
  <c r="K20" i="132"/>
  <c r="M20" i="132" s="1"/>
  <c r="AB27" i="99"/>
  <c r="AC27" i="99" s="1"/>
  <c r="K25" i="132"/>
  <c r="M25" i="132" s="1"/>
  <c r="AB63" i="99"/>
  <c r="AC63" i="99" s="1"/>
  <c r="K61" i="132"/>
  <c r="M61" i="132" s="1"/>
  <c r="AB55" i="99"/>
  <c r="AC55" i="99" s="1"/>
  <c r="K53" i="132"/>
  <c r="M53" i="132" s="1"/>
  <c r="AB85" i="99"/>
  <c r="AC85" i="99" s="1"/>
  <c r="K83" i="132"/>
  <c r="M83" i="132" s="1"/>
  <c r="AB58" i="99"/>
  <c r="AC58" i="99" s="1"/>
  <c r="K56" i="132"/>
  <c r="M56" i="132" s="1"/>
  <c r="AB24" i="101"/>
  <c r="AC24" i="101" s="1"/>
  <c r="K106" i="132"/>
  <c r="M106" i="132" s="1"/>
  <c r="AB51" i="101"/>
  <c r="AC51" i="101" s="1"/>
  <c r="K133" i="132"/>
  <c r="M133" i="132" s="1"/>
  <c r="AB23" i="101"/>
  <c r="AC23" i="101" s="1"/>
  <c r="K105" i="132"/>
  <c r="M105" i="132" s="1"/>
  <c r="AB34" i="101"/>
  <c r="AC34" i="101" s="1"/>
  <c r="K116" i="132"/>
  <c r="M116" i="132" s="1"/>
  <c r="AB60" i="101"/>
  <c r="AC60" i="101" s="1"/>
  <c r="K142" i="132"/>
  <c r="M142" i="132" s="1"/>
  <c r="AB58" i="101"/>
  <c r="AC58" i="101" s="1"/>
  <c r="K140" i="132"/>
  <c r="M140" i="132" s="1"/>
  <c r="AB26" i="101"/>
  <c r="AC26" i="101" s="1"/>
  <c r="K108" i="132"/>
  <c r="M108" i="132" s="1"/>
  <c r="K118" i="132"/>
  <c r="M118" i="132" s="1"/>
  <c r="AB36" i="101"/>
  <c r="AC36" i="101" s="1"/>
  <c r="AB38" i="101"/>
  <c r="AC38" i="101" s="1"/>
  <c r="K120" i="132"/>
  <c r="M120" i="132" s="1"/>
  <c r="AB29" i="101"/>
  <c r="AC29" i="101" s="1"/>
  <c r="K111" i="132"/>
  <c r="M111" i="132" s="1"/>
  <c r="AB33" i="101"/>
  <c r="AC33" i="101" s="1"/>
  <c r="K115" i="132"/>
  <c r="M115" i="132" s="1"/>
  <c r="K102" i="132"/>
  <c r="M102" i="132" s="1"/>
  <c r="AB20" i="101"/>
  <c r="AC20" i="101" s="1"/>
  <c r="AB69" i="101"/>
  <c r="AC69" i="101" s="1"/>
  <c r="K151" i="132"/>
  <c r="M151" i="132" s="1"/>
  <c r="AB31" i="101"/>
  <c r="AC31" i="101" s="1"/>
  <c r="K113" i="132"/>
  <c r="M113" i="132" s="1"/>
  <c r="AC19" i="99"/>
  <c r="G174" i="132"/>
  <c r="G178" i="132" s="1"/>
  <c r="I14" i="132"/>
  <c r="I13" i="132" s="1"/>
  <c r="R190" i="151"/>
  <c r="AC23" i="99"/>
  <c r="AC149" i="151"/>
  <c r="E1153" i="170" s="1"/>
  <c r="H22" i="154"/>
  <c r="Z17" i="99"/>
  <c r="AB99" i="99"/>
  <c r="H26" i="154"/>
  <c r="H27" i="154"/>
  <c r="Q200" i="151"/>
  <c r="AA101" i="151"/>
  <c r="AA100" i="151" s="1"/>
  <c r="G25" i="154"/>
  <c r="H25" i="154"/>
  <c r="AC17" i="151"/>
  <c r="AC88" i="151"/>
  <c r="H23" i="154"/>
  <c r="Z27" i="101"/>
  <c r="Z68" i="101"/>
  <c r="Z73" i="101"/>
  <c r="Z25" i="101"/>
  <c r="F158" i="99"/>
  <c r="J158" i="99" s="1"/>
  <c r="Z18" i="101"/>
  <c r="F157" i="99"/>
  <c r="J157" i="99" s="1"/>
  <c r="F159" i="99"/>
  <c r="J159" i="99" s="1"/>
  <c r="F156" i="99"/>
  <c r="J156" i="99" s="1"/>
  <c r="F177" i="99"/>
  <c r="H14" i="153" l="1"/>
  <c r="H15" i="153" s="1"/>
  <c r="J14" i="180"/>
  <c r="H23" i="153"/>
  <c r="I23" i="153" s="1"/>
  <c r="P23" i="153" s="1"/>
  <c r="R23" i="153" s="1"/>
  <c r="J15" i="180"/>
  <c r="K16" i="180"/>
  <c r="K20" i="180" s="1"/>
  <c r="Q14" i="180"/>
  <c r="Q16" i="180" s="1"/>
  <c r="Z83" i="101"/>
  <c r="Z100" i="99"/>
  <c r="S15" i="180"/>
  <c r="W15" i="180"/>
  <c r="X15" i="180" s="1"/>
  <c r="H19" i="153"/>
  <c r="I19" i="153" s="1"/>
  <c r="P19" i="153" s="1"/>
  <c r="R19" i="153" s="1"/>
  <c r="H22" i="153"/>
  <c r="I22" i="153" s="1"/>
  <c r="P22" i="153" s="1"/>
  <c r="R22" i="153" s="1"/>
  <c r="AB18" i="101"/>
  <c r="AC18" i="101" s="1"/>
  <c r="K100" i="132"/>
  <c r="M100" i="132" s="1"/>
  <c r="G29" i="154"/>
  <c r="H29" i="154"/>
  <c r="I16" i="153"/>
  <c r="P16" i="153" s="1"/>
  <c r="R16" i="153" s="1"/>
  <c r="Z167" i="151"/>
  <c r="AG176" i="151" s="1"/>
  <c r="AB17" i="99"/>
  <c r="AC17" i="99" s="1"/>
  <c r="K15" i="132"/>
  <c r="M15" i="132" s="1"/>
  <c r="AB88" i="99"/>
  <c r="AC88" i="99" s="1"/>
  <c r="K86" i="132"/>
  <c r="AB65" i="101"/>
  <c r="AC65" i="101" s="1"/>
  <c r="K147" i="132"/>
  <c r="M147" i="132" s="1"/>
  <c r="J166" i="99"/>
  <c r="F191" i="99"/>
  <c r="J177" i="99"/>
  <c r="F181" i="99" s="1"/>
  <c r="N181" i="99" s="1"/>
  <c r="I99" i="132"/>
  <c r="I98" i="132" s="1"/>
  <c r="H174" i="132"/>
  <c r="K21" i="154" s="1"/>
  <c r="AC68" i="101"/>
  <c r="AC16" i="151"/>
  <c r="AC101" i="151"/>
  <c r="E745" i="170" s="1"/>
  <c r="AC27" i="101"/>
  <c r="AC25" i="101"/>
  <c r="AC73" i="101"/>
  <c r="F166" i="99"/>
  <c r="G19" i="79"/>
  <c r="G25" i="79" s="1"/>
  <c r="K34" i="59"/>
  <c r="K42" i="59" s="1"/>
  <c r="AH185" i="151" l="1"/>
  <c r="I17" i="153"/>
  <c r="P17" i="153" s="1"/>
  <c r="R17" i="153" s="1"/>
  <c r="I15" i="153"/>
  <c r="P15" i="153" s="1"/>
  <c r="R15" i="153" s="1"/>
  <c r="H20" i="153"/>
  <c r="I20" i="153" s="1"/>
  <c r="P20" i="153" s="1"/>
  <c r="R20" i="153" s="1"/>
  <c r="H18" i="153"/>
  <c r="I18" i="153" s="1"/>
  <c r="P18" i="153" s="1"/>
  <c r="R18" i="153" s="1"/>
  <c r="J16" i="180"/>
  <c r="J20" i="180" s="1"/>
  <c r="S201" i="151"/>
  <c r="F18" i="136"/>
  <c r="I18" i="136" s="1"/>
  <c r="I171" i="132" s="1"/>
  <c r="S14" i="180"/>
  <c r="S16" i="180" s="1"/>
  <c r="AC100" i="151"/>
  <c r="AB17" i="101"/>
  <c r="AC17" i="101" s="1"/>
  <c r="H178" i="132"/>
  <c r="M86" i="132"/>
  <c r="I174" i="132"/>
  <c r="K99" i="132"/>
  <c r="K98" i="132" s="1"/>
  <c r="AB16" i="99"/>
  <c r="K14" i="132"/>
  <c r="H28" i="154"/>
  <c r="H21" i="154" s="1"/>
  <c r="G28" i="154"/>
  <c r="G34" i="59"/>
  <c r="G42" i="59" s="1"/>
  <c r="C48" i="59"/>
  <c r="K6" i="59"/>
  <c r="K14" i="59" s="1"/>
  <c r="O166" i="99"/>
  <c r="Y166" i="99" s="1"/>
  <c r="G20" i="59"/>
  <c r="G28" i="59" s="1"/>
  <c r="O20" i="59"/>
  <c r="O6" i="59"/>
  <c r="O14" i="59" s="1"/>
  <c r="AI185" i="151" l="1"/>
  <c r="U17" i="153"/>
  <c r="V17" i="153" s="1"/>
  <c r="F17" i="136"/>
  <c r="I14" i="153"/>
  <c r="P14" i="153" s="1"/>
  <c r="R14" i="153" s="1"/>
  <c r="R12" i="153" s="1"/>
  <c r="R21" i="153"/>
  <c r="F170" i="132"/>
  <c r="F11" i="167"/>
  <c r="F171" i="132"/>
  <c r="J18" i="136"/>
  <c r="J171" i="132" s="1"/>
  <c r="G21" i="154"/>
  <c r="AB83" i="101"/>
  <c r="AH186" i="151" s="1"/>
  <c r="AI186" i="151" s="1"/>
  <c r="AD100" i="99"/>
  <c r="AD83" i="101"/>
  <c r="U18" i="153"/>
  <c r="U23" i="153"/>
  <c r="V23" i="153" s="1"/>
  <c r="U26" i="153"/>
  <c r="P21" i="153"/>
  <c r="M99" i="132"/>
  <c r="M98" i="132" s="1"/>
  <c r="AC16" i="99"/>
  <c r="M14" i="132"/>
  <c r="U16" i="153"/>
  <c r="V16" i="153" s="1"/>
  <c r="O28" i="59"/>
  <c r="P48" i="59"/>
  <c r="C56" i="59"/>
  <c r="P56" i="59" s="1"/>
  <c r="C6" i="59"/>
  <c r="AI187" i="151" l="1"/>
  <c r="AH187" i="151"/>
  <c r="I17" i="136"/>
  <c r="F10" i="167" s="1"/>
  <c r="F16" i="136"/>
  <c r="F21" i="136" s="1"/>
  <c r="N1304" i="170"/>
  <c r="P12" i="153"/>
  <c r="F169" i="132"/>
  <c r="F176" i="132" s="1"/>
  <c r="F178" i="132" s="1"/>
  <c r="K18" i="136"/>
  <c r="G11" i="167"/>
  <c r="K22" i="154"/>
  <c r="AC83" i="101"/>
  <c r="U22" i="153"/>
  <c r="V22" i="153" s="1"/>
  <c r="C14" i="59"/>
  <c r="G6" i="59"/>
  <c r="G14" i="59" s="1"/>
  <c r="I170" i="132" l="1"/>
  <c r="I169" i="132" s="1"/>
  <c r="I176" i="132" s="1"/>
  <c r="I178" i="132" s="1"/>
  <c r="I16" i="136"/>
  <c r="J17" i="136"/>
  <c r="P14" i="59"/>
  <c r="P6" i="59"/>
  <c r="K17" i="136" l="1"/>
  <c r="K16" i="136" s="1"/>
  <c r="K21" i="136" s="1"/>
  <c r="J170" i="132"/>
  <c r="J16" i="136"/>
  <c r="G10" i="167"/>
  <c r="G18" i="180"/>
  <c r="I21" i="136"/>
  <c r="G33" i="154"/>
  <c r="G32" i="154" s="1"/>
  <c r="F14" i="167"/>
  <c r="J21" i="136" l="1"/>
  <c r="R18" i="180"/>
  <c r="R20" i="180" s="1"/>
  <c r="Q18" i="180"/>
  <c r="G20" i="180"/>
  <c r="C34" i="59"/>
  <c r="Q20" i="180" l="1"/>
  <c r="S18" i="180"/>
  <c r="S20" i="180" s="1"/>
  <c r="K171" i="132"/>
  <c r="M171" i="132" s="1"/>
  <c r="C42" i="59"/>
  <c r="C20" i="59"/>
  <c r="X34" i="180" l="1"/>
  <c r="W34" i="180"/>
  <c r="W20" i="180"/>
  <c r="O98" i="132"/>
  <c r="P98" i="132" s="1"/>
  <c r="C28" i="59"/>
  <c r="K20" i="59" l="1"/>
  <c r="P20" i="59" s="1"/>
  <c r="K28" i="59" l="1"/>
  <c r="P28" i="59" s="1"/>
  <c r="K17" i="167" l="1"/>
  <c r="G14" i="167" l="1"/>
  <c r="J169" i="132"/>
  <c r="J176" i="132" s="1"/>
  <c r="J178" i="132" s="1"/>
  <c r="K35" i="154" l="1"/>
  <c r="K170" i="132"/>
  <c r="K169" i="132" s="1"/>
  <c r="K176" i="132" s="1"/>
  <c r="H33" i="154"/>
  <c r="M170" i="132" l="1"/>
  <c r="M165" i="132" s="1"/>
  <c r="H32" i="154"/>
  <c r="M177" i="132" l="1"/>
  <c r="AC162" i="9" l="1"/>
  <c r="AI18" i="9" l="1"/>
  <c r="AG9" i="9"/>
  <c r="Q162" i="9"/>
  <c r="AI8" i="9"/>
  <c r="AG20" i="9"/>
  <c r="AG21" i="9" s="1"/>
  <c r="AG22" i="9" s="1"/>
  <c r="T4" i="9"/>
  <c r="H30" i="154" l="1"/>
  <c r="H14" i="154" s="1"/>
  <c r="H13" i="154" s="1"/>
  <c r="H35" i="154" s="1"/>
  <c r="D30" i="154"/>
  <c r="G30" i="154" s="1"/>
  <c r="G14" i="154" s="1"/>
  <c r="AB190" i="151" l="1"/>
  <c r="AA202" i="151"/>
  <c r="G13" i="154" l="1"/>
  <c r="G35" i="154" s="1"/>
  <c r="K36" i="154" s="1"/>
  <c r="O192" i="132"/>
  <c r="P192" i="132" l="1"/>
  <c r="G23" i="79" l="1"/>
  <c r="G16" i="79" l="1"/>
  <c r="C751" i="170" l="1"/>
  <c r="E751" i="170" s="1"/>
  <c r="E760" i="170" s="1"/>
  <c r="C10" i="170"/>
  <c r="E10" i="170" s="1"/>
  <c r="E19" i="170" s="1"/>
  <c r="C904" i="170"/>
  <c r="E904" i="170" s="1"/>
  <c r="E913" i="170" s="1"/>
  <c r="C1040" i="170"/>
  <c r="E1040" i="170" s="1"/>
  <c r="E1049" i="170" s="1"/>
  <c r="C836" i="170"/>
  <c r="E836" i="170" s="1"/>
  <c r="E845" i="170" s="1"/>
  <c r="C785" i="170"/>
  <c r="E785" i="170" s="1"/>
  <c r="E794" i="170" s="1"/>
  <c r="C989" i="170"/>
  <c r="E989" i="170" s="1"/>
  <c r="E998" i="170" s="1"/>
  <c r="C972" i="170"/>
  <c r="E972" i="170" s="1"/>
  <c r="E981" i="170" s="1"/>
  <c r="C955" i="170"/>
  <c r="E955" i="170" s="1"/>
  <c r="E964" i="170" s="1"/>
  <c r="C887" i="170"/>
  <c r="E887" i="170" s="1"/>
  <c r="E896" i="170" s="1"/>
  <c r="C870" i="170"/>
  <c r="E870" i="170" s="1"/>
  <c r="E879" i="170" s="1"/>
  <c r="C921" i="170"/>
  <c r="E921" i="170" s="1"/>
  <c r="E930" i="170" s="1"/>
  <c r="I10" i="170"/>
  <c r="K10" i="170" s="1"/>
  <c r="K19" i="170" s="1"/>
  <c r="C802" i="170"/>
  <c r="E802" i="170" s="1"/>
  <c r="E811" i="170" s="1"/>
  <c r="C768" i="170"/>
  <c r="E768" i="170" s="1"/>
  <c r="E777" i="170" s="1"/>
  <c r="C938" i="170"/>
  <c r="E938" i="170" s="1"/>
  <c r="E947" i="170" s="1"/>
  <c r="C1057" i="170"/>
  <c r="E1057" i="170" s="1"/>
  <c r="E1066" i="170" s="1"/>
  <c r="L1066" i="170" s="1"/>
  <c r="C1023" i="170"/>
  <c r="E1023" i="170" s="1"/>
  <c r="E1032" i="170" s="1"/>
  <c r="C853" i="170"/>
  <c r="E853" i="170" s="1"/>
  <c r="E862" i="170" s="1"/>
  <c r="C819" i="170"/>
  <c r="E819" i="170" s="1"/>
  <c r="E828" i="170" s="1"/>
  <c r="C1006" i="170"/>
  <c r="E1006" i="170" s="1"/>
  <c r="E1015" i="170" s="1"/>
  <c r="C491" i="170"/>
  <c r="E491" i="170" s="1"/>
  <c r="E500" i="170" s="1"/>
  <c r="C439" i="170"/>
  <c r="E439" i="170" s="1"/>
  <c r="E448" i="170" s="1"/>
  <c r="I1006" i="170"/>
  <c r="K1006" i="170" s="1"/>
  <c r="K1015" i="170" s="1"/>
  <c r="I335" i="170"/>
  <c r="K335" i="170" s="1"/>
  <c r="K344" i="170" s="1"/>
  <c r="C283" i="170"/>
  <c r="E283" i="170" s="1"/>
  <c r="E292" i="170" s="1"/>
  <c r="C95" i="170"/>
  <c r="E95" i="170" s="1"/>
  <c r="E104" i="170" s="1"/>
  <c r="C473" i="170"/>
  <c r="E473" i="170" s="1"/>
  <c r="E482" i="170" s="1"/>
  <c r="C317" i="170"/>
  <c r="E317" i="170" s="1"/>
  <c r="E326" i="170" s="1"/>
  <c r="C112" i="170"/>
  <c r="E112" i="170" s="1"/>
  <c r="E121" i="170" s="1"/>
  <c r="C44" i="170"/>
  <c r="E44" i="170" s="1"/>
  <c r="E53" i="170" s="1"/>
  <c r="C335" i="170"/>
  <c r="E335" i="170" s="1"/>
  <c r="E344" i="170" s="1"/>
  <c r="C197" i="170"/>
  <c r="E197" i="170" s="1"/>
  <c r="E206" i="170" s="1"/>
  <c r="C146" i="170"/>
  <c r="E146" i="170" s="1"/>
  <c r="E155" i="170" s="1"/>
  <c r="I955" i="170"/>
  <c r="K955" i="170" s="1"/>
  <c r="K964" i="170" s="1"/>
  <c r="I870" i="170"/>
  <c r="K870" i="170" s="1"/>
  <c r="K879" i="170" s="1"/>
  <c r="I785" i="170"/>
  <c r="K785" i="170" s="1"/>
  <c r="K794" i="170" s="1"/>
  <c r="I972" i="170"/>
  <c r="K972" i="170" s="1"/>
  <c r="K981" i="170" s="1"/>
  <c r="I575" i="170"/>
  <c r="K575" i="170" s="1"/>
  <c r="K584" i="170" s="1"/>
  <c r="C78" i="170"/>
  <c r="E78" i="170" s="1"/>
  <c r="E87" i="170" s="1"/>
  <c r="C300" i="170"/>
  <c r="E300" i="170" s="1"/>
  <c r="E309" i="170" s="1"/>
  <c r="C163" i="170"/>
  <c r="E163" i="170" s="1"/>
  <c r="E172" i="170" s="1"/>
  <c r="C129" i="170"/>
  <c r="E129" i="170" s="1"/>
  <c r="E138" i="170" s="1"/>
  <c r="I1040" i="170"/>
  <c r="K1040" i="170" s="1"/>
  <c r="K1049" i="170" s="1"/>
  <c r="I989" i="170"/>
  <c r="K989" i="170" s="1"/>
  <c r="K998" i="170" s="1"/>
  <c r="I836" i="170"/>
  <c r="K836" i="170" s="1"/>
  <c r="K845" i="170" s="1"/>
  <c r="I78" i="170"/>
  <c r="K78" i="170" s="1"/>
  <c r="K87" i="170" s="1"/>
  <c r="I387" i="170"/>
  <c r="K387" i="170" s="1"/>
  <c r="K396" i="170" s="1"/>
  <c r="C27" i="170"/>
  <c r="E27" i="170" s="1"/>
  <c r="E36" i="170" s="1"/>
  <c r="C558" i="170"/>
  <c r="E558" i="170" s="1"/>
  <c r="E567" i="170" s="1"/>
  <c r="C249" i="170"/>
  <c r="E249" i="170" s="1"/>
  <c r="E258" i="170" s="1"/>
  <c r="C575" i="170"/>
  <c r="E575" i="170" s="1"/>
  <c r="E584" i="170" s="1"/>
  <c r="I751" i="170"/>
  <c r="K751" i="170" s="1"/>
  <c r="K760" i="170" s="1"/>
  <c r="I853" i="170"/>
  <c r="K853" i="170" s="1"/>
  <c r="K862" i="170" s="1"/>
  <c r="I266" i="170"/>
  <c r="K266" i="170" s="1"/>
  <c r="K275" i="170" s="1"/>
  <c r="I146" i="170"/>
  <c r="K146" i="170" s="1"/>
  <c r="K155" i="170" s="1"/>
  <c r="C180" i="170"/>
  <c r="E180" i="170" s="1"/>
  <c r="E189" i="170" s="1"/>
  <c r="C214" i="170"/>
  <c r="E214" i="170" s="1"/>
  <c r="E223" i="170" s="1"/>
  <c r="C541" i="170"/>
  <c r="E541" i="170" s="1"/>
  <c r="E550" i="170" s="1"/>
  <c r="C353" i="170"/>
  <c r="E353" i="170" s="1"/>
  <c r="E362" i="170" s="1"/>
  <c r="C525" i="170"/>
  <c r="E525" i="170" s="1"/>
  <c r="E534" i="170" s="1"/>
  <c r="C387" i="170"/>
  <c r="E387" i="170" s="1"/>
  <c r="E396" i="170" s="1"/>
  <c r="C508" i="170"/>
  <c r="E508" i="170" s="1"/>
  <c r="E517" i="170" s="1"/>
  <c r="C422" i="170"/>
  <c r="E422" i="170" s="1"/>
  <c r="E431" i="170" s="1"/>
  <c r="C455" i="170"/>
  <c r="E455" i="170" s="1"/>
  <c r="E464" i="170" s="1"/>
  <c r="C61" i="170"/>
  <c r="E61" i="170" s="1"/>
  <c r="E70" i="170" s="1"/>
  <c r="C405" i="170"/>
  <c r="E405" i="170" s="1"/>
  <c r="E414" i="170" s="1"/>
  <c r="C232" i="170"/>
  <c r="E232" i="170" s="1"/>
  <c r="E241" i="170" s="1"/>
  <c r="C266" i="170"/>
  <c r="E266" i="170" s="1"/>
  <c r="E275" i="170" s="1"/>
  <c r="C370" i="170"/>
  <c r="E370" i="170" s="1"/>
  <c r="E379" i="170" s="1"/>
  <c r="I904" i="170"/>
  <c r="K904" i="170" s="1"/>
  <c r="K913" i="170" s="1"/>
  <c r="I938" i="170"/>
  <c r="K938" i="170" s="1"/>
  <c r="K947" i="170" s="1"/>
  <c r="I819" i="170"/>
  <c r="K819" i="170" s="1"/>
  <c r="K828" i="170" s="1"/>
  <c r="I802" i="170"/>
  <c r="K802" i="170" s="1"/>
  <c r="K811" i="170" s="1"/>
  <c r="I921" i="170"/>
  <c r="K921" i="170" s="1"/>
  <c r="K930" i="170" s="1"/>
  <c r="I1023" i="170"/>
  <c r="K1023" i="170" s="1"/>
  <c r="K1032" i="170" s="1"/>
  <c r="I768" i="170"/>
  <c r="K768" i="170" s="1"/>
  <c r="K777" i="170" s="1"/>
  <c r="I887" i="170"/>
  <c r="K887" i="170" s="1"/>
  <c r="K896" i="170" s="1"/>
  <c r="I163" i="170"/>
  <c r="K163" i="170" s="1"/>
  <c r="K172" i="170" s="1"/>
  <c r="I95" i="170"/>
  <c r="K95" i="170" s="1"/>
  <c r="K104" i="170" s="1"/>
  <c r="I541" i="170"/>
  <c r="K541" i="170" s="1"/>
  <c r="K550" i="170" s="1"/>
  <c r="I525" i="170"/>
  <c r="K525" i="170" s="1"/>
  <c r="K534" i="170" s="1"/>
  <c r="C695" i="170"/>
  <c r="E695" i="170" s="1"/>
  <c r="E704" i="170" s="1"/>
  <c r="C592" i="170"/>
  <c r="E592" i="170" s="1"/>
  <c r="E601" i="170" s="1"/>
  <c r="I232" i="170"/>
  <c r="K232" i="170" s="1"/>
  <c r="K241" i="170" s="1"/>
  <c r="I61" i="170"/>
  <c r="K61" i="170" s="1"/>
  <c r="K70" i="170" s="1"/>
  <c r="I491" i="170"/>
  <c r="K491" i="170" s="1"/>
  <c r="K500" i="170" s="1"/>
  <c r="I439" i="170"/>
  <c r="K439" i="170" s="1"/>
  <c r="K448" i="170" s="1"/>
  <c r="I300" i="170"/>
  <c r="K300" i="170" s="1"/>
  <c r="K309" i="170" s="1"/>
  <c r="I370" i="170"/>
  <c r="K370" i="170" s="1"/>
  <c r="K379" i="170" s="1"/>
  <c r="I405" i="170"/>
  <c r="K405" i="170" s="1"/>
  <c r="K414" i="170" s="1"/>
  <c r="I129" i="170"/>
  <c r="K129" i="170" s="1"/>
  <c r="K138" i="170" s="1"/>
  <c r="I283" i="170"/>
  <c r="K283" i="170" s="1"/>
  <c r="K292" i="170" s="1"/>
  <c r="I112" i="170"/>
  <c r="K112" i="170" s="1"/>
  <c r="K121" i="170" s="1"/>
  <c r="I558" i="170"/>
  <c r="K558" i="170" s="1"/>
  <c r="K567" i="170" s="1"/>
  <c r="I353" i="170"/>
  <c r="K353" i="170" s="1"/>
  <c r="K362" i="170" s="1"/>
  <c r="I214" i="170"/>
  <c r="K214" i="170" s="1"/>
  <c r="K223" i="170" s="1"/>
  <c r="I180" i="170"/>
  <c r="K180" i="170" s="1"/>
  <c r="K189" i="170" s="1"/>
  <c r="I317" i="170"/>
  <c r="K317" i="170" s="1"/>
  <c r="K326" i="170" s="1"/>
  <c r="I27" i="170"/>
  <c r="K27" i="170" s="1"/>
  <c r="K36" i="170" s="1"/>
  <c r="I422" i="170"/>
  <c r="K422" i="170" s="1"/>
  <c r="K431" i="170" s="1"/>
  <c r="I508" i="170"/>
  <c r="K508" i="170" s="1"/>
  <c r="K517" i="170" s="1"/>
  <c r="I473" i="170"/>
  <c r="K473" i="170" s="1"/>
  <c r="K482" i="170" s="1"/>
  <c r="I249" i="170"/>
  <c r="K249" i="170" s="1"/>
  <c r="K258" i="170" s="1"/>
  <c r="I197" i="170"/>
  <c r="K197" i="170" s="1"/>
  <c r="K206" i="170" s="1"/>
  <c r="I44" i="170"/>
  <c r="K44" i="170" s="1"/>
  <c r="K53" i="170" s="1"/>
  <c r="I455" i="170"/>
  <c r="K455" i="170" s="1"/>
  <c r="K464" i="170" s="1"/>
  <c r="C609" i="170"/>
  <c r="E609" i="170" s="1"/>
  <c r="E618" i="170" s="1"/>
  <c r="C661" i="170"/>
  <c r="E661" i="170" s="1"/>
  <c r="E670" i="170" s="1"/>
  <c r="C626" i="170"/>
  <c r="E626" i="170" s="1"/>
  <c r="E635" i="170" s="1"/>
  <c r="I609" i="170"/>
  <c r="K609" i="170" s="1"/>
  <c r="K618" i="170" s="1"/>
  <c r="I592" i="170"/>
  <c r="K592" i="170" s="1"/>
  <c r="K601" i="170" s="1"/>
  <c r="I695" i="170"/>
  <c r="K695" i="170" s="1"/>
  <c r="K704" i="170" s="1"/>
  <c r="O15" i="151"/>
  <c r="O167" i="151" s="1"/>
  <c r="I729" i="170"/>
  <c r="K729" i="170" s="1"/>
  <c r="K738" i="170" s="1"/>
  <c r="C644" i="170"/>
  <c r="E644" i="170" s="1"/>
  <c r="E653" i="170" s="1"/>
  <c r="I626" i="170"/>
  <c r="K626" i="170" s="1"/>
  <c r="K635" i="170" s="1"/>
  <c r="C729" i="170"/>
  <c r="E729" i="170" s="1"/>
  <c r="E738" i="170" s="1"/>
  <c r="C678" i="170"/>
  <c r="E678" i="170" s="1"/>
  <c r="E687" i="170" s="1"/>
  <c r="I661" i="170"/>
  <c r="K661" i="170" s="1"/>
  <c r="K670" i="170" s="1"/>
  <c r="C712" i="170"/>
  <c r="E712" i="170" s="1"/>
  <c r="E721" i="170" s="1"/>
  <c r="L721" i="170" s="1"/>
  <c r="I644" i="170"/>
  <c r="K644" i="170" s="1"/>
  <c r="K653" i="170" s="1"/>
  <c r="K15" i="151"/>
  <c r="K167" i="151" s="1"/>
  <c r="I678" i="170"/>
  <c r="K678" i="170" s="1"/>
  <c r="K687" i="170" s="1"/>
  <c r="AA97" i="151" l="1"/>
  <c r="AC97" i="151" s="1"/>
  <c r="AC15" i="151" s="1"/>
  <c r="O204" i="151" s="1"/>
  <c r="AC203" i="151" s="1"/>
  <c r="L550" i="170"/>
  <c r="L862" i="170"/>
  <c r="L777" i="170"/>
  <c r="K95" i="132"/>
  <c r="M95" i="132" s="1"/>
  <c r="M13" i="132" s="1"/>
  <c r="M174" i="132" s="1"/>
  <c r="L584" i="170"/>
  <c r="L189" i="170"/>
  <c r="L414" i="170"/>
  <c r="L275" i="170"/>
  <c r="L670" i="170"/>
  <c r="L344" i="170"/>
  <c r="L1032" i="170"/>
  <c r="L879" i="170"/>
  <c r="L981" i="170"/>
  <c r="L1049" i="170"/>
  <c r="L811" i="170"/>
  <c r="L998" i="170"/>
  <c r="L913" i="170"/>
  <c r="L947" i="170"/>
  <c r="L828" i="170"/>
  <c r="L794" i="170"/>
  <c r="L1015" i="170"/>
  <c r="L845" i="170"/>
  <c r="L138" i="170"/>
  <c r="L87" i="170"/>
  <c r="L738" i="170"/>
  <c r="L534" i="170"/>
  <c r="L155" i="170"/>
  <c r="L223" i="170"/>
  <c r="L635" i="170"/>
  <c r="L121" i="170"/>
  <c r="L241" i="170"/>
  <c r="L517" i="170"/>
  <c r="L567" i="170"/>
  <c r="L448" i="170"/>
  <c r="L618" i="170"/>
  <c r="L396" i="170"/>
  <c r="L36" i="170"/>
  <c r="L500" i="170"/>
  <c r="L464" i="170"/>
  <c r="L19" i="170"/>
  <c r="L431" i="170"/>
  <c r="L258" i="170"/>
  <c r="L70" i="170"/>
  <c r="L309" i="170"/>
  <c r="L326" i="170"/>
  <c r="L482" i="170"/>
  <c r="L292" i="170"/>
  <c r="L896" i="170"/>
  <c r="L362" i="170"/>
  <c r="L172" i="170"/>
  <c r="L601" i="170"/>
  <c r="L206" i="170"/>
  <c r="L53" i="170"/>
  <c r="L964" i="170"/>
  <c r="L760" i="170"/>
  <c r="L653" i="170"/>
  <c r="L379" i="170"/>
  <c r="L104" i="170"/>
  <c r="L930" i="170"/>
  <c r="N740" i="170" l="1"/>
  <c r="AC167" i="151"/>
  <c r="O174" i="132" s="1"/>
  <c r="P174" i="132" s="1"/>
  <c r="AA15" i="151"/>
  <c r="AA167" i="151" s="1"/>
  <c r="K13" i="132"/>
  <c r="K174" i="132" s="1"/>
  <c r="K178" i="132" s="1"/>
  <c r="M740" i="170"/>
  <c r="P740" i="170" s="1"/>
  <c r="M178" i="132"/>
  <c r="K16" i="154"/>
  <c r="K17" i="154" s="1"/>
  <c r="L1306" i="170"/>
  <c r="L1315" i="170" s="1"/>
  <c r="M1304" i="170"/>
  <c r="N1306" i="170" l="1"/>
  <c r="AC97" i="99"/>
  <c r="L17" i="154"/>
  <c r="L18" i="154" s="1"/>
  <c r="AB100" i="99"/>
  <c r="AG167" i="151" s="1"/>
  <c r="AG172" i="151" s="1"/>
  <c r="O1304" i="170"/>
  <c r="M1306" i="170"/>
  <c r="O1306" i="170" l="1"/>
  <c r="AC100" i="99"/>
</calcChain>
</file>

<file path=xl/sharedStrings.xml><?xml version="1.0" encoding="utf-8"?>
<sst xmlns="http://schemas.openxmlformats.org/spreadsheetml/2006/main" count="12617" uniqueCount="880">
  <si>
    <t>Hòa bình - Độc lập - Dân chủ - Thống nhất - Thịnh vượng</t>
  </si>
  <si>
    <t>Đvt</t>
  </si>
  <si>
    <t>Thảo Văn Vông</t>
  </si>
  <si>
    <t>CÔNG TY TNHH CỔ PHẦN QUASA - GERUCO</t>
  </si>
  <si>
    <t>STT</t>
  </si>
  <si>
    <t>Họ và Tên</t>
  </si>
  <si>
    <t>Chức vụ</t>
  </si>
  <si>
    <t>ĐVT</t>
  </si>
  <si>
    <t>Ký nhận</t>
  </si>
  <si>
    <t>Thuế
 TNCN</t>
  </si>
  <si>
    <t>Trích KP
 Công Đoàn</t>
  </si>
  <si>
    <t>Thực 
Nhận</t>
  </si>
  <si>
    <t>Stt</t>
  </si>
  <si>
    <t>Họ và tên</t>
  </si>
  <si>
    <t>Tổng</t>
  </si>
  <si>
    <t>Phụ cấp</t>
  </si>
  <si>
    <t>Thành tiền</t>
  </si>
  <si>
    <t>Chức
 vụ</t>
  </si>
  <si>
    <t>LƯƠNG</t>
  </si>
  <si>
    <t xml:space="preserve">Thuế TNCN </t>
  </si>
  <si>
    <t>Lương chăm sóc</t>
  </si>
  <si>
    <t>Lương sản lượng</t>
  </si>
  <si>
    <t>Phụ cấp khai thác</t>
  </si>
  <si>
    <t>Thành 
tiền</t>
  </si>
  <si>
    <t xml:space="preserve">Hạng
kỹ
thuật
</t>
  </si>
  <si>
    <t>Thành
tiền</t>
  </si>
  <si>
    <t>CNKT</t>
  </si>
  <si>
    <t>PHÒNG TC - HC</t>
  </si>
  <si>
    <t>PHÒNG TC - KT</t>
  </si>
  <si>
    <t>TỔNG GIÁM ĐỐC</t>
  </si>
  <si>
    <t>Họ và Tên Lào</t>
  </si>
  <si>
    <t>Tổng công</t>
  </si>
  <si>
    <t>Mủ tạp</t>
  </si>
  <si>
    <t>Ngày công</t>
  </si>
  <si>
    <t>Xác Nhận</t>
  </si>
  <si>
    <t>CN-KT</t>
  </si>
  <si>
    <t>A</t>
  </si>
  <si>
    <t>Xếp loại KT tính lương</t>
  </si>
  <si>
    <t>Hòa Bình - Độc Lập - Dân Chủ - Thống Nhất - Thịnh Vượng</t>
  </si>
  <si>
    <t>À¯ñ­À¤ò­</t>
  </si>
  <si>
    <t>Trần Viết Hùng</t>
  </si>
  <si>
    <t>Mai Đức Hiếu</t>
  </si>
  <si>
    <t>Hoàng Hữu Công</t>
  </si>
  <si>
    <t>B</t>
  </si>
  <si>
    <t>D</t>
  </si>
  <si>
    <t>Hòa Bình - Độc Lập - Dân Chủ -Thống Nhất - Thịnh Vượng</t>
  </si>
  <si>
    <t>T/T</t>
  </si>
  <si>
    <t>Họ tên</t>
  </si>
  <si>
    <t>Chức  vụ</t>
  </si>
  <si>
    <t>Ngày</t>
  </si>
  <si>
    <t>x</t>
  </si>
  <si>
    <t>CỘNG HÒA DÂN CHỦ NHÂN DÂN LÀO</t>
  </si>
  <si>
    <t>Hòa Bình -Độc Lập  - Dân Chủ - thống Nhất - Thịnh Vượng</t>
  </si>
  <si>
    <t>TT</t>
  </si>
  <si>
    <t>HỌ VÀ TÊN</t>
  </si>
  <si>
    <t>Tổng cộng</t>
  </si>
  <si>
    <t>Phụ cấp ngày cạo, ngày chủ nhật</t>
  </si>
  <si>
    <t>Sản lượng mủ</t>
  </si>
  <si>
    <t>Các khoản PC</t>
  </si>
  <si>
    <t>II</t>
  </si>
  <si>
    <t>NÔNG TRƯỜNG 2</t>
  </si>
  <si>
    <t>Tên Công nhân</t>
  </si>
  <si>
    <t>Ghi chú</t>
  </si>
  <si>
    <t>Nông luông</t>
  </si>
  <si>
    <t>Đội I</t>
  </si>
  <si>
    <t>I</t>
  </si>
  <si>
    <t>Ngày công</t>
  </si>
  <si>
    <t>Pha Lu</t>
  </si>
  <si>
    <t>Công sản phẩm</t>
  </si>
  <si>
    <t>Sản lượng mủ</t>
  </si>
  <si>
    <t xml:space="preserve">Các khoản trừ </t>
  </si>
  <si>
    <t xml:space="preserve">Tạm ứng </t>
  </si>
  <si>
    <t>Tổng trừ:</t>
  </si>
  <si>
    <t xml:space="preserve">Còn lãnh </t>
  </si>
  <si>
    <t>Huội Sai</t>
  </si>
  <si>
    <t>Na Ka Pun</t>
  </si>
  <si>
    <t>Na Ka Nông</t>
  </si>
  <si>
    <t>Xôm Xa Ạt</t>
  </si>
  <si>
    <t>Von</t>
  </si>
  <si>
    <t>III</t>
  </si>
  <si>
    <t>Mã số nhân viên</t>
  </si>
  <si>
    <t>Khăn Hạ</t>
  </si>
  <si>
    <t>Thăm Ma Lay</t>
  </si>
  <si>
    <t>Bun Mi</t>
  </si>
  <si>
    <t>Son Vi Lay</t>
  </si>
  <si>
    <t>Xi Xa Văn</t>
  </si>
  <si>
    <t>Sênh Đôm Đi</t>
  </si>
  <si>
    <t>Kíp</t>
  </si>
  <si>
    <t>Đội: 1.2.3.4</t>
  </si>
  <si>
    <t>cn</t>
  </si>
  <si>
    <t>Phaloong</t>
  </si>
  <si>
    <t>La Vay</t>
  </si>
  <si>
    <t>Thảo Keo</t>
  </si>
  <si>
    <t>Đội 2</t>
  </si>
  <si>
    <t>Đội 4</t>
  </si>
  <si>
    <t>GIÁM ĐỐC NÔNG TRƯỜNG</t>
  </si>
  <si>
    <t>Tổng
 cộng</t>
  </si>
  <si>
    <t>Tổng 
công</t>
  </si>
  <si>
    <t>Quy khô
DRC=50</t>
  </si>
  <si>
    <t>Trần Viết Dũng</t>
  </si>
  <si>
    <t xml:space="preserve">VC KINH DOANH NĂM </t>
  </si>
  <si>
    <t>Công</t>
  </si>
  <si>
    <t>Nguyễn Trí Thạch</t>
  </si>
  <si>
    <t>Quy khô</t>
  </si>
  <si>
    <t>NGƯỜI LẬP</t>
  </si>
  <si>
    <t xml:space="preserve">Trần Văn Lý </t>
  </si>
  <si>
    <t>Tổng sản lượng mủ tạp+mủ dây quy khô</t>
  </si>
  <si>
    <t>Lương USD</t>
  </si>
  <si>
    <t>Các khoản trừ</t>
  </si>
  <si>
    <t>Mã nhân viên</t>
  </si>
  <si>
    <t>Bảo Vệ</t>
  </si>
  <si>
    <t xml:space="preserve">Lập biểu </t>
  </si>
  <si>
    <t>Xum Phon</t>
  </si>
  <si>
    <t>Đội 1</t>
  </si>
  <si>
    <t>Đội 3</t>
  </si>
  <si>
    <t>T. Đi</t>
  </si>
  <si>
    <t>T. Nhung</t>
  </si>
  <si>
    <t>Lương thực lãnh</t>
  </si>
  <si>
    <t>Tiền ăn</t>
  </si>
  <si>
    <t>Xăng T</t>
  </si>
  <si>
    <t>Các khoản nợ</t>
  </si>
  <si>
    <t>Tiền card</t>
  </si>
  <si>
    <t>Lương thực nhận</t>
  </si>
  <si>
    <t>Xăng</t>
  </si>
  <si>
    <t>tiền lê</t>
  </si>
  <si>
    <t>Tổng cộng</t>
  </si>
  <si>
    <t>Nang Quamg</t>
  </si>
  <si>
    <t>Bun Khăm</t>
  </si>
  <si>
    <t xml:space="preserve">  PHÒNG TC - KT</t>
  </si>
  <si>
    <t xml:space="preserve">       PHÒNG TC - HC</t>
  </si>
  <si>
    <t xml:space="preserve"> </t>
  </si>
  <si>
    <t>Thuế TNCN</t>
  </si>
  <si>
    <t>ịi</t>
  </si>
  <si>
    <t>Thảo Phôn Chay</t>
  </si>
  <si>
    <t>T .Nhum</t>
  </si>
  <si>
    <t>T . Phết</t>
  </si>
  <si>
    <t>N . Khâm (1)</t>
  </si>
  <si>
    <t>Tạp vụ</t>
  </si>
  <si>
    <t>Tạp Vụ</t>
  </si>
  <si>
    <t>lương Đội Lào Phôn +bun khưn</t>
  </si>
  <si>
    <t>Đô La</t>
  </si>
  <si>
    <t>Danh mục</t>
  </si>
  <si>
    <t>Số lượng</t>
  </si>
  <si>
    <t xml:space="preserve">Sản lượng thực hiện quy khô </t>
  </si>
  <si>
    <t>Đơn giá (kíp)</t>
  </si>
  <si>
    <t>Tổng tiền quyết toán (KIP)</t>
  </si>
  <si>
    <t>Tiền lương CN trực tiếp</t>
  </si>
  <si>
    <t>Sản lượng</t>
  </si>
  <si>
    <t>Kg</t>
  </si>
  <si>
    <t>Phụ cấp ngày công</t>
  </si>
  <si>
    <t>Tiền lương chăm sóc vườn cây</t>
  </si>
  <si>
    <t>Usd</t>
  </si>
  <si>
    <t>Tiền lương bảo vệ vườn cây</t>
  </si>
  <si>
    <t>CHI PHÍ KHÁC</t>
  </si>
  <si>
    <t>Phụ cấp Trưởng bản</t>
  </si>
  <si>
    <t>TỔNG CỘNG:</t>
  </si>
  <si>
    <t>T . Lốc</t>
  </si>
  <si>
    <t>Công việc khác</t>
  </si>
  <si>
    <t>N. Tun 1</t>
  </si>
  <si>
    <t>Chi phí tiếp khách</t>
  </si>
  <si>
    <r>
      <t>Nông trường 2</t>
    </r>
    <r>
      <rPr>
        <sz val="11"/>
        <rFont val="Times New Roman"/>
        <family val="1"/>
      </rPr>
      <t>, ngày 02 tháng 10  năm 2022</t>
    </r>
  </si>
  <si>
    <t>Chi phí nhiêu liệu phục vụ sản xuất</t>
  </si>
  <si>
    <t>Phụ cấp xe ViGO biển số nn 0125</t>
  </si>
  <si>
    <t>Nguyễn Ngọc Huấn</t>
  </si>
  <si>
    <t>Đội trưởng</t>
  </si>
  <si>
    <t>T. Phô Thong</t>
  </si>
  <si>
    <t>T. Sô Đa</t>
  </si>
  <si>
    <t>N. Tủn</t>
  </si>
  <si>
    <t>T. Lung</t>
  </si>
  <si>
    <t>N. Mom</t>
  </si>
  <si>
    <t>Đao Hương</t>
  </si>
  <si>
    <t>T. Bun Hinh</t>
  </si>
  <si>
    <t>N . Thích</t>
  </si>
  <si>
    <t>N. Cong Mi</t>
  </si>
  <si>
    <t>T . In Tong</t>
  </si>
  <si>
    <t>T. Nú</t>
  </si>
  <si>
    <t>T . Cổ</t>
  </si>
  <si>
    <t>T. Nọi</t>
  </si>
  <si>
    <t>T. Sa Văn</t>
  </si>
  <si>
    <t>Lăm Ngân</t>
  </si>
  <si>
    <t>Số tiền bằng chữ: Năm trăm ngàn kíp</t>
  </si>
  <si>
    <t>T. Son Xay</t>
  </si>
  <si>
    <t>N. Mon Khăm</t>
  </si>
  <si>
    <t>T. Hin</t>
  </si>
  <si>
    <t>T. Xôm Va Nít</t>
  </si>
  <si>
    <t>T. Lọi</t>
  </si>
  <si>
    <t>T. Ca Te</t>
  </si>
  <si>
    <t>T. Lâm Phon</t>
  </si>
  <si>
    <t>N. Đeng</t>
  </si>
  <si>
    <t>T. Pông</t>
  </si>
  <si>
    <t>N. Lẹ</t>
  </si>
  <si>
    <t>N. Lay</t>
  </si>
  <si>
    <t>Bôi thuốc kích thích</t>
  </si>
  <si>
    <t>Đội phó</t>
  </si>
  <si>
    <t>T. Thong Đon</t>
  </si>
  <si>
    <t>T. Viêng Sa Văn</t>
  </si>
  <si>
    <t>T. Tinh</t>
  </si>
  <si>
    <t>N. Chay</t>
  </si>
  <si>
    <t>T. Cạp</t>
  </si>
  <si>
    <t>N. Soi</t>
  </si>
  <si>
    <t>Kí nhận</t>
  </si>
  <si>
    <t>Đoàn Văn Nghĩa</t>
  </si>
  <si>
    <t>N. Vạt</t>
  </si>
  <si>
    <t>N. Phôn 1</t>
  </si>
  <si>
    <t>T Căng</t>
  </si>
  <si>
    <t>T. In Păn</t>
  </si>
  <si>
    <t>N. Me Kha La</t>
  </si>
  <si>
    <t>T. Bin Ly.</t>
  </si>
  <si>
    <t>N. Phim Phon.</t>
  </si>
  <si>
    <t>T. Phu Ngân</t>
  </si>
  <si>
    <t>N. Ba Say</t>
  </si>
  <si>
    <t>T. May</t>
  </si>
  <si>
    <t>N. Keo</t>
  </si>
  <si>
    <t>N.Vông Ma Ni</t>
  </si>
  <si>
    <t>T. Khăm Mặn</t>
  </si>
  <si>
    <t>N. Bun Đi</t>
  </si>
  <si>
    <t>N. Phon</t>
  </si>
  <si>
    <t>N. Ốc</t>
  </si>
  <si>
    <t>T. Lem</t>
  </si>
  <si>
    <t>N. Bua Hom</t>
  </si>
  <si>
    <t>Tổng lương</t>
  </si>
  <si>
    <t>Ngày công đi cạo thường (x)</t>
  </si>
  <si>
    <t>Ngày CN thường (cn)</t>
  </si>
  <si>
    <t>N. Văn Ta</t>
  </si>
  <si>
    <t>T. Khăm...</t>
  </si>
  <si>
    <t>N. Pheng</t>
  </si>
  <si>
    <t>T. A lem</t>
  </si>
  <si>
    <t>N. Phim Pha</t>
  </si>
  <si>
    <t>T. Huôn</t>
  </si>
  <si>
    <t>Phụ cấp ngày chủ nhật</t>
  </si>
  <si>
    <t>Tiền đảng 2 tháng</t>
  </si>
  <si>
    <t>Tiền quỷ NT 3 tháng</t>
  </si>
  <si>
    <t>ứng lương</t>
  </si>
  <si>
    <t>Nguyễn Thị Huệ</t>
  </si>
  <si>
    <t>N. Pon</t>
  </si>
  <si>
    <t>T. Thon</t>
  </si>
  <si>
    <t>T. Ta</t>
  </si>
  <si>
    <t>T. Xơn</t>
  </si>
  <si>
    <t>Phát chồi đại trà</t>
  </si>
  <si>
    <t>T Xèng</t>
  </si>
  <si>
    <t>N. Lỷ</t>
  </si>
  <si>
    <t xml:space="preserve">Phụ cấp nhỏ a xít </t>
  </si>
  <si>
    <t>Tổng mủ tạp</t>
  </si>
  <si>
    <t>Đội 1,2 3</t>
  </si>
  <si>
    <t>-----oOo-----</t>
  </si>
  <si>
    <t>(1)</t>
  </si>
  <si>
    <t>(2)</t>
  </si>
  <si>
    <t>(4)</t>
  </si>
  <si>
    <t>(5)</t>
  </si>
  <si>
    <t>(6)</t>
  </si>
  <si>
    <t>Sản lượng giao kế hoạch tháng (tấn)</t>
  </si>
  <si>
    <t>Sản lượng thực hiện trong tháng (tấn)</t>
  </si>
  <si>
    <t>PHÒNG KT - NN</t>
  </si>
  <si>
    <t>T. Thong</t>
  </si>
  <si>
    <t>-----o0o-----</t>
  </si>
  <si>
    <t>----- o0o-----</t>
  </si>
  <si>
    <t>Đặng Ngọc Tú</t>
  </si>
  <si>
    <t>Phan Văn Hưng</t>
  </si>
  <si>
    <t xml:space="preserve">Tỷ giá Bath qua Kip: </t>
  </si>
  <si>
    <t>N. Phu Văn</t>
  </si>
  <si>
    <t>Lương thực hiện trong tháng</t>
  </si>
  <si>
    <t>Lương kíp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</si>
  <si>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</si>
  <si>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</si>
  <si>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</si>
  <si>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</si>
  <si>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 xml:space="preserve">Lương cơ bản </t>
  </si>
  <si>
    <t>Lương tính theo tỷ lệ hoàn thành sản lượng</t>
  </si>
  <si>
    <t>Tỷ lệ hoàn thành sản lượng  (%)</t>
  </si>
  <si>
    <t>PC ngày công đi cạo</t>
  </si>
  <si>
    <t>Thưởng 2 tháng</t>
  </si>
  <si>
    <t>Nguyễn Quang Hà</t>
  </si>
  <si>
    <t>Trần Đăng Tám</t>
  </si>
  <si>
    <t>Nguyễn Văn Thái</t>
  </si>
  <si>
    <t>Nguyễn Quốc Triệu Phú</t>
  </si>
  <si>
    <t>T. Ê</t>
  </si>
  <si>
    <t>(3)= (2)/(1)*100%</t>
  </si>
  <si>
    <t>1.1</t>
  </si>
  <si>
    <t>1.2</t>
  </si>
  <si>
    <t>1.3</t>
  </si>
  <si>
    <t>Nguyễn Thị Thùy Linh</t>
  </si>
  <si>
    <t>Nguyễn Văn Cương</t>
  </si>
  <si>
    <t>Lê Minh Trí</t>
  </si>
  <si>
    <t>Trần Thị Kim Ngân</t>
  </si>
  <si>
    <t>T. Vôn</t>
  </si>
  <si>
    <t>T . Bua Ngân</t>
  </si>
  <si>
    <t>N. Nong</t>
  </si>
  <si>
    <t>N. On Xi</t>
  </si>
  <si>
    <t>T. Lốp</t>
  </si>
  <si>
    <t>N. Lăm Phay</t>
  </si>
  <si>
    <t>T Dăn</t>
  </si>
  <si>
    <t>T. Xợt</t>
  </si>
  <si>
    <t>T. Đèng</t>
  </si>
  <si>
    <t>N. Đon</t>
  </si>
  <si>
    <t>N. Xi</t>
  </si>
  <si>
    <t>N. Túc</t>
  </si>
  <si>
    <t>T. Xi Nuôn</t>
  </si>
  <si>
    <t>T. Văn Nô</t>
  </si>
  <si>
    <t>Bun Thon</t>
  </si>
  <si>
    <t>N. Xeo Khăm</t>
  </si>
  <si>
    <t>T. Xan Nha</t>
  </si>
  <si>
    <t xml:space="preserve">T. Xeng </t>
  </si>
  <si>
    <t>T. Vạt</t>
  </si>
  <si>
    <t>T. Lay</t>
  </si>
  <si>
    <t>T. Chăn La .</t>
  </si>
  <si>
    <t>Hoàng Thị Lan</t>
  </si>
  <si>
    <t>T Bun</t>
  </si>
  <si>
    <t>T. Xi Nun</t>
  </si>
  <si>
    <t>N. Xúc</t>
  </si>
  <si>
    <t>T. Lăm Phêng</t>
  </si>
  <si>
    <t>T Bun Xi</t>
  </si>
  <si>
    <t>TỔNG GIÁM ĐỐC                                                                      PHÒNG TC -KT                                                                                   PHÒNG TC - HC</t>
  </si>
  <si>
    <t>Lom</t>
  </si>
  <si>
    <t>Ghi Chú</t>
  </si>
  <si>
    <t>N. Khay Chăn</t>
  </si>
  <si>
    <t>T. Khách</t>
  </si>
  <si>
    <t>Tạp vụ Nông trường</t>
  </si>
  <si>
    <t xml:space="preserve"> Tài xế</t>
  </si>
  <si>
    <t>- BHXH, thuế TNCN,CĐ</t>
  </si>
  <si>
    <t>Nguyễn Minh Thành</t>
  </si>
  <si>
    <t>Mủ tạp (kg)</t>
  </si>
  <si>
    <t xml:space="preserve">Tổng 
lương 
</t>
  </si>
  <si>
    <t>Lương chăm sóc ( đơn giá 25.000 kíp/ công)</t>
  </si>
  <si>
    <t>Tiền lương còn lại</t>
  </si>
  <si>
    <t xml:space="preserve">Tổng Tiền
lương 
</t>
  </si>
  <si>
    <t>Nang On Xi</t>
  </si>
  <si>
    <t>Thảo Túc</t>
  </si>
  <si>
    <t xml:space="preserve">CNK </t>
  </si>
  <si>
    <t>CNK</t>
  </si>
  <si>
    <t>Tiền lương</t>
  </si>
  <si>
    <t>ĐVT : Kíp</t>
  </si>
  <si>
    <t xml:space="preserve">  Vườn cây kinh doanh </t>
  </si>
  <si>
    <t>SL A</t>
  </si>
  <si>
    <t>SLB</t>
  </si>
  <si>
    <t>SLC</t>
  </si>
  <si>
    <t>SLD</t>
  </si>
  <si>
    <t>ngày công thường</t>
  </si>
  <si>
    <t>chủ nhật</t>
  </si>
  <si>
    <t>Phụ cấp nhỏ a xít</t>
  </si>
  <si>
    <t>lương sp</t>
  </si>
  <si>
    <t>Vườn cây kinh doanh</t>
  </si>
  <si>
    <r>
      <t>Tổng tiền lương</t>
    </r>
    <r>
      <rPr>
        <sz val="13"/>
        <rFont val="Times New Roman"/>
        <family val="1"/>
      </rPr>
      <t xml:space="preserve">
</t>
    </r>
  </si>
  <si>
    <t>SỐ CÔNG NHÂN</t>
  </si>
  <si>
    <t xml:space="preserve">C </t>
  </si>
  <si>
    <t>HẠNG KỸ THUẬT</t>
  </si>
  <si>
    <t>Xếp hạng kỹ thuật</t>
  </si>
  <si>
    <t>N. Nhung  ( VP)</t>
  </si>
  <si>
    <t>SẢN LƯỢNG MỦ TẠP (KG)</t>
  </si>
  <si>
    <t>SẢN LƯỢNG MỦ QUY KHÔ (KG)</t>
  </si>
  <si>
    <t>Công nhân chính thức</t>
  </si>
  <si>
    <t>Công nhân thay thế</t>
  </si>
  <si>
    <t>C.</t>
  </si>
  <si>
    <t>Kí tên</t>
  </si>
  <si>
    <t>Đơn giá</t>
  </si>
  <si>
    <t>Hạng kỹ thuật</t>
  </si>
  <si>
    <t>Tỉ giá Bath</t>
  </si>
  <si>
    <t>PC ngày chủ nhật</t>
  </si>
  <si>
    <t>MSNV</t>
  </si>
  <si>
    <t>T. Feng</t>
  </si>
  <si>
    <t xml:space="preserve">T. La </t>
  </si>
  <si>
    <t>TL. TC - KT</t>
  </si>
  <si>
    <t>Tổng tiền lương (kíp)</t>
  </si>
  <si>
    <t>Tổng tiền tiền lương thực nhận (kíp)</t>
  </si>
  <si>
    <t>Mủ dây (kg)</t>
  </si>
  <si>
    <t xml:space="preserve">
 Quy
khô ( kg)
</t>
  </si>
  <si>
    <t>DRC bình quân</t>
  </si>
  <si>
    <t xml:space="preserve">DRC thực tế </t>
  </si>
  <si>
    <t xml:space="preserve"> NÔNG TRƯỜNG 2</t>
  </si>
  <si>
    <t>Mủ Xirum</t>
  </si>
  <si>
    <t>mủ QK</t>
  </si>
  <si>
    <t>DRC mủ dây</t>
  </si>
  <si>
    <t>DRC mủ serum</t>
  </si>
  <si>
    <t>Mủ xirum (kg)</t>
  </si>
  <si>
    <t>Ghi chú :</t>
  </si>
  <si>
    <t>x : Ngày công làm việc</t>
  </si>
  <si>
    <r>
      <t>Ghi chú :</t>
    </r>
    <r>
      <rPr>
        <b/>
        <sz val="10"/>
        <rFont val="Times New Roman"/>
        <family val="1"/>
        <charset val="163"/>
      </rPr>
      <t xml:space="preserve">                        X</t>
    </r>
  </si>
  <si>
    <t>Đơn vị tính : Kíp</t>
  </si>
  <si>
    <t xml:space="preserve"> p :  Nghỉ phép</t>
  </si>
  <si>
    <t xml:space="preserve"> x : Ngày công làm việc</t>
  </si>
  <si>
    <t>cn : Ngày chủ nhật</t>
  </si>
  <si>
    <t>ຜະລິດຕະພັນ</t>
  </si>
  <si>
    <t>ທີ່ຄົງເຫຼືອ</t>
  </si>
  <si>
    <t>Bùi Xuân Mai</t>
  </si>
  <si>
    <t>Tháng 07</t>
  </si>
  <si>
    <t>DRC ( đội 1)</t>
  </si>
  <si>
    <t>Phụ cấp ngày công bình thường</t>
  </si>
  <si>
    <t>T. Bờm</t>
  </si>
  <si>
    <t>Phụ cấp ngày công đi cạo thường</t>
  </si>
  <si>
    <t>Phụ cấp cạo 2 lát ngày chủ nhật</t>
  </si>
  <si>
    <t>(6)=(4)+(5)</t>
  </si>
  <si>
    <t>PC cạo 2 lát chủ nhật</t>
  </si>
  <si>
    <t>Mon (3)</t>
  </si>
  <si>
    <t>C</t>
  </si>
  <si>
    <t>Đội Phó</t>
  </si>
  <si>
    <t>Phụ cấp tiền lương</t>
  </si>
  <si>
    <t>Tiền lương  đội phó người Lào</t>
  </si>
  <si>
    <t>TIỀN LƯƠNG  CB.CNV</t>
  </si>
  <si>
    <t>Ghi chú:</t>
  </si>
  <si>
    <t>x: Ngày công cạo thường</t>
  </si>
  <si>
    <t>cn: Ngày công  chủ nhật thường</t>
  </si>
  <si>
    <t>Ngày công cạo gia tăng 2 miêng (gt)</t>
  </si>
  <si>
    <t>Ngày chủ nhật cạo gia tăng 2 miệng (ct)</t>
  </si>
  <si>
    <t>Ngày công đi cạo 2 lát (đ)</t>
  </si>
  <si>
    <t>đ: Ngày công cạo đi 2 lát</t>
  </si>
  <si>
    <t>đc: Ngày công chủ nhật cạo 2 lát</t>
  </si>
  <si>
    <t>gt: Ngày công cạo gia tăng 2 miệng</t>
  </si>
  <si>
    <t xml:space="preserve">ct: Ngày chủ nhật cạo gia tăng 2 miệng </t>
  </si>
  <si>
    <t>Ngày công chủ nhật cạo 2 lát (đc)</t>
  </si>
  <si>
    <t>TỶ LỆ % THEO HẠNG KỸ THUẬT</t>
  </si>
  <si>
    <t>GHI CHÚ</t>
  </si>
  <si>
    <t>Phụ cấp ngày CN thường</t>
  </si>
  <si>
    <t>Phụ cấp ngày công đi cạo 2 lát</t>
  </si>
  <si>
    <t>Phụ cấp ngày công chủ nhật cạo 2 lát</t>
  </si>
  <si>
    <t xml:space="preserve">Phụ cấp ngày công cạo gia tăng 2 miêng </t>
  </si>
  <si>
    <t>Phụ cấp ngày chủ nhật cạo gia tăng 2 miệng</t>
  </si>
  <si>
    <t>T. Khăm Pỏi</t>
  </si>
  <si>
    <t>Phụ cấp ngày công đi cạo 2 lát</t>
  </si>
  <si>
    <t>Phụ cấp ngày công cạo gia tăng 2 miệng</t>
  </si>
  <si>
    <t>CỘNG HOÀ DÂN CHỦ NHÂN DÂN LÀO</t>
  </si>
  <si>
    <t>Hoà bình - Độc lập - Dân chủ - Thống nhất - Thịnh vượng</t>
  </si>
  <si>
    <t>----oOo----</t>
  </si>
  <si>
    <t>HỌ VÀ TÊN</t>
  </si>
  <si>
    <t>CHỨC VỤ</t>
  </si>
  <si>
    <t>LƯƠNG (kip)</t>
  </si>
  <si>
    <t>THUẾ TNCN (kip)</t>
  </si>
  <si>
    <t>ທອງ</t>
  </si>
  <si>
    <t>đội 2</t>
  </si>
  <si>
    <t>đội 3</t>
  </si>
  <si>
    <t>01967</t>
  </si>
  <si>
    <t>trạm cân</t>
  </si>
  <si>
    <t>TỔNG</t>
  </si>
  <si>
    <t>PC ngày công cạo gia tăng 2 miệng</t>
  </si>
  <si>
    <t>PC chủ nhật cạo gia tăng 2 miệng</t>
  </si>
  <si>
    <t>PC ngày công đi cạo 2 lát</t>
  </si>
  <si>
    <t xml:space="preserve">ກີດຍາງວັນອາທິດ ເພີ່ມຂື້ນ 2 ເທົ່າ </t>
  </si>
  <si>
    <t>ອຸດໜຸນເງິນເດືອນ</t>
  </si>
  <si>
    <t>p : nghỉ phép</t>
  </si>
  <si>
    <t>DRC</t>
  </si>
  <si>
    <t>T. Tan</t>
  </si>
  <si>
    <t>Đơn giá mủ seum</t>
  </si>
  <si>
    <t>N. Phết 2</t>
  </si>
  <si>
    <t>Xam xe y</t>
  </si>
  <si>
    <t xml:space="preserve">Hổ trợ xăng xe </t>
  </si>
  <si>
    <t>Mủ sỉum</t>
  </si>
  <si>
    <t>Lể quốc khánh lào</t>
  </si>
  <si>
    <t xml:space="preserve">ວັນຊາດ </t>
  </si>
  <si>
    <t>Hà Văn Thủy</t>
  </si>
  <si>
    <t>T. Tý</t>
  </si>
  <si>
    <t>Phụ cấp tiền lương (10.000 kíp/phần)</t>
  </si>
  <si>
    <t>Tổng mủ Xirum</t>
  </si>
  <si>
    <t>pt : Phép tết</t>
  </si>
  <si>
    <t>tt :  Trực tết</t>
  </si>
  <si>
    <t>Phu cấp 10.000 kíp</t>
  </si>
  <si>
    <t>Phu cấp 20.000 kíp</t>
  </si>
  <si>
    <t>ການຈັດປະເພດເຕັກນິກ</t>
  </si>
  <si>
    <t>ອຸດໜູນມື້ໄປກີດຍາງ</t>
  </si>
  <si>
    <t>ອຸດໜູນມື້ໄປເຮັດວຽກວັນອາທິດ</t>
  </si>
  <si>
    <t>ປະລິມານນ້ຳຢາງ</t>
  </si>
  <si>
    <t xml:space="preserve">ອຸດໜູນມື້ກີດຢາງ ເພີ່ມຂື້ນ 2 ເທົ່າ </t>
  </si>
  <si>
    <t>ບັນດາການຫັກລັບ</t>
  </si>
  <si>
    <t>ການເບີກເງີນລ່ວງຫນ້າ</t>
  </si>
  <si>
    <t>ລວມການລົບທັງໝົດ</t>
  </si>
  <si>
    <t>p</t>
  </si>
  <si>
    <t>Pb : Phép bệnh</t>
  </si>
  <si>
    <t>Thổi lá hàng 3m</t>
  </si>
  <si>
    <t>Phụ cấp tiền lương (30.000 kíp/phần)</t>
  </si>
  <si>
    <t>Phụ cấp tiền lương (30.000/ngày)</t>
  </si>
  <si>
    <t>Thiết kế miệng cạo ngữa</t>
  </si>
  <si>
    <t>Xả miệng cạo ngữa</t>
  </si>
  <si>
    <t>Gom chén</t>
  </si>
  <si>
    <t>Phụ cấp tiền lương (500.000 kíp/phần)</t>
  </si>
  <si>
    <t>Phu cấp 500.000 kíp</t>
  </si>
  <si>
    <t>Lăm Ma Thu</t>
  </si>
  <si>
    <t>N. Kay Son</t>
  </si>
  <si>
    <t>T. Đèng 1</t>
  </si>
  <si>
    <t>N. Ly Phon</t>
  </si>
  <si>
    <t>N. Bua Lay</t>
  </si>
  <si>
    <t>T. Không</t>
  </si>
  <si>
    <t>N. Nu Ni</t>
  </si>
  <si>
    <t>N. Thông La</t>
  </si>
  <si>
    <t>T. Khay Khăm</t>
  </si>
  <si>
    <t>T. Toi</t>
  </si>
  <si>
    <t>N. Lăm Phay (2)</t>
  </si>
  <si>
    <t>T. Ne</t>
  </si>
  <si>
    <t xml:space="preserve">T. Lun </t>
  </si>
  <si>
    <t>T. Miềng</t>
  </si>
  <si>
    <t>T. Na</t>
  </si>
  <si>
    <t xml:space="preserve">N. Bun </t>
  </si>
  <si>
    <t>N. Quen</t>
  </si>
  <si>
    <t>Lăm Thong</t>
  </si>
  <si>
    <t>T. Môn</t>
  </si>
  <si>
    <t>T. Phan</t>
  </si>
  <si>
    <t>N. Nọi</t>
  </si>
  <si>
    <t>N. Bù</t>
  </si>
  <si>
    <t>T. Thi</t>
  </si>
  <si>
    <t>On chay</t>
  </si>
  <si>
    <t>T. Bi Ly (2)</t>
  </si>
  <si>
    <t>ĐỘI SẢN XUẤT SỐ 04</t>
  </si>
  <si>
    <t>Trạm 1</t>
  </si>
  <si>
    <t>Trạm 2</t>
  </si>
  <si>
    <t>ĐỘI SẢN XUẤT SỐ 4</t>
  </si>
  <si>
    <t>TỔNG GIÁM ĐỐC                               PHÒNG TC - KT                              PHÒNG TC - HC                                  P.PHÒNG PHỤ TRÁCH                                 ĐỘI TRƯỞNG                                 NGƯỜI LẬP</t>
  </si>
  <si>
    <t xml:space="preserve"> Trạm 2</t>
  </si>
  <si>
    <t>DRC ( trạm 1)</t>
  </si>
  <si>
    <t>DRC ( trạm 2)</t>
  </si>
  <si>
    <t>NV - KT (Lào)</t>
  </si>
  <si>
    <t>N. Tinh</t>
  </si>
  <si>
    <t xml:space="preserve">Thảo Mét </t>
  </si>
  <si>
    <t xml:space="preserve">           PHÒNG TC - HC                          P. PHÒNG PHỤ TRÁCH                            ĐỘI TRƯỞNG                           NGƯỜI LẬP</t>
  </si>
  <si>
    <t xml:space="preserve">Tiền lương kinh doanh </t>
  </si>
  <si>
    <t>CÔNG TY TNHH MTV QUASA - GERUCO LÀO</t>
  </si>
  <si>
    <t>NV - KT</t>
  </si>
  <si>
    <t>P.PHÒNG PHỤ TRÁCH</t>
  </si>
  <si>
    <t>TỔNG GIÁM ĐỐC        PHÒNG TC - KT</t>
  </si>
  <si>
    <t xml:space="preserve">    PHÒNG TC - HC                    </t>
  </si>
  <si>
    <t>P.P PHỤ TRÁCH</t>
  </si>
  <si>
    <t>ĐỘI TRƯỞNG           NGƯỜI LẬP</t>
  </si>
  <si>
    <t xml:space="preserve"> P.PHÒNG PHỤ TRÁCH                            ĐỘI TRƯỞNG                                        NGƯỜI LẬP</t>
  </si>
  <si>
    <t xml:space="preserve">                   TỔNG GIÁM ĐỐC                                  PHÒNG TC -KT                                         PHÒNG TC - HC                  </t>
  </si>
  <si>
    <t>Bảo vệ (T1)</t>
  </si>
  <si>
    <t>TK - TH</t>
  </si>
  <si>
    <t>Hoàng Thị Thủy</t>
  </si>
  <si>
    <t>Cấp dưởng</t>
  </si>
  <si>
    <t>Lát bốc</t>
  </si>
  <si>
    <t>HoTenViet</t>
  </si>
  <si>
    <t>HoTenLao</t>
  </si>
  <si>
    <t>Nam sinh</t>
  </si>
  <si>
    <t>Gioitinhviet</t>
  </si>
  <si>
    <t>Gioitinhlao</t>
  </si>
  <si>
    <t>NoiOViet</t>
  </si>
  <si>
    <t>NoiOLao</t>
  </si>
  <si>
    <t>Số HĐLĐ</t>
  </si>
  <si>
    <t>Nam</t>
  </si>
  <si>
    <t>Khăm xê y</t>
  </si>
  <si>
    <t>Xôm xa ạt</t>
  </si>
  <si>
    <t>04052</t>
  </si>
  <si>
    <t>Văng cúp</t>
  </si>
  <si>
    <t>02725</t>
  </si>
  <si>
    <t>Khăm xe y</t>
  </si>
  <si>
    <t>04053</t>
  </si>
  <si>
    <t>Nữ</t>
  </si>
  <si>
    <t>03459</t>
  </si>
  <si>
    <t>04054</t>
  </si>
  <si>
    <t>04055</t>
  </si>
  <si>
    <t>03462</t>
  </si>
  <si>
    <t>03463</t>
  </si>
  <si>
    <t>03464</t>
  </si>
  <si>
    <t>03465</t>
  </si>
  <si>
    <t>03466</t>
  </si>
  <si>
    <t>02727</t>
  </si>
  <si>
    <t>03467</t>
  </si>
  <si>
    <t>04056</t>
  </si>
  <si>
    <t>03469</t>
  </si>
  <si>
    <t>03470</t>
  </si>
  <si>
    <t>03471</t>
  </si>
  <si>
    <t>03472</t>
  </si>
  <si>
    <t>Na phu khăm</t>
  </si>
  <si>
    <t>03473</t>
  </si>
  <si>
    <t>03474</t>
  </si>
  <si>
    <t>Sôm xa at</t>
  </si>
  <si>
    <t>04057</t>
  </si>
  <si>
    <t>03476</t>
  </si>
  <si>
    <t>03477</t>
  </si>
  <si>
    <t>03478</t>
  </si>
  <si>
    <t>03479</t>
  </si>
  <si>
    <t>03480</t>
  </si>
  <si>
    <t>Xi bun hương</t>
  </si>
  <si>
    <t>03481</t>
  </si>
  <si>
    <t>03482</t>
  </si>
  <si>
    <t>03483</t>
  </si>
  <si>
    <t>03484</t>
  </si>
  <si>
    <t>03485</t>
  </si>
  <si>
    <t>02712</t>
  </si>
  <si>
    <t>02722</t>
  </si>
  <si>
    <t>02714</t>
  </si>
  <si>
    <t>02713</t>
  </si>
  <si>
    <t>04058</t>
  </si>
  <si>
    <t>03487</t>
  </si>
  <si>
    <t>03488</t>
  </si>
  <si>
    <t>03489</t>
  </si>
  <si>
    <t>04059</t>
  </si>
  <si>
    <t>03491</t>
  </si>
  <si>
    <t>04060</t>
  </si>
  <si>
    <t>03492</t>
  </si>
  <si>
    <t>03493</t>
  </si>
  <si>
    <t>03496</t>
  </si>
  <si>
    <t>04061</t>
  </si>
  <si>
    <t>03494</t>
  </si>
  <si>
    <t>03495</t>
  </si>
  <si>
    <t>04062</t>
  </si>
  <si>
    <t>03497</t>
  </si>
  <si>
    <t>03498</t>
  </si>
  <si>
    <t>02706</t>
  </si>
  <si>
    <t>04063</t>
  </si>
  <si>
    <t>04064</t>
  </si>
  <si>
    <t>03501</t>
  </si>
  <si>
    <t>03502</t>
  </si>
  <si>
    <t>04065</t>
  </si>
  <si>
    <t>03504</t>
  </si>
  <si>
    <t>04066</t>
  </si>
  <si>
    <t>03506</t>
  </si>
  <si>
    <t>04067</t>
  </si>
  <si>
    <t>03508</t>
  </si>
  <si>
    <t>03512</t>
  </si>
  <si>
    <t>04068</t>
  </si>
  <si>
    <t>04069</t>
  </si>
  <si>
    <t>03546</t>
  </si>
  <si>
    <t>03571</t>
  </si>
  <si>
    <t>04070</t>
  </si>
  <si>
    <t>03515</t>
  </si>
  <si>
    <t>03516</t>
  </si>
  <si>
    <t>Huội xai</t>
  </si>
  <si>
    <t>03544</t>
  </si>
  <si>
    <t>04071</t>
  </si>
  <si>
    <t>Huội Xai</t>
  </si>
  <si>
    <t>04072</t>
  </si>
  <si>
    <t>Nakphung</t>
  </si>
  <si>
    <t>03590</t>
  </si>
  <si>
    <t>03591</t>
  </si>
  <si>
    <t>03592</t>
  </si>
  <si>
    <t>03593</t>
  </si>
  <si>
    <t>03594</t>
  </si>
  <si>
    <t>04073</t>
  </si>
  <si>
    <t>Khăm Xê Y</t>
  </si>
  <si>
    <t>03596</t>
  </si>
  <si>
    <t>03597</t>
  </si>
  <si>
    <t>03598</t>
  </si>
  <si>
    <t>03599</t>
  </si>
  <si>
    <t>04074</t>
  </si>
  <si>
    <t>03601</t>
  </si>
  <si>
    <t>03602</t>
  </si>
  <si>
    <t>03604</t>
  </si>
  <si>
    <t>04075</t>
  </si>
  <si>
    <t>03509</t>
  </si>
  <si>
    <t>03607</t>
  </si>
  <si>
    <t>02729</t>
  </si>
  <si>
    <t>03608</t>
  </si>
  <si>
    <t>03609</t>
  </si>
  <si>
    <t>03610</t>
  </si>
  <si>
    <t>04076</t>
  </si>
  <si>
    <t>03612</t>
  </si>
  <si>
    <t>03613</t>
  </si>
  <si>
    <t>04077</t>
  </si>
  <si>
    <t>03615</t>
  </si>
  <si>
    <t>03616</t>
  </si>
  <si>
    <t>03617</t>
  </si>
  <si>
    <t>03618</t>
  </si>
  <si>
    <t>03619</t>
  </si>
  <si>
    <t>03620</t>
  </si>
  <si>
    <t>04078</t>
  </si>
  <si>
    <t>03622</t>
  </si>
  <si>
    <t>03623</t>
  </si>
  <si>
    <t>03532</t>
  </si>
  <si>
    <t>03625</t>
  </si>
  <si>
    <t>03587</t>
  </si>
  <si>
    <t>04079</t>
  </si>
  <si>
    <t>03628</t>
  </si>
  <si>
    <t>03629</t>
  </si>
  <si>
    <t>03630</t>
  </si>
  <si>
    <t>03631</t>
  </si>
  <si>
    <t>03632</t>
  </si>
  <si>
    <t>04080</t>
  </si>
  <si>
    <t>03634</t>
  </si>
  <si>
    <t>03635</t>
  </si>
  <si>
    <t>03636</t>
  </si>
  <si>
    <t>03637</t>
  </si>
  <si>
    <t>03638</t>
  </si>
  <si>
    <t>04081</t>
  </si>
  <si>
    <t>04082</t>
  </si>
  <si>
    <t>04083</t>
  </si>
  <si>
    <t>03642</t>
  </si>
  <si>
    <t>04084</t>
  </si>
  <si>
    <t>04085</t>
  </si>
  <si>
    <t>Số công nhân</t>
  </si>
  <si>
    <t>Sản lượng mủ (kg)</t>
  </si>
  <si>
    <t>Hạng</t>
  </si>
  <si>
    <t>Tỷ lệ %</t>
  </si>
  <si>
    <t xml:space="preserve">Mủ tạp </t>
  </si>
  <si>
    <t xml:space="preserve">Mủ quy khô </t>
  </si>
  <si>
    <t xml:space="preserve">Tỷ lệ % </t>
  </si>
  <si>
    <t xml:space="preserve"> CN chính thức</t>
  </si>
  <si>
    <t>CN thay thế</t>
  </si>
  <si>
    <t>Tổng Trạm 1</t>
  </si>
  <si>
    <t>Tổng Trạm 2</t>
  </si>
  <si>
    <t xml:space="preserve">Tổng Đội </t>
  </si>
  <si>
    <t xml:space="preserve">P.PHÒNG PHỤ TRÁCH </t>
  </si>
  <si>
    <t>ĐỘI TRƯỞNG</t>
  </si>
  <si>
    <t>Hệ số QLKT (K)</t>
  </si>
  <si>
    <t>CÔNG TY TNHH MTV QUASA-GERUCO LÀO</t>
  </si>
  <si>
    <t>Trạm</t>
  </si>
  <si>
    <t>Lương theo bậc</t>
  </si>
  <si>
    <t>Lương tính theo tỷ lệ hoàn thành sản lượng và hạng kỹ thuật</t>
  </si>
  <si>
    <t>Bảo vệ (T1)</t>
  </si>
  <si>
    <t>Bảo vệ (T2)</t>
  </si>
  <si>
    <t>Bảo vệ (VP)</t>
  </si>
  <si>
    <t>hùng</t>
  </si>
  <si>
    <t>BẢNG THANH TOÁN TIỀN HỔ TRỢ XE QUẢN LÝ THÁNG 06 NĂM 2025</t>
  </si>
  <si>
    <r>
      <rPr>
        <b/>
        <i/>
        <sz val="11"/>
        <color indexed="63"/>
        <rFont val="Times New Roman"/>
        <family val="1"/>
      </rPr>
      <t>Mường phìn</t>
    </r>
    <r>
      <rPr>
        <sz val="11"/>
        <color indexed="63"/>
        <rFont val="Times New Roman"/>
        <family val="1"/>
      </rPr>
      <t>, ngày 02 tháng 07 năm 2025</t>
    </r>
  </si>
  <si>
    <t>NV-KT</t>
  </si>
  <si>
    <t>Bôi thuốc loét sọc</t>
  </si>
  <si>
    <t>Phun cỏ đại trà</t>
  </si>
  <si>
    <t>T. Huân</t>
  </si>
  <si>
    <t>T. Lã</t>
  </si>
  <si>
    <t>N. Veo</t>
  </si>
  <si>
    <t>T. Pu</t>
  </si>
  <si>
    <t>N. Nang</t>
  </si>
  <si>
    <t>T. Tu</t>
  </si>
  <si>
    <t>Tram 2</t>
  </si>
  <si>
    <t>T. Tạch</t>
  </si>
  <si>
    <t>T. Ta.</t>
  </si>
  <si>
    <t xml:space="preserve">Bằng chữ : Mười hai triệu sáu trăm nghìn kíp </t>
  </si>
  <si>
    <t xml:space="preserve">    TỔNG GIÁM ĐỐC       PHÒNG TC - KT          PHÒNG TC - HC       P. P PHỤ TRÁCH         ĐỘI TRƯỞNG         NGƯỜI LẬP</t>
  </si>
  <si>
    <t xml:space="preserve">Ngày công đi cạo thường </t>
  </si>
  <si>
    <t xml:space="preserve">Ngày CN thường </t>
  </si>
  <si>
    <t xml:space="preserve">BẢNG CHẤM CÔNG  </t>
  </si>
  <si>
    <t>Đoàn Văn nghĩa</t>
  </si>
  <si>
    <t>P.P phụ trách</t>
  </si>
  <si>
    <t xml:space="preserve">    PHÒNG TC - KT            PHÒNG TC - HC           P. PHÒNG PHỤ TRÁCH           ĐỘI TRƯỞNG             NGƯỜI LẬP</t>
  </si>
  <si>
    <t>Tramj 2</t>
  </si>
  <si>
    <t>BẢNG TỔNG HỢP CÔNG THỰC HIỆN THÁNG 07 NĂM 2025</t>
  </si>
  <si>
    <t>Bón Phân</t>
  </si>
  <si>
    <t>Phun Potry</t>
  </si>
  <si>
    <t>( Từ ngày 01/07/2025 đến ngày 31/07/2025)</t>
  </si>
  <si>
    <t>ĐỘI TRƯỞNG                NGƯỜI LẬP</t>
  </si>
  <si>
    <t>BẢNG TỔNG HỢP CHI PHÍ KHÁC THÁNG 07 NĂM 2025</t>
  </si>
  <si>
    <t>Mường phìn,ngày 02 tháng 08 năm 2025</t>
  </si>
  <si>
    <t xml:space="preserve"> PHÒNG QL - KT                                                                                                                                                     NÔNG TRƯỜNG 2</t>
  </si>
  <si>
    <t>PHÒNG QL - KT</t>
  </si>
  <si>
    <t>TỔNG GIÁM ĐỐC                                                                                             PHÒNG QL - KT                                                                                                            P. PHÒNG PHỤ TRÁCH                                                                                                                 ĐỘI TRƯỞNG                                                                                                              NGƯỜI LẬP</t>
  </si>
  <si>
    <t>TỔNG GIÁM ĐỐC                PHÒNG QL - KT                  PHÒNG TC - HC                        P. PHÒNG PHỤ TRÁCH                             ĐỘI TRƯỞNG                            NGƯỜI LẬP</t>
  </si>
  <si>
    <t>tt</t>
  </si>
  <si>
    <t>Hổ trợ mưa bảo</t>
  </si>
  <si>
    <t>ເງີນອຸດໝູນຊ່ວຍເຫຼືອໃນຊວງພາຍຸຝົນຕົກ</t>
  </si>
  <si>
    <t xml:space="preserve">T. Lăm  </t>
  </si>
  <si>
    <t>A. Trí</t>
  </si>
  <si>
    <t>Bảo vệ (T2)</t>
  </si>
  <si>
    <t>đ: Ngày công  cạo đúp</t>
  </si>
  <si>
    <t>N.Choi</t>
  </si>
  <si>
    <t>N. Pheng Mi</t>
  </si>
  <si>
    <t>N. In Ton</t>
  </si>
  <si>
    <t>jhjhb kj,jk,jk</t>
  </si>
  <si>
    <t>kjhmjhmjm</t>
  </si>
  <si>
    <t xml:space="preserve">                       PHÒNG TC - HC                                     P. PHÒNG PHỤ TRÁCH                                         ĐỘI TRƯỞNG                                               NGƯỜI LẬP</t>
  </si>
  <si>
    <t>Pôn</t>
  </si>
  <si>
    <t>Phụ cấp xăng xe</t>
  </si>
  <si>
    <t>Bảo vệ</t>
  </si>
  <si>
    <t xml:space="preserve">tt </t>
  </si>
  <si>
    <t>đc</t>
  </si>
  <si>
    <t>BẢNG LƯƠNG KHAI THÁC THÁNG 10 NĂM 2025</t>
  </si>
  <si>
    <t>Mường phìn, ngày 02 tháng 10 năm 2025</t>
  </si>
  <si>
    <t>BẢNG CHẤM CÔNG  CB.CNV NGƯỜI LÀO</t>
  </si>
  <si>
    <t>Chuyển 2</t>
  </si>
  <si>
    <t>Cạo gia tăng 2 miệng (thường)</t>
  </si>
  <si>
    <t>Cạo gia tăng 2 miệng (chủ nhật)</t>
  </si>
  <si>
    <t>Phụ cấp cạo đi cạo 2 lát</t>
  </si>
  <si>
    <t>N. Ních</t>
  </si>
  <si>
    <t>BC</t>
  </si>
  <si>
    <t xml:space="preserve">Phụ cấp thêm cạo 2 lát </t>
  </si>
  <si>
    <t>Phụ cấp thêm cạo 2 lát</t>
  </si>
  <si>
    <t>Mủ Xi Rum 1</t>
  </si>
  <si>
    <t>Mủ Xi Rum 2</t>
  </si>
  <si>
    <t>BẢNG TỔNG HỢP LƯƠNG CÁN BỘ QUẢN LÝ VÀ CÔNG NHÂN TRỰC TIẾP THÁNG 09 NĂM 2025</t>
  </si>
  <si>
    <t>Lương phụ cấp</t>
  </si>
  <si>
    <t>Bảo vệ vườn cây</t>
  </si>
  <si>
    <t>CB - CNV người Lào</t>
  </si>
  <si>
    <t>Tổng tiền lương vườn cây kinh doanh (1)</t>
  </si>
  <si>
    <t>Tổng tiền lương  bảo vệ vườn cây (2)</t>
  </si>
  <si>
    <t>Tổng tiền lương CB - CNV người Lào (3)</t>
  </si>
  <si>
    <t>Tổng tiền lương tạp vụ người Lào (4)</t>
  </si>
  <si>
    <t xml:space="preserve">I </t>
  </si>
  <si>
    <t xml:space="preserve">Tổng cộng </t>
  </si>
  <si>
    <t xml:space="preserve">           PHÒNG TC - HC                               P. PHÒNG PHỤ TRÁCH                               ĐỘI TRƯỞNG                                       NGƯỜI LẬP</t>
  </si>
  <si>
    <t>Số tiền (kip)</t>
  </si>
  <si>
    <t>Tiền hỗ trợ Trưởng Bản</t>
  </si>
  <si>
    <t>Tiền phụ cấp xăng xe</t>
  </si>
  <si>
    <t xml:space="preserve">Bảo vệ </t>
  </si>
  <si>
    <t>PHÒNG TC -KT</t>
  </si>
  <si>
    <t>nl</t>
  </si>
  <si>
    <t>tk</t>
  </si>
  <si>
    <t>LƯƠNG THÁNG 09/2025</t>
  </si>
  <si>
    <t>PC chủ nhật cạo 2 lát</t>
  </si>
  <si>
    <t>Phụ cấp cạo thêm 2 lát</t>
  </si>
  <si>
    <t>DANH SÁCH CBCNV NHẬN LỊCH TẾT NGUYÊN ĐÁN NĂM 2025</t>
  </si>
  <si>
    <t>Lịch cuốn</t>
  </si>
  <si>
    <t>Lịch tờ</t>
  </si>
  <si>
    <t xml:space="preserve">Kí nhận </t>
  </si>
  <si>
    <t xml:space="preserve">Đoàn Văn Nghĩa </t>
  </si>
  <si>
    <t>Cán bộ công nhân viên người Việt Nam</t>
  </si>
  <si>
    <t>Công nhân khai thác</t>
  </si>
  <si>
    <t>CN - KT</t>
  </si>
  <si>
    <t>Nhân kỷ thuật người Lào</t>
  </si>
  <si>
    <t>IV</t>
  </si>
  <si>
    <t>Bảo vệ + tạp vụ</t>
  </si>
  <si>
    <t>V</t>
  </si>
  <si>
    <t>Công an cụm + phò bản</t>
  </si>
  <si>
    <t>Bun Hụ</t>
  </si>
  <si>
    <t>Công an cụm 9</t>
  </si>
  <si>
    <t xml:space="preserve">                   TỔNG GIÁM ĐỐC                             PHÒNG TC -KT                                     PHÒNG TC - HC                  </t>
  </si>
  <si>
    <t>Mường phìn, ngày 24 tháng 10 năm 2025</t>
  </si>
  <si>
    <t>Phun cỏ bao lô chống cháy</t>
  </si>
  <si>
    <t>Mường phìn, ngày 02 tháng 11 năm 2025</t>
  </si>
  <si>
    <t xml:space="preserve"> BẢNG CHẤM CÔNG PHỤ CẤP CHO CÔNG NHÂN KHAI THÁC THÁNG 10 NĂM 2025</t>
  </si>
  <si>
    <t>(Từ ngày 01/10 đến 31/10/2025)</t>
  </si>
  <si>
    <t>Huyện Phìn, ngày 01 tháng 11 năm 2025</t>
  </si>
  <si>
    <t>BẢNG THEO DÕI SẢN LƯỢNG MỦ TẠP THÁNG 10 NĂM 2025</t>
  </si>
  <si>
    <t>(Từ ngày 01 đến 31/10/2025)</t>
  </si>
  <si>
    <t>BẢNG THEO DÕI SẢN LƯỢNG MỦ SERUM THÁNG 10 NĂM 2025</t>
  </si>
  <si>
    <r>
      <rPr>
        <b/>
        <i/>
        <sz val="19"/>
        <rFont val="Times New Roman"/>
        <family val="1"/>
      </rPr>
      <t>Mường phìn</t>
    </r>
    <r>
      <rPr>
        <sz val="19"/>
        <rFont val="Times New Roman"/>
        <family val="1"/>
      </rPr>
      <t>, ngày 02 tháng 11 năm 2025</t>
    </r>
  </si>
  <si>
    <t>BẢNG LƯƠNG KHAI THÁC TRẠM 1 THÁNG 10 NĂM 2025</t>
  </si>
  <si>
    <t>BẢNG LƯƠNG KHAI THÁC TRẠM 2 THÁNG 10 NĂM 2025</t>
  </si>
  <si>
    <r>
      <rPr>
        <b/>
        <i/>
        <sz val="18"/>
        <rFont val="Times New Roman"/>
        <family val="1"/>
      </rPr>
      <t>Mường phìn</t>
    </r>
    <r>
      <rPr>
        <i/>
        <sz val="18"/>
        <rFont val="Times New Roman"/>
        <family val="1"/>
      </rPr>
      <t>, ngày 02 tháng 11 năm 2025</t>
    </r>
  </si>
  <si>
    <t>BẢNG THANH TOÁN TIỀN LƯƠNG CB.CNV NGƯỜI LÀO THÁNG 10 NĂM 2025</t>
  </si>
  <si>
    <r>
      <rPr>
        <b/>
        <i/>
        <sz val="13"/>
        <color indexed="63"/>
        <rFont val="Times New Roman"/>
        <family val="1"/>
      </rPr>
      <t xml:space="preserve">                Mường phìn</t>
    </r>
    <r>
      <rPr>
        <sz val="13"/>
        <color indexed="63"/>
        <rFont val="Times New Roman"/>
        <family val="1"/>
      </rPr>
      <t>, ngày 02 tháng 11 năm 2025</t>
    </r>
  </si>
  <si>
    <t>Mường phìn, ngày 02 tháng 11 năm 2025</t>
  </si>
  <si>
    <t>BẢNG TÍNH LƯƠNG  ĐỘI THỰC HIỆN TRONG THÁNG 10/2025</t>
  </si>
  <si>
    <t>Huyện Phìn, ngày 02 tháng 11 năm 2025</t>
  </si>
  <si>
    <t>BẢNG PHÂN TOÁN TIỀN LƯƠNG THÁNG 10 NĂM 2025</t>
  </si>
  <si>
    <t>( Từ ngày 01/10/2025 đến ngày 31/10/2025)</t>
  </si>
  <si>
    <t>Mường Phìn, ngày 02 tháng 11 năm 2025</t>
  </si>
  <si>
    <t>DANH SÁCH CB - CNV NỘP THUẾ TNCN THÁNG 10/2025</t>
  </si>
  <si>
    <t>Đơn giá (kíp)</t>
  </si>
  <si>
    <t>Tên bản</t>
  </si>
  <si>
    <t>Số CN</t>
  </si>
  <si>
    <t>Bằng chữ: Bảy triệu, một trăm bốn mươi nghìn kíp.</t>
  </si>
  <si>
    <t>PHÒNG TC - HC            P.PHÒNG PHỤ TRÁCH</t>
  </si>
  <si>
    <t>BẢNG THANH TOÁN TIỀN CHI PHÍ KHÁC THÁNG 10 NĂM 2025</t>
  </si>
  <si>
    <t xml:space="preserve"> BẢNG CHẤM CÔNG PHỤ CẤP XĂNG XE THÁNG 10 NĂM 2025</t>
  </si>
  <si>
    <t>Tháng 10 năm 2025</t>
  </si>
  <si>
    <r>
      <rPr>
        <b/>
        <i/>
        <sz val="11"/>
        <rFont val="Times New Roman"/>
        <family val="1"/>
        <charset val="163"/>
      </rPr>
      <t>Mường phìn</t>
    </r>
    <r>
      <rPr>
        <sz val="11"/>
        <rFont val="Times New Roman"/>
        <family val="1"/>
        <charset val="163"/>
      </rPr>
      <t>, ngày 02 tháng 11 năm 2025</t>
    </r>
  </si>
  <si>
    <t>T. Kong Ma Ny</t>
  </si>
  <si>
    <t>T. Hô Lông</t>
  </si>
  <si>
    <t>N. Khăn</t>
  </si>
  <si>
    <t>SỐ CN</t>
  </si>
  <si>
    <t>Lương chăm sóc/Lương làm việc trong tháng</t>
  </si>
  <si>
    <t>Mủ tạp (Kg)</t>
  </si>
  <si>
    <t>Mủ quy khô</t>
  </si>
  <si>
    <t>Ngày công thường</t>
  </si>
  <si>
    <t>Ngày công chủ nhật</t>
  </si>
  <si>
    <t>PC thêm cạo 2 lát</t>
  </si>
  <si>
    <t>Lương phụ cấp ngày công khai thác</t>
  </si>
  <si>
    <t xml:space="preserve"> Ngày công thường</t>
  </si>
  <si>
    <t>Ngày công chủ nhật cạo 2 lát</t>
  </si>
  <si>
    <t>Ngày chủ nhật cạo 2 lát</t>
  </si>
  <si>
    <t>Ngày công đi cạo 2 lát</t>
  </si>
  <si>
    <t>Ngày chủ nhật cạo gia tăng 2 miệng</t>
  </si>
  <si>
    <t xml:space="preserve">Ngày công cạo gia tăng 2 miêng </t>
  </si>
  <si>
    <t>ĐỘI TRƯỞNG                           NGƯỜI LẬP</t>
  </si>
  <si>
    <t>Lương</t>
  </si>
  <si>
    <t xml:space="preserve">Tổng lương
</t>
  </si>
  <si>
    <t>Mủ serum (Kg)</t>
  </si>
  <si>
    <t>BẢNG TỔNG HỢP LƯƠNG THÁNG 10 NĂM 2025</t>
  </si>
  <si>
    <t>Bằng chữ: Tám trăm, năm mươi lăm nghìn,ba trăm chín mươi hai kíp</t>
  </si>
  <si>
    <t>Tổng mủ tạp T08</t>
  </si>
  <si>
    <t>DRC bình quân T8</t>
  </si>
  <si>
    <t>Quy khô truy lỉnh T08</t>
  </si>
  <si>
    <t>Tổng trả lương</t>
  </si>
  <si>
    <t>Tổng mủ trả lương</t>
  </si>
  <si>
    <t>Mủ quy khô truy lĩnh T8 (kg)</t>
  </si>
  <si>
    <t>bảng lương phát CN</t>
  </si>
  <si>
    <t>Bảng có truy lỉnh</t>
  </si>
  <si>
    <t>lệch</t>
  </si>
  <si>
    <t>tram 1</t>
  </si>
  <si>
    <t>tram 2</t>
  </si>
  <si>
    <t>TG ; 611</t>
  </si>
  <si>
    <t xml:space="preserve">     TỔNG GIÁM ĐỐC                         PHÒNG TC - KT                               PHÒNG TC - HC                                  P.PHÒNG PHỤ TRÁCH                                      ĐỘI TRƯỞNG                                       NGƯỜI LẬP</t>
  </si>
  <si>
    <t>Số tiền bằng chữ : Một tỷ, một trăm bảy mươi tám triệu,hai trăm tám mươi nghìn, không trăm mười kíp</t>
  </si>
  <si>
    <t>Hệ số QLKT tháng 8 (K)</t>
  </si>
  <si>
    <t>Sản lượng giao kế hoạch tháng 8 (tấn)</t>
  </si>
  <si>
    <t>Sản lượng truy lĩnh tháng 8 (tấn)</t>
  </si>
  <si>
    <t>Tỷ lệ truy lĩnh tháng 8 (%)</t>
  </si>
  <si>
    <t>Lương truy lĩnh tháng 08</t>
  </si>
  <si>
    <t>Lương truy lỉnh tháng 08</t>
  </si>
  <si>
    <t>Số tiền bằng chữ: Hai mươi ba triệu, tám trăm lẻ năm nghìn,một trăm năm mươi tám kíp</t>
  </si>
  <si>
    <t>Bằng chữ: Một tỷ,hai trăm lẻ hai triệu,không trăm tám mươi lăm nghìn,một trăm sáu mươi tám kíp</t>
  </si>
  <si>
    <t>Bằng chữ: Một tỷ, hai trăm lẻ hai triệu,không trăm tám mươi lăm nghìn,một trăm sáu mươi tám kíp</t>
  </si>
  <si>
    <t>Số tiền bằng chữ : Một tỷ, hai trăm lẻ hai triệu,không trăm tám mươi lăm nghìn,một trăm sáu mươi tám kíp</t>
  </si>
  <si>
    <t>Keo</t>
  </si>
  <si>
    <t>Bằng chữ : Sáu trăm bốn mươi tám triệu, tám trăm hai mươi mốt nghìn, bảy trăm bốn mươi ba kíp</t>
  </si>
  <si>
    <t xml:space="preserve">Bằng chữ : Năm trăm hai mươi chín triệu,bốn trăm năm mươi tám nghìn,hai trăm sáu mươi bảy kíp </t>
  </si>
  <si>
    <t>MỦ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</si>
</sst>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4">
    <numFmt numFmtId="43" formatCode="_-* #,##0.00\ _₫_-;\-* #,##0.00\ _₫_-;_-* &quot;-&quot;??\ _₫_-;_-@_-"/>
    <numFmt numFmtId="187" formatCode="_-* #,##0_-;\-* #,##0_-;_-* &quot;-&quot;_-;_-@_-"/>
    <numFmt numFmtId="188" formatCode="_-* #,##0.00_-;\-* #,##0.00_-;_-* &quot;-&quot;??_-;_-@_-"/>
    <numFmt numFmtId="189" formatCode="&quot;$&quot;#,##0_);[Red]\(&quot;$&quot;#,##0\)"/>
    <numFmt numFmtId="190" formatCode="_(&quot;$&quot;* #,##0_);_(&quot;$&quot;* \(#,##0\);_(&quot;$&quot;* &quot;-&quot;_);_(@_)"/>
    <numFmt numFmtId="191" formatCode="_(* #,##0_);_(* \(#,##0\);_(* &quot;-&quot;_);_(@_)"/>
    <numFmt numFmtId="192" formatCode="_(* #,##0.00_);_(* \(#,##0.00\);_(* &quot;-&quot;??_);_(@_)"/>
    <numFmt numFmtId="193" formatCode="_-* #,##0\ _?_-;\-* #,##0\ _?_-;_-* &quot;-&quot;\ _?_-;_-@_-"/>
    <numFmt numFmtId="194" formatCode="_(* #,##0.00_);_(* \(#,##0.00\);_(* &quot;-&quot;&quot;?&quot;&quot;?&quot;_);_(@_)"/>
    <numFmt numFmtId="195" formatCode="_-* #,##0.00\ &quot;₫&quot;_-;\-* #,##0.00\ &quot;₫&quot;_-;_-* &quot;-&quot;&quot;?&quot;&quot;?&quot;\ &quot;₫&quot;_-;_-@_-"/>
    <numFmt numFmtId="196" formatCode="_-* #,##0.00\ _₫_-;\-* #,##0.00\ _₫_-;_-* &quot;-&quot;&quot;?&quot;&quot;?&quot;\ _₫_-;_-@_-"/>
    <numFmt numFmtId="197" formatCode="_-* #,##0\ _₫_-;\-* #,##0\ _₫_-;_-* &quot;-&quot;&quot;?&quot;&quot;?&quot;\ _₫_-;_-@_-"/>
    <numFmt numFmtId="198" formatCode="_(* #,##0_);_(* \(#,##0\);_(* &quot;-&quot;&quot;?&quot;&quot;?&quot;_);_(@_)"/>
    <numFmt numFmtId="199" formatCode="_(* #,##0.0_);_(* \(#,##0.0\);_(* &quot;-&quot;&quot;?&quot;&quot;?&quot;_);_(@_)"/>
    <numFmt numFmtId="200" formatCode="0.0"/>
    <numFmt numFmtId="201" formatCode="_(* #,##0.000_);_(* \(#,##0.000\);_(* &quot;-&quot;&quot;?&quot;&quot;?&quot;_);_(@_)"/>
    <numFmt numFmtId="202" formatCode="_-* #,##0.0000\ _₫_-;\-* #,##0.0000\ _₫_-;_-* &quot;-&quot;&quot;?&quot;&quot;?&quot;\ _₫_-;_-@_-"/>
    <numFmt numFmtId="203" formatCode="0.0000"/>
    <numFmt numFmtId="204" formatCode="#,##0;[Red]#,##0"/>
    <numFmt numFmtId="205" formatCode="#,##0.0;[Red]#,##0.0"/>
    <numFmt numFmtId="206" formatCode="#,##0.00;[Red]#,##0.00"/>
    <numFmt numFmtId="207" formatCode="#,##0_ ;\-#,##0\ "/>
    <numFmt numFmtId="208" formatCode="#,##0.00_ ;\-#,##0.00\ "/>
    <numFmt numFmtId="209" formatCode="_-* #,##0.0\ _?_-;\-* #,##0.0\ _?_-;_-* &quot;-&quot;\ _?_-;_-@_-"/>
    <numFmt numFmtId="210" formatCode="_-* #,##0.00\ _?_-;\-* #,##0.00\ _?_-;_-* &quot;-&quot;\ _?_-;_-@_-"/>
    <numFmt numFmtId="211" formatCode="_(* #,##0.00_);_(* \(#,##0.00\);_(* &quot;-&quot;_);_(@_)"/>
    <numFmt numFmtId="212" formatCode="_(* #,##0.0000_);_(* \(#,##0.0000\);_(* &quot;-&quot;_);_(@_)"/>
    <numFmt numFmtId="213" formatCode="_(* #,##0_);_(* \(#,##0\);_(* &quot;-&quot;??_);_(@_)"/>
    <numFmt numFmtId="214" formatCode="_(* #,##0.0_);_(* \(#,##0.0\);_(* &quot;-&quot;_);_(@_)"/>
    <numFmt numFmtId="215" formatCode="#,##0.0"/>
    <numFmt numFmtId="216" formatCode="_-* #,##0\ _₫_-;\-* #,##0\ _₫_-;_-* &quot;-&quot;??\ _₫_-;_-@_-"/>
    <numFmt numFmtId="217" formatCode="_(* #,##0.0000_);_(* \(#,##0.0000\);_(* &quot;-&quot;??_);_(@_)"/>
    <numFmt numFmtId="218" formatCode="0.000"/>
    <numFmt numFmtId="219" formatCode="_(* #,##0.0_);_(* \(#,##0.0\);_(* &quot;-&quot;??_);_(@_)"/>
    <numFmt numFmtId="220" formatCode="_-* #,##0.0\ _₫_-;\-* #,##0.0\ _₫_-;_-* &quot;-&quot;&quot;?&quot;&quot;?&quot;\ _₫_-;_-@_-"/>
    <numFmt numFmtId="221" formatCode="#,##0\ _?"/>
    <numFmt numFmtId="222" formatCode="_-* #,##0.000\ _₫_-;\-* #,##0.000\ _₫_-;_-* &quot;-&quot;&quot;?&quot;&quot;?&quot;\ _₫_-;_-@_-"/>
    <numFmt numFmtId="223" formatCode="_(* #,##0.000000_);_(* \(#,##0.000000\);_(* &quot;-&quot;_);_(@_)"/>
    <numFmt numFmtId="224" formatCode="#,##0.00\ _?"/>
    <numFmt numFmtId="225" formatCode="#,##0.0\ _?"/>
    <numFmt numFmtId="226" formatCode="_(* #,##0.000000_);_(* \(#,##0.000000\);_(* &quot;-&quot;??_);_(@_)"/>
    <numFmt numFmtId="227" formatCode="_(* #,##0.0000000_);_(* \(#,##0.0000000\);_(* &quot;-&quot;??_);_(@_)"/>
    <numFmt numFmtId="228" formatCode="#,##0.000000000"/>
    <numFmt numFmtId="229" formatCode="_-* #,##0_-;\-* #,##0_-;_-* &quot;-&quot;??_-;_-@_-"/>
    <numFmt numFmtId="230" formatCode="0.00000000"/>
    <numFmt numFmtId="231" formatCode="#,##0.000"/>
    <numFmt numFmtId="232" formatCode="_(* #,##0.000_);_(* \(#,##0.000\);_(* &quot;-&quot;_);_(@_)"/>
    <numFmt numFmtId="233" formatCode="_(* #,##0.0000_);_(* \(#,##0.0000\);_(* &quot;-&quot;&quot;?&quot;&quot;?&quot;_);_(@_)"/>
    <numFmt numFmtId="234" formatCode="0;[Red]0"/>
    <numFmt numFmtId="235" formatCode="_-* #,##0.0\ _₫_-;\-* #,##0.0\ _₫_-;_-* &quot;-&quot;?\ _₫_-;_-@_-"/>
    <numFmt numFmtId="236" formatCode="#,##0.0_ ;\-#,##0.0\ "/>
    <numFmt numFmtId="237" formatCode="_-* #,##0\ _₫_-;\-* #,##0\ _₫_-;_-* &quot;-&quot;?\ _₫_-;_-@_-"/>
    <numFmt numFmtId="238" formatCode="_-* #,##0.00_-;\-* #,##0.00_-;_-* &quot;-&quot;_-;_-@_-"/>
    <numFmt numFmtId="239" formatCode="_-* #,##0.000_-;\-* #,##0.000_-;_-* &quot;-&quot;??_-;_-@_-"/>
  </numFmts>
  <fonts count="202">
    <font>
      <sz val="11"/>
      <color theme="1"/>
      <name val="Calibri"/>
      <family val="2"/>
      <charset val="163"/>
    </font>
    <font>
      <sz val="11"/>
      <color indexed="8"/>
      <name val="Calibri"/>
      <family val="2"/>
      <charset val="163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i/>
      <u/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1"/>
      <color indexed="63"/>
      <name val="Calibri"/>
      <family val="2"/>
      <charset val="163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sz val="10"/>
      <color indexed="63"/>
      <name val="Times New Roman"/>
      <family val="1"/>
    </font>
    <font>
      <b/>
      <sz val="14"/>
      <color indexed="63"/>
      <name val="Times New Roman"/>
      <family val="1"/>
    </font>
    <font>
      <sz val="8"/>
      <name val="Calibri"/>
      <family val="2"/>
      <charset val="163"/>
    </font>
    <font>
      <b/>
      <sz val="13"/>
      <name val="Times New Roman"/>
      <family val="1"/>
    </font>
    <font>
      <u/>
      <sz val="13"/>
      <name val="Times New Roman"/>
      <family val="1"/>
    </font>
    <font>
      <b/>
      <u/>
      <sz val="10"/>
      <name val="Times New Roman"/>
      <family val="1"/>
    </font>
    <font>
      <b/>
      <u/>
      <sz val="13"/>
      <name val="Times New Roman"/>
      <family val="1"/>
    </font>
    <font>
      <sz val="10"/>
      <name val="VNI-Times"/>
    </font>
    <font>
      <b/>
      <sz val="9"/>
      <name val="Times New Roman"/>
      <family val="1"/>
    </font>
    <font>
      <b/>
      <sz val="12"/>
      <color indexed="63"/>
      <name val="Times New Roman"/>
      <family val="1"/>
    </font>
    <font>
      <i/>
      <sz val="13"/>
      <name val="Times New Roman"/>
      <family val="1"/>
    </font>
    <font>
      <sz val="10"/>
      <name val="VNI-Helve-Condense"/>
    </font>
    <font>
      <sz val="12"/>
      <name val="Times New Roman"/>
      <family val="1"/>
      <charset val="163"/>
    </font>
    <font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3"/>
      <name val="Times New Roman"/>
      <family val="1"/>
      <charset val="163"/>
    </font>
    <font>
      <sz val="10"/>
      <name val="Saysettha Lao"/>
      <family val="2"/>
    </font>
    <font>
      <b/>
      <sz val="11"/>
      <color indexed="63"/>
      <name val="Times New Roman"/>
      <family val="1"/>
      <charset val="163"/>
    </font>
    <font>
      <b/>
      <i/>
      <sz val="11"/>
      <name val="Times New Roman"/>
      <family val="1"/>
    </font>
    <font>
      <b/>
      <u/>
      <sz val="12"/>
      <name val="Times New Roman"/>
      <family val="1"/>
    </font>
    <font>
      <sz val="10"/>
      <name val="Calibri"/>
      <family val="2"/>
      <charset val="163"/>
    </font>
    <font>
      <b/>
      <i/>
      <sz val="11"/>
      <color indexed="63"/>
      <name val="Times New Roman"/>
      <family val="1"/>
      <charset val="163"/>
    </font>
    <font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b/>
      <i/>
      <sz val="11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6"/>
      <name val="Times New Roman"/>
      <family val="1"/>
      <charset val="163"/>
    </font>
    <font>
      <sz val="10"/>
      <name val="Arial"/>
      <family val="2"/>
      <charset val="163"/>
    </font>
    <font>
      <sz val="12"/>
      <name val="Times New Roman"/>
      <family val="2"/>
    </font>
    <font>
      <b/>
      <sz val="12"/>
      <name val="Times New Roman"/>
      <family val="2"/>
    </font>
    <font>
      <sz val="15"/>
      <name val="Times New Roman"/>
      <family val="1"/>
    </font>
    <font>
      <b/>
      <i/>
      <sz val="11"/>
      <color indexed="63"/>
      <name val="Times New Roman"/>
      <family val="1"/>
    </font>
    <font>
      <sz val="13"/>
      <color indexed="63"/>
      <name val="Times New Roman"/>
      <family val="1"/>
    </font>
    <font>
      <sz val="11"/>
      <color indexed="8"/>
      <name val="Calibri"/>
      <family val="2"/>
      <charset val="163"/>
    </font>
    <font>
      <sz val="11"/>
      <color indexed="10"/>
      <name val="Times New Roman"/>
      <family val="1"/>
    </font>
    <font>
      <b/>
      <sz val="12"/>
      <color indexed="10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sz val="12"/>
      <color indexed="10"/>
      <name val="Times New Roman"/>
      <family val="2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sz val="11"/>
      <color indexed="8"/>
      <name val="Calibri"/>
      <family val="2"/>
      <charset val="163"/>
    </font>
    <font>
      <sz val="13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4"/>
      <color indexed="8"/>
      <name val="Times New Roman"/>
      <family val="1"/>
    </font>
    <font>
      <sz val="13"/>
      <color indexed="10"/>
      <name val="Times New Roman"/>
      <family val="1"/>
    </font>
    <font>
      <i/>
      <sz val="13"/>
      <color indexed="8"/>
      <name val="Times New Roman"/>
      <family val="1"/>
    </font>
    <font>
      <sz val="13"/>
      <name val="Times New Roman"/>
      <family val="1"/>
    </font>
    <font>
      <sz val="6"/>
      <name val="Times New Roman"/>
      <family val="1"/>
    </font>
    <font>
      <b/>
      <sz val="16"/>
      <name val="Times New Roman"/>
      <family val="1"/>
    </font>
    <font>
      <sz val="12"/>
      <name val="VNI-Times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  <charset val="163"/>
    </font>
    <font>
      <sz val="14"/>
      <color indexed="8"/>
      <name val="Calibri"/>
      <family val="2"/>
      <charset val="163"/>
    </font>
    <font>
      <sz val="12"/>
      <color indexed="10"/>
      <name val="Times New Roman"/>
      <family val="1"/>
    </font>
    <font>
      <b/>
      <sz val="13"/>
      <color indexed="63"/>
      <name val="Times New Roman"/>
      <family val="1"/>
    </font>
    <font>
      <b/>
      <i/>
      <sz val="13"/>
      <color indexed="63"/>
      <name val="Times New Roman"/>
      <family val="1"/>
    </font>
    <font>
      <b/>
      <sz val="6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0"/>
      <color rgb="FFFF0000"/>
      <name val="Times New Roman"/>
      <family val="1"/>
    </font>
    <font>
      <sz val="10"/>
      <color rgb="FFFF0000"/>
      <name val="Times New Roman"/>
      <family val="1"/>
      <charset val="163"/>
    </font>
    <font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3"/>
      <color indexed="10"/>
      <name val="Times New Roman"/>
      <family val="1"/>
    </font>
    <font>
      <b/>
      <sz val="18"/>
      <color indexed="8"/>
      <name val="Times New Roman"/>
      <family val="1"/>
    </font>
    <font>
      <b/>
      <sz val="13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8"/>
      <color rgb="FFFF0000"/>
      <name val="Times New Roman"/>
      <family val="1"/>
    </font>
    <font>
      <sz val="18"/>
      <name val="Times New Roman"/>
      <family val="1"/>
    </font>
    <font>
      <b/>
      <i/>
      <sz val="18"/>
      <name val="Times New Roman"/>
      <family val="1"/>
    </font>
    <font>
      <b/>
      <sz val="24"/>
      <name val="Times New Roman"/>
      <family val="1"/>
    </font>
    <font>
      <b/>
      <u/>
      <sz val="18"/>
      <name val="Times New Roman"/>
      <family val="1"/>
    </font>
    <font>
      <b/>
      <i/>
      <u/>
      <sz val="18"/>
      <name val="Times New Roman"/>
      <family val="1"/>
    </font>
    <font>
      <b/>
      <i/>
      <sz val="13"/>
      <color rgb="FFFF0000"/>
      <name val="Times New Roman"/>
      <family val="1"/>
    </font>
    <font>
      <b/>
      <sz val="20"/>
      <name val="Times New Roman"/>
      <family val="1"/>
    </font>
    <font>
      <b/>
      <sz val="20"/>
      <color rgb="FFFF0000"/>
      <name val="Times New Roman"/>
      <family val="1"/>
    </font>
    <font>
      <sz val="20"/>
      <name val="Times New Roman"/>
      <family val="1"/>
    </font>
    <font>
      <b/>
      <sz val="15"/>
      <color indexed="8"/>
      <name val="Times New Roman"/>
      <family val="1"/>
    </font>
    <font>
      <sz val="15"/>
      <color indexed="8"/>
      <name val="Times New Roman"/>
      <family val="1"/>
    </font>
    <font>
      <i/>
      <sz val="15"/>
      <color indexed="8"/>
      <name val="Times New Roman"/>
      <family val="1"/>
    </font>
    <font>
      <b/>
      <sz val="12"/>
      <color rgb="FFFF0000"/>
      <name val="Times New Roman"/>
      <family val="1"/>
      <charset val="163"/>
    </font>
    <font>
      <sz val="11"/>
      <color rgb="FFFF0000"/>
      <name val="Calibri"/>
      <family val="2"/>
      <charset val="163"/>
    </font>
    <font>
      <b/>
      <sz val="11"/>
      <name val="Times New Roman"/>
      <family val="2"/>
    </font>
    <font>
      <b/>
      <sz val="9"/>
      <name val="Times New Roman"/>
      <family val="1"/>
      <charset val="163"/>
    </font>
    <font>
      <i/>
      <sz val="18"/>
      <name val="Times New Roman"/>
      <family val="1"/>
    </font>
    <font>
      <b/>
      <sz val="13"/>
      <color indexed="63"/>
      <name val="Times New Roman"/>
      <family val="1"/>
      <charset val="163"/>
    </font>
    <font>
      <b/>
      <sz val="22"/>
      <name val="Times New Roman"/>
      <family val="1"/>
    </font>
    <font>
      <b/>
      <sz val="36"/>
      <name val="Times New Roman"/>
      <family val="1"/>
    </font>
    <font>
      <sz val="22"/>
      <name val="Times New Roman"/>
      <family val="1"/>
    </font>
    <font>
      <b/>
      <u/>
      <sz val="22"/>
      <name val="Times New Roman"/>
      <family val="1"/>
    </font>
    <font>
      <b/>
      <sz val="18"/>
      <name val="Times New Roman"/>
      <family val="1"/>
      <charset val="163"/>
    </font>
    <font>
      <b/>
      <i/>
      <sz val="18"/>
      <name val="Times New Roman"/>
      <family val="1"/>
      <charset val="163"/>
    </font>
    <font>
      <sz val="36"/>
      <name val="Times New Roman"/>
      <family val="1"/>
    </font>
    <font>
      <i/>
      <sz val="36"/>
      <name val="Times New Roman"/>
      <family val="1"/>
    </font>
    <font>
      <b/>
      <sz val="17"/>
      <name val="Times New Roman"/>
      <family val="1"/>
    </font>
    <font>
      <sz val="6"/>
      <color rgb="FFFF0000"/>
      <name val="Times New Roman"/>
      <family val="1"/>
    </font>
    <font>
      <sz val="11"/>
      <color theme="1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Calibri"/>
      <family val="2"/>
      <charset val="163"/>
    </font>
    <font>
      <sz val="10"/>
      <color indexed="30"/>
      <name val="Times New Roman"/>
      <family val="1"/>
    </font>
    <font>
      <sz val="10"/>
      <color indexed="12"/>
      <name val="Times New Roman"/>
      <family val="1"/>
    </font>
    <font>
      <b/>
      <sz val="10"/>
      <name val="Saysettha Lao"/>
      <family val="2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  <charset val="163"/>
    </font>
    <font>
      <b/>
      <u/>
      <sz val="20"/>
      <name val="Times New Roman"/>
      <family val="1"/>
    </font>
    <font>
      <b/>
      <i/>
      <sz val="12"/>
      <name val="Times New Roman"/>
      <family val="1"/>
    </font>
    <font>
      <b/>
      <sz val="15"/>
      <color rgb="FFFF0000"/>
      <name val="Times New Roman"/>
      <family val="1"/>
    </font>
    <font>
      <sz val="11"/>
      <color theme="1"/>
      <name val="Calibri"/>
      <family val="2"/>
    </font>
    <font>
      <b/>
      <sz val="6"/>
      <color rgb="FFFF0000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4"/>
      <color indexed="10"/>
      <name val="Times New Roman"/>
      <family val="1"/>
    </font>
    <font>
      <b/>
      <sz val="48"/>
      <name val="Times New Roman"/>
      <family val="1"/>
    </font>
    <font>
      <b/>
      <u/>
      <sz val="36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b/>
      <sz val="13"/>
      <color theme="1"/>
      <name val="Times New Roman"/>
      <family val="1"/>
    </font>
    <font>
      <sz val="10"/>
      <color rgb="FFFF0000"/>
      <name val="Phetsarath OT"/>
    </font>
    <font>
      <b/>
      <sz val="10"/>
      <color rgb="FFFF0000"/>
      <name val="Phetsarath OT"/>
    </font>
    <font>
      <sz val="20"/>
      <name val="Calibri"/>
      <family val="2"/>
      <charset val="163"/>
    </font>
    <font>
      <sz val="16"/>
      <name val="Times New Roman"/>
      <family val="1"/>
    </font>
    <font>
      <sz val="11"/>
      <color theme="0"/>
      <name val="Tahoma"/>
      <family val="2"/>
      <charset val="163"/>
      <scheme val="minor"/>
    </font>
    <font>
      <b/>
      <sz val="22"/>
      <name val="Times New Roman"/>
      <family val="1"/>
      <charset val="163"/>
    </font>
    <font>
      <b/>
      <u/>
      <sz val="16"/>
      <name val="Times New Roman"/>
      <family val="1"/>
    </font>
    <font>
      <b/>
      <i/>
      <u/>
      <sz val="16"/>
      <name val="Times New Roman"/>
      <family val="1"/>
    </font>
    <font>
      <b/>
      <u/>
      <sz val="16"/>
      <color theme="0"/>
      <name val="Times New Roman"/>
      <family val="1"/>
    </font>
    <font>
      <sz val="13"/>
      <name val="Tahoma"/>
      <family val="1"/>
      <charset val="163"/>
      <scheme val="major"/>
    </font>
    <font>
      <b/>
      <sz val="11"/>
      <color theme="1"/>
      <name val="Times New Roman"/>
      <family val="1"/>
    </font>
    <font>
      <sz val="13"/>
      <color rgb="FFFF0000"/>
      <name val="Times New Roman"/>
      <family val="1"/>
    </font>
    <font>
      <b/>
      <sz val="15"/>
      <color theme="1"/>
      <name val="Times New Roman"/>
      <family val="1"/>
    </font>
    <font>
      <sz val="6"/>
      <color rgb="FF00B0F0"/>
      <name val="Times New Roman"/>
      <family val="1"/>
    </font>
    <font>
      <b/>
      <sz val="72"/>
      <name val="Times New Roman"/>
      <family val="1"/>
    </font>
    <font>
      <sz val="48"/>
      <name val="Times New Roman"/>
      <family val="1"/>
    </font>
    <font>
      <b/>
      <u/>
      <sz val="48"/>
      <name val="Times New Roman"/>
      <family val="1"/>
    </font>
    <font>
      <i/>
      <sz val="48"/>
      <name val="Times New Roman"/>
      <family val="1"/>
    </font>
    <font>
      <sz val="36"/>
      <color indexed="8"/>
      <name val="Times New Roman"/>
      <family val="1"/>
    </font>
    <font>
      <sz val="36"/>
      <color theme="1"/>
      <name val="Times New Roman"/>
      <family val="1"/>
    </font>
    <font>
      <sz val="18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26"/>
      <name val="Times New Roman"/>
      <family val="1"/>
    </font>
    <font>
      <b/>
      <sz val="19"/>
      <name val="Times New Roman"/>
      <family val="1"/>
    </font>
    <font>
      <sz val="19"/>
      <name val="Times New Roman"/>
      <family val="1"/>
    </font>
    <font>
      <sz val="19"/>
      <color rgb="FFFF0000"/>
      <name val="Times New Roman"/>
      <family val="1"/>
    </font>
    <font>
      <b/>
      <sz val="19"/>
      <color rgb="FFFF0000"/>
      <name val="Times New Roman"/>
      <family val="1"/>
    </font>
    <font>
      <b/>
      <i/>
      <sz val="19"/>
      <name val="Times New Roman"/>
      <family val="1"/>
    </font>
    <font>
      <sz val="13"/>
      <color theme="0"/>
      <name val="Times New Roman"/>
      <family val="1"/>
    </font>
    <font>
      <sz val="13"/>
      <color theme="1"/>
      <name val="Calibri"/>
      <family val="2"/>
      <charset val="163"/>
    </font>
    <font>
      <sz val="15"/>
      <color rgb="FFFF0000"/>
      <name val="Times New Roman"/>
      <family val="1"/>
    </font>
    <font>
      <sz val="8"/>
      <color rgb="FFFF0000"/>
      <name val="Times New Roman"/>
      <family val="1"/>
    </font>
    <font>
      <sz val="9"/>
      <color rgb="FF081B3A"/>
      <name val="Segoe UI"/>
      <family val="2"/>
    </font>
    <font>
      <sz val="10"/>
      <color rgb="FFED0000"/>
      <name val="Times New Roman"/>
      <family val="1"/>
    </font>
    <font>
      <b/>
      <i/>
      <sz val="13"/>
      <color rgb="FF0070C0"/>
      <name val="Times New Roman"/>
      <family val="1"/>
    </font>
    <font>
      <b/>
      <sz val="13"/>
      <color rgb="FF0070C0"/>
      <name val="Times New Roman"/>
      <family val="1"/>
    </font>
    <font>
      <b/>
      <sz val="13"/>
      <color rgb="FFC00000"/>
      <name val="Times New Roman"/>
      <family val="1"/>
    </font>
    <font>
      <sz val="13"/>
      <name val="VNI-Times"/>
    </font>
    <font>
      <i/>
      <sz val="8"/>
      <name val="Times New Roman"/>
      <family val="1"/>
    </font>
    <font>
      <sz val="8"/>
      <name val="VNI-Times"/>
    </font>
    <font>
      <sz val="10"/>
      <name val="VNI-Times"/>
    </font>
    <font>
      <b/>
      <sz val="13"/>
      <name val="VNI-Times"/>
    </font>
    <font>
      <sz val="12"/>
      <name val="VNI-Times"/>
    </font>
    <font>
      <b/>
      <sz val="12"/>
      <name val="VNI-Times"/>
    </font>
    <font>
      <sz val="13"/>
      <color rgb="FFED0000"/>
      <name val="Times New Roman"/>
      <family val="1"/>
    </font>
    <font>
      <sz val="12"/>
      <name val="Times New Roman"/>
      <family val="1"/>
    </font>
    <font>
      <sz val="11"/>
      <color rgb="FFED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0" fillId="0" borderId="0"/>
    <xf numFmtId="196" fontId="19" fillId="0" borderId="0" applyFont="0" applyFill="0" applyBorder="0" applyAlignment="0" applyProtection="0"/>
    <xf numFmtId="189" fontId="29" fillId="0" borderId="0" applyFont="0" applyFill="0" applyBorder="0" applyAlignment="0" applyProtection="0"/>
    <xf numFmtId="189" fontId="93" fillId="0" borderId="0" applyFont="0" applyFill="0" applyBorder="0" applyAlignment="0" applyProtection="0"/>
    <xf numFmtId="192" fontId="5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9" fillId="0" borderId="0" applyFont="0" applyFill="0" applyBorder="0" applyAlignment="0" applyProtection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92" fillId="0" borderId="0"/>
    <xf numFmtId="0" fontId="54" fillId="0" borderId="0"/>
    <xf numFmtId="0" fontId="92" fillId="0" borderId="0"/>
    <xf numFmtId="0" fontId="94" fillId="0" borderId="0"/>
    <xf numFmtId="0" fontId="93" fillId="0" borderId="0"/>
    <xf numFmtId="0" fontId="81" fillId="0" borderId="0"/>
    <xf numFmtId="0" fontId="29" fillId="0" borderId="0"/>
    <xf numFmtId="0" fontId="19" fillId="0" borderId="0"/>
    <xf numFmtId="9" fontId="19" fillId="0" borderId="0" applyFont="0" applyFill="0" applyBorder="0" applyAlignment="0" applyProtection="0"/>
    <xf numFmtId="9" fontId="84" fillId="0" borderId="0" applyFont="0" applyFill="0" applyBorder="0" applyAlignment="0" applyProtection="0"/>
    <xf numFmtId="0" fontId="92" fillId="0" borderId="0"/>
    <xf numFmtId="190" fontId="93" fillId="0" borderId="0" applyFont="0" applyFill="0" applyBorder="0" applyAlignment="0" applyProtection="0"/>
    <xf numFmtId="0" fontId="12" fillId="0" borderId="0"/>
    <xf numFmtId="188" fontId="12" fillId="0" borderId="0" applyFont="0" applyFill="0" applyBorder="0" applyAlignment="0" applyProtection="0"/>
    <xf numFmtId="0" fontId="145" fillId="0" borderId="0"/>
    <xf numFmtId="0" fontId="159" fillId="6" borderId="0" applyNumberFormat="0" applyBorder="0" applyAlignment="0" applyProtection="0"/>
    <xf numFmtId="187" fontId="92" fillId="0" borderId="0" applyFont="0" applyFill="0" applyBorder="0" applyAlignment="0" applyProtection="0"/>
  </cellStyleXfs>
  <cellXfs count="1732">
    <xf numFmtId="0" fontId="0" fillId="0" borderId="0" xfId="0"/>
    <xf numFmtId="0" fontId="20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199" fontId="12" fillId="0" borderId="0" xfId="1" applyNumberFormat="1" applyFont="1" applyFill="1"/>
    <xf numFmtId="199" fontId="7" fillId="2" borderId="0" xfId="1" applyNumberFormat="1" applyFont="1" applyFill="1"/>
    <xf numFmtId="199" fontId="12" fillId="2" borderId="0" xfId="1" applyNumberFormat="1" applyFont="1" applyFill="1"/>
    <xf numFmtId="199" fontId="16" fillId="2" borderId="0" xfId="1" applyNumberFormat="1" applyFont="1" applyFill="1" applyAlignment="1">
      <alignment horizontal="center"/>
    </xf>
    <xf numFmtId="199" fontId="16" fillId="2" borderId="0" xfId="1" applyNumberFormat="1" applyFont="1" applyFill="1" applyAlignment="1"/>
    <xf numFmtId="0" fontId="12" fillId="2" borderId="0" xfId="0" applyFont="1" applyFill="1" applyAlignment="1">
      <alignment horizontal="center"/>
    </xf>
    <xf numFmtId="0" fontId="7" fillId="0" borderId="0" xfId="0" applyFont="1"/>
    <xf numFmtId="199" fontId="10" fillId="2" borderId="0" xfId="1" applyNumberFormat="1" applyFont="1" applyFill="1" applyAlignment="1"/>
    <xf numFmtId="199" fontId="25" fillId="2" borderId="0" xfId="1" applyNumberFormat="1" applyFont="1" applyFill="1" applyAlignment="1"/>
    <xf numFmtId="199" fontId="26" fillId="2" borderId="0" xfId="1" applyNumberFormat="1" applyFont="1" applyFill="1" applyAlignment="1"/>
    <xf numFmtId="0" fontId="14" fillId="2" borderId="0" xfId="0" applyFont="1" applyFill="1"/>
    <xf numFmtId="201" fontId="7" fillId="2" borderId="0" xfId="1" applyNumberFormat="1" applyFont="1" applyFill="1"/>
    <xf numFmtId="202" fontId="16" fillId="2" borderId="0" xfId="1" applyNumberFormat="1" applyFont="1" applyFill="1" applyAlignment="1">
      <alignment horizontal="center"/>
    </xf>
    <xf numFmtId="2" fontId="20" fillId="0" borderId="0" xfId="0" applyNumberFormat="1" applyFont="1"/>
    <xf numFmtId="4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right"/>
    </xf>
    <xf numFmtId="196" fontId="12" fillId="0" borderId="0" xfId="1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17" fillId="2" borderId="0" xfId="0" applyFont="1" applyFill="1" applyAlignment="1">
      <alignment wrapText="1"/>
    </xf>
    <xf numFmtId="0" fontId="17" fillId="2" borderId="0" xfId="0" applyFont="1" applyFill="1"/>
    <xf numFmtId="0" fontId="9" fillId="0" borderId="1" xfId="0" applyFont="1" applyBorder="1"/>
    <xf numFmtId="0" fontId="38" fillId="0" borderId="0" xfId="0" applyFont="1" applyAlignment="1">
      <alignment horizontal="left"/>
    </xf>
    <xf numFmtId="0" fontId="3" fillId="0" borderId="0" xfId="0" applyFont="1"/>
    <xf numFmtId="0" fontId="36" fillId="0" borderId="0" xfId="0" applyFont="1"/>
    <xf numFmtId="4" fontId="9" fillId="0" borderId="0" xfId="0" applyNumberFormat="1" applyFont="1"/>
    <xf numFmtId="0" fontId="49" fillId="0" borderId="0" xfId="0" applyFont="1"/>
    <xf numFmtId="0" fontId="37" fillId="0" borderId="0" xfId="0" applyFont="1"/>
    <xf numFmtId="197" fontId="9" fillId="0" borderId="0" xfId="1" applyNumberFormat="1" applyFont="1" applyFill="1"/>
    <xf numFmtId="3" fontId="9" fillId="0" borderId="0" xfId="0" applyNumberFormat="1" applyFont="1"/>
    <xf numFmtId="198" fontId="9" fillId="0" borderId="0" xfId="0" applyNumberFormat="1" applyFont="1"/>
    <xf numFmtId="191" fontId="9" fillId="0" borderId="0" xfId="0" applyNumberFormat="1" applyFont="1"/>
    <xf numFmtId="0" fontId="38" fillId="0" borderId="0" xfId="0" applyFont="1"/>
    <xf numFmtId="0" fontId="39" fillId="0" borderId="0" xfId="0" applyFont="1"/>
    <xf numFmtId="0" fontId="47" fillId="0" borderId="0" xfId="0" applyFont="1"/>
    <xf numFmtId="0" fontId="34" fillId="0" borderId="0" xfId="0" applyFont="1"/>
    <xf numFmtId="197" fontId="49" fillId="0" borderId="0" xfId="1" applyNumberFormat="1" applyFont="1" applyFill="1"/>
    <xf numFmtId="0" fontId="36" fillId="0" borderId="0" xfId="0" applyFont="1" applyAlignment="1">
      <alignment vertical="center" shrinkToFit="1"/>
    </xf>
    <xf numFmtId="4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208" fontId="9" fillId="0" borderId="0" xfId="0" applyNumberFormat="1" applyFont="1"/>
    <xf numFmtId="199" fontId="7" fillId="0" borderId="0" xfId="1" applyNumberFormat="1" applyFont="1" applyFill="1"/>
    <xf numFmtId="201" fontId="7" fillId="0" borderId="0" xfId="1" applyNumberFormat="1" applyFont="1" applyFill="1"/>
    <xf numFmtId="202" fontId="16" fillId="0" borderId="0" xfId="1" applyNumberFormat="1" applyFont="1" applyFill="1" applyAlignment="1">
      <alignment horizontal="right"/>
    </xf>
    <xf numFmtId="4" fontId="16" fillId="0" borderId="0" xfId="1" applyNumberFormat="1" applyFont="1" applyFill="1" applyAlignment="1">
      <alignment horizontal="right"/>
    </xf>
    <xf numFmtId="199" fontId="16" fillId="0" borderId="0" xfId="1" applyNumberFormat="1" applyFont="1" applyFill="1" applyAlignment="1">
      <alignment horizontal="center"/>
    </xf>
    <xf numFmtId="208" fontId="16" fillId="0" borderId="0" xfId="1" applyNumberFormat="1" applyFont="1" applyFill="1" applyAlignment="1">
      <alignment horizontal="center"/>
    </xf>
    <xf numFmtId="199" fontId="11" fillId="0" borderId="4" xfId="1" applyNumberFormat="1" applyFont="1" applyFill="1" applyBorder="1" applyAlignment="1">
      <alignment horizontal="right" vertical="center" wrapText="1"/>
    </xf>
    <xf numFmtId="4" fontId="11" fillId="0" borderId="4" xfId="1" applyNumberFormat="1" applyFont="1" applyFill="1" applyBorder="1" applyAlignment="1">
      <alignment horizontal="center" vertical="center" wrapText="1"/>
    </xf>
    <xf numFmtId="2" fontId="50" fillId="0" borderId="0" xfId="0" applyNumberFormat="1" applyFont="1"/>
    <xf numFmtId="194" fontId="9" fillId="0" borderId="0" xfId="0" applyNumberFormat="1" applyFont="1"/>
    <xf numFmtId="0" fontId="12" fillId="0" borderId="12" xfId="0" applyFont="1" applyBorder="1" applyAlignment="1">
      <alignment horizontal="left" vertical="center" wrapText="1" indent="1"/>
    </xf>
    <xf numFmtId="1" fontId="12" fillId="0" borderId="5" xfId="0" applyNumberFormat="1" applyFont="1" applyBorder="1" applyAlignment="1">
      <alignment horizontal="left" vertical="center" indent="1"/>
    </xf>
    <xf numFmtId="3" fontId="12" fillId="0" borderId="5" xfId="0" applyNumberFormat="1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wrapText="1" indent="1"/>
    </xf>
    <xf numFmtId="0" fontId="12" fillId="0" borderId="5" xfId="0" applyFont="1" applyBorder="1" applyAlignment="1">
      <alignment horizontal="left" vertical="center" wrapText="1" indent="1"/>
    </xf>
    <xf numFmtId="1" fontId="12" fillId="0" borderId="5" xfId="0" quotePrefix="1" applyNumberFormat="1" applyFont="1" applyBorder="1" applyAlignment="1">
      <alignment horizontal="left" vertical="center" indent="1"/>
    </xf>
    <xf numFmtId="3" fontId="12" fillId="0" borderId="13" xfId="0" applyNumberFormat="1" applyFont="1" applyBorder="1" applyAlignment="1">
      <alignment horizontal="left" vertical="center" indent="1"/>
    </xf>
    <xf numFmtId="1" fontId="12" fillId="0" borderId="13" xfId="0" applyNumberFormat="1" applyFont="1" applyBorder="1" applyAlignment="1">
      <alignment horizontal="left" vertical="center" indent="1"/>
    </xf>
    <xf numFmtId="0" fontId="12" fillId="0" borderId="13" xfId="0" applyFont="1" applyBorder="1" applyAlignment="1">
      <alignment horizontal="left" vertical="center" wrapText="1" indent="1"/>
    </xf>
    <xf numFmtId="0" fontId="43" fillId="0" borderId="0" xfId="0" applyFont="1"/>
    <xf numFmtId="4" fontId="3" fillId="0" borderId="0" xfId="0" applyNumberFormat="1" applyFont="1" applyAlignment="1">
      <alignment horizontal="right"/>
    </xf>
    <xf numFmtId="0" fontId="14" fillId="0" borderId="0" xfId="0" applyFont="1"/>
    <xf numFmtId="197" fontId="60" fillId="0" borderId="0" xfId="1" applyNumberFormat="1" applyFont="1" applyFill="1"/>
    <xf numFmtId="0" fontId="9" fillId="0" borderId="0" xfId="0" applyFont="1" applyAlignment="1">
      <alignment horizontal="left"/>
    </xf>
    <xf numFmtId="213" fontId="9" fillId="0" borderId="0" xfId="0" applyNumberFormat="1" applyFont="1"/>
    <xf numFmtId="192" fontId="9" fillId="0" borderId="0" xfId="0" applyNumberFormat="1" applyFont="1"/>
    <xf numFmtId="43" fontId="9" fillId="0" borderId="0" xfId="0" applyNumberFormat="1" applyFont="1"/>
    <xf numFmtId="200" fontId="9" fillId="0" borderId="0" xfId="0" applyNumberFormat="1" applyFont="1"/>
    <xf numFmtId="0" fontId="36" fillId="0" borderId="4" xfId="0" applyFont="1" applyBorder="1" applyAlignment="1">
      <alignment vertical="center" wrapText="1"/>
    </xf>
    <xf numFmtId="192" fontId="9" fillId="0" borderId="6" xfId="0" applyNumberFormat="1" applyFont="1" applyBorder="1"/>
    <xf numFmtId="0" fontId="36" fillId="0" borderId="4" xfId="0" applyFont="1" applyBorder="1" applyAlignment="1">
      <alignment horizontal="left" vertical="center" wrapText="1"/>
    </xf>
    <xf numFmtId="219" fontId="12" fillId="0" borderId="5" xfId="0" quotePrefix="1" applyNumberFormat="1" applyFont="1" applyBorder="1" applyAlignment="1">
      <alignment horizontal="left" vertical="center" indent="1"/>
    </xf>
    <xf numFmtId="213" fontId="12" fillId="0" borderId="5" xfId="0" applyNumberFormat="1" applyFont="1" applyBorder="1" applyAlignment="1">
      <alignment horizontal="left" vertical="center" wrapText="1" indent="1"/>
    </xf>
    <xf numFmtId="213" fontId="12" fillId="0" borderId="5" xfId="0" quotePrefix="1" applyNumberFormat="1" applyFont="1" applyBorder="1" applyAlignment="1">
      <alignment horizontal="left" vertical="center" indent="1"/>
    </xf>
    <xf numFmtId="213" fontId="12" fillId="0" borderId="12" xfId="0" applyNumberFormat="1" applyFont="1" applyBorder="1" applyAlignment="1">
      <alignment horizontal="left" vertical="center" wrapText="1" indent="1"/>
    </xf>
    <xf numFmtId="213" fontId="12" fillId="0" borderId="5" xfId="0" applyNumberFormat="1" applyFont="1" applyBorder="1" applyAlignment="1">
      <alignment horizontal="left" vertical="center" indent="1"/>
    </xf>
    <xf numFmtId="0" fontId="36" fillId="0" borderId="4" xfId="0" applyFont="1" applyBorder="1" applyAlignment="1">
      <alignment horizontal="center" vertical="center" shrinkToFit="1"/>
    </xf>
    <xf numFmtId="213" fontId="9" fillId="0" borderId="6" xfId="0" applyNumberFormat="1" applyFont="1" applyBorder="1"/>
    <xf numFmtId="0" fontId="9" fillId="0" borderId="2" xfId="0" applyFont="1" applyBorder="1"/>
    <xf numFmtId="192" fontId="50" fillId="0" borderId="0" xfId="0" applyNumberFormat="1" applyFont="1"/>
    <xf numFmtId="43" fontId="12" fillId="0" borderId="5" xfId="0" applyNumberFormat="1" applyFont="1" applyBorder="1" applyAlignment="1">
      <alignment horizontal="left" vertical="center" wrapText="1" indent="1"/>
    </xf>
    <xf numFmtId="213" fontId="61" fillId="0" borderId="0" xfId="0" applyNumberFormat="1" applyFont="1"/>
    <xf numFmtId="0" fontId="7" fillId="0" borderId="5" xfId="0" applyFont="1" applyBorder="1" applyAlignment="1">
      <alignment horizontal="center" vertical="center" shrinkToFit="1"/>
    </xf>
    <xf numFmtId="4" fontId="7" fillId="0" borderId="5" xfId="0" applyNumberFormat="1" applyFont="1" applyBorder="1" applyAlignment="1">
      <alignment horizontal="center" vertical="center" shrinkToFit="1"/>
    </xf>
    <xf numFmtId="191" fontId="36" fillId="0" borderId="5" xfId="1" applyNumberFormat="1" applyFont="1" applyFill="1" applyBorder="1" applyAlignment="1">
      <alignment horizontal="center" vertical="center"/>
    </xf>
    <xf numFmtId="200" fontId="11" fillId="0" borderId="5" xfId="0" applyNumberFormat="1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 shrinkToFit="1"/>
    </xf>
    <xf numFmtId="3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 wrapText="1"/>
    </xf>
    <xf numFmtId="3" fontId="9" fillId="0" borderId="0" xfId="0" applyNumberFormat="1" applyFont="1" applyAlignment="1">
      <alignment vertical="center"/>
    </xf>
    <xf numFmtId="0" fontId="42" fillId="0" borderId="0" xfId="0" applyFont="1"/>
    <xf numFmtId="0" fontId="7" fillId="0" borderId="4" xfId="0" applyFont="1" applyBorder="1" applyAlignment="1">
      <alignment vertical="center" wrapText="1"/>
    </xf>
    <xf numFmtId="191" fontId="7" fillId="0" borderId="0" xfId="1" applyNumberFormat="1" applyFont="1" applyFill="1" applyBorder="1" applyAlignment="1">
      <alignment horizontal="center" vertical="center" shrinkToFit="1"/>
    </xf>
    <xf numFmtId="2" fontId="3" fillId="0" borderId="0" xfId="0" applyNumberFormat="1" applyFont="1"/>
    <xf numFmtId="197" fontId="85" fillId="0" borderId="0" xfId="1" applyNumberFormat="1" applyFont="1" applyFill="1"/>
    <xf numFmtId="199" fontId="25" fillId="0" borderId="0" xfId="1" applyNumberFormat="1" applyFont="1" applyFill="1" applyAlignment="1"/>
    <xf numFmtId="0" fontId="59" fillId="0" borderId="0" xfId="0" applyFont="1"/>
    <xf numFmtId="0" fontId="7" fillId="0" borderId="0" xfId="0" applyFont="1" applyAlignment="1">
      <alignment horizontal="left"/>
    </xf>
    <xf numFmtId="197" fontId="7" fillId="0" borderId="0" xfId="1" applyNumberFormat="1" applyFont="1" applyFill="1"/>
    <xf numFmtId="0" fontId="7" fillId="0" borderId="4" xfId="0" applyFont="1" applyBorder="1"/>
    <xf numFmtId="19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98" fontId="3" fillId="0" borderId="0" xfId="0" applyNumberFormat="1" applyFont="1" applyAlignment="1">
      <alignment vertical="center"/>
    </xf>
    <xf numFmtId="197" fontId="10" fillId="0" borderId="0" xfId="1" applyNumberFormat="1" applyFont="1" applyFill="1" applyBorder="1"/>
    <xf numFmtId="197" fontId="12" fillId="0" borderId="0" xfId="1" applyNumberFormat="1" applyFont="1" applyFill="1"/>
    <xf numFmtId="3" fontId="3" fillId="0" borderId="0" xfId="0" applyNumberFormat="1" applyFont="1"/>
    <xf numFmtId="0" fontId="10" fillId="0" borderId="0" xfId="0" applyFont="1" applyAlignment="1">
      <alignment horizontal="left"/>
    </xf>
    <xf numFmtId="197" fontId="10" fillId="0" borderId="0" xfId="1" applyNumberFormat="1" applyFont="1" applyFill="1" applyAlignment="1">
      <alignment horizontal="center"/>
    </xf>
    <xf numFmtId="193" fontId="0" fillId="0" borderId="5" xfId="0" applyNumberFormat="1" applyBorder="1"/>
    <xf numFmtId="221" fontId="0" fillId="0" borderId="5" xfId="0" applyNumberFormat="1" applyBorder="1"/>
    <xf numFmtId="210" fontId="0" fillId="0" borderId="5" xfId="0" applyNumberFormat="1" applyBorder="1"/>
    <xf numFmtId="0" fontId="0" fillId="0" borderId="5" xfId="0" applyBorder="1"/>
    <xf numFmtId="209" fontId="0" fillId="0" borderId="5" xfId="0" applyNumberFormat="1" applyBorder="1"/>
    <xf numFmtId="210" fontId="34" fillId="0" borderId="4" xfId="7" applyNumberFormat="1" applyFont="1" applyFill="1" applyBorder="1" applyAlignment="1">
      <alignment horizontal="center"/>
    </xf>
    <xf numFmtId="197" fontId="49" fillId="0" borderId="5" xfId="1" applyNumberFormat="1" applyFont="1" applyFill="1" applyBorder="1"/>
    <xf numFmtId="191" fontId="0" fillId="0" borderId="5" xfId="0" applyNumberFormat="1" applyBorder="1" applyAlignment="1">
      <alignment horizontal="left"/>
    </xf>
    <xf numFmtId="197" fontId="60" fillId="0" borderId="5" xfId="1" applyNumberFormat="1" applyFont="1" applyFill="1" applyBorder="1"/>
    <xf numFmtId="0" fontId="75" fillId="0" borderId="0" xfId="0" applyFont="1" applyAlignment="1">
      <alignment horizontal="center" vertical="center"/>
    </xf>
    <xf numFmtId="0" fontId="71" fillId="0" borderId="0" xfId="0" applyFont="1"/>
    <xf numFmtId="0" fontId="74" fillId="0" borderId="0" xfId="0" applyFont="1"/>
    <xf numFmtId="214" fontId="0" fillId="0" borderId="5" xfId="0" applyNumberFormat="1" applyBorder="1"/>
    <xf numFmtId="0" fontId="15" fillId="0" borderId="4" xfId="0" applyFont="1" applyBorder="1"/>
    <xf numFmtId="208" fontId="18" fillId="0" borderId="6" xfId="0" applyNumberFormat="1" applyFont="1" applyBorder="1"/>
    <xf numFmtId="0" fontId="79" fillId="0" borderId="0" xfId="0" applyFont="1" applyAlignment="1">
      <alignment horizontal="center"/>
    </xf>
    <xf numFmtId="199" fontId="79" fillId="0" borderId="0" xfId="1" applyNumberFormat="1" applyFont="1" applyFill="1"/>
    <xf numFmtId="0" fontId="78" fillId="0" borderId="0" xfId="0" applyFont="1"/>
    <xf numFmtId="198" fontId="78" fillId="0" borderId="0" xfId="19" applyNumberFormat="1" applyFont="1" applyAlignment="1">
      <alignment horizontal="center"/>
    </xf>
    <xf numFmtId="198" fontId="78" fillId="0" borderId="0" xfId="0" applyNumberFormat="1" applyFont="1"/>
    <xf numFmtId="199" fontId="78" fillId="0" borderId="0" xfId="1" applyNumberFormat="1" applyFont="1" applyFill="1"/>
    <xf numFmtId="4" fontId="30" fillId="0" borderId="4" xfId="0" applyNumberFormat="1" applyFont="1" applyBorder="1"/>
    <xf numFmtId="194" fontId="30" fillId="0" borderId="4" xfId="0" applyNumberFormat="1" applyFont="1" applyBorder="1"/>
    <xf numFmtId="0" fontId="68" fillId="0" borderId="0" xfId="0" applyFont="1" applyAlignment="1">
      <alignment vertical="center"/>
    </xf>
    <xf numFmtId="197" fontId="78" fillId="0" borderId="0" xfId="1" applyNumberFormat="1" applyFont="1" applyFill="1"/>
    <xf numFmtId="0" fontId="35" fillId="0" borderId="0" xfId="0" applyFont="1"/>
    <xf numFmtId="3" fontId="12" fillId="0" borderId="0" xfId="0" applyNumberFormat="1" applyFont="1"/>
    <xf numFmtId="0" fontId="7" fillId="0" borderId="1" xfId="0" applyFont="1" applyBorder="1" applyAlignment="1">
      <alignment horizontal="center" vertical="center" shrinkToFit="1"/>
    </xf>
    <xf numFmtId="4" fontId="7" fillId="0" borderId="1" xfId="0" applyNumberFormat="1" applyFont="1" applyBorder="1" applyAlignment="1">
      <alignment horizontal="center" vertical="center" shrinkToFit="1"/>
    </xf>
    <xf numFmtId="192" fontId="7" fillId="0" borderId="1" xfId="1" applyNumberFormat="1" applyFont="1" applyFill="1" applyBorder="1" applyAlignment="1">
      <alignment horizontal="center" vertical="center" shrinkToFit="1"/>
    </xf>
    <xf numFmtId="198" fontId="7" fillId="0" borderId="5" xfId="1" applyNumberFormat="1" applyFont="1" applyFill="1" applyBorder="1" applyAlignment="1">
      <alignment horizontal="right" vertical="center" shrinkToFit="1"/>
    </xf>
    <xf numFmtId="192" fontId="7" fillId="0" borderId="5" xfId="1" applyNumberFormat="1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9" xfId="0" applyFont="1" applyBorder="1"/>
    <xf numFmtId="4" fontId="7" fillId="0" borderId="9" xfId="0" applyNumberFormat="1" applyFont="1" applyBorder="1" applyAlignment="1">
      <alignment horizontal="center" vertical="center" shrinkToFit="1"/>
    </xf>
    <xf numFmtId="2" fontId="7" fillId="0" borderId="9" xfId="1" applyNumberFormat="1" applyFont="1" applyFill="1" applyBorder="1" applyAlignment="1">
      <alignment horizontal="right" vertical="center" wrapText="1"/>
    </xf>
    <xf numFmtId="208" fontId="7" fillId="0" borderId="9" xfId="1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4" fontId="7" fillId="0" borderId="1" xfId="1" applyNumberFormat="1" applyFont="1" applyFill="1" applyBorder="1" applyAlignment="1">
      <alignment horizontal="right" vertical="center" shrinkToFit="1"/>
    </xf>
    <xf numFmtId="2" fontId="7" fillId="0" borderId="18" xfId="0" applyNumberFormat="1" applyFont="1" applyBorder="1" applyAlignment="1">
      <alignment horizontal="center" vertical="center" shrinkToFit="1"/>
    </xf>
    <xf numFmtId="193" fontId="7" fillId="0" borderId="18" xfId="1" applyNumberFormat="1" applyFont="1" applyFill="1" applyBorder="1" applyAlignment="1">
      <alignment vertical="center" shrinkToFit="1"/>
    </xf>
    <xf numFmtId="193" fontId="34" fillId="0" borderId="4" xfId="7" applyNumberFormat="1" applyFont="1" applyFill="1" applyBorder="1" applyAlignment="1">
      <alignment horizontal="center"/>
    </xf>
    <xf numFmtId="4" fontId="10" fillId="0" borderId="4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4" xfId="18" applyFont="1" applyBorder="1" applyAlignment="1">
      <alignment horizontal="center" vertical="center"/>
    </xf>
    <xf numFmtId="213" fontId="12" fillId="0" borderId="0" xfId="1" applyNumberFormat="1" applyFont="1" applyFill="1"/>
    <xf numFmtId="0" fontId="86" fillId="0" borderId="0" xfId="16" applyFont="1"/>
    <xf numFmtId="192" fontId="35" fillId="0" borderId="0" xfId="1" applyNumberFormat="1" applyFont="1" applyFill="1"/>
    <xf numFmtId="226" fontId="35" fillId="0" borderId="0" xfId="1" applyNumberFormat="1" applyFont="1" applyFill="1"/>
    <xf numFmtId="227" fontId="35" fillId="0" borderId="0" xfId="0" applyNumberFormat="1" applyFont="1"/>
    <xf numFmtId="0" fontId="17" fillId="0" borderId="0" xfId="0" applyFont="1"/>
    <xf numFmtId="192" fontId="17" fillId="0" borderId="0" xfId="0" applyNumberFormat="1" applyFont="1"/>
    <xf numFmtId="2" fontId="7" fillId="0" borderId="11" xfId="0" applyNumberFormat="1" applyFont="1" applyBorder="1" applyAlignment="1">
      <alignment horizontal="center" vertical="center" shrinkToFit="1"/>
    </xf>
    <xf numFmtId="4" fontId="7" fillId="0" borderId="11" xfId="0" applyNumberFormat="1" applyFont="1" applyBorder="1" applyAlignment="1">
      <alignment horizontal="center" vertical="center" shrinkToFit="1"/>
    </xf>
    <xf numFmtId="0" fontId="7" fillId="0" borderId="11" xfId="0" applyFont="1" applyBorder="1"/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shrinkToFit="1"/>
    </xf>
    <xf numFmtId="213" fontId="35" fillId="0" borderId="0" xfId="0" applyNumberFormat="1" applyFont="1"/>
    <xf numFmtId="0" fontId="83" fillId="0" borderId="0" xfId="16" applyFont="1"/>
    <xf numFmtId="0" fontId="20" fillId="0" borderId="0" xfId="16" applyFont="1"/>
    <xf numFmtId="0" fontId="21" fillId="0" borderId="0" xfId="16" applyFont="1"/>
    <xf numFmtId="0" fontId="34" fillId="0" borderId="4" xfId="18" applyFont="1" applyBorder="1" applyAlignment="1">
      <alignment horizontal="left" vertical="center"/>
    </xf>
    <xf numFmtId="3" fontId="17" fillId="0" borderId="0" xfId="0" applyNumberFormat="1" applyFont="1"/>
    <xf numFmtId="197" fontId="9" fillId="0" borderId="0" xfId="0" applyNumberFormat="1" applyFont="1"/>
    <xf numFmtId="0" fontId="36" fillId="0" borderId="4" xfId="0" applyFont="1" applyBorder="1" applyAlignment="1">
      <alignment horizontal="center" vertical="center" wrapText="1"/>
    </xf>
    <xf numFmtId="198" fontId="36" fillId="0" borderId="4" xfId="1" applyNumberFormat="1" applyFont="1" applyFill="1" applyBorder="1" applyAlignment="1">
      <alignment vertical="center" wrapText="1"/>
    </xf>
    <xf numFmtId="4" fontId="12" fillId="0" borderId="4" xfId="1" applyNumberFormat="1" applyFont="1" applyFill="1" applyBorder="1" applyAlignment="1">
      <alignment horizontal="center" vertical="center"/>
    </xf>
    <xf numFmtId="4" fontId="10" fillId="0" borderId="4" xfId="1" applyNumberFormat="1" applyFont="1" applyFill="1" applyBorder="1" applyAlignment="1">
      <alignment horizontal="center" vertical="center"/>
    </xf>
    <xf numFmtId="4" fontId="12" fillId="0" borderId="4" xfId="0" applyNumberFormat="1" applyFont="1" applyBorder="1" applyAlignment="1">
      <alignment horizontal="center"/>
    </xf>
    <xf numFmtId="0" fontId="83" fillId="0" borderId="0" xfId="16" applyFont="1" applyAlignment="1">
      <alignment horizontal="center"/>
    </xf>
    <xf numFmtId="0" fontId="20" fillId="0" borderId="0" xfId="16" applyFont="1" applyAlignment="1">
      <alignment horizontal="center"/>
    </xf>
    <xf numFmtId="197" fontId="12" fillId="0" borderId="0" xfId="1" applyNumberFormat="1" applyFont="1" applyFill="1" applyAlignment="1">
      <alignment horizontal="center"/>
    </xf>
    <xf numFmtId="197" fontId="10" fillId="0" borderId="4" xfId="1" applyNumberFormat="1" applyFont="1" applyFill="1" applyBorder="1" applyAlignment="1">
      <alignment horizontal="center" vertical="center" wrapText="1"/>
    </xf>
    <xf numFmtId="197" fontId="12" fillId="0" borderId="4" xfId="1" applyNumberFormat="1" applyFont="1" applyFill="1" applyBorder="1" applyAlignment="1">
      <alignment horizontal="right"/>
    </xf>
    <xf numFmtId="197" fontId="10" fillId="0" borderId="4" xfId="1" applyNumberFormat="1" applyFont="1" applyFill="1" applyBorder="1" applyAlignment="1">
      <alignment horizontal="right"/>
    </xf>
    <xf numFmtId="197" fontId="83" fillId="0" borderId="0" xfId="1" applyNumberFormat="1" applyFont="1" applyFill="1"/>
    <xf numFmtId="197" fontId="20" fillId="0" borderId="0" xfId="1" applyNumberFormat="1" applyFont="1" applyFill="1"/>
    <xf numFmtId="197" fontId="21" fillId="0" borderId="0" xfId="1" applyNumberFormat="1" applyFont="1" applyFill="1" applyAlignment="1"/>
    <xf numFmtId="196" fontId="10" fillId="0" borderId="4" xfId="1" applyFont="1" applyFill="1" applyBorder="1" applyAlignment="1">
      <alignment horizontal="center" vertical="center" wrapText="1"/>
    </xf>
    <xf numFmtId="196" fontId="10" fillId="0" borderId="4" xfId="1" applyFont="1" applyFill="1" applyBorder="1" applyAlignment="1">
      <alignment horizontal="right"/>
    </xf>
    <xf numFmtId="196" fontId="12" fillId="0" borderId="4" xfId="1" applyFont="1" applyFill="1" applyBorder="1" applyAlignment="1">
      <alignment horizontal="right"/>
    </xf>
    <xf numFmtId="196" fontId="12" fillId="0" borderId="0" xfId="1" applyFont="1" applyFill="1"/>
    <xf numFmtId="196" fontId="83" fillId="0" borderId="0" xfId="1" applyFont="1" applyFill="1"/>
    <xf numFmtId="196" fontId="20" fillId="0" borderId="0" xfId="1" applyFont="1" applyFill="1"/>
    <xf numFmtId="196" fontId="21" fillId="0" borderId="0" xfId="1" applyFont="1" applyFill="1" applyAlignment="1"/>
    <xf numFmtId="0" fontId="96" fillId="0" borderId="4" xfId="0" applyFont="1" applyBorder="1" applyAlignment="1">
      <alignment horizontal="left" vertical="center" wrapText="1"/>
    </xf>
    <xf numFmtId="213" fontId="50" fillId="0" borderId="6" xfId="0" applyNumberFormat="1" applyFont="1" applyBorder="1"/>
    <xf numFmtId="213" fontId="3" fillId="0" borderId="0" xfId="0" applyNumberFormat="1" applyFont="1"/>
    <xf numFmtId="0" fontId="11" fillId="0" borderId="7" xfId="0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2" fontId="7" fillId="0" borderId="7" xfId="1" applyNumberFormat="1" applyFont="1" applyFill="1" applyBorder="1" applyAlignment="1">
      <alignment horizontal="right" vertical="center" wrapText="1"/>
    </xf>
    <xf numFmtId="210" fontId="7" fillId="0" borderId="7" xfId="1" applyNumberFormat="1" applyFont="1" applyFill="1" applyBorder="1" applyAlignment="1">
      <alignment horizontal="right" vertical="center" wrapText="1"/>
    </xf>
    <xf numFmtId="200" fontId="7" fillId="0" borderId="5" xfId="1" applyNumberFormat="1" applyFont="1" applyFill="1" applyBorder="1" applyAlignment="1">
      <alignment horizontal="center" vertical="center" shrinkToFit="1"/>
    </xf>
    <xf numFmtId="193" fontId="7" fillId="0" borderId="5" xfId="1" applyNumberFormat="1" applyFont="1" applyFill="1" applyBorder="1" applyAlignment="1">
      <alignment vertical="center" shrinkToFit="1"/>
    </xf>
    <xf numFmtId="210" fontId="7" fillId="0" borderId="5" xfId="1" applyNumberFormat="1" applyFont="1" applyFill="1" applyBorder="1" applyAlignment="1">
      <alignment horizontal="right" vertical="center" wrapText="1"/>
    </xf>
    <xf numFmtId="4" fontId="9" fillId="0" borderId="0" xfId="0" applyNumberFormat="1" applyFont="1" applyAlignment="1">
      <alignment vertical="center" wrapText="1"/>
    </xf>
    <xf numFmtId="0" fontId="25" fillId="0" borderId="0" xfId="0" applyFont="1"/>
    <xf numFmtId="4" fontId="10" fillId="0" borderId="4" xfId="0" applyNumberFormat="1" applyFont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1" fontId="11" fillId="0" borderId="20" xfId="0" applyNumberFormat="1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88" fillId="0" borderId="0" xfId="0" applyFont="1"/>
    <xf numFmtId="0" fontId="39" fillId="0" borderId="0" xfId="0" applyFont="1" applyAlignment="1">
      <alignment horizontal="left"/>
    </xf>
    <xf numFmtId="197" fontId="12" fillId="0" borderId="4" xfId="1" applyNumberFormat="1" applyFont="1" applyFill="1" applyBorder="1" applyAlignment="1">
      <alignment horizontal="center" vertical="center" wrapText="1"/>
    </xf>
    <xf numFmtId="215" fontId="30" fillId="0" borderId="4" xfId="0" applyNumberFormat="1" applyFont="1" applyBorder="1"/>
    <xf numFmtId="4" fontId="7" fillId="0" borderId="18" xfId="0" applyNumberFormat="1" applyFont="1" applyBorder="1" applyAlignment="1">
      <alignment horizontal="center" vertical="center" shrinkToFit="1"/>
    </xf>
    <xf numFmtId="192" fontId="0" fillId="0" borderId="5" xfId="0" applyNumberFormat="1" applyBorder="1"/>
    <xf numFmtId="191" fontId="78" fillId="0" borderId="4" xfId="1" applyNumberFormat="1" applyFont="1" applyFill="1" applyBorder="1" applyAlignment="1">
      <alignment horizontal="right" vertical="center"/>
    </xf>
    <xf numFmtId="0" fontId="12" fillId="0" borderId="4" xfId="0" applyFont="1" applyBorder="1" applyAlignment="1">
      <alignment horizontal="left" vertical="center"/>
    </xf>
    <xf numFmtId="0" fontId="5" fillId="0" borderId="0" xfId="0" applyFont="1"/>
    <xf numFmtId="192" fontId="68" fillId="0" borderId="0" xfId="1" applyNumberFormat="1" applyFont="1" applyFill="1" applyBorder="1" applyAlignment="1">
      <alignment horizontal="center"/>
    </xf>
    <xf numFmtId="0" fontId="68" fillId="0" borderId="0" xfId="0" applyFont="1" applyAlignment="1">
      <alignment horizontal="center"/>
    </xf>
    <xf numFmtId="0" fontId="6" fillId="0" borderId="0" xfId="0" applyFont="1"/>
    <xf numFmtId="192" fontId="74" fillId="0" borderId="0" xfId="1" applyNumberFormat="1" applyFont="1" applyFill="1" applyBorder="1" applyAlignment="1">
      <alignment horizontal="center"/>
    </xf>
    <xf numFmtId="197" fontId="5" fillId="0" borderId="0" xfId="1" applyNumberFormat="1" applyFont="1" applyFill="1" applyBorder="1"/>
    <xf numFmtId="192" fontId="5" fillId="0" borderId="0" xfId="1" applyNumberFormat="1" applyFont="1" applyFill="1" applyBorder="1"/>
    <xf numFmtId="0" fontId="72" fillId="0" borderId="0" xfId="0" applyFont="1"/>
    <xf numFmtId="197" fontId="72" fillId="0" borderId="0" xfId="1" applyNumberFormat="1" applyFont="1" applyFill="1" applyBorder="1"/>
    <xf numFmtId="197" fontId="5" fillId="0" borderId="0" xfId="1" applyNumberFormat="1" applyFont="1" applyFill="1"/>
    <xf numFmtId="0" fontId="75" fillId="0" borderId="0" xfId="0" applyFont="1" applyAlignment="1">
      <alignment horizontal="center" vertical="center" wrapText="1"/>
    </xf>
    <xf numFmtId="9" fontId="68" fillId="0" borderId="0" xfId="21" applyFont="1" applyFill="1" applyBorder="1" applyAlignment="1">
      <alignment horizontal="center"/>
    </xf>
    <xf numFmtId="197" fontId="66" fillId="0" borderId="0" xfId="0" applyNumberFormat="1" applyFont="1" applyAlignment="1">
      <alignment horizontal="center" vertical="center"/>
    </xf>
    <xf numFmtId="0" fontId="66" fillId="0" borderId="0" xfId="0" applyFont="1" applyAlignment="1">
      <alignment vertical="center"/>
    </xf>
    <xf numFmtId="197" fontId="68" fillId="0" borderId="0" xfId="0" applyNumberFormat="1" applyFont="1" applyAlignment="1">
      <alignment vertical="center"/>
    </xf>
    <xf numFmtId="0" fontId="66" fillId="0" borderId="0" xfId="0" applyFont="1" applyAlignment="1">
      <alignment horizontal="center" vertical="center" wrapText="1"/>
    </xf>
    <xf numFmtId="9" fontId="71" fillId="0" borderId="0" xfId="21" applyFont="1" applyFill="1" applyBorder="1"/>
    <xf numFmtId="192" fontId="5" fillId="0" borderId="0" xfId="1" applyNumberFormat="1" applyFont="1" applyFill="1"/>
    <xf numFmtId="0" fontId="66" fillId="0" borderId="0" xfId="0" applyFont="1"/>
    <xf numFmtId="0" fontId="73" fillId="0" borderId="0" xfId="0" applyFont="1" applyAlignment="1">
      <alignment vertical="center"/>
    </xf>
    <xf numFmtId="197" fontId="71" fillId="0" borderId="0" xfId="1" applyNumberFormat="1" applyFont="1" applyFill="1" applyBorder="1"/>
    <xf numFmtId="197" fontId="66" fillId="0" borderId="0" xfId="1" applyNumberFormat="1" applyFont="1" applyFill="1" applyBorder="1" applyAlignment="1">
      <alignment vertical="center"/>
    </xf>
    <xf numFmtId="4" fontId="68" fillId="0" borderId="0" xfId="0" applyNumberFormat="1" applyFont="1" applyAlignment="1">
      <alignment vertical="center"/>
    </xf>
    <xf numFmtId="192" fontId="71" fillId="0" borderId="0" xfId="1" applyNumberFormat="1" applyFont="1" applyFill="1" applyBorder="1"/>
    <xf numFmtId="0" fontId="76" fillId="0" borderId="0" xfId="0" applyFont="1"/>
    <xf numFmtId="3" fontId="71" fillId="0" borderId="0" xfId="0" applyNumberFormat="1" applyFont="1"/>
    <xf numFmtId="192" fontId="74" fillId="0" borderId="0" xfId="1" applyNumberFormat="1" applyFont="1" applyFill="1" applyBorder="1"/>
    <xf numFmtId="0" fontId="100" fillId="0" borderId="0" xfId="0" applyFont="1"/>
    <xf numFmtId="218" fontId="71" fillId="0" borderId="0" xfId="0" applyNumberFormat="1" applyFont="1"/>
    <xf numFmtId="3" fontId="76" fillId="0" borderId="0" xfId="0" applyNumberFormat="1" applyFont="1"/>
    <xf numFmtId="218" fontId="74" fillId="0" borderId="0" xfId="0" applyNumberFormat="1" applyFont="1"/>
    <xf numFmtId="216" fontId="71" fillId="0" borderId="0" xfId="0" applyNumberFormat="1" applyFont="1"/>
    <xf numFmtId="0" fontId="75" fillId="0" borderId="0" xfId="0" applyFont="1"/>
    <xf numFmtId="0" fontId="78" fillId="0" borderId="4" xfId="0" applyFont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52" fillId="0" borderId="0" xfId="0" applyFont="1" applyAlignment="1">
      <alignment horizontal="center"/>
    </xf>
    <xf numFmtId="198" fontId="28" fillId="0" borderId="0" xfId="1" applyNumberFormat="1" applyFont="1" applyFill="1" applyBorder="1" applyAlignment="1">
      <alignment vertical="center"/>
    </xf>
    <xf numFmtId="4" fontId="3" fillId="0" borderId="0" xfId="0" applyNumberFormat="1" applyFont="1" applyAlignment="1">
      <alignment vertical="center"/>
    </xf>
    <xf numFmtId="4" fontId="12" fillId="0" borderId="4" xfId="0" applyNumberFormat="1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right" vertical="center"/>
    </xf>
    <xf numFmtId="1" fontId="78" fillId="0" borderId="4" xfId="0" applyNumberFormat="1" applyFont="1" applyBorder="1" applyAlignment="1">
      <alignment horizontal="center" vertical="center" wrapText="1"/>
    </xf>
    <xf numFmtId="188" fontId="5" fillId="0" borderId="0" xfId="0" applyNumberFormat="1" applyFont="1"/>
    <xf numFmtId="192" fontId="68" fillId="0" borderId="0" xfId="1" applyNumberFormat="1" applyFont="1" applyFill="1" applyBorder="1"/>
    <xf numFmtId="188" fontId="68" fillId="0" borderId="0" xfId="0" applyNumberFormat="1" applyFont="1"/>
    <xf numFmtId="229" fontId="68" fillId="0" borderId="0" xfId="0" applyNumberFormat="1" applyFont="1"/>
    <xf numFmtId="229" fontId="5" fillId="0" borderId="0" xfId="0" applyNumberFormat="1" applyFont="1"/>
    <xf numFmtId="4" fontId="105" fillId="0" borderId="0" xfId="1" applyNumberFormat="1" applyFont="1" applyFill="1"/>
    <xf numFmtId="191" fontId="105" fillId="0" borderId="0" xfId="1" applyNumberFormat="1" applyFont="1" applyFill="1" applyAlignment="1">
      <alignment horizontal="center"/>
    </xf>
    <xf numFmtId="191" fontId="105" fillId="0" borderId="0" xfId="1" applyNumberFormat="1" applyFont="1" applyFill="1"/>
    <xf numFmtId="3" fontId="105" fillId="0" borderId="0" xfId="1" applyNumberFormat="1" applyFont="1" applyFill="1" applyAlignment="1"/>
    <xf numFmtId="197" fontId="12" fillId="0" borderId="0" xfId="0" applyNumberFormat="1" applyFont="1"/>
    <xf numFmtId="1" fontId="12" fillId="0" borderId="0" xfId="0" applyNumberFormat="1" applyFont="1"/>
    <xf numFmtId="197" fontId="10" fillId="0" borderId="0" xfId="1" applyNumberFormat="1" applyFont="1" applyFill="1"/>
    <xf numFmtId="210" fontId="37" fillId="0" borderId="4" xfId="0" applyNumberFormat="1" applyFont="1" applyBorder="1"/>
    <xf numFmtId="0" fontId="78" fillId="2" borderId="0" xfId="0" applyFont="1" applyFill="1" applyAlignment="1">
      <alignment horizontal="center"/>
    </xf>
    <xf numFmtId="199" fontId="78" fillId="2" borderId="0" xfId="1" applyNumberFormat="1" applyFont="1" applyFill="1"/>
    <xf numFmtId="0" fontId="26" fillId="0" borderId="0" xfId="0" applyFont="1"/>
    <xf numFmtId="0" fontId="26" fillId="2" borderId="0" xfId="0" applyFont="1" applyFill="1"/>
    <xf numFmtId="0" fontId="26" fillId="2" borderId="0" xfId="0" applyFont="1" applyFill="1" applyAlignment="1">
      <alignment horizontal="center"/>
    </xf>
    <xf numFmtId="201" fontId="78" fillId="2" borderId="0" xfId="1" applyNumberFormat="1" applyFont="1" applyFill="1"/>
    <xf numFmtId="202" fontId="26" fillId="2" borderId="0" xfId="1" applyNumberFormat="1" applyFont="1" applyFill="1" applyAlignment="1">
      <alignment horizontal="center"/>
    </xf>
    <xf numFmtId="199" fontId="26" fillId="2" borderId="0" xfId="1" applyNumberFormat="1" applyFont="1" applyFill="1" applyAlignment="1">
      <alignment horizontal="center"/>
    </xf>
    <xf numFmtId="2" fontId="59" fillId="0" borderId="0" xfId="0" applyNumberFormat="1" applyFont="1"/>
    <xf numFmtId="0" fontId="25" fillId="2" borderId="0" xfId="0" applyFont="1" applyFill="1" applyAlignment="1">
      <alignment wrapText="1"/>
    </xf>
    <xf numFmtId="0" fontId="25" fillId="2" borderId="0" xfId="0" applyFont="1" applyFill="1"/>
    <xf numFmtId="0" fontId="78" fillId="0" borderId="0" xfId="0" applyFont="1" applyAlignment="1">
      <alignment vertical="center"/>
    </xf>
    <xf numFmtId="196" fontId="78" fillId="0" borderId="0" xfId="1" applyFont="1" applyFill="1" applyAlignment="1">
      <alignment horizontal="center"/>
    </xf>
    <xf numFmtId="4" fontId="25" fillId="0" borderId="0" xfId="0" applyNumberFormat="1" applyFont="1" applyAlignment="1">
      <alignment vertical="center"/>
    </xf>
    <xf numFmtId="3" fontId="25" fillId="0" borderId="0" xfId="0" applyNumberFormat="1" applyFont="1" applyAlignment="1">
      <alignment vertical="center" wrapText="1"/>
    </xf>
    <xf numFmtId="3" fontId="25" fillId="0" borderId="0" xfId="0" applyNumberFormat="1" applyFont="1" applyAlignment="1">
      <alignment vertical="center"/>
    </xf>
    <xf numFmtId="4" fontId="78" fillId="0" borderId="0" xfId="0" applyNumberFormat="1" applyFont="1" applyAlignment="1">
      <alignment vertical="center"/>
    </xf>
    <xf numFmtId="3" fontId="78" fillId="0" borderId="0" xfId="0" applyNumberFormat="1" applyFont="1" applyAlignment="1">
      <alignment vertical="center" wrapText="1"/>
    </xf>
    <xf numFmtId="3" fontId="78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191" fontId="108" fillId="0" borderId="0" xfId="1" applyNumberFormat="1" applyFont="1" applyFill="1" applyAlignment="1">
      <alignment horizontal="center"/>
    </xf>
    <xf numFmtId="191" fontId="108" fillId="0" borderId="0" xfId="1" applyNumberFormat="1" applyFont="1" applyFill="1" applyAlignment="1"/>
    <xf numFmtId="4" fontId="105" fillId="0" borderId="0" xfId="1" applyNumberFormat="1" applyFont="1" applyFill="1" applyBorder="1" applyAlignment="1"/>
    <xf numFmtId="191" fontId="105" fillId="0" borderId="0" xfId="1" applyNumberFormat="1" applyFont="1" applyFill="1" applyBorder="1" applyAlignment="1">
      <alignment horizontal="center"/>
    </xf>
    <xf numFmtId="191" fontId="105" fillId="0" borderId="0" xfId="1" applyNumberFormat="1" applyFont="1" applyFill="1" applyBorder="1" applyAlignment="1"/>
    <xf numFmtId="191" fontId="105" fillId="0" borderId="0" xfId="1" applyNumberFormat="1" applyFont="1" applyFill="1" applyBorder="1"/>
    <xf numFmtId="211" fontId="105" fillId="0" borderId="0" xfId="1" applyNumberFormat="1" applyFont="1" applyFill="1"/>
    <xf numFmtId="4" fontId="105" fillId="0" borderId="0" xfId="1" applyNumberFormat="1" applyFont="1" applyFill="1" applyAlignment="1"/>
    <xf numFmtId="0" fontId="78" fillId="0" borderId="4" xfId="0" quotePrefix="1" applyFont="1" applyBorder="1" applyAlignment="1">
      <alignment horizontal="center" vertical="center"/>
    </xf>
    <xf numFmtId="0" fontId="37" fillId="0" borderId="4" xfId="0" applyFont="1" applyBorder="1"/>
    <xf numFmtId="0" fontId="34" fillId="0" borderId="4" xfId="0" applyFont="1" applyBorder="1"/>
    <xf numFmtId="0" fontId="0" fillId="0" borderId="7" xfId="0" applyBorder="1"/>
    <xf numFmtId="193" fontId="34" fillId="0" borderId="4" xfId="0" applyNumberFormat="1" applyFont="1" applyBorder="1"/>
    <xf numFmtId="193" fontId="34" fillId="0" borderId="4" xfId="7" applyNumberFormat="1" applyFont="1" applyFill="1" applyBorder="1"/>
    <xf numFmtId="192" fontId="0" fillId="0" borderId="4" xfId="0" applyNumberFormat="1" applyBorder="1"/>
    <xf numFmtId="209" fontId="34" fillId="0" borderId="4" xfId="7" applyNumberFormat="1" applyFont="1" applyFill="1" applyBorder="1" applyAlignment="1">
      <alignment horizontal="center"/>
    </xf>
    <xf numFmtId="0" fontId="0" fillId="0" borderId="4" xfId="0" applyBorder="1"/>
    <xf numFmtId="224" fontId="69" fillId="0" borderId="8" xfId="0" applyNumberFormat="1" applyFont="1" applyBorder="1"/>
    <xf numFmtId="225" fontId="69" fillId="0" borderId="8" xfId="0" applyNumberFormat="1" applyFont="1" applyBorder="1"/>
    <xf numFmtId="221" fontId="69" fillId="0" borderId="8" xfId="0" applyNumberFormat="1" applyFont="1" applyBorder="1"/>
    <xf numFmtId="221" fontId="0" fillId="0" borderId="0" xfId="0" applyNumberFormat="1"/>
    <xf numFmtId="193" fontId="0" fillId="0" borderId="0" xfId="0" applyNumberFormat="1"/>
    <xf numFmtId="0" fontId="55" fillId="0" borderId="4" xfId="0" applyFont="1" applyBorder="1" applyAlignment="1">
      <alignment horizontal="center"/>
    </xf>
    <xf numFmtId="0" fontId="55" fillId="0" borderId="4" xfId="0" applyFont="1" applyBorder="1"/>
    <xf numFmtId="197" fontId="0" fillId="0" borderId="0" xfId="0" applyNumberFormat="1"/>
    <xf numFmtId="0" fontId="56" fillId="0" borderId="4" xfId="0" applyFont="1" applyBorder="1"/>
    <xf numFmtId="0" fontId="63" fillId="0" borderId="4" xfId="0" applyFont="1" applyBorder="1"/>
    <xf numFmtId="211" fontId="0" fillId="0" borderId="4" xfId="0" applyNumberFormat="1" applyBorder="1"/>
    <xf numFmtId="200" fontId="0" fillId="0" borderId="4" xfId="0" applyNumberFormat="1" applyBorder="1"/>
    <xf numFmtId="229" fontId="0" fillId="0" borderId="0" xfId="0" applyNumberFormat="1"/>
    <xf numFmtId="2" fontId="0" fillId="0" borderId="4" xfId="0" applyNumberFormat="1" applyBorder="1"/>
    <xf numFmtId="196" fontId="60" fillId="0" borderId="0" xfId="1" applyFont="1" applyFill="1"/>
    <xf numFmtId="0" fontId="64" fillId="0" borderId="4" xfId="0" applyFont="1" applyBorder="1"/>
    <xf numFmtId="214" fontId="65" fillId="0" borderId="4" xfId="0" applyNumberFormat="1" applyFont="1" applyBorder="1"/>
    <xf numFmtId="211" fontId="66" fillId="0" borderId="4" xfId="0" applyNumberFormat="1" applyFont="1" applyBorder="1"/>
    <xf numFmtId="188" fontId="0" fillId="0" borderId="0" xfId="0" applyNumberFormat="1"/>
    <xf numFmtId="0" fontId="63" fillId="0" borderId="0" xfId="0" applyFont="1" applyAlignment="1">
      <alignment horizontal="center"/>
    </xf>
    <xf numFmtId="0" fontId="85" fillId="0" borderId="5" xfId="0" applyFont="1" applyBorder="1"/>
    <xf numFmtId="0" fontId="85" fillId="0" borderId="0" xfId="0" applyFont="1"/>
    <xf numFmtId="0" fontId="63" fillId="0" borderId="19" xfId="0" applyFont="1" applyBorder="1"/>
    <xf numFmtId="0" fontId="0" fillId="0" borderId="24" xfId="0" applyBorder="1"/>
    <xf numFmtId="210" fontId="0" fillId="0" borderId="21" xfId="0" applyNumberFormat="1" applyBorder="1"/>
    <xf numFmtId="0" fontId="0" fillId="0" borderId="26" xfId="0" applyBorder="1"/>
    <xf numFmtId="192" fontId="0" fillId="0" borderId="0" xfId="0" applyNumberFormat="1"/>
    <xf numFmtId="211" fontId="7" fillId="0" borderId="0" xfId="1" applyNumberFormat="1" applyFont="1" applyFill="1" applyBorder="1" applyAlignment="1">
      <alignment horizontal="center" vertical="center" shrinkToFit="1"/>
    </xf>
    <xf numFmtId="0" fontId="115" fillId="0" borderId="0" xfId="0" applyFont="1"/>
    <xf numFmtId="197" fontId="115" fillId="0" borderId="0" xfId="1" applyNumberFormat="1" applyFont="1" applyFill="1" applyBorder="1"/>
    <xf numFmtId="0" fontId="114" fillId="0" borderId="4" xfId="0" applyFont="1" applyBorder="1" applyAlignment="1">
      <alignment horizontal="center" vertical="center"/>
    </xf>
    <xf numFmtId="0" fontId="114" fillId="0" borderId="4" xfId="0" applyFont="1" applyBorder="1" applyAlignment="1">
      <alignment horizontal="center" vertical="center" wrapText="1"/>
    </xf>
    <xf numFmtId="37" fontId="114" fillId="0" borderId="4" xfId="1" applyNumberFormat="1" applyFont="1" applyFill="1" applyBorder="1" applyAlignment="1">
      <alignment horizontal="center" vertical="center" wrapText="1"/>
    </xf>
    <xf numFmtId="197" fontId="114" fillId="0" borderId="4" xfId="1" applyNumberFormat="1" applyFont="1" applyFill="1" applyBorder="1" applyAlignment="1">
      <alignment horizontal="center" vertical="center" wrapText="1"/>
    </xf>
    <xf numFmtId="197" fontId="114" fillId="0" borderId="4" xfId="1" applyNumberFormat="1" applyFont="1" applyFill="1" applyBorder="1" applyAlignment="1">
      <alignment horizontal="center" vertical="center"/>
    </xf>
    <xf numFmtId="0" fontId="114" fillId="0" borderId="4" xfId="0" quotePrefix="1" applyFont="1" applyBorder="1" applyAlignment="1">
      <alignment horizontal="center" vertical="center" wrapText="1"/>
    </xf>
    <xf numFmtId="197" fontId="115" fillId="0" borderId="4" xfId="1" applyNumberFormat="1" applyFont="1" applyFill="1" applyBorder="1" applyAlignment="1">
      <alignment vertical="center" wrapText="1"/>
    </xf>
    <xf numFmtId="197" fontId="114" fillId="0" borderId="4" xfId="1" applyNumberFormat="1" applyFont="1" applyFill="1" applyBorder="1" applyAlignment="1">
      <alignment vertical="center" wrapText="1"/>
    </xf>
    <xf numFmtId="197" fontId="115" fillId="0" borderId="4" xfId="1" applyNumberFormat="1" applyFont="1" applyFill="1" applyBorder="1" applyAlignment="1">
      <alignment vertical="center"/>
    </xf>
    <xf numFmtId="230" fontId="44" fillId="0" borderId="0" xfId="0" applyNumberFormat="1" applyFont="1" applyAlignment="1">
      <alignment horizontal="center"/>
    </xf>
    <xf numFmtId="207" fontId="14" fillId="0" borderId="0" xfId="0" applyNumberFormat="1" applyFont="1" applyAlignment="1">
      <alignment horizontal="center"/>
    </xf>
    <xf numFmtId="191" fontId="7" fillId="0" borderId="4" xfId="0" applyNumberFormat="1" applyFont="1" applyBorder="1" applyAlignment="1">
      <alignment horizontal="left" vertical="center"/>
    </xf>
    <xf numFmtId="3" fontId="7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shrinkToFit="1"/>
    </xf>
    <xf numFmtId="213" fontId="35" fillId="0" borderId="0" xfId="1" applyNumberFormat="1" applyFont="1" applyFill="1"/>
    <xf numFmtId="0" fontId="36" fillId="0" borderId="4" xfId="0" applyFont="1" applyBorder="1" applyAlignment="1">
      <alignment horizontal="center" vertical="center"/>
    </xf>
    <xf numFmtId="207" fontId="45" fillId="0" borderId="4" xfId="0" applyNumberFormat="1" applyFont="1" applyBorder="1"/>
    <xf numFmtId="198" fontId="49" fillId="0" borderId="0" xfId="0" applyNumberFormat="1" applyFont="1"/>
    <xf numFmtId="202" fontId="74" fillId="0" borderId="0" xfId="0" applyNumberFormat="1" applyFont="1"/>
    <xf numFmtId="0" fontId="12" fillId="0" borderId="4" xfId="0" quotePrefix="1" applyFont="1" applyBorder="1"/>
    <xf numFmtId="210" fontId="34" fillId="0" borderId="4" xfId="7" applyNumberFormat="1" applyFont="1" applyFill="1" applyBorder="1" applyAlignment="1">
      <alignment horizontal="right"/>
    </xf>
    <xf numFmtId="211" fontId="65" fillId="0" borderId="4" xfId="0" applyNumberFormat="1" applyFont="1" applyBorder="1"/>
    <xf numFmtId="210" fontId="0" fillId="0" borderId="7" xfId="0" applyNumberFormat="1" applyBorder="1"/>
    <xf numFmtId="210" fontId="0" fillId="0" borderId="0" xfId="0" applyNumberFormat="1"/>
    <xf numFmtId="210" fontId="118" fillId="0" borderId="0" xfId="0" applyNumberFormat="1" applyFont="1"/>
    <xf numFmtId="224" fontId="0" fillId="0" borderId="5" xfId="0" applyNumberFormat="1" applyBorder="1"/>
    <xf numFmtId="224" fontId="34" fillId="0" borderId="4" xfId="7" applyNumberFormat="1" applyFont="1" applyFill="1" applyBorder="1" applyAlignment="1">
      <alignment horizontal="center"/>
    </xf>
    <xf numFmtId="224" fontId="60" fillId="0" borderId="0" xfId="1" applyNumberFormat="1" applyFont="1" applyFill="1"/>
    <xf numFmtId="224" fontId="1" fillId="0" borderId="0" xfId="1" applyNumberFormat="1" applyFont="1" applyFill="1"/>
    <xf numFmtId="224" fontId="0" fillId="0" borderId="0" xfId="0" applyNumberFormat="1"/>
    <xf numFmtId="192" fontId="118" fillId="0" borderId="0" xfId="0" applyNumberFormat="1" applyFont="1"/>
    <xf numFmtId="210" fontId="119" fillId="0" borderId="4" xfId="0" applyNumberFormat="1" applyFont="1" applyBorder="1"/>
    <xf numFmtId="0" fontId="78" fillId="0" borderId="4" xfId="0" applyFont="1" applyBorder="1" applyAlignment="1">
      <alignment horizontal="left" vertical="center"/>
    </xf>
    <xf numFmtId="207" fontId="98" fillId="0" borderId="4" xfId="1" applyNumberFormat="1" applyFont="1" applyFill="1" applyBorder="1" applyAlignment="1">
      <alignment horizontal="center" vertical="center" wrapText="1"/>
    </xf>
    <xf numFmtId="3" fontId="78" fillId="0" borderId="0" xfId="0" applyNumberFormat="1" applyFont="1"/>
    <xf numFmtId="0" fontId="10" fillId="0" borderId="0" xfId="0" applyFont="1" applyAlignment="1">
      <alignment horizontal="center"/>
    </xf>
    <xf numFmtId="1" fontId="79" fillId="0" borderId="0" xfId="1" applyNumberFormat="1" applyFont="1" applyFill="1"/>
    <xf numFmtId="1" fontId="9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Alignment="1">
      <alignment horizontal="center" vertical="center"/>
    </xf>
    <xf numFmtId="1" fontId="78" fillId="0" borderId="0" xfId="1" applyNumberFormat="1" applyFont="1" applyFill="1" applyAlignment="1">
      <alignment vertical="center"/>
    </xf>
    <xf numFmtId="1" fontId="78" fillId="0" borderId="0" xfId="1" applyNumberFormat="1" applyFont="1" applyFill="1" applyBorder="1" applyAlignment="1">
      <alignment horizontal="center" vertical="center"/>
    </xf>
    <xf numFmtId="1" fontId="121" fillId="0" borderId="0" xfId="1" applyNumberFormat="1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4" fontId="40" fillId="0" borderId="0" xfId="0" applyNumberFormat="1" applyFont="1" applyAlignment="1">
      <alignment vertical="center"/>
    </xf>
    <xf numFmtId="3" fontId="40" fillId="0" borderId="0" xfId="0" applyNumberFormat="1" applyFont="1" applyAlignment="1">
      <alignment vertical="center" wrapText="1"/>
    </xf>
    <xf numFmtId="3" fontId="40" fillId="0" borderId="0" xfId="0" applyNumberFormat="1" applyFont="1" applyAlignment="1">
      <alignment vertical="center"/>
    </xf>
    <xf numFmtId="0" fontId="122" fillId="0" borderId="0" xfId="0" applyFont="1"/>
    <xf numFmtId="1" fontId="105" fillId="0" borderId="0" xfId="1" applyNumberFormat="1" applyFont="1" applyFill="1" applyAlignment="1">
      <alignment vertical="center"/>
    </xf>
    <xf numFmtId="1" fontId="105" fillId="0" borderId="0" xfId="1" applyNumberFormat="1" applyFont="1" applyFill="1" applyBorder="1" applyAlignment="1">
      <alignment horizontal="center" vertical="center"/>
    </xf>
    <xf numFmtId="1" fontId="125" fillId="0" borderId="0" xfId="1" applyNumberFormat="1" applyFont="1" applyFill="1" applyAlignment="1">
      <alignment vertical="center"/>
    </xf>
    <xf numFmtId="1" fontId="126" fillId="0" borderId="0" xfId="1" applyNumberFormat="1" applyFont="1" applyFill="1" applyBorder="1" applyAlignment="1">
      <alignment horizontal="center" vertical="center"/>
    </xf>
    <xf numFmtId="1" fontId="126" fillId="0" borderId="0" xfId="1" applyNumberFormat="1" applyFont="1" applyFill="1" applyBorder="1" applyAlignment="1">
      <alignment vertical="center"/>
    </xf>
    <xf numFmtId="1" fontId="123" fillId="0" borderId="0" xfId="1" applyNumberFormat="1" applyFont="1" applyFill="1" applyAlignment="1">
      <alignment vertical="center"/>
    </xf>
    <xf numFmtId="1" fontId="128" fillId="0" borderId="0" xfId="1" applyNumberFormat="1" applyFont="1" applyFill="1" applyBorder="1" applyAlignment="1">
      <alignment horizontal="center" vertical="center"/>
    </xf>
    <xf numFmtId="1" fontId="127" fillId="0" borderId="0" xfId="1" applyNumberFormat="1" applyFont="1" applyFill="1" applyAlignment="1">
      <alignment vertical="center"/>
    </xf>
    <xf numFmtId="1" fontId="50" fillId="0" borderId="0" xfId="1" applyNumberFormat="1" applyFont="1" applyFill="1" applyAlignment="1">
      <alignment vertical="center"/>
    </xf>
    <xf numFmtId="1" fontId="129" fillId="0" borderId="0" xfId="1" applyNumberFormat="1" applyFont="1" applyFill="1" applyBorder="1" applyAlignment="1">
      <alignment horizontal="center" vertical="center"/>
    </xf>
    <xf numFmtId="1" fontId="124" fillId="0" borderId="0" xfId="1" applyNumberFormat="1" applyFont="1" applyFill="1" applyAlignment="1">
      <alignment vertical="center"/>
    </xf>
    <xf numFmtId="1" fontId="129" fillId="0" borderId="0" xfId="1" applyNumberFormat="1" applyFont="1" applyFill="1" applyAlignment="1">
      <alignment vertical="center"/>
    </xf>
    <xf numFmtId="0" fontId="25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197" fontId="78" fillId="0" borderId="4" xfId="0" applyNumberFormat="1" applyFont="1" applyBorder="1" applyAlignment="1">
      <alignment horizontal="center" vertical="center"/>
    </xf>
    <xf numFmtId="191" fontId="97" fillId="0" borderId="11" xfId="0" quotePrefix="1" applyNumberFormat="1" applyFont="1" applyBorder="1" applyAlignment="1">
      <alignment horizontal="center" vertical="center"/>
    </xf>
    <xf numFmtId="2" fontId="95" fillId="0" borderId="18" xfId="0" applyNumberFormat="1" applyFont="1" applyBorder="1" applyAlignment="1">
      <alignment horizontal="center" vertical="center" shrinkToFit="1"/>
    </xf>
    <xf numFmtId="2" fontId="98" fillId="0" borderId="7" xfId="0" applyNumberFormat="1" applyFont="1" applyBorder="1" applyAlignment="1">
      <alignment horizontal="center" vertical="center"/>
    </xf>
    <xf numFmtId="1" fontId="98" fillId="0" borderId="7" xfId="0" applyNumberFormat="1" applyFont="1" applyBorder="1" applyAlignment="1">
      <alignment horizontal="center" vertical="center"/>
    </xf>
    <xf numFmtId="2" fontId="95" fillId="0" borderId="11" xfId="0" applyNumberFormat="1" applyFont="1" applyBorder="1" applyAlignment="1">
      <alignment horizontal="center" vertical="center" shrinkToFit="1"/>
    </xf>
    <xf numFmtId="4" fontId="95" fillId="0" borderId="11" xfId="0" applyNumberFormat="1" applyFont="1" applyBorder="1" applyAlignment="1">
      <alignment horizontal="center" vertical="center" shrinkToFit="1"/>
    </xf>
    <xf numFmtId="2" fontId="95" fillId="0" borderId="9" xfId="1" applyNumberFormat="1" applyFont="1" applyFill="1" applyBorder="1" applyAlignment="1">
      <alignment horizontal="right" vertical="center" wrapText="1"/>
    </xf>
    <xf numFmtId="4" fontId="95" fillId="0" borderId="1" xfId="1" applyNumberFormat="1" applyFont="1" applyFill="1" applyBorder="1" applyAlignment="1">
      <alignment horizontal="right" vertical="center" shrinkToFit="1"/>
    </xf>
    <xf numFmtId="192" fontId="95" fillId="0" borderId="1" xfId="1" applyNumberFormat="1" applyFont="1" applyFill="1" applyBorder="1" applyAlignment="1">
      <alignment horizontal="center" vertical="center" shrinkToFit="1"/>
    </xf>
    <xf numFmtId="193" fontId="95" fillId="0" borderId="18" xfId="1" applyNumberFormat="1" applyFont="1" applyFill="1" applyBorder="1" applyAlignment="1">
      <alignment vertical="center" shrinkToFit="1"/>
    </xf>
    <xf numFmtId="0" fontId="95" fillId="0" borderId="11" xfId="0" applyFont="1" applyBorder="1"/>
    <xf numFmtId="192" fontId="99" fillId="0" borderId="6" xfId="0" applyNumberFormat="1" applyFont="1" applyBorder="1"/>
    <xf numFmtId="0" fontId="99" fillId="0" borderId="0" xfId="0" applyFont="1"/>
    <xf numFmtId="0" fontId="95" fillId="0" borderId="11" xfId="0" applyFont="1" applyBorder="1" applyAlignment="1">
      <alignment horizontal="center" vertical="center" shrinkToFit="1"/>
    </xf>
    <xf numFmtId="2" fontId="98" fillId="0" borderId="10" xfId="0" applyNumberFormat="1" applyFont="1" applyBorder="1" applyAlignment="1">
      <alignment horizontal="center" vertical="center"/>
    </xf>
    <xf numFmtId="1" fontId="98" fillId="0" borderId="10" xfId="0" applyNumberFormat="1" applyFont="1" applyBorder="1" applyAlignment="1">
      <alignment horizontal="center" vertical="center"/>
    </xf>
    <xf numFmtId="0" fontId="95" fillId="0" borderId="20" xfId="0" applyFont="1" applyBorder="1" applyAlignment="1">
      <alignment horizontal="left"/>
    </xf>
    <xf numFmtId="192" fontId="95" fillId="0" borderId="5" xfId="1" applyNumberFormat="1" applyFont="1" applyFill="1" applyBorder="1" applyAlignment="1">
      <alignment horizontal="center" vertical="center" shrinkToFit="1"/>
    </xf>
    <xf numFmtId="191" fontId="95" fillId="0" borderId="20" xfId="1" applyNumberFormat="1" applyFont="1" applyFill="1" applyBorder="1" applyAlignment="1">
      <alignment horizontal="center" vertical="center" wrapText="1"/>
    </xf>
    <xf numFmtId="200" fontId="98" fillId="0" borderId="11" xfId="0" applyNumberFormat="1" applyFont="1" applyBorder="1" applyAlignment="1">
      <alignment horizontal="center" vertical="center" shrinkToFit="1"/>
    </xf>
    <xf numFmtId="0" fontId="97" fillId="0" borderId="5" xfId="0" applyFont="1" applyBorder="1" applyAlignment="1">
      <alignment horizontal="left" vertical="center" wrapText="1" indent="1"/>
    </xf>
    <xf numFmtId="3" fontId="97" fillId="0" borderId="5" xfId="0" applyNumberFormat="1" applyFont="1" applyBorder="1" applyAlignment="1">
      <alignment horizontal="left" vertical="center" indent="1"/>
    </xf>
    <xf numFmtId="192" fontId="95" fillId="0" borderId="11" xfId="1" applyNumberFormat="1" applyFont="1" applyFill="1" applyBorder="1" applyAlignment="1">
      <alignment horizontal="center" vertical="center" shrinkToFit="1"/>
    </xf>
    <xf numFmtId="191" fontId="95" fillId="0" borderId="10" xfId="1" applyNumberFormat="1" applyFont="1" applyFill="1" applyBorder="1" applyAlignment="1">
      <alignment vertical="center" shrinkToFit="1"/>
    </xf>
    <xf numFmtId="193" fontId="95" fillId="0" borderId="10" xfId="1" applyNumberFormat="1" applyFont="1" applyFill="1" applyBorder="1" applyAlignment="1">
      <alignment vertical="center" shrinkToFit="1"/>
    </xf>
    <xf numFmtId="193" fontId="95" fillId="0" borderId="11" xfId="1" applyNumberFormat="1" applyFont="1" applyFill="1" applyBorder="1" applyAlignment="1">
      <alignment vertical="center" shrinkToFit="1"/>
    </xf>
    <xf numFmtId="0" fontId="95" fillId="0" borderId="5" xfId="0" applyFont="1" applyBorder="1" applyAlignment="1">
      <alignment horizontal="center" vertical="center" shrinkToFit="1"/>
    </xf>
    <xf numFmtId="0" fontId="98" fillId="0" borderId="7" xfId="0" applyFont="1" applyBorder="1" applyAlignment="1">
      <alignment horizontal="center" vertical="center"/>
    </xf>
    <xf numFmtId="1" fontId="98" fillId="0" borderId="20" xfId="0" applyNumberFormat="1" applyFont="1" applyBorder="1" applyAlignment="1">
      <alignment horizontal="center" vertical="center"/>
    </xf>
    <xf numFmtId="4" fontId="95" fillId="0" borderId="5" xfId="0" applyNumberFormat="1" applyFont="1" applyBorder="1" applyAlignment="1">
      <alignment horizontal="center" vertical="center" shrinkToFit="1"/>
    </xf>
    <xf numFmtId="193" fontId="95" fillId="0" borderId="5" xfId="1" applyNumberFormat="1" applyFont="1" applyFill="1" applyBorder="1" applyAlignment="1">
      <alignment vertical="center" shrinkToFit="1"/>
    </xf>
    <xf numFmtId="210" fontId="95" fillId="0" borderId="5" xfId="1" applyNumberFormat="1" applyFont="1" applyFill="1" applyBorder="1" applyAlignment="1">
      <alignment horizontal="right" vertical="center" wrapText="1"/>
    </xf>
    <xf numFmtId="1" fontId="97" fillId="0" borderId="5" xfId="0" applyNumberFormat="1" applyFont="1" applyBorder="1" applyAlignment="1">
      <alignment horizontal="left" vertical="center" indent="1"/>
    </xf>
    <xf numFmtId="1" fontId="98" fillId="0" borderId="11" xfId="0" applyNumberFormat="1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shrinkToFit="1"/>
    </xf>
    <xf numFmtId="191" fontId="78" fillId="0" borderId="4" xfId="1" applyNumberFormat="1" applyFont="1" applyFill="1" applyBorder="1" applyAlignment="1">
      <alignment horizontal="right" vertical="center" wrapText="1"/>
    </xf>
    <xf numFmtId="197" fontId="40" fillId="0" borderId="4" xfId="1" applyNumberFormat="1" applyFont="1" applyFill="1" applyBorder="1" applyAlignment="1">
      <alignment horizontal="right" vertical="center"/>
    </xf>
    <xf numFmtId="197" fontId="78" fillId="0" borderId="4" xfId="1" applyNumberFormat="1" applyFont="1" applyFill="1" applyBorder="1" applyAlignment="1">
      <alignment horizontal="right" vertical="center" wrapText="1"/>
    </xf>
    <xf numFmtId="197" fontId="78" fillId="0" borderId="4" xfId="1" applyNumberFormat="1" applyFont="1" applyFill="1" applyBorder="1" applyAlignment="1">
      <alignment horizontal="right" vertical="center"/>
    </xf>
    <xf numFmtId="3" fontId="71" fillId="0" borderId="4" xfId="5" applyNumberFormat="1" applyFont="1" applyFill="1" applyBorder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1" fontId="91" fillId="0" borderId="3" xfId="1" applyNumberFormat="1" applyFont="1" applyFill="1" applyBorder="1" applyAlignment="1">
      <alignment vertical="center"/>
    </xf>
    <xf numFmtId="196" fontId="105" fillId="0" borderId="3" xfId="1" applyFont="1" applyFill="1" applyBorder="1" applyAlignment="1">
      <alignment horizontal="center" vertical="center" wrapText="1"/>
    </xf>
    <xf numFmtId="1" fontId="32" fillId="0" borderId="0" xfId="1" applyNumberFormat="1" applyFont="1" applyFill="1" applyBorder="1" applyAlignment="1">
      <alignment horizontal="center" vertical="center"/>
    </xf>
    <xf numFmtId="196" fontId="0" fillId="0" borderId="0" xfId="1" applyFont="1" applyFill="1"/>
    <xf numFmtId="196" fontId="0" fillId="0" borderId="0" xfId="1" applyFont="1" applyFill="1" applyAlignment="1"/>
    <xf numFmtId="191" fontId="7" fillId="0" borderId="0" xfId="0" applyNumberFormat="1" applyFont="1"/>
    <xf numFmtId="197" fontId="121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5" fillId="0" borderId="4" xfId="0" applyFont="1" applyBorder="1" applyAlignment="1">
      <alignment horizontal="center" vertical="center" wrapText="1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8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199" fontId="28" fillId="0" borderId="0" xfId="1" applyNumberFormat="1" applyFont="1" applyFill="1" applyAlignment="1">
      <alignment horizontal="center"/>
    </xf>
    <xf numFmtId="1" fontId="11" fillId="0" borderId="10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91" fontId="142" fillId="0" borderId="0" xfId="1" applyNumberFormat="1" applyFont="1" applyFill="1" applyAlignment="1">
      <alignment horizontal="center"/>
    </xf>
    <xf numFmtId="191" fontId="142" fillId="0" borderId="0" xfId="1" applyNumberFormat="1" applyFont="1" applyFill="1" applyAlignment="1"/>
    <xf numFmtId="210" fontId="62" fillId="0" borderId="4" xfId="7" applyNumberFormat="1" applyFont="1" applyFill="1" applyBorder="1" applyAlignment="1">
      <alignment horizontal="center"/>
    </xf>
    <xf numFmtId="4" fontId="95" fillId="0" borderId="11" xfId="1" applyNumberFormat="1" applyFont="1" applyFill="1" applyBorder="1" applyAlignment="1">
      <alignment horizontal="right" vertical="center" shrinkToFit="1"/>
    </xf>
    <xf numFmtId="233" fontId="16" fillId="0" borderId="0" xfId="1" applyNumberFormat="1" applyFont="1" applyFill="1" applyAlignment="1">
      <alignment horizontal="center"/>
    </xf>
    <xf numFmtId="1" fontId="9" fillId="4" borderId="0" xfId="1" applyNumberFormat="1" applyFont="1" applyFill="1" applyAlignment="1">
      <alignment vertical="center"/>
    </xf>
    <xf numFmtId="191" fontId="95" fillId="0" borderId="7" xfId="1" applyNumberFormat="1" applyFont="1" applyFill="1" applyBorder="1" applyAlignment="1">
      <alignment vertical="center" shrinkToFit="1"/>
    </xf>
    <xf numFmtId="1" fontId="95" fillId="0" borderId="7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top" wrapText="1"/>
    </xf>
    <xf numFmtId="0" fontId="78" fillId="3" borderId="0" xfId="0" applyFont="1" applyFill="1"/>
    <xf numFmtId="0" fontId="25" fillId="3" borderId="0" xfId="0" applyFont="1" applyFill="1"/>
    <xf numFmtId="0" fontId="25" fillId="3" borderId="0" xfId="0" applyFont="1" applyFill="1" applyAlignment="1">
      <alignment horizontal="center"/>
    </xf>
    <xf numFmtId="43" fontId="25" fillId="3" borderId="0" xfId="0" applyNumberFormat="1" applyFont="1" applyFill="1"/>
    <xf numFmtId="0" fontId="25" fillId="3" borderId="4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vertical="center"/>
    </xf>
    <xf numFmtId="0" fontId="25" fillId="3" borderId="0" xfId="0" applyFont="1" applyFill="1" applyAlignment="1">
      <alignment horizontal="center" vertical="center" wrapText="1"/>
    </xf>
    <xf numFmtId="0" fontId="78" fillId="3" borderId="4" xfId="0" applyFont="1" applyFill="1" applyBorder="1" applyAlignment="1">
      <alignment horizontal="center" vertical="center" wrapText="1"/>
    </xf>
    <xf numFmtId="3" fontId="78" fillId="3" borderId="4" xfId="0" applyNumberFormat="1" applyFont="1" applyFill="1" applyBorder="1" applyAlignment="1">
      <alignment horizontal="center" vertical="center"/>
    </xf>
    <xf numFmtId="0" fontId="78" fillId="3" borderId="4" xfId="0" applyFont="1" applyFill="1" applyBorder="1" applyAlignment="1">
      <alignment horizontal="left" vertical="center"/>
    </xf>
    <xf numFmtId="216" fontId="78" fillId="3" borderId="4" xfId="5" applyNumberFormat="1" applyFont="1" applyFill="1" applyBorder="1" applyAlignment="1">
      <alignment horizontal="center" vertical="center"/>
    </xf>
    <xf numFmtId="234" fontId="78" fillId="3" borderId="4" xfId="0" applyNumberFormat="1" applyFont="1" applyFill="1" applyBorder="1" applyAlignment="1">
      <alignment horizontal="center" vertical="center"/>
    </xf>
    <xf numFmtId="218" fontId="78" fillId="3" borderId="0" xfId="0" applyNumberFormat="1" applyFont="1" applyFill="1" applyAlignment="1">
      <alignment horizontal="left" vertical="center"/>
    </xf>
    <xf numFmtId="3" fontId="78" fillId="3" borderId="0" xfId="0" applyNumberFormat="1" applyFont="1" applyFill="1" applyAlignment="1">
      <alignment horizontal="center" vertical="center"/>
    </xf>
    <xf numFmtId="0" fontId="71" fillId="3" borderId="0" xfId="0" applyFont="1" applyFill="1" applyAlignment="1">
      <alignment horizontal="center" vertical="center"/>
    </xf>
    <xf numFmtId="0" fontId="78" fillId="3" borderId="0" xfId="0" applyFont="1" applyFill="1" applyAlignment="1">
      <alignment horizontal="center" vertical="center"/>
    </xf>
    <xf numFmtId="216" fontId="25" fillId="3" borderId="4" xfId="5" applyNumberFormat="1" applyFont="1" applyFill="1" applyBorder="1" applyAlignment="1">
      <alignment horizontal="center" vertical="center"/>
    </xf>
    <xf numFmtId="2" fontId="25" fillId="3" borderId="0" xfId="0" applyNumberFormat="1" applyFont="1" applyFill="1" applyAlignment="1">
      <alignment horizontal="center" vertical="center"/>
    </xf>
    <xf numFmtId="204" fontId="25" fillId="3" borderId="0" xfId="0" applyNumberFormat="1" applyFont="1" applyFill="1" applyAlignment="1">
      <alignment horizontal="center" vertical="center"/>
    </xf>
    <xf numFmtId="3" fontId="25" fillId="3" borderId="0" xfId="0" applyNumberFormat="1" applyFont="1" applyFill="1" applyAlignment="1">
      <alignment horizontal="center" vertical="center"/>
    </xf>
    <xf numFmtId="0" fontId="78" fillId="3" borderId="0" xfId="0" applyFont="1" applyFill="1" applyAlignment="1">
      <alignment horizontal="center"/>
    </xf>
    <xf numFmtId="204" fontId="25" fillId="3" borderId="0" xfId="0" applyNumberFormat="1" applyFont="1" applyFill="1"/>
    <xf numFmtId="4" fontId="25" fillId="3" borderId="0" xfId="0" applyNumberFormat="1" applyFont="1" applyFill="1"/>
    <xf numFmtId="0" fontId="78" fillId="3" borderId="0" xfId="0" applyFont="1" applyFill="1" applyAlignment="1">
      <alignment shrinkToFit="1"/>
    </xf>
    <xf numFmtId="213" fontId="32" fillId="3" borderId="0" xfId="0" applyNumberFormat="1" applyFont="1" applyFill="1" applyAlignment="1">
      <alignment horizontal="center"/>
    </xf>
    <xf numFmtId="213" fontId="78" fillId="3" borderId="0" xfId="0" applyNumberFormat="1" applyFont="1" applyFill="1"/>
    <xf numFmtId="2" fontId="78" fillId="3" borderId="0" xfId="0" applyNumberFormat="1" applyFont="1" applyFill="1"/>
    <xf numFmtId="0" fontId="11" fillId="0" borderId="2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99" fontId="11" fillId="0" borderId="4" xfId="1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5" fillId="0" borderId="4" xfId="0" applyFont="1" applyBorder="1"/>
    <xf numFmtId="0" fontId="7" fillId="0" borderId="4" xfId="0" applyFont="1" applyBorder="1" applyAlignment="1">
      <alignment horizontal="center"/>
    </xf>
    <xf numFmtId="197" fontId="144" fillId="0" borderId="4" xfId="0" applyNumberFormat="1" applyFont="1" applyBorder="1" applyAlignment="1">
      <alignment horizontal="center" vertical="center" wrapText="1"/>
    </xf>
    <xf numFmtId="0" fontId="105" fillId="3" borderId="0" xfId="27" applyFont="1" applyFill="1"/>
    <xf numFmtId="10" fontId="105" fillId="3" borderId="0" xfId="21" applyNumberFormat="1" applyFont="1" applyFill="1"/>
    <xf numFmtId="191" fontId="95" fillId="0" borderId="11" xfId="1" applyNumberFormat="1" applyFont="1" applyFill="1" applyBorder="1" applyAlignment="1">
      <alignment vertical="center" shrinkToFit="1"/>
    </xf>
    <xf numFmtId="1" fontId="7" fillId="0" borderId="7" xfId="1" applyNumberFormat="1" applyFont="1" applyFill="1" applyBorder="1" applyAlignment="1">
      <alignment horizontal="right" vertical="center" wrapText="1"/>
    </xf>
    <xf numFmtId="215" fontId="30" fillId="4" borderId="4" xfId="0" applyNumberFormat="1" applyFont="1" applyFill="1" applyBorder="1"/>
    <xf numFmtId="196" fontId="144" fillId="0" borderId="4" xfId="0" applyNumberFormat="1" applyFont="1" applyBorder="1" applyAlignment="1">
      <alignment horizontal="center" vertical="center" wrapText="1"/>
    </xf>
    <xf numFmtId="222" fontId="144" fillId="0" borderId="4" xfId="0" applyNumberFormat="1" applyFont="1" applyBorder="1" applyAlignment="1">
      <alignment horizontal="center" vertical="center" wrapText="1"/>
    </xf>
    <xf numFmtId="196" fontId="114" fillId="0" borderId="4" xfId="0" quotePrefix="1" applyNumberFormat="1" applyFont="1" applyBorder="1" applyAlignment="1">
      <alignment horizontal="center" vertical="center" wrapText="1"/>
    </xf>
    <xf numFmtId="10" fontId="144" fillId="0" borderId="4" xfId="21" applyNumberFormat="1" applyFont="1" applyFill="1" applyBorder="1" applyAlignment="1">
      <alignment vertical="center" wrapText="1"/>
    </xf>
    <xf numFmtId="0" fontId="103" fillId="0" borderId="0" xfId="0" applyFont="1" applyAlignment="1">
      <alignment horizontal="center" vertical="center"/>
    </xf>
    <xf numFmtId="0" fontId="103" fillId="0" borderId="15" xfId="0" applyFont="1" applyBorder="1" applyAlignment="1">
      <alignment horizontal="center" vertical="center"/>
    </xf>
    <xf numFmtId="191" fontId="11" fillId="0" borderId="0" xfId="0" applyNumberFormat="1" applyFont="1"/>
    <xf numFmtId="213" fontId="0" fillId="0" borderId="0" xfId="0" applyNumberFormat="1"/>
    <xf numFmtId="1" fontId="11" fillId="4" borderId="4" xfId="0" applyNumberFormat="1" applyFont="1" applyFill="1" applyBorder="1" applyAlignment="1">
      <alignment horizontal="center" vertical="center"/>
    </xf>
    <xf numFmtId="200" fontId="11" fillId="4" borderId="10" xfId="0" applyNumberFormat="1" applyFont="1" applyFill="1" applyBorder="1" applyAlignment="1">
      <alignment horizontal="center" vertical="center" shrinkToFit="1"/>
    </xf>
    <xf numFmtId="1" fontId="95" fillId="0" borderId="7" xfId="1" applyNumberFormat="1" applyFont="1" applyFill="1" applyBorder="1" applyAlignment="1">
      <alignment horizontal="right" vertical="center" wrapText="1"/>
    </xf>
    <xf numFmtId="200" fontId="95" fillId="0" borderId="5" xfId="1" applyNumberFormat="1" applyFont="1" applyFill="1" applyBorder="1" applyAlignment="1">
      <alignment horizontal="center" vertical="center" shrinkToFit="1"/>
    </xf>
    <xf numFmtId="191" fontId="95" fillId="0" borderId="5" xfId="1" applyNumberFormat="1" applyFont="1" applyFill="1" applyBorder="1" applyAlignment="1">
      <alignment horizontal="center" vertical="center"/>
    </xf>
    <xf numFmtId="0" fontId="95" fillId="0" borderId="11" xfId="0" applyFont="1" applyBorder="1" applyAlignment="1">
      <alignment horizontal="left" vertical="center" shrinkToFit="1"/>
    </xf>
    <xf numFmtId="200" fontId="95" fillId="0" borderId="11" xfId="1" applyNumberFormat="1" applyFont="1" applyFill="1" applyBorder="1" applyAlignment="1">
      <alignment horizontal="center" vertical="center" shrinkToFit="1"/>
    </xf>
    <xf numFmtId="0" fontId="98" fillId="0" borderId="11" xfId="0" applyFont="1" applyBorder="1" applyAlignment="1">
      <alignment horizontal="center" vertical="center"/>
    </xf>
    <xf numFmtId="198" fontId="95" fillId="0" borderId="5" xfId="1" applyNumberFormat="1" applyFont="1" applyFill="1" applyBorder="1" applyAlignment="1">
      <alignment horizontal="right" vertical="center" shrinkToFit="1"/>
    </xf>
    <xf numFmtId="208" fontId="95" fillId="0" borderId="9" xfId="1" applyNumberFormat="1" applyFont="1" applyFill="1" applyBorder="1" applyAlignment="1">
      <alignment horizontal="right" vertical="center" wrapText="1"/>
    </xf>
    <xf numFmtId="191" fontId="12" fillId="0" borderId="0" xfId="0" applyNumberFormat="1" applyFont="1"/>
    <xf numFmtId="211" fontId="12" fillId="0" borderId="0" xfId="1" applyNumberFormat="1" applyFont="1" applyFill="1"/>
    <xf numFmtId="4" fontId="12" fillId="0" borderId="0" xfId="1" applyNumberFormat="1" applyFont="1" applyFill="1"/>
    <xf numFmtId="191" fontId="12" fillId="0" borderId="0" xfId="1" applyNumberFormat="1" applyFont="1" applyFill="1"/>
    <xf numFmtId="197" fontId="91" fillId="0" borderId="4" xfId="1" applyNumberFormat="1" applyFont="1" applyFill="1" applyBorder="1" applyAlignment="1">
      <alignment horizontal="center" vertical="center"/>
    </xf>
    <xf numFmtId="4" fontId="9" fillId="0" borderId="0" xfId="1" applyNumberFormat="1" applyFont="1" applyFill="1" applyBorder="1" applyAlignment="1"/>
    <xf numFmtId="191" fontId="9" fillId="0" borderId="0" xfId="1" applyNumberFormat="1" applyFont="1" applyFill="1" applyBorder="1" applyAlignment="1">
      <alignment horizontal="center"/>
    </xf>
    <xf numFmtId="191" fontId="9" fillId="0" borderId="0" xfId="1" applyNumberFormat="1" applyFont="1" applyFill="1" applyBorder="1" applyAlignment="1"/>
    <xf numFmtId="191" fontId="9" fillId="0" borderId="0" xfId="1" applyNumberFormat="1" applyFont="1" applyFill="1" applyBorder="1"/>
    <xf numFmtId="191" fontId="25" fillId="0" borderId="4" xfId="1" applyNumberFormat="1" applyFont="1" applyFill="1" applyBorder="1" applyAlignment="1">
      <alignment vertical="center" wrapText="1"/>
    </xf>
    <xf numFmtId="192" fontId="25" fillId="0" borderId="4" xfId="5" applyNumberFormat="1" applyFont="1" applyFill="1" applyBorder="1" applyAlignment="1">
      <alignment horizontal="center" vertical="center" wrapText="1"/>
    </xf>
    <xf numFmtId="3" fontId="25" fillId="0" borderId="4" xfId="5" applyNumberFormat="1" applyFont="1" applyFill="1" applyBorder="1" applyAlignment="1">
      <alignment horizontal="center" vertical="top" wrapText="1"/>
    </xf>
    <xf numFmtId="191" fontId="25" fillId="0" borderId="4" xfId="1" applyNumberFormat="1" applyFont="1" applyFill="1" applyBorder="1" applyAlignment="1">
      <alignment horizontal="right" vertical="center"/>
    </xf>
    <xf numFmtId="192" fontId="78" fillId="0" borderId="4" xfId="5" applyNumberFormat="1" applyFont="1" applyFill="1" applyBorder="1" applyAlignment="1">
      <alignment vertical="center"/>
    </xf>
    <xf numFmtId="191" fontId="78" fillId="0" borderId="4" xfId="1" applyNumberFormat="1" applyFont="1" applyFill="1" applyBorder="1" applyAlignment="1">
      <alignment horizontal="center" vertical="center" shrinkToFit="1"/>
    </xf>
    <xf numFmtId="197" fontId="78" fillId="0" borderId="4" xfId="1" applyNumberFormat="1" applyFont="1" applyFill="1" applyBorder="1" applyAlignment="1">
      <alignment vertical="center" shrinkToFit="1"/>
    </xf>
    <xf numFmtId="191" fontId="78" fillId="0" borderId="4" xfId="1" applyNumberFormat="1" applyFont="1" applyFill="1" applyBorder="1" applyAlignment="1">
      <alignment horizontal="right" vertical="center" shrinkToFit="1"/>
    </xf>
    <xf numFmtId="191" fontId="78" fillId="0" borderId="4" xfId="0" applyNumberFormat="1" applyFont="1" applyBorder="1" applyAlignment="1">
      <alignment horizontal="left" vertical="center"/>
    </xf>
    <xf numFmtId="191" fontId="78" fillId="0" borderId="4" xfId="0" applyNumberFormat="1" applyFont="1" applyBorder="1" applyAlignment="1">
      <alignment horizontal="right" vertical="center"/>
    </xf>
    <xf numFmtId="191" fontId="7" fillId="0" borderId="0" xfId="0" applyNumberFormat="1" applyFont="1" applyAlignment="1">
      <alignment vertical="center"/>
    </xf>
    <xf numFmtId="191" fontId="78" fillId="0" borderId="4" xfId="1" applyNumberFormat="1" applyFont="1" applyFill="1" applyBorder="1" applyAlignment="1">
      <alignment horizontal="left" vertical="center"/>
    </xf>
    <xf numFmtId="211" fontId="25" fillId="0" borderId="4" xfId="1" applyNumberFormat="1" applyFont="1" applyFill="1" applyBorder="1" applyAlignment="1">
      <alignment horizontal="right" vertical="center"/>
    </xf>
    <xf numFmtId="191" fontId="78" fillId="0" borderId="4" xfId="0" applyNumberFormat="1" applyFont="1" applyBorder="1" applyAlignment="1">
      <alignment vertical="center"/>
    </xf>
    <xf numFmtId="211" fontId="11" fillId="0" borderId="0" xfId="1" applyNumberFormat="1" applyFont="1" applyFill="1" applyBorder="1" applyAlignment="1">
      <alignment horizontal="right"/>
    </xf>
    <xf numFmtId="191" fontId="11" fillId="0" borderId="0" xfId="1" applyNumberFormat="1" applyFont="1" applyFill="1" applyBorder="1" applyAlignment="1">
      <alignment horizontal="right"/>
    </xf>
    <xf numFmtId="4" fontId="11" fillId="0" borderId="0" xfId="1" applyNumberFormat="1" applyFont="1" applyFill="1" applyBorder="1" applyAlignment="1">
      <alignment horizontal="right"/>
    </xf>
    <xf numFmtId="191" fontId="11" fillId="0" borderId="0" xfId="1" applyNumberFormat="1" applyFont="1" applyFill="1" applyBorder="1" applyAlignment="1">
      <alignment horizontal="center"/>
    </xf>
    <xf numFmtId="214" fontId="12" fillId="0" borderId="0" xfId="1" applyNumberFormat="1" applyFont="1" applyFill="1" applyAlignment="1"/>
    <xf numFmtId="211" fontId="12" fillId="0" borderId="0" xfId="1" applyNumberFormat="1" applyFont="1" applyFill="1" applyAlignment="1"/>
    <xf numFmtId="191" fontId="25" fillId="0" borderId="0" xfId="0" applyNumberFormat="1" applyFont="1"/>
    <xf numFmtId="3" fontId="9" fillId="0" borderId="0" xfId="1" applyNumberFormat="1" applyFont="1" applyFill="1" applyAlignment="1"/>
    <xf numFmtId="3" fontId="12" fillId="0" borderId="0" xfId="1" applyNumberFormat="1" applyFont="1" applyFill="1" applyAlignment="1"/>
    <xf numFmtId="231" fontId="30" fillId="0" borderId="4" xfId="0" applyNumberFormat="1" applyFont="1" applyBorder="1"/>
    <xf numFmtId="206" fontId="7" fillId="0" borderId="4" xfId="1" applyNumberFormat="1" applyFont="1" applyFill="1" applyBorder="1" applyAlignment="1">
      <alignment horizontal="center" vertical="center"/>
    </xf>
    <xf numFmtId="197" fontId="7" fillId="0" borderId="4" xfId="1" applyNumberFormat="1" applyFont="1" applyFill="1" applyBorder="1" applyAlignment="1">
      <alignment horizontal="right" vertical="center"/>
    </xf>
    <xf numFmtId="197" fontId="7" fillId="0" borderId="4" xfId="1" applyNumberFormat="1" applyFont="1" applyFill="1" applyBorder="1" applyAlignment="1">
      <alignment horizontal="right" vertical="center" shrinkToFit="1"/>
    </xf>
    <xf numFmtId="204" fontId="11" fillId="0" borderId="0" xfId="1" applyNumberFormat="1" applyFont="1" applyFill="1" applyBorder="1" applyAlignment="1">
      <alignment horizontal="center" vertical="center"/>
    </xf>
    <xf numFmtId="206" fontId="11" fillId="0" borderId="0" xfId="1" applyNumberFormat="1" applyFont="1" applyFill="1" applyBorder="1" applyAlignment="1">
      <alignment horizontal="center" vertical="center"/>
    </xf>
    <xf numFmtId="197" fontId="95" fillId="0" borderId="0" xfId="1" applyNumberFormat="1" applyFont="1" applyFill="1" applyAlignment="1">
      <alignment vertical="center"/>
    </xf>
    <xf numFmtId="197" fontId="7" fillId="0" borderId="0" xfId="1" applyNumberFormat="1" applyFont="1" applyFill="1" applyAlignment="1">
      <alignment vertical="center"/>
    </xf>
    <xf numFmtId="0" fontId="7" fillId="0" borderId="4" xfId="0" applyFont="1" applyBorder="1" applyAlignment="1">
      <alignment vertical="center"/>
    </xf>
    <xf numFmtId="1" fontId="130" fillId="0" borderId="0" xfId="1" applyNumberFormat="1" applyFont="1" applyFill="1" applyBorder="1" applyAlignment="1">
      <alignment horizontal="center" vertical="center"/>
    </xf>
    <xf numFmtId="1" fontId="78" fillId="0" borderId="0" xfId="1" applyNumberFormat="1" applyFont="1" applyFill="1" applyAlignment="1">
      <alignment horizontal="center" vertical="center"/>
    </xf>
    <xf numFmtId="1" fontId="111" fillId="0" borderId="14" xfId="1" applyNumberFormat="1" applyFont="1" applyFill="1" applyBorder="1" applyAlignment="1">
      <alignment vertical="center"/>
    </xf>
    <xf numFmtId="1" fontId="111" fillId="0" borderId="22" xfId="1" applyNumberFormat="1" applyFont="1" applyFill="1" applyBorder="1" applyAlignment="1">
      <alignment vertical="center"/>
    </xf>
    <xf numFmtId="198" fontId="11" fillId="0" borderId="4" xfId="1" applyNumberFormat="1" applyFont="1" applyFill="1" applyBorder="1" applyAlignment="1">
      <alignment vertical="center" wrapText="1"/>
    </xf>
    <xf numFmtId="0" fontId="9" fillId="4" borderId="0" xfId="0" applyFont="1" applyFill="1"/>
    <xf numFmtId="0" fontId="7" fillId="0" borderId="4" xfId="0" applyFont="1" applyBorder="1" applyAlignment="1">
      <alignment horizontal="center" vertical="center"/>
    </xf>
    <xf numFmtId="0" fontId="78" fillId="0" borderId="0" xfId="0" applyFont="1" applyAlignment="1">
      <alignment horizontal="left"/>
    </xf>
    <xf numFmtId="1" fontId="151" fillId="0" borderId="0" xfId="1" applyNumberFormat="1" applyFont="1" applyFill="1" applyBorder="1" applyAlignment="1">
      <alignment horizontal="center" vertical="center"/>
    </xf>
    <xf numFmtId="1" fontId="151" fillId="0" borderId="0" xfId="1" applyNumberFormat="1" applyFont="1" applyFill="1" applyBorder="1" applyAlignment="1">
      <alignment vertical="center"/>
    </xf>
    <xf numFmtId="1" fontId="124" fillId="0" borderId="4" xfId="1" applyNumberFormat="1" applyFont="1" applyFill="1" applyBorder="1" applyAlignment="1">
      <alignment horizontal="center" vertical="center"/>
    </xf>
    <xf numFmtId="1" fontId="152" fillId="0" borderId="4" xfId="1" applyNumberFormat="1" applyFont="1" applyFill="1" applyBorder="1" applyAlignment="1">
      <alignment vertical="center"/>
    </xf>
    <xf numFmtId="1" fontId="152" fillId="0" borderId="4" xfId="1" applyNumberFormat="1" applyFont="1" applyFill="1" applyBorder="1" applyAlignment="1">
      <alignment horizontal="right" vertical="center"/>
    </xf>
    <xf numFmtId="1" fontId="152" fillId="0" borderId="4" xfId="1" applyNumberFormat="1" applyFont="1" applyFill="1" applyBorder="1" applyAlignment="1">
      <alignment horizontal="center" vertical="center"/>
    </xf>
    <xf numFmtId="1" fontId="153" fillId="0" borderId="4" xfId="1" applyNumberFormat="1" applyFont="1" applyFill="1" applyBorder="1" applyAlignment="1">
      <alignment horizontal="center" vertical="center"/>
    </xf>
    <xf numFmtId="1" fontId="129" fillId="0" borderId="4" xfId="1" applyNumberFormat="1" applyFont="1" applyFill="1" applyBorder="1" applyAlignment="1">
      <alignment horizontal="center" vertical="center"/>
    </xf>
    <xf numFmtId="1" fontId="153" fillId="0" borderId="4" xfId="1" applyNumberFormat="1" applyFont="1" applyFill="1" applyBorder="1" applyAlignment="1">
      <alignment horizontal="right" vertical="center"/>
    </xf>
    <xf numFmtId="1" fontId="124" fillId="0" borderId="4" xfId="1" applyNumberFormat="1" applyFont="1" applyFill="1" applyBorder="1" applyAlignment="1">
      <alignment horizontal="center" vertical="center" wrapText="1"/>
    </xf>
    <xf numFmtId="1" fontId="129" fillId="0" borderId="4" xfId="1" applyNumberFormat="1" applyFont="1" applyFill="1" applyBorder="1" applyAlignment="1">
      <alignment horizontal="right" vertical="center"/>
    </xf>
    <xf numFmtId="1" fontId="129" fillId="0" borderId="4" xfId="1" applyNumberFormat="1" applyFont="1" applyFill="1" applyBorder="1" applyAlignment="1">
      <alignment vertical="center"/>
    </xf>
    <xf numFmtId="197" fontId="124" fillId="0" borderId="4" xfId="1" applyNumberFormat="1" applyFont="1" applyFill="1" applyBorder="1" applyAlignment="1">
      <alignment vertical="center"/>
    </xf>
    <xf numFmtId="197" fontId="124" fillId="0" borderId="4" xfId="1" applyNumberFormat="1" applyFont="1" applyFill="1" applyBorder="1" applyAlignment="1">
      <alignment horizontal="center" vertical="center"/>
    </xf>
    <xf numFmtId="1" fontId="124" fillId="0" borderId="4" xfId="1" applyNumberFormat="1" applyFont="1" applyFill="1" applyBorder="1" applyAlignment="1">
      <alignment vertical="center"/>
    </xf>
    <xf numFmtId="197" fontId="97" fillId="0" borderId="4" xfId="1" applyNumberFormat="1" applyFont="1" applyFill="1" applyBorder="1" applyAlignment="1">
      <alignment horizontal="right"/>
    </xf>
    <xf numFmtId="0" fontId="11" fillId="4" borderId="4" xfId="0" applyFont="1" applyFill="1" applyBorder="1" applyAlignment="1">
      <alignment horizontal="center" vertical="center"/>
    </xf>
    <xf numFmtId="213" fontId="50" fillId="4" borderId="1" xfId="0" applyNumberFormat="1" applyFont="1" applyFill="1" applyBorder="1"/>
    <xf numFmtId="213" fontId="3" fillId="4" borderId="0" xfId="0" applyNumberFormat="1" applyFont="1" applyFill="1"/>
    <xf numFmtId="213" fontId="9" fillId="4" borderId="0" xfId="0" applyNumberFormat="1" applyFont="1" applyFill="1"/>
    <xf numFmtId="0" fontId="9" fillId="4" borderId="1" xfId="0" applyFont="1" applyFill="1" applyBorder="1"/>
    <xf numFmtId="0" fontId="7" fillId="4" borderId="10" xfId="0" applyFont="1" applyFill="1" applyBorder="1" applyAlignment="1">
      <alignment horizontal="center" vertical="center" shrinkToFit="1"/>
    </xf>
    <xf numFmtId="191" fontId="36" fillId="4" borderId="5" xfId="1" applyNumberFormat="1" applyFont="1" applyFill="1" applyBorder="1" applyAlignment="1">
      <alignment horizontal="center" vertical="center"/>
    </xf>
    <xf numFmtId="192" fontId="9" fillId="4" borderId="6" xfId="0" applyNumberFormat="1" applyFont="1" applyFill="1" applyBorder="1"/>
    <xf numFmtId="213" fontId="9" fillId="4" borderId="6" xfId="0" applyNumberFormat="1" applyFont="1" applyFill="1" applyBorder="1"/>
    <xf numFmtId="0" fontId="12" fillId="4" borderId="5" xfId="0" applyFont="1" applyFill="1" applyBorder="1" applyAlignment="1">
      <alignment horizontal="left" vertical="center" wrapText="1" indent="1"/>
    </xf>
    <xf numFmtId="1" fontId="12" fillId="4" borderId="5" xfId="0" applyNumberFormat="1" applyFont="1" applyFill="1" applyBorder="1" applyAlignment="1">
      <alignment horizontal="left" vertical="center" indent="1"/>
    </xf>
    <xf numFmtId="3" fontId="12" fillId="4" borderId="5" xfId="0" applyNumberFormat="1" applyFont="1" applyFill="1" applyBorder="1" applyAlignment="1">
      <alignment horizontal="left" vertical="center" indent="1"/>
    </xf>
    <xf numFmtId="191" fontId="91" fillId="0" borderId="0" xfId="1" applyNumberFormat="1" applyFont="1" applyFill="1" applyAlignment="1"/>
    <xf numFmtId="197" fontId="25" fillId="0" borderId="4" xfId="1" applyNumberFormat="1" applyFont="1" applyFill="1" applyBorder="1" applyAlignment="1">
      <alignment horizontal="center" vertical="center" wrapText="1"/>
    </xf>
    <xf numFmtId="191" fontId="25" fillId="0" borderId="4" xfId="1" applyNumberFormat="1" applyFont="1" applyFill="1" applyBorder="1" applyAlignment="1">
      <alignment horizontal="right" vertical="center" shrinkToFit="1"/>
    </xf>
    <xf numFmtId="191" fontId="78" fillId="0" borderId="4" xfId="0" quotePrefix="1" applyNumberFormat="1" applyFont="1" applyBorder="1" applyAlignment="1">
      <alignment horizontal="left" vertical="center"/>
    </xf>
    <xf numFmtId="198" fontId="78" fillId="0" borderId="4" xfId="1" applyNumberFormat="1" applyFont="1" applyFill="1" applyBorder="1" applyAlignment="1">
      <alignment vertical="center" shrinkToFit="1"/>
    </xf>
    <xf numFmtId="191" fontId="78" fillId="0" borderId="4" xfId="1" applyNumberFormat="1" applyFont="1" applyFill="1" applyBorder="1" applyAlignment="1">
      <alignment vertical="center" shrinkToFit="1"/>
    </xf>
    <xf numFmtId="206" fontId="78" fillId="0" borderId="4" xfId="6" applyNumberFormat="1" applyFont="1" applyFill="1" applyBorder="1" applyAlignment="1">
      <alignment horizontal="left" vertical="center" wrapText="1"/>
    </xf>
    <xf numFmtId="0" fontId="25" fillId="0" borderId="4" xfId="0" applyFont="1" applyBorder="1" applyAlignment="1">
      <alignment horizontal="right"/>
    </xf>
    <xf numFmtId="197" fontId="25" fillId="0" borderId="4" xfId="0" applyNumberFormat="1" applyFont="1" applyBorder="1" applyAlignment="1">
      <alignment horizontal="right" vertical="center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198" fontId="25" fillId="0" borderId="0" xfId="0" applyNumberFormat="1" applyFont="1" applyAlignment="1">
      <alignment horizontal="left"/>
    </xf>
    <xf numFmtId="198" fontId="25" fillId="0" borderId="0" xfId="0" applyNumberFormat="1" applyFont="1"/>
    <xf numFmtId="0" fontId="78" fillId="0" borderId="0" xfId="0" applyFont="1" applyAlignment="1">
      <alignment horizontal="right"/>
    </xf>
    <xf numFmtId="213" fontId="78" fillId="0" borderId="0" xfId="0" applyNumberFormat="1" applyFont="1"/>
    <xf numFmtId="191" fontId="78" fillId="0" borderId="0" xfId="0" applyNumberFormat="1" applyFont="1"/>
    <xf numFmtId="192" fontId="78" fillId="0" borderId="0" xfId="0" applyNumberFormat="1" applyFont="1"/>
    <xf numFmtId="197" fontId="78" fillId="0" borderId="0" xfId="1" applyNumberFormat="1" applyFont="1" applyFill="1" applyAlignment="1">
      <alignment horizontal="center"/>
    </xf>
    <xf numFmtId="197" fontId="78" fillId="0" borderId="0" xfId="1" applyNumberFormat="1" applyFont="1" applyFill="1" applyAlignment="1"/>
    <xf numFmtId="0" fontId="63" fillId="0" borderId="4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63" fillId="0" borderId="10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211" fontId="34" fillId="0" borderId="4" xfId="7" applyNumberFormat="1" applyFont="1" applyFill="1" applyBorder="1" applyAlignment="1">
      <alignment horizontal="center"/>
    </xf>
    <xf numFmtId="210" fontId="37" fillId="4" borderId="4" xfId="7" applyNumberFormat="1" applyFont="1" applyFill="1" applyBorder="1" applyAlignment="1">
      <alignment horizontal="center"/>
    </xf>
    <xf numFmtId="211" fontId="66" fillId="4" borderId="4" xfId="0" applyNumberFormat="1" applyFont="1" applyFill="1" applyBorder="1"/>
    <xf numFmtId="210" fontId="62" fillId="4" borderId="4" xfId="7" applyNumberFormat="1" applyFont="1" applyFill="1" applyBorder="1" applyAlignment="1">
      <alignment horizontal="center"/>
    </xf>
    <xf numFmtId="210" fontId="56" fillId="4" borderId="4" xfId="7" applyNumberFormat="1" applyFont="1" applyFill="1" applyBorder="1" applyAlignment="1">
      <alignment horizontal="center"/>
    </xf>
    <xf numFmtId="211" fontId="139" fillId="4" borderId="4" xfId="0" applyNumberFormat="1" applyFont="1" applyFill="1" applyBorder="1"/>
    <xf numFmtId="1" fontId="11" fillId="0" borderId="11" xfId="0" applyNumberFormat="1" applyFont="1" applyBorder="1" applyAlignment="1">
      <alignment horizontal="center" vertical="center"/>
    </xf>
    <xf numFmtId="0" fontId="7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192" fontId="7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97" fontId="25" fillId="0" borderId="0" xfId="1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97" fontId="9" fillId="0" borderId="0" xfId="1" applyNumberFormat="1" applyFont="1" applyFill="1" applyAlignment="1">
      <alignment horizontal="center"/>
    </xf>
    <xf numFmtId="213" fontId="9" fillId="0" borderId="0" xfId="0" applyNumberFormat="1" applyFont="1" applyAlignment="1">
      <alignment horizontal="center"/>
    </xf>
    <xf numFmtId="9" fontId="91" fillId="0" borderId="4" xfId="21" applyFont="1" applyFill="1" applyBorder="1" applyAlignment="1">
      <alignment horizontal="center"/>
    </xf>
    <xf numFmtId="4" fontId="11" fillId="0" borderId="4" xfId="21" applyNumberFormat="1" applyFont="1" applyFill="1" applyBorder="1" applyAlignment="1">
      <alignment horizontal="center"/>
    </xf>
    <xf numFmtId="0" fontId="79" fillId="3" borderId="0" xfId="0" applyFont="1" applyFill="1"/>
    <xf numFmtId="0" fontId="79" fillId="3" borderId="0" xfId="0" applyFont="1" applyFill="1" applyAlignment="1">
      <alignment horizontal="center"/>
    </xf>
    <xf numFmtId="198" fontId="25" fillId="3" borderId="0" xfId="1" applyNumberFormat="1" applyFont="1" applyFill="1" applyBorder="1" applyAlignment="1">
      <alignment horizontal="center" vertical="center"/>
    </xf>
    <xf numFmtId="198" fontId="28" fillId="3" borderId="0" xfId="1" applyNumberFormat="1" applyFont="1" applyFill="1" applyBorder="1" applyAlignment="1">
      <alignment vertical="center"/>
    </xf>
    <xf numFmtId="0" fontId="25" fillId="3" borderId="0" xfId="0" applyFont="1" applyFill="1" applyAlignment="1">
      <alignment horizontal="center" vertical="center"/>
    </xf>
    <xf numFmtId="0" fontId="25" fillId="3" borderId="3" xfId="0" applyFont="1" applyFill="1" applyBorder="1" applyAlignment="1">
      <alignment horizontal="center"/>
    </xf>
    <xf numFmtId="199" fontId="78" fillId="3" borderId="0" xfId="1" applyNumberFormat="1" applyFont="1" applyFill="1"/>
    <xf numFmtId="198" fontId="78" fillId="3" borderId="0" xfId="0" applyNumberFormat="1" applyFont="1" applyFill="1"/>
    <xf numFmtId="199" fontId="79" fillId="3" borderId="0" xfId="1" applyNumberFormat="1" applyFont="1" applyFill="1"/>
    <xf numFmtId="198" fontId="79" fillId="3" borderId="0" xfId="0" applyNumberFormat="1" applyFont="1" applyFill="1"/>
    <xf numFmtId="0" fontId="90" fillId="3" borderId="0" xfId="0" applyFont="1" applyFill="1" applyAlignment="1">
      <alignment horizontal="center"/>
    </xf>
    <xf numFmtId="0" fontId="90" fillId="3" borderId="0" xfId="0" applyFont="1" applyFill="1"/>
    <xf numFmtId="3" fontId="105" fillId="0" borderId="0" xfId="1" applyNumberFormat="1" applyFont="1" applyFill="1" applyAlignment="1">
      <alignment horizontal="center"/>
    </xf>
    <xf numFmtId="191" fontId="25" fillId="0" borderId="0" xfId="1" applyNumberFormat="1" applyFont="1" applyFill="1" applyAlignment="1">
      <alignment horizontal="center"/>
    </xf>
    <xf numFmtId="4" fontId="12" fillId="0" borderId="0" xfId="1" applyNumberFormat="1" applyFont="1" applyFill="1" applyAlignment="1">
      <alignment horizontal="center"/>
    </xf>
    <xf numFmtId="3" fontId="12" fillId="0" borderId="0" xfId="1" applyNumberFormat="1" applyFont="1" applyFill="1" applyAlignment="1">
      <alignment horizontal="center"/>
    </xf>
    <xf numFmtId="191" fontId="12" fillId="0" borderId="0" xfId="1" applyNumberFormat="1" applyFont="1" applyFill="1" applyAlignment="1">
      <alignment horizontal="center"/>
    </xf>
    <xf numFmtId="197" fontId="10" fillId="0" borderId="4" xfId="1" applyNumberFormat="1" applyFont="1" applyFill="1" applyBorder="1" applyAlignment="1">
      <alignment horizontal="right" vertical="center"/>
    </xf>
    <xf numFmtId="197" fontId="12" fillId="0" borderId="0" xfId="1" applyNumberFormat="1" applyFont="1" applyFill="1" applyAlignment="1">
      <alignment horizontal="right"/>
    </xf>
    <xf numFmtId="0" fontId="37" fillId="0" borderId="4" xfId="18" applyFont="1" applyBorder="1" applyAlignment="1">
      <alignment horizontal="center" vertical="center"/>
    </xf>
    <xf numFmtId="0" fontId="37" fillId="0" borderId="4" xfId="18" applyFont="1" applyBorder="1" applyAlignment="1">
      <alignment horizontal="left" vertical="center"/>
    </xf>
    <xf numFmtId="4" fontId="12" fillId="0" borderId="4" xfId="1" applyNumberFormat="1" applyFont="1" applyFill="1" applyBorder="1" applyAlignment="1">
      <alignment horizontal="center"/>
    </xf>
    <xf numFmtId="213" fontId="11" fillId="0" borderId="0" xfId="1" applyNumberFormat="1" applyFont="1" applyFill="1" applyBorder="1" applyAlignment="1">
      <alignment horizontal="right" vertical="center" shrinkToFit="1"/>
    </xf>
    <xf numFmtId="192" fontId="12" fillId="0" borderId="0" xfId="1" applyNumberFormat="1" applyFont="1" applyFill="1"/>
    <xf numFmtId="0" fontId="34" fillId="0" borderId="4" xfId="18" applyFont="1" applyBorder="1" applyAlignment="1">
      <alignment horizontal="center" vertical="center"/>
    </xf>
    <xf numFmtId="3" fontId="12" fillId="0" borderId="4" xfId="1" applyNumberFormat="1" applyFont="1" applyFill="1" applyBorder="1" applyAlignment="1">
      <alignment horizontal="center"/>
    </xf>
    <xf numFmtId="213" fontId="12" fillId="0" borderId="0" xfId="0" applyNumberFormat="1" applyFont="1"/>
    <xf numFmtId="0" fontId="12" fillId="0" borderId="4" xfId="18" applyFont="1" applyBorder="1" applyAlignment="1">
      <alignment horizontal="left" vertical="center"/>
    </xf>
    <xf numFmtId="3" fontId="12" fillId="0" borderId="4" xfId="0" applyNumberFormat="1" applyFont="1" applyBorder="1" applyAlignment="1">
      <alignment horizontal="center"/>
    </xf>
    <xf numFmtId="215" fontId="12" fillId="0" borderId="0" xfId="0" applyNumberFormat="1" applyFont="1"/>
    <xf numFmtId="217" fontId="12" fillId="0" borderId="0" xfId="1" applyNumberFormat="1" applyFont="1" applyFill="1"/>
    <xf numFmtId="215" fontId="12" fillId="0" borderId="4" xfId="0" applyNumberFormat="1" applyFont="1" applyBorder="1" applyAlignment="1">
      <alignment horizontal="center"/>
    </xf>
    <xf numFmtId="197" fontId="12" fillId="0" borderId="4" xfId="1" applyNumberFormat="1" applyFont="1" applyFill="1" applyBorder="1" applyAlignment="1"/>
    <xf numFmtId="220" fontId="12" fillId="0" borderId="4" xfId="1" applyNumberFormat="1" applyFont="1" applyFill="1" applyBorder="1" applyAlignment="1">
      <alignment horizontal="right"/>
    </xf>
    <xf numFmtId="196" fontId="12" fillId="0" borderId="4" xfId="1" applyFont="1" applyFill="1" applyBorder="1" applyAlignment="1"/>
    <xf numFmtId="4" fontId="12" fillId="0" borderId="0" xfId="0" applyNumberFormat="1" applyFont="1"/>
    <xf numFmtId="3" fontId="10" fillId="0" borderId="0" xfId="0" applyNumberFormat="1" applyFont="1"/>
    <xf numFmtId="0" fontId="10" fillId="0" borderId="4" xfId="18" applyFont="1" applyBorder="1" applyAlignment="1">
      <alignment horizontal="center" vertical="center"/>
    </xf>
    <xf numFmtId="0" fontId="10" fillId="0" borderId="4" xfId="18" applyFont="1" applyBorder="1" applyAlignment="1">
      <alignment horizontal="left" vertical="center"/>
    </xf>
    <xf numFmtId="197" fontId="139" fillId="0" borderId="4" xfId="1" applyNumberFormat="1" applyFont="1" applyFill="1" applyBorder="1" applyAlignment="1">
      <alignment horizontal="right"/>
    </xf>
    <xf numFmtId="3" fontId="10" fillId="0" borderId="0" xfId="0" applyNumberFormat="1" applyFont="1" applyAlignment="1">
      <alignment horizontal="center"/>
    </xf>
    <xf numFmtId="192" fontId="12" fillId="0" borderId="0" xfId="1" applyNumberFormat="1" applyFont="1" applyFill="1" applyAlignment="1">
      <alignment horizontal="right"/>
    </xf>
    <xf numFmtId="0" fontId="86" fillId="0" borderId="0" xfId="16" applyFont="1" applyAlignment="1">
      <alignment horizontal="center"/>
    </xf>
    <xf numFmtId="197" fontId="35" fillId="0" borderId="0" xfId="1" applyNumberFormat="1" applyFont="1" applyFill="1" applyAlignment="1">
      <alignment horizontal="center"/>
    </xf>
    <xf numFmtId="197" fontId="35" fillId="0" borderId="0" xfId="1" applyNumberFormat="1" applyFont="1" applyFill="1" applyAlignment="1">
      <alignment horizontal="right"/>
    </xf>
    <xf numFmtId="197" fontId="35" fillId="0" borderId="0" xfId="1" applyNumberFormat="1" applyFont="1" applyFill="1"/>
    <xf numFmtId="228" fontId="35" fillId="0" borderId="0" xfId="0" applyNumberFormat="1" applyFont="1"/>
    <xf numFmtId="235" fontId="12" fillId="0" borderId="0" xfId="1" applyNumberFormat="1" applyFont="1" applyFill="1" applyAlignment="1"/>
    <xf numFmtId="198" fontId="25" fillId="0" borderId="0" xfId="1" applyNumberFormat="1" applyFont="1" applyFill="1" applyBorder="1" applyAlignment="1">
      <alignment horizontal="center" vertical="center"/>
    </xf>
    <xf numFmtId="1" fontId="113" fillId="0" borderId="4" xfId="1" applyNumberFormat="1" applyFont="1" applyFill="1" applyBorder="1" applyAlignment="1">
      <alignment horizontal="center" vertical="center"/>
    </xf>
    <xf numFmtId="1" fontId="111" fillId="0" borderId="4" xfId="1" applyNumberFormat="1" applyFont="1" applyFill="1" applyBorder="1" applyAlignment="1">
      <alignment horizontal="center" vertical="center"/>
    </xf>
    <xf numFmtId="1" fontId="113" fillId="0" borderId="19" xfId="1" applyNumberFormat="1" applyFont="1" applyFill="1" applyBorder="1" applyAlignment="1">
      <alignment horizontal="center" vertical="center"/>
    </xf>
    <xf numFmtId="1" fontId="111" fillId="0" borderId="14" xfId="1" applyNumberFormat="1" applyFont="1" applyFill="1" applyBorder="1" applyAlignment="1">
      <alignment horizontal="center" vertical="center"/>
    </xf>
    <xf numFmtId="0" fontId="39" fillId="0" borderId="4" xfId="0" applyFont="1" applyBorder="1" applyAlignment="1">
      <alignment horizontal="center"/>
    </xf>
    <xf numFmtId="191" fontId="111" fillId="0" borderId="0" xfId="1" applyNumberFormat="1" applyFont="1" applyFill="1" applyAlignment="1">
      <alignment horizontal="center"/>
    </xf>
    <xf numFmtId="191" fontId="91" fillId="0" borderId="0" xfId="1" applyNumberFormat="1" applyFont="1" applyFill="1" applyAlignment="1">
      <alignment horizontal="center"/>
    </xf>
    <xf numFmtId="199" fontId="40" fillId="0" borderId="0" xfId="1" applyNumberFormat="1" applyFont="1" applyFill="1" applyAlignment="1">
      <alignment horizontal="center"/>
    </xf>
    <xf numFmtId="0" fontId="36" fillId="0" borderId="0" xfId="0" applyFont="1" applyAlignment="1">
      <alignment horizontal="left"/>
    </xf>
    <xf numFmtId="0" fontId="49" fillId="0" borderId="0" xfId="0" applyFont="1" applyAlignment="1">
      <alignment horizontal="center" vertical="center" shrinkToFit="1"/>
    </xf>
    <xf numFmtId="0" fontId="154" fillId="0" borderId="4" xfId="0" applyFont="1" applyBorder="1" applyAlignment="1">
      <alignment horizontal="center"/>
    </xf>
    <xf numFmtId="191" fontId="161" fillId="0" borderId="0" xfId="1" applyNumberFormat="1" applyFont="1" applyFill="1" applyAlignment="1">
      <alignment horizontal="center"/>
    </xf>
    <xf numFmtId="191" fontId="161" fillId="0" borderId="0" xfId="1" applyNumberFormat="1" applyFont="1" applyFill="1" applyAlignment="1"/>
    <xf numFmtId="232" fontId="163" fillId="0" borderId="0" xfId="1" applyNumberFormat="1" applyFont="1" applyFill="1" applyAlignment="1"/>
    <xf numFmtId="0" fontId="141" fillId="0" borderId="0" xfId="0" applyFont="1"/>
    <xf numFmtId="3" fontId="115" fillId="0" borderId="4" xfId="5" applyNumberFormat="1" applyFont="1" applyFill="1" applyBorder="1" applyAlignment="1">
      <alignment horizontal="right" vertical="center"/>
    </xf>
    <xf numFmtId="197" fontId="57" fillId="0" borderId="4" xfId="0" applyNumberFormat="1" applyFont="1" applyBorder="1" applyAlignment="1">
      <alignment horizontal="center" vertical="center" wrapText="1"/>
    </xf>
    <xf numFmtId="3" fontId="25" fillId="0" borderId="4" xfId="0" applyNumberFormat="1" applyFont="1" applyBorder="1" applyAlignment="1">
      <alignment horizontal="right" vertical="center" wrapText="1"/>
    </xf>
    <xf numFmtId="0" fontId="59" fillId="0" borderId="15" xfId="0" applyFont="1" applyBorder="1"/>
    <xf numFmtId="0" fontId="4" fillId="0" borderId="0" xfId="0" applyFont="1"/>
    <xf numFmtId="197" fontId="4" fillId="0" borderId="0" xfId="1" applyNumberFormat="1" applyFont="1" applyFill="1" applyBorder="1"/>
    <xf numFmtId="0" fontId="78" fillId="0" borderId="4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 applyAlignment="1">
      <alignment horizontal="center" wrapText="1"/>
    </xf>
    <xf numFmtId="0" fontId="25" fillId="0" borderId="19" xfId="0" applyFont="1" applyBorder="1" applyAlignment="1">
      <alignment horizontal="center"/>
    </xf>
    <xf numFmtId="0" fontId="164" fillId="0" borderId="0" xfId="0" applyFont="1"/>
    <xf numFmtId="0" fontId="78" fillId="4" borderId="4" xfId="0" applyFont="1" applyFill="1" applyBorder="1"/>
    <xf numFmtId="0" fontId="25" fillId="4" borderId="4" xfId="0" applyFont="1" applyFill="1" applyBorder="1" applyAlignment="1">
      <alignment horizontal="center"/>
    </xf>
    <xf numFmtId="0" fontId="25" fillId="4" borderId="4" xfId="0" applyFont="1" applyFill="1" applyBorder="1" applyAlignment="1">
      <alignment horizontal="center" vertical="center"/>
    </xf>
    <xf numFmtId="0" fontId="154" fillId="4" borderId="4" xfId="0" applyFont="1" applyFill="1" applyBorder="1" applyAlignment="1">
      <alignment horizontal="center"/>
    </xf>
    <xf numFmtId="0" fontId="25" fillId="4" borderId="4" xfId="0" applyFont="1" applyFill="1" applyBorder="1" applyAlignment="1">
      <alignment horizontal="center" wrapText="1"/>
    </xf>
    <xf numFmtId="0" fontId="25" fillId="4" borderId="0" xfId="0" applyFont="1" applyFill="1" applyAlignment="1">
      <alignment horizontal="center"/>
    </xf>
    <xf numFmtId="0" fontId="164" fillId="4" borderId="0" xfId="0" applyFont="1" applyFill="1"/>
    <xf numFmtId="0" fontId="133" fillId="0" borderId="4" xfId="0" applyFont="1" applyBorder="1"/>
    <xf numFmtId="0" fontId="133" fillId="0" borderId="4" xfId="16" applyFont="1" applyBorder="1" applyAlignment="1">
      <alignment horizontal="left"/>
    </xf>
    <xf numFmtId="0" fontId="133" fillId="0" borderId="4" xfId="16" quotePrefix="1" applyFont="1" applyBorder="1" applyAlignment="1">
      <alignment horizontal="center" vertical="center"/>
    </xf>
    <xf numFmtId="0" fontId="133" fillId="0" borderId="4" xfId="16" applyFont="1" applyBorder="1" applyAlignment="1">
      <alignment horizontal="center"/>
    </xf>
    <xf numFmtId="0" fontId="133" fillId="0" borderId="4" xfId="0" quotePrefix="1" applyFont="1" applyBorder="1"/>
    <xf numFmtId="0" fontId="133" fillId="0" borderId="4" xfId="16" applyFont="1" applyBorder="1" applyAlignment="1">
      <alignment horizontal="center" vertical="center"/>
    </xf>
    <xf numFmtId="0" fontId="133" fillId="0" borderId="4" xfId="0" applyFont="1" applyBorder="1" applyAlignment="1">
      <alignment horizontal="center" vertical="center"/>
    </xf>
    <xf numFmtId="0" fontId="133" fillId="0" borderId="4" xfId="0" applyFont="1" applyBorder="1" applyAlignment="1">
      <alignment horizontal="left"/>
    </xf>
    <xf numFmtId="0" fontId="99" fillId="0" borderId="4" xfId="0" applyFont="1" applyBorder="1" applyAlignment="1">
      <alignment horizontal="left"/>
    </xf>
    <xf numFmtId="0" fontId="133" fillId="0" borderId="4" xfId="0" quotePrefix="1" applyFont="1" applyBorder="1" applyAlignment="1">
      <alignment horizontal="center"/>
    </xf>
    <xf numFmtId="0" fontId="99" fillId="0" borderId="4" xfId="0" applyFont="1" applyBorder="1" applyAlignment="1">
      <alignment horizontal="center"/>
    </xf>
    <xf numFmtId="3" fontId="97" fillId="0" borderId="4" xfId="0" quotePrefix="1" applyNumberFormat="1" applyFont="1" applyBorder="1" applyAlignment="1">
      <alignment horizontal="center"/>
    </xf>
    <xf numFmtId="0" fontId="133" fillId="0" borderId="4" xfId="0" applyFont="1" applyBorder="1" applyAlignment="1">
      <alignment horizontal="center"/>
    </xf>
    <xf numFmtId="3" fontId="12" fillId="0" borderId="4" xfId="0" quotePrefix="1" applyNumberFormat="1" applyFont="1" applyBorder="1" applyAlignment="1">
      <alignment horizontal="center"/>
    </xf>
    <xf numFmtId="0" fontId="133" fillId="3" borderId="4" xfId="0" applyFont="1" applyFill="1" applyBorder="1" applyAlignment="1">
      <alignment horizontal="center"/>
    </xf>
    <xf numFmtId="0" fontId="133" fillId="3" borderId="4" xfId="16" applyFont="1" applyFill="1" applyBorder="1" applyAlignment="1">
      <alignment horizontal="center"/>
    </xf>
    <xf numFmtId="0" fontId="133" fillId="4" borderId="4" xfId="0" applyFont="1" applyFill="1" applyBorder="1" applyAlignment="1">
      <alignment horizontal="center"/>
    </xf>
    <xf numFmtId="0" fontId="133" fillId="4" borderId="4" xfId="0" applyFont="1" applyFill="1" applyBorder="1"/>
    <xf numFmtId="0" fontId="133" fillId="4" borderId="4" xfId="0" applyFont="1" applyFill="1" applyBorder="1" applyAlignment="1">
      <alignment horizontal="left"/>
    </xf>
    <xf numFmtId="3" fontId="12" fillId="4" borderId="4" xfId="0" quotePrefix="1" applyNumberFormat="1" applyFont="1" applyFill="1" applyBorder="1" applyAlignment="1">
      <alignment horizontal="center"/>
    </xf>
    <xf numFmtId="0" fontId="0" fillId="4" borderId="0" xfId="0" applyFill="1"/>
    <xf numFmtId="3" fontId="166" fillId="0" borderId="4" xfId="0" quotePrefix="1" applyNumberFormat="1" applyFont="1" applyBorder="1" applyAlignment="1">
      <alignment horizontal="center"/>
    </xf>
    <xf numFmtId="0" fontId="54" fillId="0" borderId="0" xfId="14" applyAlignment="1">
      <alignment vertical="center"/>
    </xf>
    <xf numFmtId="0" fontId="0" fillId="0" borderId="0" xfId="0" applyAlignment="1">
      <alignment horizontal="center" vertical="center"/>
    </xf>
    <xf numFmtId="198" fontId="11" fillId="0" borderId="4" xfId="1" applyNumberFormat="1" applyFont="1" applyFill="1" applyBorder="1" applyAlignment="1">
      <alignment horizontal="center" vertical="center" shrinkToFit="1"/>
    </xf>
    <xf numFmtId="1" fontId="111" fillId="0" borderId="0" xfId="1" applyNumberFormat="1" applyFont="1" applyFill="1" applyBorder="1" applyAlignment="1">
      <alignment vertical="center"/>
    </xf>
    <xf numFmtId="0" fontId="167" fillId="3" borderId="4" xfId="0" applyFont="1" applyFill="1" applyBorder="1" applyAlignment="1">
      <alignment horizontal="center" vertical="center" wrapText="1"/>
    </xf>
    <xf numFmtId="10" fontId="115" fillId="0" borderId="4" xfId="21" applyNumberFormat="1" applyFont="1" applyFill="1" applyBorder="1" applyAlignment="1">
      <alignment vertical="center" wrapText="1"/>
    </xf>
    <xf numFmtId="191" fontId="25" fillId="0" borderId="4" xfId="1" applyNumberFormat="1" applyFont="1" applyFill="1" applyBorder="1" applyAlignment="1">
      <alignment horizontal="center" vertical="center" wrapText="1"/>
    </xf>
    <xf numFmtId="1" fontId="170" fillId="0" borderId="0" xfId="1" applyNumberFormat="1" applyFont="1" applyFill="1" applyAlignment="1">
      <alignment vertical="center"/>
    </xf>
    <xf numFmtId="1" fontId="171" fillId="0" borderId="0" xfId="1" applyNumberFormat="1" applyFont="1" applyFill="1" applyBorder="1" applyAlignment="1">
      <alignment horizontal="center" vertical="center"/>
    </xf>
    <xf numFmtId="1" fontId="171" fillId="0" borderId="0" xfId="1" applyNumberFormat="1" applyFont="1" applyFill="1" applyBorder="1" applyAlignment="1">
      <alignment vertical="center"/>
    </xf>
    <xf numFmtId="1" fontId="150" fillId="0" borderId="0" xfId="1" applyNumberFormat="1" applyFont="1" applyFill="1" applyAlignment="1">
      <alignment vertical="center"/>
    </xf>
    <xf numFmtId="213" fontId="173" fillId="0" borderId="4" xfId="1" applyNumberFormat="1" applyFont="1" applyFill="1" applyBorder="1" applyAlignment="1" applyProtection="1">
      <alignment horizontal="center" vertical="center"/>
    </xf>
    <xf numFmtId="197" fontId="129" fillId="0" borderId="4" xfId="1" applyNumberFormat="1" applyFont="1" applyFill="1" applyBorder="1" applyAlignment="1">
      <alignment horizontal="center" vertical="center" wrapText="1"/>
    </xf>
    <xf numFmtId="3" fontId="124" fillId="0" borderId="4" xfId="1" applyNumberFormat="1" applyFont="1" applyFill="1" applyBorder="1" applyAlignment="1">
      <alignment horizontal="center" vertical="center"/>
    </xf>
    <xf numFmtId="204" fontId="124" fillId="0" borderId="4" xfId="1" applyNumberFormat="1" applyFont="1" applyFill="1" applyBorder="1" applyAlignment="1">
      <alignment horizontal="center" vertical="center" wrapText="1"/>
    </xf>
    <xf numFmtId="211" fontId="25" fillId="0" borderId="4" xfId="1" applyNumberFormat="1" applyFont="1" applyFill="1" applyBorder="1" applyAlignment="1">
      <alignment vertical="center" wrapText="1"/>
    </xf>
    <xf numFmtId="191" fontId="25" fillId="0" borderId="4" xfId="1" applyNumberFormat="1" applyFont="1" applyFill="1" applyBorder="1" applyAlignment="1">
      <alignment horizontal="center" vertical="top" wrapText="1"/>
    </xf>
    <xf numFmtId="207" fontId="98" fillId="5" borderId="4" xfId="1" applyNumberFormat="1" applyFont="1" applyFill="1" applyBorder="1" applyAlignment="1">
      <alignment horizontal="center" vertical="center" wrapText="1"/>
    </xf>
    <xf numFmtId="214" fontId="7" fillId="0" borderId="0" xfId="1" applyNumberFormat="1" applyFont="1" applyFill="1" applyBorder="1" applyAlignment="1">
      <alignment horizontal="center" vertical="center" shrinkToFit="1"/>
    </xf>
    <xf numFmtId="236" fontId="9" fillId="0" borderId="0" xfId="0" applyNumberFormat="1" applyFont="1"/>
    <xf numFmtId="208" fontId="98" fillId="0" borderId="4" xfId="1" applyNumberFormat="1" applyFont="1" applyFill="1" applyBorder="1" applyAlignment="1">
      <alignment horizontal="center" vertical="center" wrapText="1"/>
    </xf>
    <xf numFmtId="4" fontId="25" fillId="0" borderId="4" xfId="1" applyNumberFormat="1" applyFont="1" applyFill="1" applyBorder="1" applyAlignment="1">
      <alignment horizontal="center" vertical="center" wrapText="1"/>
    </xf>
    <xf numFmtId="0" fontId="102" fillId="0" borderId="4" xfId="0" applyFont="1" applyBorder="1" applyAlignment="1">
      <alignment vertical="center"/>
    </xf>
    <xf numFmtId="197" fontId="176" fillId="0" borderId="0" xfId="0" applyNumberFormat="1" applyFont="1" applyAlignment="1">
      <alignment vertical="center"/>
    </xf>
    <xf numFmtId="198" fontId="176" fillId="0" borderId="0" xfId="0" applyNumberFormat="1" applyFont="1" applyAlignment="1">
      <alignment vertical="center"/>
    </xf>
    <xf numFmtId="0" fontId="176" fillId="0" borderId="0" xfId="0" applyFont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4" fillId="0" borderId="4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4" fontId="179" fillId="0" borderId="0" xfId="1" applyNumberFormat="1" applyFont="1" applyFill="1" applyBorder="1" applyAlignment="1"/>
    <xf numFmtId="191" fontId="179" fillId="0" borderId="0" xfId="1" applyNumberFormat="1" applyFont="1" applyFill="1" applyBorder="1" applyAlignment="1">
      <alignment horizontal="center"/>
    </xf>
    <xf numFmtId="191" fontId="179" fillId="0" borderId="0" xfId="1" applyNumberFormat="1" applyFont="1" applyFill="1" applyBorder="1" applyAlignment="1"/>
    <xf numFmtId="191" fontId="179" fillId="0" borderId="0" xfId="1" applyNumberFormat="1" applyFont="1" applyFill="1" applyBorder="1"/>
    <xf numFmtId="202" fontId="179" fillId="0" borderId="3" xfId="1" applyNumberFormat="1" applyFont="1" applyFill="1" applyBorder="1" applyAlignment="1">
      <alignment horizontal="center" vertical="center" wrapText="1"/>
    </xf>
    <xf numFmtId="191" fontId="178" fillId="0" borderId="4" xfId="1" applyNumberFormat="1" applyFont="1" applyFill="1" applyBorder="1" applyAlignment="1">
      <alignment horizontal="center" vertical="center" wrapText="1"/>
    </xf>
    <xf numFmtId="211" fontId="178" fillId="0" borderId="4" xfId="1" applyNumberFormat="1" applyFont="1" applyFill="1" applyBorder="1" applyAlignment="1">
      <alignment horizontal="center" vertical="center" wrapText="1"/>
    </xf>
    <xf numFmtId="192" fontId="178" fillId="0" borderId="4" xfId="5" applyNumberFormat="1" applyFont="1" applyFill="1" applyBorder="1" applyAlignment="1">
      <alignment horizontal="center" vertical="center" wrapText="1"/>
    </xf>
    <xf numFmtId="4" fontId="178" fillId="0" borderId="4" xfId="1" applyNumberFormat="1" applyFont="1" applyFill="1" applyBorder="1" applyAlignment="1">
      <alignment horizontal="center" vertical="center" wrapText="1"/>
    </xf>
    <xf numFmtId="191" fontId="178" fillId="0" borderId="10" xfId="1" applyNumberFormat="1" applyFont="1" applyFill="1" applyBorder="1" applyAlignment="1">
      <alignment horizontal="center" vertical="top" wrapText="1"/>
    </xf>
    <xf numFmtId="3" fontId="178" fillId="0" borderId="4" xfId="5" applyNumberFormat="1" applyFont="1" applyFill="1" applyBorder="1" applyAlignment="1">
      <alignment horizontal="center" vertical="top" wrapText="1"/>
    </xf>
    <xf numFmtId="211" fontId="179" fillId="0" borderId="4" xfId="5" applyNumberFormat="1" applyFont="1" applyFill="1" applyBorder="1" applyAlignment="1">
      <alignment vertical="center"/>
    </xf>
    <xf numFmtId="191" fontId="179" fillId="0" borderId="4" xfId="1" applyNumberFormat="1" applyFont="1" applyFill="1" applyBorder="1" applyAlignment="1">
      <alignment horizontal="right" vertical="center" shrinkToFit="1"/>
    </xf>
    <xf numFmtId="211" fontId="180" fillId="0" borderId="4" xfId="5" applyNumberFormat="1" applyFont="1" applyFill="1" applyBorder="1" applyAlignment="1">
      <alignment vertical="center"/>
    </xf>
    <xf numFmtId="197" fontId="180" fillId="0" borderId="4" xfId="1" applyNumberFormat="1" applyFont="1" applyFill="1" applyBorder="1" applyAlignment="1">
      <alignment vertical="center" shrinkToFit="1"/>
    </xf>
    <xf numFmtId="191" fontId="180" fillId="0" borderId="4" xfId="1" applyNumberFormat="1" applyFont="1" applyFill="1" applyBorder="1" applyAlignment="1">
      <alignment horizontal="right" vertical="center" shrinkToFit="1"/>
    </xf>
    <xf numFmtId="191" fontId="179" fillId="0" borderId="4" xfId="5" applyNumberFormat="1" applyFont="1" applyFill="1" applyBorder="1" applyAlignment="1">
      <alignment vertical="center"/>
    </xf>
    <xf numFmtId="214" fontId="179" fillId="0" borderId="0" xfId="1" applyNumberFormat="1" applyFont="1" applyFill="1" applyAlignment="1"/>
    <xf numFmtId="211" fontId="179" fillId="0" borderId="0" xfId="1" applyNumberFormat="1" applyFont="1" applyFill="1" applyAlignment="1"/>
    <xf numFmtId="4" fontId="179" fillId="0" borderId="0" xfId="1" applyNumberFormat="1" applyFont="1" applyFill="1"/>
    <xf numFmtId="191" fontId="179" fillId="0" borderId="0" xfId="1" applyNumberFormat="1" applyFont="1" applyFill="1" applyAlignment="1">
      <alignment horizontal="center"/>
    </xf>
    <xf numFmtId="191" fontId="179" fillId="0" borderId="0" xfId="1" applyNumberFormat="1" applyFont="1" applyFill="1"/>
    <xf numFmtId="10" fontId="57" fillId="0" borderId="4" xfId="21" applyNumberFormat="1" applyFont="1" applyFill="1" applyBorder="1" applyAlignment="1">
      <alignment vertical="center" wrapText="1"/>
    </xf>
    <xf numFmtId="0" fontId="115" fillId="0" borderId="4" xfId="0" applyFont="1" applyBorder="1" applyAlignment="1">
      <alignment horizontal="center" vertical="center"/>
    </xf>
    <xf numFmtId="0" fontId="115" fillId="0" borderId="4" xfId="0" applyFont="1" applyBorder="1" applyAlignment="1">
      <alignment vertical="center"/>
    </xf>
    <xf numFmtId="196" fontId="57" fillId="0" borderId="4" xfId="0" applyNumberFormat="1" applyFont="1" applyBorder="1" applyAlignment="1">
      <alignment horizontal="center" vertical="center" wrapText="1"/>
    </xf>
    <xf numFmtId="0" fontId="57" fillId="0" borderId="4" xfId="0" applyFont="1" applyBorder="1" applyAlignment="1">
      <alignment horizontal="right" vertical="center"/>
    </xf>
    <xf numFmtId="196" fontId="57" fillId="0" borderId="4" xfId="1" applyFont="1" applyFill="1" applyBorder="1" applyAlignment="1">
      <alignment horizontal="right" vertical="center"/>
    </xf>
    <xf numFmtId="0" fontId="57" fillId="0" borderId="4" xfId="0" applyFont="1" applyBorder="1" applyAlignment="1">
      <alignment vertical="center" wrapText="1"/>
    </xf>
    <xf numFmtId="196" fontId="115" fillId="0" borderId="4" xfId="1" applyFont="1" applyFill="1" applyBorder="1" applyAlignment="1">
      <alignment vertical="center"/>
    </xf>
    <xf numFmtId="197" fontId="115" fillId="0" borderId="4" xfId="1" applyNumberFormat="1" applyFont="1" applyFill="1" applyBorder="1" applyAlignment="1">
      <alignment horizontal="right" vertical="center" wrapText="1"/>
    </xf>
    <xf numFmtId="216" fontId="57" fillId="0" borderId="4" xfId="1" applyNumberFormat="1" applyFont="1" applyFill="1" applyBorder="1" applyAlignment="1">
      <alignment vertical="center"/>
    </xf>
    <xf numFmtId="197" fontId="10" fillId="0" borderId="0" xfId="0" applyNumberFormat="1" applyFont="1"/>
    <xf numFmtId="197" fontId="12" fillId="7" borderId="4" xfId="1" applyNumberFormat="1" applyFont="1" applyFill="1" applyBorder="1" applyAlignment="1">
      <alignment horizontal="right"/>
    </xf>
    <xf numFmtId="198" fontId="79" fillId="3" borderId="0" xfId="0" applyNumberFormat="1" applyFont="1" applyFill="1" applyAlignment="1">
      <alignment horizontal="center"/>
    </xf>
    <xf numFmtId="2" fontId="95" fillId="4" borderId="11" xfId="0" applyNumberFormat="1" applyFont="1" applyFill="1" applyBorder="1" applyAlignment="1">
      <alignment horizontal="center" vertical="center" shrinkToFit="1"/>
    </xf>
    <xf numFmtId="207" fontId="98" fillId="4" borderId="4" xfId="1" applyNumberFormat="1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40" fillId="3" borderId="4" xfId="0" applyFont="1" applyFill="1" applyBorder="1" applyAlignment="1">
      <alignment horizontal="center" vertical="center" shrinkToFit="1"/>
    </xf>
    <xf numFmtId="0" fontId="47" fillId="3" borderId="4" xfId="0" applyFont="1" applyFill="1" applyBorder="1" applyAlignment="1">
      <alignment horizontal="center" vertical="center" shrinkToFit="1"/>
    </xf>
    <xf numFmtId="0" fontId="47" fillId="3" borderId="4" xfId="0" applyFont="1" applyFill="1" applyBorder="1" applyAlignment="1">
      <alignment vertical="center" wrapText="1"/>
    </xf>
    <xf numFmtId="0" fontId="47" fillId="3" borderId="4" xfId="0" applyFont="1" applyFill="1" applyBorder="1" applyAlignment="1">
      <alignment horizontal="left" vertical="center" wrapText="1"/>
    </xf>
    <xf numFmtId="0" fontId="47" fillId="3" borderId="4" xfId="0" applyFont="1" applyFill="1" applyBorder="1" applyAlignment="1">
      <alignment horizontal="center" vertical="center" wrapText="1"/>
    </xf>
    <xf numFmtId="198" fontId="47" fillId="3" borderId="4" xfId="1" applyNumberFormat="1" applyFont="1" applyFill="1" applyBorder="1" applyAlignment="1">
      <alignment vertical="center" wrapText="1"/>
    </xf>
    <xf numFmtId="191" fontId="40" fillId="3" borderId="4" xfId="19" applyNumberFormat="1" applyFont="1" applyFill="1" applyBorder="1" applyAlignment="1">
      <alignment horizontal="center" vertical="center"/>
    </xf>
    <xf numFmtId="191" fontId="40" fillId="3" borderId="4" xfId="19" applyNumberFormat="1" applyFont="1" applyFill="1" applyBorder="1" applyAlignment="1">
      <alignment vertical="center"/>
    </xf>
    <xf numFmtId="0" fontId="40" fillId="3" borderId="0" xfId="0" applyFont="1" applyFill="1" applyAlignment="1">
      <alignment horizontal="center" vertical="center"/>
    </xf>
    <xf numFmtId="191" fontId="40" fillId="3" borderId="0" xfId="19" applyNumberFormat="1" applyFont="1" applyFill="1" applyAlignment="1">
      <alignment horizontal="center" vertical="center"/>
    </xf>
    <xf numFmtId="191" fontId="40" fillId="3" borderId="15" xfId="19" applyNumberFormat="1" applyFont="1" applyFill="1" applyBorder="1" applyAlignment="1">
      <alignment horizontal="center" vertical="center"/>
    </xf>
    <xf numFmtId="191" fontId="40" fillId="3" borderId="15" xfId="19" applyNumberFormat="1" applyFont="1" applyFill="1" applyBorder="1" applyAlignment="1">
      <alignment vertical="center"/>
    </xf>
    <xf numFmtId="0" fontId="115" fillId="0" borderId="4" xfId="0" applyFont="1" applyBorder="1" applyAlignment="1">
      <alignment horizontal="left" vertical="center"/>
    </xf>
    <xf numFmtId="197" fontId="115" fillId="0" borderId="4" xfId="1" applyNumberFormat="1" applyFont="1" applyFill="1" applyBorder="1" applyAlignment="1">
      <alignment horizontal="center" vertical="center" wrapText="1"/>
    </xf>
    <xf numFmtId="197" fontId="185" fillId="0" borderId="4" xfId="0" applyNumberFormat="1" applyFont="1" applyBorder="1" applyAlignment="1">
      <alignment horizontal="center" vertical="center" wrapText="1"/>
    </xf>
    <xf numFmtId="197" fontId="185" fillId="0" borderId="4" xfId="1" applyNumberFormat="1" applyFont="1" applyFill="1" applyBorder="1" applyAlignment="1">
      <alignment horizontal="center" vertical="center" wrapText="1"/>
    </xf>
    <xf numFmtId="10" fontId="185" fillId="0" borderId="4" xfId="21" applyNumberFormat="1" applyFont="1" applyFill="1" applyBorder="1" applyAlignment="1">
      <alignment vertical="center" wrapText="1"/>
    </xf>
    <xf numFmtId="191" fontId="166" fillId="0" borderId="4" xfId="1" applyNumberFormat="1" applyFont="1" applyFill="1" applyBorder="1" applyAlignment="1">
      <alignment horizontal="right" vertical="center"/>
    </xf>
    <xf numFmtId="192" fontId="166" fillId="0" borderId="4" xfId="5" applyNumberFormat="1" applyFont="1" applyFill="1" applyBorder="1" applyAlignment="1">
      <alignment vertical="center"/>
    </xf>
    <xf numFmtId="191" fontId="166" fillId="0" borderId="4" xfId="1" applyNumberFormat="1" applyFont="1" applyFill="1" applyBorder="1" applyAlignment="1">
      <alignment horizontal="center" vertical="center" shrinkToFit="1"/>
    </xf>
    <xf numFmtId="197" fontId="166" fillId="0" borderId="4" xfId="1" applyNumberFormat="1" applyFont="1" applyFill="1" applyBorder="1" applyAlignment="1">
      <alignment vertical="center" shrinkToFit="1"/>
    </xf>
    <xf numFmtId="191" fontId="166" fillId="0" borderId="4" xfId="1" applyNumberFormat="1" applyFont="1" applyFill="1" applyBorder="1" applyAlignment="1">
      <alignment horizontal="right" vertical="center" shrinkToFit="1"/>
    </xf>
    <xf numFmtId="191" fontId="166" fillId="0" borderId="4" xfId="1" applyNumberFormat="1" applyFont="1" applyFill="1" applyBorder="1" applyAlignment="1">
      <alignment horizontal="left" vertical="center"/>
    </xf>
    <xf numFmtId="191" fontId="166" fillId="0" borderId="4" xfId="0" applyNumberFormat="1" applyFont="1" applyBorder="1" applyAlignment="1">
      <alignment horizontal="right" vertical="center"/>
    </xf>
    <xf numFmtId="191" fontId="166" fillId="0" borderId="4" xfId="0" applyNumberFormat="1" applyFont="1" applyBorder="1" applyAlignment="1">
      <alignment horizontal="left" vertical="center"/>
    </xf>
    <xf numFmtId="191" fontId="180" fillId="0" borderId="4" xfId="5" applyNumberFormat="1" applyFont="1" applyFill="1" applyBorder="1" applyAlignment="1">
      <alignment vertical="center"/>
    </xf>
    <xf numFmtId="191" fontId="166" fillId="0" borderId="4" xfId="0" quotePrefix="1" applyNumberFormat="1" applyFont="1" applyBorder="1" applyAlignment="1">
      <alignment horizontal="left" vertical="center"/>
    </xf>
    <xf numFmtId="191" fontId="166" fillId="0" borderId="4" xfId="0" applyNumberFormat="1" applyFont="1" applyBorder="1" applyAlignment="1">
      <alignment vertical="center"/>
    </xf>
    <xf numFmtId="0" fontId="166" fillId="0" borderId="4" xfId="0" applyFont="1" applyBorder="1" applyAlignment="1">
      <alignment vertical="center"/>
    </xf>
    <xf numFmtId="198" fontId="166" fillId="0" borderId="4" xfId="1" applyNumberFormat="1" applyFont="1" applyFill="1" applyBorder="1" applyAlignment="1">
      <alignment vertical="center" shrinkToFit="1"/>
    </xf>
    <xf numFmtId="0" fontId="99" fillId="0" borderId="0" xfId="0" applyFont="1" applyAlignment="1">
      <alignment vertical="center"/>
    </xf>
    <xf numFmtId="212" fontId="158" fillId="0" borderId="0" xfId="1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shrinkToFit="1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79" fillId="0" borderId="0" xfId="0" applyFont="1"/>
    <xf numFmtId="0" fontId="132" fillId="0" borderId="0" xfId="0" applyFont="1"/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8" fillId="0" borderId="10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198" fontId="18" fillId="0" borderId="4" xfId="19" applyNumberFormat="1" applyFont="1" applyBorder="1" applyAlignment="1">
      <alignment horizontal="center" vertical="center"/>
    </xf>
    <xf numFmtId="0" fontId="79" fillId="0" borderId="0" xfId="0" applyFont="1" applyAlignment="1">
      <alignment vertical="center"/>
    </xf>
    <xf numFmtId="0" fontId="166" fillId="0" borderId="0" xfId="0" applyFont="1" applyAlignment="1">
      <alignment vertical="center"/>
    </xf>
    <xf numFmtId="0" fontId="12" fillId="0" borderId="4" xfId="19" applyFont="1" applyBorder="1" applyAlignment="1">
      <alignment horizontal="center" vertical="center"/>
    </xf>
    <xf numFmtId="191" fontId="7" fillId="0" borderId="4" xfId="19" applyNumberFormat="1" applyFont="1" applyBorder="1" applyAlignment="1">
      <alignment horizontal="center" vertical="center"/>
    </xf>
    <xf numFmtId="191" fontId="15" fillId="0" borderId="4" xfId="19" applyNumberFormat="1" applyFont="1" applyBorder="1" applyAlignment="1">
      <alignment horizontal="center" vertical="center"/>
    </xf>
    <xf numFmtId="198" fontId="7" fillId="0" borderId="4" xfId="0" applyNumberFormat="1" applyFont="1" applyBorder="1" applyAlignment="1">
      <alignment vertical="center"/>
    </xf>
    <xf numFmtId="3" fontId="79" fillId="0" borderId="0" xfId="0" applyNumberFormat="1" applyFont="1"/>
    <xf numFmtId="198" fontId="11" fillId="0" borderId="4" xfId="19" applyNumberFormat="1" applyFont="1" applyBorder="1" applyAlignment="1">
      <alignment horizontal="center" vertical="center"/>
    </xf>
    <xf numFmtId="3" fontId="90" fillId="0" borderId="0" xfId="0" applyNumberFormat="1" applyFont="1" applyAlignment="1">
      <alignment vertical="center"/>
    </xf>
    <xf numFmtId="0" fontId="90" fillId="0" borderId="0" xfId="0" applyFont="1" applyAlignment="1">
      <alignment vertical="center"/>
    </xf>
    <xf numFmtId="0" fontId="146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 shrinkToFit="1"/>
    </xf>
    <xf numFmtId="0" fontId="166" fillId="0" borderId="0" xfId="0" applyFont="1"/>
    <xf numFmtId="3" fontId="18" fillId="0" borderId="4" xfId="10" applyNumberFormat="1" applyFont="1" applyBorder="1" applyAlignment="1">
      <alignment horizontal="center" vertical="center"/>
    </xf>
    <xf numFmtId="3" fontId="30" fillId="0" borderId="4" xfId="19" applyNumberFormat="1" applyFont="1" applyBorder="1" applyAlignment="1">
      <alignment horizontal="center" vertical="center"/>
    </xf>
    <xf numFmtId="0" fontId="143" fillId="0" borderId="0" xfId="20" applyFont="1"/>
    <xf numFmtId="0" fontId="140" fillId="0" borderId="0" xfId="0" applyFont="1"/>
    <xf numFmtId="3" fontId="168" fillId="0" borderId="0" xfId="0" applyNumberFormat="1" applyFont="1"/>
    <xf numFmtId="198" fontId="79" fillId="0" borderId="0" xfId="0" applyNumberFormat="1" applyFont="1"/>
    <xf numFmtId="0" fontId="90" fillId="0" borderId="0" xfId="0" applyFont="1"/>
    <xf numFmtId="0" fontId="90" fillId="0" borderId="0" xfId="0" applyFont="1" applyAlignment="1">
      <alignment horizontal="center"/>
    </xf>
    <xf numFmtId="3" fontId="30" fillId="4" borderId="4" xfId="0" applyNumberFormat="1" applyFont="1" applyFill="1" applyBorder="1"/>
    <xf numFmtId="196" fontId="57" fillId="0" borderId="4" xfId="1" applyFont="1" applyFill="1" applyBorder="1" applyAlignment="1">
      <alignment horizontal="center" vertical="center" wrapText="1"/>
    </xf>
    <xf numFmtId="196" fontId="57" fillId="0" borderId="4" xfId="1" applyFont="1" applyFill="1" applyBorder="1" applyAlignment="1">
      <alignment vertical="center" wrapText="1"/>
    </xf>
    <xf numFmtId="0" fontId="78" fillId="0" borderId="4" xfId="0" applyFont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/>
    <xf numFmtId="3" fontId="79" fillId="4" borderId="0" xfId="0" applyNumberFormat="1" applyFont="1" applyFill="1"/>
    <xf numFmtId="0" fontId="79" fillId="4" borderId="0" xfId="0" applyFont="1" applyFill="1"/>
    <xf numFmtId="0" fontId="132" fillId="4" borderId="0" xfId="0" applyFont="1" applyFill="1"/>
    <xf numFmtId="204" fontId="178" fillId="0" borderId="4" xfId="1" applyNumberFormat="1" applyFont="1" applyFill="1" applyBorder="1" applyAlignment="1">
      <alignment horizontal="right" vertical="center" wrapText="1"/>
    </xf>
    <xf numFmtId="191" fontId="178" fillId="0" borderId="4" xfId="1" applyNumberFormat="1" applyFont="1" applyFill="1" applyBorder="1" applyAlignment="1">
      <alignment horizontal="right" vertical="center" wrapText="1"/>
    </xf>
    <xf numFmtId="191" fontId="3" fillId="0" borderId="0" xfId="0" applyNumberFormat="1" applyFont="1" applyAlignment="1">
      <alignment vertical="center"/>
    </xf>
    <xf numFmtId="187" fontId="7" fillId="0" borderId="0" xfId="29" applyFont="1" applyFill="1" applyAlignment="1">
      <alignment vertical="center"/>
    </xf>
    <xf numFmtId="187" fontId="7" fillId="0" borderId="0" xfId="29" applyFont="1" applyFill="1"/>
    <xf numFmtId="0" fontId="39" fillId="7" borderId="4" xfId="0" applyFont="1" applyFill="1" applyBorder="1" applyAlignment="1">
      <alignment horizontal="center" vertical="center"/>
    </xf>
    <xf numFmtId="197" fontId="25" fillId="0" borderId="4" xfId="1" applyNumberFormat="1" applyFont="1" applyFill="1" applyBorder="1" applyAlignment="1">
      <alignment horizontal="right" vertical="center" wrapText="1"/>
    </xf>
    <xf numFmtId="1" fontId="153" fillId="0" borderId="4" xfId="1" applyNumberFormat="1" applyFont="1" applyFill="1" applyBorder="1" applyAlignment="1">
      <alignment vertical="center"/>
    </xf>
    <xf numFmtId="215" fontId="124" fillId="0" borderId="0" xfId="26" applyNumberFormat="1" applyFont="1" applyFill="1" applyBorder="1" applyAlignment="1">
      <alignment vertical="center" wrapText="1"/>
    </xf>
    <xf numFmtId="215" fontId="124" fillId="0" borderId="0" xfId="26" applyNumberFormat="1" applyFont="1" applyFill="1" applyBorder="1" applyAlignment="1">
      <alignment wrapText="1"/>
    </xf>
    <xf numFmtId="215" fontId="129" fillId="0" borderId="0" xfId="26" applyNumberFormat="1" applyFont="1" applyFill="1" applyBorder="1" applyAlignment="1">
      <alignment wrapText="1"/>
    </xf>
    <xf numFmtId="215" fontId="152" fillId="0" borderId="0" xfId="26" applyNumberFormat="1" applyFont="1" applyFill="1" applyBorder="1" applyAlignment="1">
      <alignment vertical="center" wrapText="1"/>
    </xf>
    <xf numFmtId="215" fontId="153" fillId="0" borderId="0" xfId="26" applyNumberFormat="1" applyFont="1" applyFill="1" applyBorder="1" applyAlignment="1">
      <alignment wrapText="1"/>
    </xf>
    <xf numFmtId="3" fontId="124" fillId="0" borderId="0" xfId="26" applyNumberFormat="1" applyFont="1" applyFill="1" applyBorder="1" applyAlignment="1">
      <alignment horizontal="right" wrapText="1"/>
    </xf>
    <xf numFmtId="10" fontId="91" fillId="0" borderId="4" xfId="21" applyNumberFormat="1" applyFont="1" applyFill="1" applyBorder="1" applyAlignment="1">
      <alignment horizontal="center"/>
    </xf>
    <xf numFmtId="197" fontId="105" fillId="0" borderId="4" xfId="1" applyNumberFormat="1" applyFont="1" applyFill="1" applyBorder="1" applyAlignment="1">
      <alignment vertical="center" shrinkToFit="1"/>
    </xf>
    <xf numFmtId="213" fontId="78" fillId="0" borderId="4" xfId="5" applyNumberFormat="1" applyFont="1" applyFill="1" applyBorder="1" applyAlignment="1">
      <alignment vertical="center"/>
    </xf>
    <xf numFmtId="198" fontId="95" fillId="0" borderId="11" xfId="1" applyNumberFormat="1" applyFont="1" applyFill="1" applyBorder="1" applyAlignment="1">
      <alignment horizontal="right" vertical="center" shrinkToFit="1"/>
    </xf>
    <xf numFmtId="191" fontId="95" fillId="0" borderId="11" xfId="1" applyNumberFormat="1" applyFont="1" applyFill="1" applyBorder="1" applyAlignment="1">
      <alignment horizontal="center" vertical="center"/>
    </xf>
    <xf numFmtId="237" fontId="12" fillId="0" borderId="0" xfId="1" applyNumberFormat="1" applyFont="1" applyFill="1" applyAlignment="1"/>
    <xf numFmtId="0" fontId="7" fillId="4" borderId="4" xfId="0" applyFont="1" applyFill="1" applyBorder="1" applyAlignment="1">
      <alignment vertical="center" wrapText="1"/>
    </xf>
    <xf numFmtId="191" fontId="7" fillId="4" borderId="4" xfId="0" applyNumberFormat="1" applyFont="1" applyFill="1" applyBorder="1" applyAlignment="1">
      <alignment horizontal="left" vertical="center"/>
    </xf>
    <xf numFmtId="3" fontId="7" fillId="4" borderId="4" xfId="0" applyNumberFormat="1" applyFont="1" applyFill="1" applyBorder="1" applyAlignment="1">
      <alignment vertical="center" wrapText="1"/>
    </xf>
    <xf numFmtId="0" fontId="7" fillId="4" borderId="4" xfId="0" applyFont="1" applyFill="1" applyBorder="1" applyAlignment="1">
      <alignment shrinkToFit="1"/>
    </xf>
    <xf numFmtId="0" fontId="7" fillId="4" borderId="4" xfId="0" applyFont="1" applyFill="1" applyBorder="1" applyAlignment="1">
      <alignment vertical="center"/>
    </xf>
    <xf numFmtId="213" fontId="153" fillId="0" borderId="4" xfId="1" applyNumberFormat="1" applyFont="1" applyFill="1" applyBorder="1" applyAlignment="1" applyProtection="1">
      <alignment horizontal="center" vertical="center"/>
    </xf>
    <xf numFmtId="197" fontId="153" fillId="0" borderId="4" xfId="1" applyNumberFormat="1" applyFont="1" applyFill="1" applyBorder="1" applyAlignment="1">
      <alignment horizontal="center" vertical="center" wrapText="1"/>
    </xf>
    <xf numFmtId="1" fontId="99" fillId="0" borderId="0" xfId="1" applyNumberFormat="1" applyFont="1" applyFill="1" applyAlignment="1">
      <alignment vertical="center"/>
    </xf>
    <xf numFmtId="0" fontId="95" fillId="0" borderId="4" xfId="0" applyFont="1" applyBorder="1" applyAlignment="1">
      <alignment horizontal="center" vertical="center"/>
    </xf>
    <xf numFmtId="0" fontId="95" fillId="0" borderId="4" xfId="0" applyFont="1" applyBorder="1" applyAlignment="1">
      <alignment vertical="center"/>
    </xf>
    <xf numFmtId="191" fontId="95" fillId="0" borderId="4" xfId="19" applyNumberFormat="1" applyFont="1" applyBorder="1" applyAlignment="1">
      <alignment horizontal="center" vertical="center"/>
    </xf>
    <xf numFmtId="191" fontId="186" fillId="0" borderId="4" xfId="19" applyNumberFormat="1" applyFont="1" applyBorder="1" applyAlignment="1">
      <alignment horizontal="center" vertical="center"/>
    </xf>
    <xf numFmtId="198" fontId="95" fillId="0" borderId="4" xfId="0" applyNumberFormat="1" applyFont="1" applyBorder="1" applyAlignment="1">
      <alignment vertical="center"/>
    </xf>
    <xf numFmtId="3" fontId="132" fillId="0" borderId="0" xfId="0" applyNumberFormat="1" applyFont="1"/>
    <xf numFmtId="0" fontId="7" fillId="4" borderId="4" xfId="0" applyFont="1" applyFill="1" applyBorder="1" applyAlignment="1">
      <alignment horizontal="left" vertical="center" wrapText="1"/>
    </xf>
    <xf numFmtId="3" fontId="7" fillId="4" borderId="4" xfId="0" applyNumberFormat="1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188" fillId="4" borderId="4" xfId="0" applyFont="1" applyFill="1" applyBorder="1" applyAlignment="1">
      <alignment horizontal="left" vertical="center" wrapText="1"/>
    </xf>
    <xf numFmtId="191" fontId="190" fillId="0" borderId="4" xfId="1" applyNumberFormat="1" applyFont="1" applyFill="1" applyBorder="1" applyAlignment="1">
      <alignment horizontal="right" vertical="center" shrinkToFit="1"/>
    </xf>
    <xf numFmtId="191" fontId="191" fillId="0" borderId="4" xfId="1" applyNumberFormat="1" applyFont="1" applyFill="1" applyBorder="1" applyAlignment="1">
      <alignment horizontal="right" vertical="center" shrinkToFit="1"/>
    </xf>
    <xf numFmtId="1" fontId="78" fillId="0" borderId="14" xfId="0" applyNumberFormat="1" applyFont="1" applyBorder="1" applyAlignment="1">
      <alignment horizontal="center" vertical="center" wrapText="1"/>
    </xf>
    <xf numFmtId="1" fontId="78" fillId="0" borderId="22" xfId="0" applyNumberFormat="1" applyFont="1" applyBorder="1" applyAlignment="1">
      <alignment horizontal="center" vertical="center" wrapText="1"/>
    </xf>
    <xf numFmtId="1" fontId="78" fillId="0" borderId="19" xfId="0" applyNumberFormat="1" applyFont="1" applyBorder="1" applyAlignment="1">
      <alignment horizontal="center" vertical="center" wrapText="1"/>
    </xf>
    <xf numFmtId="0" fontId="192" fillId="3" borderId="0" xfId="0" applyFont="1" applyFill="1"/>
    <xf numFmtId="0" fontId="15" fillId="3" borderId="0" xfId="0" applyFont="1" applyFill="1" applyAlignment="1">
      <alignment horizontal="center"/>
    </xf>
    <xf numFmtId="0" fontId="15" fillId="3" borderId="0" xfId="0" applyFont="1" applyFill="1"/>
    <xf numFmtId="49" fontId="193" fillId="3" borderId="0" xfId="0" applyNumberFormat="1" applyFont="1" applyFill="1" applyAlignment="1">
      <alignment horizontal="right"/>
    </xf>
    <xf numFmtId="0" fontId="194" fillId="3" borderId="0" xfId="0" applyFont="1" applyFill="1"/>
    <xf numFmtId="0" fontId="195" fillId="3" borderId="0" xfId="0" applyFont="1" applyFill="1"/>
    <xf numFmtId="0" fontId="9" fillId="3" borderId="0" xfId="0" applyFont="1" applyFill="1" applyAlignment="1">
      <alignment horizontal="center"/>
    </xf>
    <xf numFmtId="0" fontId="9" fillId="3" borderId="0" xfId="0" applyFont="1" applyFill="1"/>
    <xf numFmtId="0" fontId="25" fillId="3" borderId="4" xfId="0" applyFont="1" applyFill="1" applyBorder="1" applyAlignment="1">
      <alignment horizontal="left" vertical="center"/>
    </xf>
    <xf numFmtId="213" fontId="25" fillId="3" borderId="4" xfId="0" applyNumberFormat="1" applyFont="1" applyFill="1" applyBorder="1" applyAlignment="1">
      <alignment horizontal="center" vertical="center"/>
    </xf>
    <xf numFmtId="0" fontId="78" fillId="3" borderId="4" xfId="0" applyFont="1" applyFill="1" applyBorder="1" applyAlignment="1">
      <alignment horizontal="center"/>
    </xf>
    <xf numFmtId="0" fontId="78" fillId="3" borderId="4" xfId="0" applyFont="1" applyFill="1" applyBorder="1" applyAlignment="1">
      <alignment horizontal="left"/>
    </xf>
    <xf numFmtId="0" fontId="78" fillId="3" borderId="4" xfId="0" applyFont="1" applyFill="1" applyBorder="1" applyAlignment="1">
      <alignment vertical="center"/>
    </xf>
    <xf numFmtId="0" fontId="76" fillId="3" borderId="4" xfId="0" applyFont="1" applyFill="1" applyBorder="1" applyAlignment="1">
      <alignment vertical="center"/>
    </xf>
    <xf numFmtId="213" fontId="78" fillId="3" borderId="4" xfId="1" applyNumberFormat="1" applyFont="1" applyFill="1" applyBorder="1" applyAlignment="1">
      <alignment horizontal="center"/>
    </xf>
    <xf numFmtId="213" fontId="78" fillId="3" borderId="4" xfId="1" applyNumberFormat="1" applyFont="1" applyFill="1" applyBorder="1"/>
    <xf numFmtId="0" fontId="78" fillId="3" borderId="4" xfId="0" applyFont="1" applyFill="1" applyBorder="1"/>
    <xf numFmtId="2" fontId="192" fillId="3" borderId="0" xfId="0" applyNumberFormat="1" applyFont="1" applyFill="1"/>
    <xf numFmtId="0" fontId="25" fillId="3" borderId="4" xfId="0" applyFont="1" applyFill="1" applyBorder="1" applyAlignment="1">
      <alignment horizontal="center"/>
    </xf>
    <xf numFmtId="0" fontId="25" fillId="3" borderId="4" xfId="0" applyFont="1" applyFill="1" applyBorder="1" applyAlignment="1">
      <alignment horizontal="left"/>
    </xf>
    <xf numFmtId="0" fontId="25" fillId="3" borderId="4" xfId="0" applyFont="1" applyFill="1" applyBorder="1"/>
    <xf numFmtId="213" fontId="25" fillId="3" borderId="4" xfId="1" applyNumberFormat="1" applyFont="1" applyFill="1" applyBorder="1" applyAlignment="1">
      <alignment horizontal="center"/>
    </xf>
    <xf numFmtId="0" fontId="100" fillId="3" borderId="4" xfId="0" applyFont="1" applyFill="1" applyBorder="1"/>
    <xf numFmtId="213" fontId="25" fillId="3" borderId="4" xfId="1" applyNumberFormat="1" applyFont="1" applyFill="1" applyBorder="1"/>
    <xf numFmtId="0" fontId="196" fillId="3" borderId="0" xfId="0" applyFont="1" applyFill="1"/>
    <xf numFmtId="213" fontId="25" fillId="3" borderId="4" xfId="0" applyNumberFormat="1" applyFont="1" applyFill="1" applyBorder="1"/>
    <xf numFmtId="213" fontId="196" fillId="3" borderId="0" xfId="0" applyNumberFormat="1" applyFont="1" applyFill="1"/>
    <xf numFmtId="0" fontId="10" fillId="3" borderId="0" xfId="0" applyFont="1" applyFill="1"/>
    <xf numFmtId="0" fontId="197" fillId="3" borderId="0" xfId="0" applyFont="1" applyFill="1"/>
    <xf numFmtId="0" fontId="192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2" fillId="3" borderId="0" xfId="0" applyFont="1" applyFill="1"/>
    <xf numFmtId="0" fontId="10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98" fillId="3" borderId="0" xfId="0" applyFont="1" applyFill="1"/>
    <xf numFmtId="213" fontId="78" fillId="3" borderId="4" xfId="1" applyNumberFormat="1" applyFont="1" applyFill="1" applyBorder="1" applyAlignment="1">
      <alignment horizontal="center" vertical="center"/>
    </xf>
    <xf numFmtId="187" fontId="192" fillId="3" borderId="0" xfId="29" applyFont="1" applyFill="1" applyAlignment="1">
      <alignment horizontal="center"/>
    </xf>
    <xf numFmtId="187" fontId="192" fillId="3" borderId="0" xfId="29" applyFont="1" applyFill="1"/>
    <xf numFmtId="204" fontId="17" fillId="0" borderId="19" xfId="0" applyNumberFormat="1" applyFont="1" applyBorder="1" applyAlignment="1">
      <alignment vertical="center"/>
    </xf>
    <xf numFmtId="204" fontId="11" fillId="0" borderId="11" xfId="0" applyNumberFormat="1" applyFont="1" applyBorder="1" applyAlignment="1">
      <alignment horizontal="center" vertical="center"/>
    </xf>
    <xf numFmtId="204" fontId="11" fillId="0" borderId="19" xfId="0" applyNumberFormat="1" applyFont="1" applyBorder="1" applyAlignment="1">
      <alignment vertical="center"/>
    </xf>
    <xf numFmtId="0" fontId="95" fillId="0" borderId="0" xfId="0" applyFont="1" applyAlignment="1">
      <alignment vertical="center"/>
    </xf>
    <xf numFmtId="204" fontId="11" fillId="0" borderId="4" xfId="0" applyNumberFormat="1" applyFont="1" applyBorder="1" applyAlignment="1">
      <alignment horizontal="center" vertical="center"/>
    </xf>
    <xf numFmtId="205" fontId="11" fillId="0" borderId="9" xfId="0" applyNumberFormat="1" applyFont="1" applyBorder="1" applyAlignment="1">
      <alignment horizontal="center" vertical="center"/>
    </xf>
    <xf numFmtId="204" fontId="11" fillId="0" borderId="19" xfId="0" applyNumberFormat="1" applyFont="1" applyBorder="1" applyAlignment="1">
      <alignment horizontal="center" vertical="center"/>
    </xf>
    <xf numFmtId="204" fontId="11" fillId="0" borderId="11" xfId="0" applyNumberFormat="1" applyFont="1" applyBorder="1" applyAlignment="1">
      <alignment vertical="center"/>
    </xf>
    <xf numFmtId="204" fontId="7" fillId="0" borderId="4" xfId="0" applyNumberFormat="1" applyFont="1" applyBorder="1" applyAlignment="1">
      <alignment horizontal="left" vertical="center" wrapText="1"/>
    </xf>
    <xf numFmtId="204" fontId="155" fillId="0" borderId="11" xfId="0" applyNumberFormat="1" applyFont="1" applyBorder="1" applyAlignment="1">
      <alignment vertical="center"/>
    </xf>
    <xf numFmtId="205" fontId="11" fillId="0" borderId="4" xfId="0" applyNumberFormat="1" applyFont="1" applyBorder="1" applyAlignment="1">
      <alignment horizontal="center" vertical="center"/>
    </xf>
    <xf numFmtId="204" fontId="11" fillId="0" borderId="4" xfId="0" applyNumberFormat="1" applyFont="1" applyBorder="1" applyAlignment="1">
      <alignment horizontal="right" vertical="center"/>
    </xf>
    <xf numFmtId="204" fontId="155" fillId="0" borderId="9" xfId="0" applyNumberFormat="1" applyFont="1" applyBorder="1" applyAlignment="1">
      <alignment vertical="center" wrapText="1"/>
    </xf>
    <xf numFmtId="204" fontId="155" fillId="0" borderId="1" xfId="0" applyNumberFormat="1" applyFont="1" applyBorder="1" applyAlignment="1">
      <alignment vertical="center" wrapText="1"/>
    </xf>
    <xf numFmtId="204" fontId="7" fillId="0" borderId="4" xfId="0" applyNumberFormat="1" applyFont="1" applyBorder="1" applyAlignment="1">
      <alignment horizontal="center" vertical="center"/>
    </xf>
    <xf numFmtId="0" fontId="187" fillId="0" borderId="0" xfId="0" applyFont="1"/>
    <xf numFmtId="204" fontId="11" fillId="0" borderId="4" xfId="0" applyNumberFormat="1" applyFont="1" applyBorder="1" applyAlignment="1">
      <alignment horizontal="left" vertical="center"/>
    </xf>
    <xf numFmtId="204" fontId="156" fillId="0" borderId="1" xfId="0" applyNumberFormat="1" applyFont="1" applyBorder="1" applyAlignment="1">
      <alignment vertical="center"/>
    </xf>
    <xf numFmtId="204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204" fontId="7" fillId="0" borderId="4" xfId="0" applyNumberFormat="1" applyFont="1" applyBorder="1" applyAlignment="1">
      <alignment horizontal="left" vertical="center"/>
    </xf>
    <xf numFmtId="204" fontId="155" fillId="0" borderId="1" xfId="0" applyNumberFormat="1" applyFont="1" applyBorder="1" applyAlignment="1">
      <alignment horizontal="left" vertical="center"/>
    </xf>
    <xf numFmtId="204" fontId="155" fillId="0" borderId="1" xfId="0" applyNumberFormat="1" applyFont="1" applyBorder="1" applyAlignment="1">
      <alignment vertical="center"/>
    </xf>
    <xf numFmtId="204" fontId="7" fillId="0" borderId="0" xfId="0" applyNumberFormat="1" applyFont="1" applyAlignment="1">
      <alignment vertical="center"/>
    </xf>
    <xf numFmtId="204" fontId="98" fillId="0" borderId="4" xfId="0" applyNumberFormat="1" applyFont="1" applyBorder="1" applyAlignment="1">
      <alignment horizontal="left" vertical="center"/>
    </xf>
    <xf numFmtId="204" fontId="156" fillId="0" borderId="17" xfId="0" applyNumberFormat="1" applyFont="1" applyBorder="1" applyAlignment="1">
      <alignment vertical="center"/>
    </xf>
    <xf numFmtId="204" fontId="134" fillId="0" borderId="4" xfId="0" applyNumberFormat="1" applyFont="1" applyBorder="1" applyAlignment="1">
      <alignment horizontal="right" vertical="center"/>
    </xf>
    <xf numFmtId="204" fontId="27" fillId="0" borderId="11" xfId="0" applyNumberFormat="1" applyFont="1" applyBorder="1" applyAlignment="1">
      <alignment horizontal="right" vertical="center"/>
    </xf>
    <xf numFmtId="204" fontId="95" fillId="0" borderId="0" xfId="0" applyNumberFormat="1" applyFont="1" applyAlignment="1">
      <alignment vertical="center"/>
    </xf>
    <xf numFmtId="204" fontId="11" fillId="0" borderId="0" xfId="0" applyNumberFormat="1" applyFont="1" applyAlignment="1">
      <alignment horizontal="center" vertical="center"/>
    </xf>
    <xf numFmtId="0" fontId="149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204" fontId="7" fillId="0" borderId="4" xfId="0" applyNumberFormat="1" applyFont="1" applyBorder="1" applyAlignment="1">
      <alignment vertical="center"/>
    </xf>
    <xf numFmtId="204" fontId="11" fillId="0" borderId="0" xfId="0" applyNumberFormat="1" applyFont="1" applyAlignment="1">
      <alignment vertical="center"/>
    </xf>
    <xf numFmtId="204" fontId="136" fillId="0" borderId="0" xfId="0" applyNumberFormat="1" applyFont="1" applyAlignment="1">
      <alignment horizontal="center" vertical="center"/>
    </xf>
    <xf numFmtId="0" fontId="137" fillId="0" borderId="0" xfId="0" applyFont="1" applyAlignment="1">
      <alignment vertical="center"/>
    </xf>
    <xf numFmtId="204" fontId="7" fillId="0" borderId="0" xfId="0" applyNumberFormat="1" applyFont="1" applyAlignment="1">
      <alignment horizontal="center" vertical="center"/>
    </xf>
    <xf numFmtId="204" fontId="27" fillId="0" borderId="0" xfId="0" applyNumberFormat="1" applyFont="1" applyAlignment="1">
      <alignment horizontal="right" vertical="center"/>
    </xf>
    <xf numFmtId="204" fontId="22" fillId="0" borderId="0" xfId="0" applyNumberFormat="1" applyFont="1" applyAlignment="1">
      <alignment horizontal="center" vertical="center"/>
    </xf>
    <xf numFmtId="204" fontId="2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04" fontId="7" fillId="0" borderId="0" xfId="0" applyNumberFormat="1" applyFont="1" applyAlignment="1">
      <alignment horizontal="left" vertical="center"/>
    </xf>
    <xf numFmtId="204" fontId="41" fillId="0" borderId="0" xfId="0" applyNumberFormat="1" applyFont="1" applyAlignment="1">
      <alignment horizontal="center" vertical="center"/>
    </xf>
    <xf numFmtId="205" fontId="11" fillId="0" borderId="0" xfId="0" applyNumberFormat="1" applyFont="1" applyAlignment="1">
      <alignment horizontal="center" vertical="center"/>
    </xf>
    <xf numFmtId="204" fontId="138" fillId="0" borderId="0" xfId="0" applyNumberFormat="1" applyFont="1" applyAlignment="1">
      <alignment horizontal="center" vertical="center"/>
    </xf>
    <xf numFmtId="204" fontId="7" fillId="0" borderId="0" xfId="0" applyNumberFormat="1" applyFont="1" applyAlignment="1">
      <alignment vertical="center" wrapText="1"/>
    </xf>
    <xf numFmtId="204" fontId="11" fillId="0" borderId="0" xfId="0" applyNumberFormat="1" applyFont="1" applyAlignment="1">
      <alignment horizontal="left" vertical="center"/>
    </xf>
    <xf numFmtId="204" fontId="22" fillId="0" borderId="0" xfId="0" applyNumberFormat="1" applyFont="1" applyAlignment="1">
      <alignment horizontal="right" vertical="center"/>
    </xf>
    <xf numFmtId="204" fontId="27" fillId="0" borderId="25" xfId="0" applyNumberFormat="1" applyFont="1" applyBorder="1" applyAlignment="1">
      <alignment horizontal="right" vertical="center"/>
    </xf>
    <xf numFmtId="205" fontId="11" fillId="0" borderId="24" xfId="0" applyNumberFormat="1" applyFont="1" applyBorder="1" applyAlignment="1">
      <alignment horizontal="center" vertical="center"/>
    </xf>
    <xf numFmtId="204" fontId="138" fillId="0" borderId="19" xfId="0" applyNumberFormat="1" applyFont="1" applyBorder="1" applyAlignment="1">
      <alignment horizontal="center" vertical="center"/>
    </xf>
    <xf numFmtId="204" fontId="98" fillId="0" borderId="0" xfId="0" applyNumberFormat="1" applyFont="1" applyAlignment="1">
      <alignment horizontal="left" vertical="center"/>
    </xf>
    <xf numFmtId="204" fontId="98" fillId="0" borderId="0" xfId="0" applyNumberFormat="1" applyFont="1" applyAlignment="1">
      <alignment vertical="center"/>
    </xf>
    <xf numFmtId="204" fontId="134" fillId="0" borderId="0" xfId="0" applyNumberFormat="1" applyFont="1" applyAlignment="1">
      <alignment horizontal="right" vertical="center"/>
    </xf>
    <xf numFmtId="204" fontId="134" fillId="0" borderId="25" xfId="0" applyNumberFormat="1" applyFont="1" applyBorder="1" applyAlignment="1">
      <alignment horizontal="right" vertical="center"/>
    </xf>
    <xf numFmtId="197" fontId="7" fillId="0" borderId="0" xfId="0" applyNumberFormat="1" applyFont="1" applyAlignment="1">
      <alignment vertical="center"/>
    </xf>
    <xf numFmtId="204" fontId="7" fillId="0" borderId="14" xfId="0" applyNumberFormat="1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197" fontId="95" fillId="0" borderId="0" xfId="0" applyNumberFormat="1" applyFont="1" applyAlignment="1">
      <alignment vertical="center"/>
    </xf>
    <xf numFmtId="204" fontId="11" fillId="0" borderId="4" xfId="0" applyNumberFormat="1" applyFont="1" applyBorder="1" applyAlignment="1">
      <alignment vertical="center"/>
    </xf>
    <xf numFmtId="204" fontId="11" fillId="0" borderId="22" xfId="0" applyNumberFormat="1" applyFont="1" applyBorder="1" applyAlignment="1">
      <alignment vertical="center"/>
    </xf>
    <xf numFmtId="204" fontId="11" fillId="0" borderId="14" xfId="0" applyNumberFormat="1" applyFont="1" applyBorder="1" applyAlignment="1">
      <alignment vertical="center"/>
    </xf>
    <xf numFmtId="204" fontId="27" fillId="0" borderId="4" xfId="0" applyNumberFormat="1" applyFont="1" applyBorder="1" applyAlignment="1">
      <alignment horizontal="right" vertical="center"/>
    </xf>
    <xf numFmtId="204" fontId="7" fillId="0" borderId="0" xfId="0" applyNumberFormat="1" applyFont="1"/>
    <xf numFmtId="197" fontId="7" fillId="0" borderId="0" xfId="0" applyNumberFormat="1" applyFont="1"/>
    <xf numFmtId="187" fontId="7" fillId="0" borderId="0" xfId="0" applyNumberFormat="1" applyFont="1"/>
    <xf numFmtId="204" fontId="7" fillId="4" borderId="4" xfId="0" applyNumberFormat="1" applyFont="1" applyFill="1" applyBorder="1" applyAlignment="1">
      <alignment horizontal="left" vertical="center" wrapText="1"/>
    </xf>
    <xf numFmtId="204" fontId="155" fillId="4" borderId="1" xfId="0" applyNumberFormat="1" applyFont="1" applyFill="1" applyBorder="1" applyAlignment="1">
      <alignment vertical="center" wrapText="1"/>
    </xf>
    <xf numFmtId="204" fontId="7" fillId="4" borderId="4" xfId="0" applyNumberFormat="1" applyFont="1" applyFill="1" applyBorder="1" applyAlignment="1">
      <alignment horizontal="center" vertical="center"/>
    </xf>
    <xf numFmtId="197" fontId="7" fillId="4" borderId="4" xfId="1" applyNumberFormat="1" applyFont="1" applyFill="1" applyBorder="1" applyAlignment="1">
      <alignment horizontal="right" vertical="center"/>
    </xf>
    <xf numFmtId="204" fontId="11" fillId="4" borderId="4" xfId="0" applyNumberFormat="1" applyFont="1" applyFill="1" applyBorder="1" applyAlignment="1">
      <alignment horizontal="right" vertical="center"/>
    </xf>
    <xf numFmtId="204" fontId="7" fillId="0" borderId="14" xfId="0" applyNumberFormat="1" applyFont="1" applyBorder="1" applyAlignment="1">
      <alignment horizontal="left" vertical="center"/>
    </xf>
    <xf numFmtId="204" fontId="155" fillId="0" borderId="0" xfId="0" applyNumberFormat="1" applyFont="1" applyAlignment="1">
      <alignment vertical="center"/>
    </xf>
    <xf numFmtId="204" fontId="7" fillId="0" borderId="22" xfId="0" applyNumberFormat="1" applyFont="1" applyBorder="1" applyAlignment="1">
      <alignment horizontal="right" vertical="center"/>
    </xf>
    <xf numFmtId="204" fontId="11" fillId="0" borderId="19" xfId="0" applyNumberFormat="1" applyFont="1" applyBorder="1" applyAlignment="1">
      <alignment horizontal="right" vertical="center"/>
    </xf>
    <xf numFmtId="204" fontId="7" fillId="7" borderId="4" xfId="0" applyNumberFormat="1" applyFont="1" applyFill="1" applyBorder="1" applyAlignment="1">
      <alignment horizontal="left" vertical="center" wrapText="1"/>
    </xf>
    <xf numFmtId="197" fontId="7" fillId="4" borderId="4" xfId="1" applyNumberFormat="1" applyFont="1" applyFill="1" applyBorder="1" applyAlignment="1">
      <alignment horizontal="right" vertical="center" shrinkToFit="1"/>
    </xf>
    <xf numFmtId="191" fontId="7" fillId="4" borderId="0" xfId="0" applyNumberFormat="1" applyFont="1" applyFill="1"/>
    <xf numFmtId="0" fontId="78" fillId="3" borderId="4" xfId="0" applyFont="1" applyFill="1" applyBorder="1" applyAlignment="1">
      <alignment horizontal="center" vertical="center"/>
    </xf>
    <xf numFmtId="196" fontId="25" fillId="0" borderId="4" xfId="1" applyFont="1" applyFill="1" applyBorder="1" applyAlignment="1">
      <alignment horizontal="center" vertical="center" wrapText="1"/>
    </xf>
    <xf numFmtId="197" fontId="78" fillId="0" borderId="4" xfId="1" applyNumberFormat="1" applyFont="1" applyFill="1" applyBorder="1" applyAlignment="1">
      <alignment horizontal="left" vertical="center" wrapText="1"/>
    </xf>
    <xf numFmtId="196" fontId="78" fillId="0" borderId="4" xfId="1" applyFont="1" applyFill="1" applyBorder="1" applyAlignment="1">
      <alignment horizontal="left" vertical="center" wrapText="1"/>
    </xf>
    <xf numFmtId="196" fontId="78" fillId="0" borderId="0" xfId="1" applyFont="1" applyFill="1"/>
    <xf numFmtId="0" fontId="78" fillId="0" borderId="4" xfId="0" applyFont="1" applyBorder="1" applyAlignment="1">
      <alignment vertical="center" wrapText="1"/>
    </xf>
    <xf numFmtId="0" fontId="78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vertical="center" shrinkToFit="1"/>
    </xf>
    <xf numFmtId="3" fontId="78" fillId="0" borderId="4" xfId="0" applyNumberFormat="1" applyFont="1" applyBorder="1" applyAlignment="1">
      <alignment horizontal="left" vertical="center"/>
    </xf>
    <xf numFmtId="3" fontId="166" fillId="0" borderId="4" xfId="0" applyNumberFormat="1" applyFont="1" applyBorder="1" applyAlignment="1">
      <alignment horizontal="left" vertical="center"/>
    </xf>
    <xf numFmtId="0" fontId="166" fillId="0" borderId="4" xfId="0" applyFont="1" applyBorder="1" applyAlignment="1">
      <alignment horizontal="left" vertical="center" wrapText="1"/>
    </xf>
    <xf numFmtId="0" fontId="199" fillId="0" borderId="4" xfId="0" applyFont="1" applyBorder="1" applyAlignment="1">
      <alignment horizontal="left" vertical="center" wrapText="1"/>
    </xf>
    <xf numFmtId="0" fontId="166" fillId="0" borderId="4" xfId="12" applyFont="1" applyBorder="1" applyAlignment="1">
      <alignment vertical="center"/>
    </xf>
    <xf numFmtId="0" fontId="166" fillId="0" borderId="4" xfId="10" applyFont="1" applyBorder="1"/>
    <xf numFmtId="0" fontId="25" fillId="0" borderId="4" xfId="0" applyFont="1" applyBorder="1" applyAlignment="1">
      <alignment vertical="center"/>
    </xf>
    <xf numFmtId="0" fontId="78" fillId="0" borderId="4" xfId="0" applyFont="1" applyBorder="1" applyAlignment="1">
      <alignment horizontal="center" vertical="center" shrinkToFit="1"/>
    </xf>
    <xf numFmtId="3" fontId="78" fillId="0" borderId="4" xfId="0" applyNumberFormat="1" applyFont="1" applyBorder="1" applyAlignment="1">
      <alignment vertical="center" wrapText="1"/>
    </xf>
    <xf numFmtId="0" fontId="78" fillId="0" borderId="4" xfId="0" applyFont="1" applyBorder="1" applyAlignment="1">
      <alignment shrinkToFit="1"/>
    </xf>
    <xf numFmtId="0" fontId="166" fillId="0" borderId="4" xfId="0" applyFont="1" applyBorder="1"/>
    <xf numFmtId="0" fontId="166" fillId="0" borderId="4" xfId="0" applyFont="1" applyBorder="1" applyAlignment="1">
      <alignment shrinkToFit="1"/>
    </xf>
    <xf numFmtId="0" fontId="166" fillId="0" borderId="4" xfId="13" applyFont="1" applyBorder="1" applyAlignment="1">
      <alignment vertical="center"/>
    </xf>
    <xf numFmtId="0" fontId="25" fillId="0" borderId="15" xfId="0" applyFont="1" applyBorder="1" applyAlignment="1">
      <alignment horizontal="center" vertical="center" wrapText="1"/>
    </xf>
    <xf numFmtId="0" fontId="25" fillId="0" borderId="15" xfId="0" applyFont="1" applyBorder="1" applyAlignment="1">
      <alignment vertical="center" wrapText="1"/>
    </xf>
    <xf numFmtId="191" fontId="11" fillId="0" borderId="15" xfId="19" applyNumberFormat="1" applyFont="1" applyBorder="1" applyAlignment="1">
      <alignment vertical="center"/>
    </xf>
    <xf numFmtId="0" fontId="78" fillId="0" borderId="0" xfId="0" applyFont="1" applyAlignment="1">
      <alignment horizontal="center" vertical="center" wrapText="1"/>
    </xf>
    <xf numFmtId="0" fontId="78" fillId="0" borderId="0" xfId="0" applyFont="1" applyAlignment="1">
      <alignment horizontal="left" vertical="center"/>
    </xf>
    <xf numFmtId="0" fontId="78" fillId="0" borderId="0" xfId="0" applyFont="1" applyAlignment="1">
      <alignment vertical="center" wrapText="1"/>
    </xf>
    <xf numFmtId="0" fontId="25" fillId="0" borderId="4" xfId="0" applyFont="1" applyBorder="1" applyAlignment="1">
      <alignment vertical="center" wrapText="1"/>
    </xf>
    <xf numFmtId="191" fontId="25" fillId="0" borderId="4" xfId="19" applyNumberFormat="1" applyFont="1" applyBorder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39" fillId="0" borderId="4" xfId="0" applyFont="1" applyBorder="1" applyAlignment="1">
      <alignment horizontal="center" vertical="center"/>
    </xf>
    <xf numFmtId="1" fontId="98" fillId="7" borderId="10" xfId="0" applyNumberFormat="1" applyFont="1" applyFill="1" applyBorder="1" applyAlignment="1">
      <alignment horizontal="center" vertical="center"/>
    </xf>
    <xf numFmtId="2" fontId="98" fillId="7" borderId="10" xfId="0" applyNumberFormat="1" applyFont="1" applyFill="1" applyBorder="1" applyAlignment="1">
      <alignment horizontal="center" vertical="center"/>
    </xf>
    <xf numFmtId="0" fontId="200" fillId="8" borderId="4" xfId="19" applyFont="1" applyFill="1" applyBorder="1" applyAlignment="1">
      <alignment horizontal="center" vertical="center"/>
    </xf>
    <xf numFmtId="207" fontId="152" fillId="0" borderId="4" xfId="1" applyNumberFormat="1" applyFont="1" applyFill="1" applyBorder="1" applyAlignment="1">
      <alignment horizontal="left" vertical="center"/>
    </xf>
    <xf numFmtId="2" fontId="174" fillId="0" borderId="4" xfId="0" applyNumberFormat="1" applyFont="1" applyBorder="1" applyAlignment="1">
      <alignment horizontal="center" vertical="center"/>
    </xf>
    <xf numFmtId="1" fontId="174" fillId="0" borderId="4" xfId="0" applyNumberFormat="1" applyFont="1" applyBorder="1" applyAlignment="1">
      <alignment horizontal="center" vertical="center"/>
    </xf>
    <xf numFmtId="197" fontId="159" fillId="0" borderId="0" xfId="28" applyNumberFormat="1" applyFill="1" applyAlignment="1">
      <alignment vertical="center"/>
    </xf>
    <xf numFmtId="1" fontId="153" fillId="0" borderId="4" xfId="0" applyNumberFormat="1" applyFont="1" applyBorder="1" applyAlignment="1">
      <alignment horizontal="center" vertical="center"/>
    </xf>
    <xf numFmtId="0" fontId="174" fillId="0" borderId="4" xfId="0" applyFont="1" applyBorder="1" applyAlignment="1">
      <alignment horizontal="center" vertical="center"/>
    </xf>
    <xf numFmtId="207" fontId="152" fillId="0" borderId="4" xfId="1" applyNumberFormat="1" applyFont="1" applyFill="1" applyBorder="1" applyAlignment="1">
      <alignment horizontal="center" vertical="center"/>
    </xf>
    <xf numFmtId="0" fontId="129" fillId="0" borderId="4" xfId="19" applyFont="1" applyBorder="1" applyAlignment="1">
      <alignment horizontal="center" vertical="center"/>
    </xf>
    <xf numFmtId="3" fontId="129" fillId="0" borderId="4" xfId="4" applyNumberFormat="1" applyFont="1" applyFill="1" applyBorder="1" applyAlignment="1">
      <alignment horizontal="center" vertical="center"/>
    </xf>
    <xf numFmtId="3" fontId="129" fillId="0" borderId="4" xfId="19" applyNumberFormat="1" applyFont="1" applyBorder="1" applyAlignment="1">
      <alignment horizontal="center" vertical="center"/>
    </xf>
    <xf numFmtId="2" fontId="174" fillId="0" borderId="4" xfId="0" applyNumberFormat="1" applyFont="1" applyBorder="1" applyAlignment="1">
      <alignment horizontal="center"/>
    </xf>
    <xf numFmtId="0" fontId="174" fillId="0" borderId="4" xfId="0" applyFont="1" applyBorder="1" applyAlignment="1">
      <alignment horizontal="center"/>
    </xf>
    <xf numFmtId="0" fontId="174" fillId="0" borderId="4" xfId="0" applyFont="1" applyBorder="1" applyAlignment="1">
      <alignment horizontal="right"/>
    </xf>
    <xf numFmtId="0" fontId="129" fillId="0" borderId="4" xfId="0" applyFont="1" applyBorder="1" applyAlignment="1">
      <alignment horizontal="center" vertical="center"/>
    </xf>
    <xf numFmtId="0" fontId="124" fillId="0" borderId="0" xfId="19" applyFont="1" applyAlignment="1">
      <alignment horizontal="center" vertical="center"/>
    </xf>
    <xf numFmtId="0" fontId="124" fillId="0" borderId="0" xfId="19" applyFont="1" applyAlignment="1">
      <alignment horizontal="center"/>
    </xf>
    <xf numFmtId="0" fontId="129" fillId="0" borderId="0" xfId="19" applyFont="1" applyAlignment="1">
      <alignment horizontal="center"/>
    </xf>
    <xf numFmtId="0" fontId="152" fillId="0" borderId="0" xfId="19" applyFont="1" applyAlignment="1">
      <alignment horizontal="center" vertical="center"/>
    </xf>
    <xf numFmtId="197" fontId="124" fillId="0" borderId="4" xfId="1" applyNumberFormat="1" applyFont="1" applyFill="1" applyBorder="1" applyAlignment="1">
      <alignment horizontal="center" vertical="center" wrapText="1"/>
    </xf>
    <xf numFmtId="0" fontId="153" fillId="0" borderId="0" xfId="19" applyFont="1" applyAlignment="1">
      <alignment horizontal="center"/>
    </xf>
    <xf numFmtId="0" fontId="160" fillId="0" borderId="0" xfId="0" applyFont="1" applyAlignment="1">
      <alignment vertical="center"/>
    </xf>
    <xf numFmtId="0" fontId="129" fillId="0" borderId="0" xfId="0" applyFont="1"/>
    <xf numFmtId="215" fontId="124" fillId="0" borderId="0" xfId="26" applyNumberFormat="1" applyFont="1" applyFill="1" applyBorder="1" applyAlignment="1">
      <alignment horizontal="right" wrapText="1"/>
    </xf>
    <xf numFmtId="0" fontId="129" fillId="0" borderId="0" xfId="19" applyFont="1"/>
    <xf numFmtId="0" fontId="129" fillId="0" borderId="0" xfId="19" applyFont="1" applyAlignment="1">
      <alignment horizontal="left"/>
    </xf>
    <xf numFmtId="3" fontId="129" fillId="0" borderId="0" xfId="19" applyNumberFormat="1" applyFont="1" applyAlignment="1">
      <alignment horizontal="center"/>
    </xf>
    <xf numFmtId="0" fontId="130" fillId="0" borderId="0" xfId="19" applyFont="1"/>
    <xf numFmtId="0" fontId="124" fillId="0" borderId="0" xfId="0" applyFont="1"/>
    <xf numFmtId="0" fontId="124" fillId="0" borderId="0" xfId="19" applyFont="1"/>
    <xf numFmtId="1" fontId="152" fillId="0" borderId="4" xfId="1" applyNumberFormat="1" applyFont="1" applyFill="1" applyBorder="1" applyAlignment="1">
      <alignment horizontal="center" vertical="center" wrapText="1"/>
    </xf>
    <xf numFmtId="1" fontId="153" fillId="0" borderId="4" xfId="1" applyNumberFormat="1" applyFont="1" applyFill="1" applyBorder="1" applyAlignment="1">
      <alignment horizontal="center" vertical="center" wrapText="1"/>
    </xf>
    <xf numFmtId="1" fontId="129" fillId="0" borderId="4" xfId="1" applyNumberFormat="1" applyFont="1" applyFill="1" applyBorder="1" applyAlignment="1">
      <alignment horizontal="center" vertical="center" wrapText="1"/>
    </xf>
    <xf numFmtId="2" fontId="152" fillId="0" borderId="4" xfId="1" applyNumberFormat="1" applyFont="1" applyFill="1" applyBorder="1" applyAlignment="1">
      <alignment horizontal="center" vertical="center" wrapText="1"/>
    </xf>
    <xf numFmtId="2" fontId="129" fillId="0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shrinkToFit="1"/>
    </xf>
    <xf numFmtId="198" fontId="11" fillId="4" borderId="4" xfId="1" applyNumberFormat="1" applyFont="1" applyFill="1" applyBorder="1" applyAlignment="1">
      <alignment horizontal="center" vertical="center" shrinkToFit="1"/>
    </xf>
    <xf numFmtId="0" fontId="12" fillId="8" borderId="4" xfId="19" applyFont="1" applyFill="1" applyBorder="1" applyAlignment="1">
      <alignment horizontal="center" vertical="center"/>
    </xf>
    <xf numFmtId="4" fontId="9" fillId="0" borderId="0" xfId="0" applyNumberFormat="1" applyFont="1" applyAlignment="1">
      <alignment horizontal="center"/>
    </xf>
    <xf numFmtId="0" fontId="78" fillId="0" borderId="19" xfId="0" applyFont="1" applyBorder="1" applyAlignment="1">
      <alignment horizontal="center" vertical="center"/>
    </xf>
    <xf numFmtId="2" fontId="35" fillId="0" borderId="4" xfId="1" applyNumberFormat="1" applyFont="1" applyFill="1" applyBorder="1" applyAlignment="1">
      <alignment horizontal="center" vertical="center" wrapText="1"/>
    </xf>
    <xf numFmtId="1" fontId="152" fillId="0" borderId="4" xfId="1" applyNumberFormat="1" applyFont="1" applyFill="1" applyBorder="1" applyAlignment="1">
      <alignment horizontal="right" vertical="center" wrapText="1"/>
    </xf>
    <xf numFmtId="213" fontId="129" fillId="0" borderId="4" xfId="1" applyNumberFormat="1" applyFont="1" applyFill="1" applyBorder="1" applyAlignment="1">
      <alignment horizontal="right" vertical="center" wrapText="1"/>
    </xf>
    <xf numFmtId="3" fontId="102" fillId="0" borderId="4" xfId="0" applyNumberFormat="1" applyFont="1" applyBorder="1" applyAlignment="1">
      <alignment horizontal="right" vertical="center" wrapText="1"/>
    </xf>
    <xf numFmtId="218" fontId="130" fillId="0" borderId="0" xfId="1" applyNumberFormat="1" applyFont="1" applyFill="1" applyBorder="1" applyAlignment="1">
      <alignment horizontal="center" vertical="center"/>
    </xf>
    <xf numFmtId="191" fontId="98" fillId="4" borderId="4" xfId="19" applyNumberFormat="1" applyFont="1" applyFill="1" applyBorder="1" applyAlignment="1">
      <alignment horizontal="center" vertical="center"/>
    </xf>
    <xf numFmtId="207" fontId="152" fillId="4" borderId="4" xfId="1" applyNumberFormat="1" applyFont="1" applyFill="1" applyBorder="1" applyAlignment="1">
      <alignment horizontal="center" vertical="center"/>
    </xf>
    <xf numFmtId="200" fontId="153" fillId="4" borderId="4" xfId="0" applyNumberFormat="1" applyFont="1" applyFill="1" applyBorder="1" applyAlignment="1">
      <alignment horizontal="center"/>
    </xf>
    <xf numFmtId="1" fontId="153" fillId="4" borderId="4" xfId="26" applyNumberFormat="1" applyFont="1" applyFill="1" applyBorder="1" applyAlignment="1" applyProtection="1">
      <alignment horizontal="center" vertical="center" wrapText="1"/>
    </xf>
    <xf numFmtId="0" fontId="9" fillId="0" borderId="4" xfId="12" applyFont="1" applyBorder="1" applyAlignment="1">
      <alignment vertical="center"/>
    </xf>
    <xf numFmtId="0" fontId="9" fillId="4" borderId="4" xfId="13" applyFont="1" applyFill="1" applyBorder="1" applyAlignment="1">
      <alignment vertical="center"/>
    </xf>
    <xf numFmtId="0" fontId="201" fillId="4" borderId="4" xfId="12" applyFont="1" applyFill="1" applyBorder="1" applyAlignment="1">
      <alignment vertical="center"/>
    </xf>
    <xf numFmtId="0" fontId="9" fillId="4" borderId="4" xfId="10" applyFont="1" applyFill="1" applyBorder="1"/>
    <xf numFmtId="0" fontId="9" fillId="4" borderId="4" xfId="12" applyFont="1" applyFill="1" applyBorder="1"/>
    <xf numFmtId="198" fontId="98" fillId="4" borderId="4" xfId="0" applyNumberFormat="1" applyFont="1" applyFill="1" applyBorder="1" applyAlignment="1">
      <alignment vertical="center"/>
    </xf>
    <xf numFmtId="207" fontId="152" fillId="4" borderId="4" xfId="1" applyNumberFormat="1" applyFont="1" applyFill="1" applyBorder="1" applyAlignment="1">
      <alignment horizontal="left" vertical="center"/>
    </xf>
    <xf numFmtId="0" fontId="25" fillId="0" borderId="22" xfId="0" applyFont="1" applyBorder="1" applyAlignment="1">
      <alignment horizontal="center" vertical="center" wrapText="1"/>
    </xf>
    <xf numFmtId="187" fontId="78" fillId="0" borderId="4" xfId="29" applyFont="1" applyBorder="1" applyAlignment="1">
      <alignment horizontal="center" vertical="center"/>
    </xf>
    <xf numFmtId="187" fontId="78" fillId="0" borderId="19" xfId="29" applyFont="1" applyBorder="1" applyAlignment="1">
      <alignment horizontal="center" vertical="center"/>
    </xf>
    <xf numFmtId="238" fontId="78" fillId="0" borderId="19" xfId="29" applyNumberFormat="1" applyFont="1" applyBorder="1" applyAlignment="1">
      <alignment horizontal="center" vertical="center"/>
    </xf>
    <xf numFmtId="187" fontId="78" fillId="0" borderId="19" xfId="29" applyFont="1" applyBorder="1" applyAlignment="1">
      <alignment horizontal="center" vertical="center" wrapText="1"/>
    </xf>
    <xf numFmtId="0" fontId="25" fillId="3" borderId="0" xfId="0" applyFont="1" applyFill="1" applyAlignment="1">
      <alignment vertical="center"/>
    </xf>
    <xf numFmtId="4" fontId="12" fillId="0" borderId="0" xfId="1" applyNumberFormat="1" applyFont="1" applyFill="1" applyAlignment="1"/>
    <xf numFmtId="197" fontId="102" fillId="0" borderId="4" xfId="1" applyNumberFormat="1" applyFont="1" applyFill="1" applyBorder="1" applyAlignment="1">
      <alignment horizontal="center" vertical="center" wrapText="1"/>
    </xf>
    <xf numFmtId="187" fontId="78" fillId="0" borderId="19" xfId="29" applyFont="1" applyFill="1" applyBorder="1" applyAlignment="1">
      <alignment horizontal="center" vertical="center"/>
    </xf>
    <xf numFmtId="1" fontId="25" fillId="0" borderId="19" xfId="0" applyNumberFormat="1" applyFont="1" applyBorder="1" applyAlignment="1">
      <alignment horizontal="center" vertical="center" wrapText="1"/>
    </xf>
    <xf numFmtId="239" fontId="68" fillId="0" borderId="0" xfId="0" applyNumberFormat="1" applyFont="1"/>
    <xf numFmtId="239" fontId="5" fillId="0" borderId="0" xfId="0" applyNumberFormat="1" applyFont="1"/>
    <xf numFmtId="1" fontId="91" fillId="0" borderId="3" xfId="1" applyNumberFormat="1" applyFont="1" applyFill="1" applyBorder="1" applyAlignment="1">
      <alignment horizontal="left" vertical="center"/>
    </xf>
    <xf numFmtId="203" fontId="170" fillId="0" borderId="0" xfId="1" applyNumberFormat="1" applyFont="1" applyFill="1" applyAlignment="1">
      <alignment vertical="center"/>
    </xf>
    <xf numFmtId="2" fontId="129" fillId="0" borderId="0" xfId="1" applyNumberFormat="1" applyFont="1" applyFill="1" applyAlignment="1">
      <alignment vertical="center"/>
    </xf>
    <xf numFmtId="2" fontId="129" fillId="0" borderId="4" xfId="1" applyNumberFormat="1" applyFont="1" applyFill="1" applyBorder="1" applyAlignment="1">
      <alignment vertical="center"/>
    </xf>
    <xf numFmtId="1" fontId="152" fillId="4" borderId="4" xfId="1" applyNumberFormat="1" applyFont="1" applyFill="1" applyBorder="1" applyAlignment="1">
      <alignment horizontal="center" vertical="center"/>
    </xf>
    <xf numFmtId="0" fontId="97" fillId="8" borderId="4" xfId="19" applyFont="1" applyFill="1" applyBorder="1" applyAlignment="1">
      <alignment horizontal="center" vertical="center"/>
    </xf>
    <xf numFmtId="198" fontId="28" fillId="7" borderId="0" xfId="1" applyNumberFormat="1" applyFont="1" applyFill="1" applyBorder="1" applyAlignment="1">
      <alignment vertical="center"/>
    </xf>
    <xf numFmtId="0" fontId="11" fillId="7" borderId="4" xfId="0" applyFont="1" applyFill="1" applyBorder="1" applyAlignment="1">
      <alignment horizontal="center" vertical="center" shrinkToFit="1"/>
    </xf>
    <xf numFmtId="198" fontId="18" fillId="7" borderId="4" xfId="19" applyNumberFormat="1" applyFont="1" applyFill="1" applyBorder="1" applyAlignment="1">
      <alignment horizontal="center" vertical="center"/>
    </xf>
    <xf numFmtId="0" fontId="200" fillId="7" borderId="4" xfId="19" applyFont="1" applyFill="1" applyBorder="1" applyAlignment="1">
      <alignment horizontal="center" vertical="center"/>
    </xf>
    <xf numFmtId="0" fontId="12" fillId="7" borderId="4" xfId="19" applyFont="1" applyFill="1" applyBorder="1" applyAlignment="1">
      <alignment horizontal="center" vertical="center"/>
    </xf>
    <xf numFmtId="198" fontId="11" fillId="7" borderId="4" xfId="19" applyNumberFormat="1" applyFont="1" applyFill="1" applyBorder="1" applyAlignment="1">
      <alignment horizontal="center" vertical="center"/>
    </xf>
    <xf numFmtId="3" fontId="18" fillId="7" borderId="4" xfId="10" applyNumberFormat="1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78" fillId="7" borderId="0" xfId="0" applyFont="1" applyFill="1"/>
    <xf numFmtId="0" fontId="79" fillId="7" borderId="0" xfId="0" applyFont="1" applyFill="1"/>
    <xf numFmtId="191" fontId="12" fillId="0" borderId="0" xfId="0" applyNumberFormat="1" applyFont="1" applyAlignment="1">
      <alignment vertical="center"/>
    </xf>
    <xf numFmtId="191" fontId="12" fillId="0" borderId="0" xfId="0" applyNumberFormat="1" applyFont="1" applyAlignment="1">
      <alignment horizontal="center"/>
    </xf>
    <xf numFmtId="191" fontId="12" fillId="0" borderId="0" xfId="0" applyNumberFormat="1" applyFont="1" applyAlignment="1">
      <alignment shrinkToFit="1"/>
    </xf>
    <xf numFmtId="0" fontId="11" fillId="0" borderId="4" xfId="0" applyFont="1" applyBorder="1" applyAlignment="1">
      <alignment horizontal="left"/>
    </xf>
    <xf numFmtId="214" fontId="11" fillId="0" borderId="0" xfId="0" applyNumberFormat="1" applyFont="1"/>
    <xf numFmtId="191" fontId="80" fillId="0" borderId="0" xfId="0" applyNumberFormat="1" applyFont="1" applyAlignment="1">
      <alignment horizontal="center"/>
    </xf>
    <xf numFmtId="191" fontId="91" fillId="0" borderId="0" xfId="0" applyNumberFormat="1" applyFont="1" applyAlignment="1">
      <alignment horizontal="center"/>
    </xf>
    <xf numFmtId="3" fontId="11" fillId="0" borderId="4" xfId="0" applyNumberFormat="1" applyFont="1" applyBorder="1" applyAlignment="1">
      <alignment horizontal="left"/>
    </xf>
    <xf numFmtId="191" fontId="158" fillId="0" borderId="0" xfId="0" applyNumberFormat="1" applyFont="1"/>
    <xf numFmtId="0" fontId="11" fillId="0" borderId="4" xfId="0" applyFont="1" applyBorder="1"/>
    <xf numFmtId="3" fontId="91" fillId="0" borderId="4" xfId="0" applyNumberFormat="1" applyFont="1" applyBorder="1"/>
    <xf numFmtId="214" fontId="162" fillId="0" borderId="0" xfId="0" applyNumberFormat="1" applyFont="1"/>
    <xf numFmtId="191" fontId="10" fillId="0" borderId="0" xfId="0" applyNumberFormat="1" applyFont="1"/>
    <xf numFmtId="191" fontId="107" fillId="0" borderId="0" xfId="0" applyNumberFormat="1" applyFont="1" applyAlignment="1">
      <alignment horizontal="center"/>
    </xf>
    <xf numFmtId="3" fontId="11" fillId="0" borderId="4" xfId="0" applyNumberFormat="1" applyFont="1" applyBorder="1" applyAlignment="1">
      <alignment horizontal="center"/>
    </xf>
    <xf numFmtId="191" fontId="3" fillId="0" borderId="0" xfId="0" applyNumberFormat="1" applyFont="1" applyAlignment="1">
      <alignment horizontal="center"/>
    </xf>
    <xf numFmtId="214" fontId="105" fillId="0" borderId="0" xfId="0" applyNumberFormat="1" applyFont="1"/>
    <xf numFmtId="3" fontId="7" fillId="0" borderId="0" xfId="0" applyNumberFormat="1" applyFont="1"/>
    <xf numFmtId="191" fontId="9" fillId="0" borderId="0" xfId="0" applyNumberFormat="1" applyFont="1" applyAlignment="1">
      <alignment vertical="center"/>
    </xf>
    <xf numFmtId="191" fontId="9" fillId="0" borderId="0" xfId="0" applyNumberFormat="1" applyFont="1" applyAlignment="1">
      <alignment horizontal="center"/>
    </xf>
    <xf numFmtId="211" fontId="78" fillId="0" borderId="0" xfId="0" applyNumberFormat="1" applyFont="1" applyAlignment="1">
      <alignment horizontal="left"/>
    </xf>
    <xf numFmtId="203" fontId="7" fillId="0" borderId="0" xfId="0" applyNumberFormat="1" applyFont="1"/>
    <xf numFmtId="217" fontId="158" fillId="0" borderId="0" xfId="0" applyNumberFormat="1" applyFont="1" applyAlignment="1">
      <alignment horizontal="center" vertical="center"/>
    </xf>
    <xf numFmtId="211" fontId="158" fillId="0" borderId="0" xfId="0" applyNumberFormat="1" applyFont="1" applyAlignment="1">
      <alignment vertical="center"/>
    </xf>
    <xf numFmtId="191" fontId="25" fillId="0" borderId="4" xfId="0" applyNumberFormat="1" applyFont="1" applyBorder="1" applyAlignment="1">
      <alignment horizontal="center" vertical="center" wrapText="1"/>
    </xf>
    <xf numFmtId="191" fontId="25" fillId="0" borderId="0" xfId="0" applyNumberFormat="1" applyFont="1" applyAlignment="1">
      <alignment horizontal="center" vertical="center"/>
    </xf>
    <xf numFmtId="191" fontId="11" fillId="0" borderId="0" xfId="0" applyNumberFormat="1" applyFont="1" applyAlignment="1">
      <alignment horizontal="center"/>
    </xf>
    <xf numFmtId="191" fontId="10" fillId="0" borderId="0" xfId="0" applyNumberFormat="1" applyFont="1" applyAlignment="1">
      <alignment horizontal="center"/>
    </xf>
    <xf numFmtId="192" fontId="25" fillId="0" borderId="4" xfId="1" applyNumberFormat="1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top" wrapText="1"/>
    </xf>
    <xf numFmtId="191" fontId="11" fillId="0" borderId="0" xfId="0" applyNumberFormat="1" applyFont="1" applyAlignment="1">
      <alignment horizontal="center" vertical="center"/>
    </xf>
    <xf numFmtId="191" fontId="10" fillId="0" borderId="0" xfId="0" applyNumberFormat="1" applyFont="1" applyAlignment="1">
      <alignment horizontal="center" vertical="center"/>
    </xf>
    <xf numFmtId="191" fontId="25" fillId="0" borderId="4" xfId="0" applyNumberFormat="1" applyFont="1" applyBorder="1" applyAlignment="1">
      <alignment horizontal="center"/>
    </xf>
    <xf numFmtId="191" fontId="25" fillId="0" borderId="0" xfId="0" applyNumberFormat="1" applyFont="1" applyAlignment="1">
      <alignment horizontal="center"/>
    </xf>
    <xf numFmtId="191" fontId="12" fillId="0" borderId="4" xfId="0" applyNumberFormat="1" applyFont="1" applyBorder="1" applyAlignment="1">
      <alignment horizontal="center" vertical="center"/>
    </xf>
    <xf numFmtId="191" fontId="78" fillId="0" borderId="4" xfId="0" applyNumberFormat="1" applyFont="1" applyBorder="1" applyAlignment="1">
      <alignment horizontal="center" vertical="center" shrinkToFit="1"/>
    </xf>
    <xf numFmtId="191" fontId="78" fillId="0" borderId="4" xfId="0" applyNumberFormat="1" applyFont="1" applyBorder="1" applyAlignment="1">
      <alignment vertical="center" shrinkToFit="1"/>
    </xf>
    <xf numFmtId="211" fontId="78" fillId="0" borderId="4" xfId="0" applyNumberFormat="1" applyFont="1" applyBorder="1" applyAlignment="1">
      <alignment horizontal="right" vertical="center" wrapText="1"/>
    </xf>
    <xf numFmtId="213" fontId="78" fillId="0" borderId="4" xfId="4" applyNumberFormat="1" applyFont="1" applyFill="1" applyBorder="1" applyAlignment="1">
      <alignment horizontal="center" vertical="center" shrinkToFit="1"/>
    </xf>
    <xf numFmtId="211" fontId="78" fillId="0" borderId="4" xfId="0" applyNumberFormat="1" applyFont="1" applyBorder="1" applyAlignment="1">
      <alignment vertical="center" shrinkToFit="1"/>
    </xf>
    <xf numFmtId="191" fontId="78" fillId="0" borderId="0" xfId="0" applyNumberFormat="1" applyFont="1" applyAlignment="1">
      <alignment horizontal="left" vertical="center"/>
    </xf>
    <xf numFmtId="191" fontId="158" fillId="0" borderId="0" xfId="0" applyNumberFormat="1" applyFont="1" applyAlignment="1">
      <alignment horizontal="center" vertical="center"/>
    </xf>
    <xf numFmtId="191" fontId="166" fillId="0" borderId="4" xfId="0" applyNumberFormat="1" applyFont="1" applyBorder="1" applyAlignment="1">
      <alignment horizontal="center" vertical="center" shrinkToFit="1"/>
    </xf>
    <xf numFmtId="191" fontId="166" fillId="0" borderId="4" xfId="0" applyNumberFormat="1" applyFont="1" applyBorder="1" applyAlignment="1">
      <alignment vertical="center" shrinkToFit="1"/>
    </xf>
    <xf numFmtId="211" fontId="166" fillId="0" borderId="4" xfId="0" applyNumberFormat="1" applyFont="1" applyBorder="1" applyAlignment="1">
      <alignment horizontal="right" vertical="center" wrapText="1"/>
    </xf>
    <xf numFmtId="211" fontId="166" fillId="0" borderId="4" xfId="0" applyNumberFormat="1" applyFont="1" applyBorder="1" applyAlignment="1">
      <alignment vertical="center" shrinkToFit="1"/>
    </xf>
    <xf numFmtId="191" fontId="166" fillId="0" borderId="0" xfId="0" applyNumberFormat="1" applyFont="1" applyAlignment="1">
      <alignment horizontal="left" vertical="center"/>
    </xf>
    <xf numFmtId="191" fontId="98" fillId="0" borderId="0" xfId="0" applyNumberFormat="1" applyFont="1" applyAlignment="1">
      <alignment horizontal="center" vertical="center"/>
    </xf>
    <xf numFmtId="191" fontId="139" fillId="0" borderId="0" xfId="0" applyNumberFormat="1" applyFont="1" applyAlignment="1">
      <alignment horizontal="center" vertical="center"/>
    </xf>
    <xf numFmtId="191" fontId="95" fillId="0" borderId="0" xfId="0" applyNumberFormat="1" applyFont="1" applyAlignment="1">
      <alignment vertical="center"/>
    </xf>
    <xf numFmtId="191" fontId="186" fillId="0" borderId="0" xfId="0" applyNumberFormat="1" applyFont="1" applyAlignment="1">
      <alignment vertical="center"/>
    </xf>
    <xf numFmtId="191" fontId="15" fillId="0" borderId="0" xfId="0" applyNumberFormat="1" applyFont="1" applyAlignment="1">
      <alignment vertical="center"/>
    </xf>
    <xf numFmtId="191" fontId="12" fillId="0" borderId="4" xfId="0" applyNumberFormat="1" applyFont="1" applyBorder="1" applyAlignment="1">
      <alignment vertical="center"/>
    </xf>
    <xf numFmtId="191" fontId="12" fillId="0" borderId="4" xfId="0" applyNumberFormat="1" applyFont="1" applyBorder="1" applyAlignment="1">
      <alignment horizontal="left" vertical="center" shrinkToFit="1"/>
    </xf>
    <xf numFmtId="191" fontId="78" fillId="0" borderId="4" xfId="0" applyNumberFormat="1" applyFont="1" applyBorder="1" applyAlignment="1">
      <alignment horizontal="left" vertical="center" shrinkToFit="1"/>
    </xf>
    <xf numFmtId="211" fontId="78" fillId="0" borderId="4" xfId="0" applyNumberFormat="1" applyFont="1" applyBorder="1" applyAlignment="1">
      <alignment horizontal="left" vertical="center" wrapText="1"/>
    </xf>
    <xf numFmtId="191" fontId="183" fillId="0" borderId="4" xfId="0" applyNumberFormat="1" applyFont="1" applyBorder="1" applyAlignment="1">
      <alignment horizontal="left" vertical="center"/>
    </xf>
    <xf numFmtId="191" fontId="166" fillId="0" borderId="4" xfId="0" applyNumberFormat="1" applyFont="1" applyBorder="1" applyAlignment="1">
      <alignment horizontal="left" vertical="center" shrinkToFit="1"/>
    </xf>
    <xf numFmtId="211" fontId="166" fillId="0" borderId="4" xfId="0" applyNumberFormat="1" applyFont="1" applyBorder="1" applyAlignment="1">
      <alignment horizontal="left" vertical="center" wrapText="1"/>
    </xf>
    <xf numFmtId="191" fontId="78" fillId="0" borderId="0" xfId="0" applyNumberFormat="1" applyFont="1" applyAlignment="1">
      <alignment vertical="center"/>
    </xf>
    <xf numFmtId="191" fontId="105" fillId="0" borderId="0" xfId="0" applyNumberFormat="1" applyFont="1" applyAlignment="1">
      <alignment vertical="center"/>
    </xf>
    <xf numFmtId="191" fontId="15" fillId="0" borderId="0" xfId="0" applyNumberFormat="1" applyFont="1"/>
    <xf numFmtId="191" fontId="15" fillId="0" borderId="0" xfId="0" applyNumberFormat="1" applyFont="1" applyAlignment="1">
      <alignment horizontal="center"/>
    </xf>
    <xf numFmtId="191" fontId="11" fillId="0" borderId="0" xfId="0" applyNumberFormat="1" applyFont="1" applyAlignment="1">
      <alignment vertical="center" shrinkToFit="1"/>
    </xf>
    <xf numFmtId="191" fontId="11" fillId="0" borderId="0" xfId="0" applyNumberFormat="1" applyFont="1" applyAlignment="1">
      <alignment horizontal="center" shrinkToFit="1"/>
    </xf>
    <xf numFmtId="191" fontId="121" fillId="0" borderId="0" xfId="0" applyNumberFormat="1" applyFont="1" applyAlignment="1">
      <alignment horizontal="center"/>
    </xf>
    <xf numFmtId="191" fontId="113" fillId="0" borderId="0" xfId="0" applyNumberFormat="1" applyFont="1"/>
    <xf numFmtId="211" fontId="12" fillId="0" borderId="0" xfId="0" applyNumberFormat="1" applyFont="1"/>
    <xf numFmtId="191" fontId="91" fillId="0" borderId="0" xfId="0" applyNumberFormat="1" applyFont="1" applyAlignment="1">
      <alignment horizontal="center" vertical="center"/>
    </xf>
    <xf numFmtId="191" fontId="25" fillId="0" borderId="0" xfId="0" applyNumberFormat="1" applyFont="1" applyAlignment="1">
      <alignment vertical="center"/>
    </xf>
    <xf numFmtId="4" fontId="25" fillId="0" borderId="0" xfId="0" applyNumberFormat="1" applyFont="1"/>
    <xf numFmtId="211" fontId="25" fillId="0" borderId="0" xfId="0" applyNumberFormat="1" applyFont="1"/>
    <xf numFmtId="211" fontId="80" fillId="0" borderId="0" xfId="0" applyNumberFormat="1" applyFont="1"/>
    <xf numFmtId="191" fontId="10" fillId="0" borderId="0" xfId="0" applyNumberFormat="1" applyFont="1" applyAlignment="1">
      <alignment vertical="center"/>
    </xf>
    <xf numFmtId="4" fontId="10" fillId="0" borderId="0" xfId="0" applyNumberFormat="1" applyFont="1"/>
    <xf numFmtId="211" fontId="10" fillId="0" borderId="0" xfId="0" applyNumberFormat="1" applyFont="1"/>
    <xf numFmtId="211" fontId="3" fillId="0" borderId="0" xfId="0" applyNumberFormat="1" applyFont="1" applyAlignment="1">
      <alignment horizontal="center"/>
    </xf>
    <xf numFmtId="211" fontId="10" fillId="0" borderId="0" xfId="0" applyNumberFormat="1" applyFont="1" applyAlignment="1">
      <alignment horizontal="center"/>
    </xf>
    <xf numFmtId="191" fontId="18" fillId="0" borderId="0" xfId="0" applyNumberFormat="1" applyFont="1" applyAlignment="1">
      <alignment horizontal="center" vertical="center"/>
    </xf>
    <xf numFmtId="191" fontId="78" fillId="0" borderId="0" xfId="0" applyNumberFormat="1" applyFont="1" applyAlignment="1">
      <alignment horizontal="center" vertical="center"/>
    </xf>
    <xf numFmtId="223" fontId="10" fillId="0" borderId="0" xfId="0" applyNumberFormat="1" applyFont="1" applyAlignment="1">
      <alignment horizontal="center"/>
    </xf>
    <xf numFmtId="211" fontId="8" fillId="0" borderId="0" xfId="0" applyNumberFormat="1" applyFont="1"/>
    <xf numFmtId="213" fontId="8" fillId="0" borderId="0" xfId="0" applyNumberFormat="1" applyFont="1"/>
    <xf numFmtId="214" fontId="12" fillId="0" borderId="0" xfId="0" applyNumberFormat="1" applyFont="1"/>
    <xf numFmtId="191" fontId="80" fillId="0" borderId="0" xfId="0" applyNumberFormat="1" applyFont="1"/>
    <xf numFmtId="214" fontId="12" fillId="0" borderId="0" xfId="0" applyNumberFormat="1" applyFont="1" applyAlignment="1">
      <alignment horizontal="center"/>
    </xf>
    <xf numFmtId="191" fontId="12" fillId="0" borderId="0" xfId="0" applyNumberFormat="1" applyFont="1" applyAlignment="1">
      <alignment horizontal="left"/>
    </xf>
    <xf numFmtId="191" fontId="12" fillId="0" borderId="0" xfId="0" applyNumberFormat="1" applyFont="1" applyAlignment="1">
      <alignment horizontal="right"/>
    </xf>
    <xf numFmtId="191" fontId="105" fillId="0" borderId="0" xfId="0" applyNumberFormat="1" applyFont="1"/>
    <xf numFmtId="191" fontId="113" fillId="0" borderId="0" xfId="0" applyNumberFormat="1" applyFont="1" applyAlignment="1">
      <alignment horizontal="center"/>
    </xf>
    <xf numFmtId="191" fontId="111" fillId="0" borderId="0" xfId="0" applyNumberFormat="1" applyFont="1" applyAlignment="1">
      <alignment horizontal="center"/>
    </xf>
    <xf numFmtId="0" fontId="91" fillId="0" borderId="4" xfId="0" applyFont="1" applyBorder="1"/>
    <xf numFmtId="191" fontId="91" fillId="0" borderId="0" xfId="0" applyNumberFormat="1" applyFont="1"/>
    <xf numFmtId="191" fontId="178" fillId="0" borderId="0" xfId="0" applyNumberFormat="1" applyFont="1" applyAlignment="1">
      <alignment vertical="center"/>
    </xf>
    <xf numFmtId="191" fontId="179" fillId="0" borderId="0" xfId="0" applyNumberFormat="1" applyFont="1"/>
    <xf numFmtId="214" fontId="179" fillId="0" borderId="0" xfId="0" applyNumberFormat="1" applyFont="1"/>
    <xf numFmtId="3" fontId="179" fillId="0" borderId="0" xfId="0" applyNumberFormat="1" applyFont="1"/>
    <xf numFmtId="4" fontId="178" fillId="0" borderId="0" xfId="0" applyNumberFormat="1" applyFont="1" applyAlignment="1">
      <alignment horizontal="center"/>
    </xf>
    <xf numFmtId="191" fontId="178" fillId="0" borderId="0" xfId="0" applyNumberFormat="1" applyFont="1" applyAlignment="1">
      <alignment horizontal="center"/>
    </xf>
    <xf numFmtId="3" fontId="91" fillId="0" borderId="4" xfId="0" applyNumberFormat="1" applyFont="1" applyBorder="1" applyAlignment="1">
      <alignment horizontal="center"/>
    </xf>
    <xf numFmtId="191" fontId="179" fillId="0" borderId="0" xfId="0" applyNumberFormat="1" applyFont="1" applyAlignment="1">
      <alignment vertical="center"/>
    </xf>
    <xf numFmtId="203" fontId="179" fillId="0" borderId="0" xfId="0" applyNumberFormat="1" applyFont="1"/>
    <xf numFmtId="191" fontId="178" fillId="0" borderId="4" xfId="0" applyNumberFormat="1" applyFont="1" applyBorder="1" applyAlignment="1">
      <alignment horizontal="center" vertical="center" wrapText="1"/>
    </xf>
    <xf numFmtId="191" fontId="178" fillId="0" borderId="4" xfId="0" applyNumberFormat="1" applyFont="1" applyBorder="1" applyAlignment="1">
      <alignment horizontal="center" vertical="center"/>
    </xf>
    <xf numFmtId="192" fontId="178" fillId="0" borderId="4" xfId="1" applyNumberFormat="1" applyFont="1" applyFill="1" applyBorder="1" applyAlignment="1">
      <alignment horizontal="center" vertical="center" wrapText="1"/>
    </xf>
    <xf numFmtId="0" fontId="178" fillId="0" borderId="10" xfId="0" applyFont="1" applyBorder="1" applyAlignment="1">
      <alignment horizontal="center" vertical="top" wrapText="1"/>
    </xf>
    <xf numFmtId="191" fontId="179" fillId="0" borderId="4" xfId="0" applyNumberFormat="1" applyFont="1" applyBorder="1" applyAlignment="1">
      <alignment horizontal="center" vertical="center" shrinkToFit="1"/>
    </xf>
    <xf numFmtId="191" fontId="179" fillId="0" borderId="4" xfId="0" applyNumberFormat="1" applyFont="1" applyBorder="1" applyAlignment="1">
      <alignment vertical="center" shrinkToFit="1"/>
    </xf>
    <xf numFmtId="211" fontId="179" fillId="0" borderId="4" xfId="0" applyNumberFormat="1" applyFont="1" applyBorder="1" applyAlignment="1">
      <alignment vertical="center" shrinkToFit="1"/>
    </xf>
    <xf numFmtId="213" fontId="179" fillId="0" borderId="4" xfId="4" applyNumberFormat="1" applyFont="1" applyFill="1" applyBorder="1" applyAlignment="1">
      <alignment horizontal="center" vertical="center" shrinkToFit="1"/>
    </xf>
    <xf numFmtId="191" fontId="179" fillId="0" borderId="19" xfId="0" applyNumberFormat="1" applyFont="1" applyBorder="1" applyAlignment="1">
      <alignment vertical="center" shrinkToFit="1"/>
    </xf>
    <xf numFmtId="191" fontId="180" fillId="0" borderId="22" xfId="0" applyNumberFormat="1" applyFont="1" applyBorder="1" applyAlignment="1">
      <alignment horizontal="center" vertical="center" shrinkToFit="1"/>
    </xf>
    <xf numFmtId="191" fontId="180" fillId="0" borderId="4" xfId="0" applyNumberFormat="1" applyFont="1" applyBorder="1" applyAlignment="1">
      <alignment vertical="center" shrinkToFit="1"/>
    </xf>
    <xf numFmtId="191" fontId="180" fillId="0" borderId="19" xfId="0" applyNumberFormat="1" applyFont="1" applyBorder="1" applyAlignment="1">
      <alignment vertical="center" shrinkToFit="1"/>
    </xf>
    <xf numFmtId="211" fontId="180" fillId="0" borderId="4" xfId="0" applyNumberFormat="1" applyFont="1" applyBorder="1" applyAlignment="1">
      <alignment vertical="center" shrinkToFit="1"/>
    </xf>
    <xf numFmtId="191" fontId="180" fillId="0" borderId="4" xfId="0" applyNumberFormat="1" applyFont="1" applyBorder="1" applyAlignment="1">
      <alignment horizontal="center" vertical="center" shrinkToFit="1"/>
    </xf>
    <xf numFmtId="191" fontId="104" fillId="0" borderId="0" xfId="0" applyNumberFormat="1" applyFont="1" applyAlignment="1">
      <alignment horizontal="center" vertical="center"/>
    </xf>
    <xf numFmtId="232" fontId="105" fillId="0" borderId="0" xfId="0" applyNumberFormat="1" applyFont="1"/>
    <xf numFmtId="191" fontId="178" fillId="0" borderId="0" xfId="0" applyNumberFormat="1" applyFont="1" applyAlignment="1">
      <alignment horizontal="center" vertical="center" shrinkToFit="1"/>
    </xf>
    <xf numFmtId="191" fontId="113" fillId="0" borderId="0" xfId="0" applyNumberFormat="1" applyFont="1" applyAlignment="1">
      <alignment vertical="center"/>
    </xf>
    <xf numFmtId="191" fontId="91" fillId="0" borderId="0" xfId="0" applyNumberFormat="1" applyFont="1" applyAlignment="1">
      <alignment vertical="center"/>
    </xf>
    <xf numFmtId="211" fontId="91" fillId="0" borderId="0" xfId="0" applyNumberFormat="1" applyFont="1"/>
    <xf numFmtId="4" fontId="91" fillId="0" borderId="0" xfId="0" applyNumberFormat="1" applyFont="1"/>
    <xf numFmtId="211" fontId="91" fillId="0" borderId="0" xfId="0" applyNumberFormat="1" applyFont="1" applyAlignment="1">
      <alignment horizontal="center"/>
    </xf>
    <xf numFmtId="223" fontId="91" fillId="0" borderId="0" xfId="0" applyNumberFormat="1" applyFont="1" applyAlignment="1">
      <alignment horizontal="center"/>
    </xf>
    <xf numFmtId="211" fontId="105" fillId="0" borderId="0" xfId="0" applyNumberFormat="1" applyFont="1"/>
    <xf numFmtId="214" fontId="105" fillId="0" borderId="0" xfId="0" applyNumberFormat="1" applyFont="1" applyAlignment="1">
      <alignment horizontal="center"/>
    </xf>
    <xf numFmtId="212" fontId="105" fillId="0" borderId="0" xfId="0" applyNumberFormat="1" applyFont="1"/>
    <xf numFmtId="191" fontId="105" fillId="0" borderId="0" xfId="0" applyNumberFormat="1" applyFont="1" applyAlignment="1">
      <alignment horizontal="center"/>
    </xf>
    <xf numFmtId="213" fontId="105" fillId="0" borderId="0" xfId="0" applyNumberFormat="1" applyFont="1"/>
    <xf numFmtId="191" fontId="105" fillId="0" borderId="0" xfId="0" applyNumberFormat="1" applyFont="1" applyAlignment="1">
      <alignment shrinkToFit="1"/>
    </xf>
    <xf numFmtId="214" fontId="109" fillId="0" borderId="0" xfId="0" applyNumberFormat="1" applyFont="1"/>
    <xf numFmtId="3" fontId="105" fillId="0" borderId="0" xfId="0" applyNumberFormat="1" applyFont="1"/>
    <xf numFmtId="4" fontId="91" fillId="0" borderId="0" xfId="0" applyNumberFormat="1" applyFont="1" applyAlignment="1">
      <alignment horizontal="center"/>
    </xf>
    <xf numFmtId="191" fontId="105" fillId="0" borderId="0" xfId="0" applyNumberFormat="1" applyFont="1" applyAlignment="1">
      <alignment horizontal="right"/>
    </xf>
    <xf numFmtId="211" fontId="105" fillId="0" borderId="0" xfId="0" applyNumberFormat="1" applyFont="1" applyAlignment="1">
      <alignment horizontal="left"/>
    </xf>
    <xf numFmtId="203" fontId="105" fillId="0" borderId="0" xfId="0" applyNumberFormat="1" applyFont="1"/>
    <xf numFmtId="191" fontId="179" fillId="0" borderId="4" xfId="0" applyNumberFormat="1" applyFont="1" applyBorder="1" applyAlignment="1">
      <alignment horizontal="left" vertical="center" shrinkToFit="1"/>
    </xf>
    <xf numFmtId="211" fontId="179" fillId="0" borderId="4" xfId="0" applyNumberFormat="1" applyFont="1" applyBorder="1" applyAlignment="1">
      <alignment horizontal="left" vertical="center" shrinkToFit="1"/>
    </xf>
    <xf numFmtId="191" fontId="179" fillId="0" borderId="19" xfId="0" applyNumberFormat="1" applyFont="1" applyBorder="1" applyAlignment="1">
      <alignment horizontal="left" vertical="center" shrinkToFit="1"/>
    </xf>
    <xf numFmtId="191" fontId="180" fillId="0" borderId="22" xfId="0" applyNumberFormat="1" applyFont="1" applyBorder="1" applyAlignment="1">
      <alignment horizontal="left" vertical="center" shrinkToFit="1"/>
    </xf>
    <xf numFmtId="191" fontId="180" fillId="0" borderId="4" xfId="0" applyNumberFormat="1" applyFont="1" applyBorder="1" applyAlignment="1">
      <alignment horizontal="left" vertical="center" shrinkToFit="1"/>
    </xf>
    <xf numFmtId="191" fontId="180" fillId="0" borderId="19" xfId="0" applyNumberFormat="1" applyFont="1" applyBorder="1" applyAlignment="1">
      <alignment horizontal="left" vertical="center" shrinkToFit="1"/>
    </xf>
    <xf numFmtId="211" fontId="180" fillId="0" borderId="4" xfId="0" applyNumberFormat="1" applyFont="1" applyBorder="1" applyAlignment="1">
      <alignment horizontal="left" vertical="center" shrinkToFit="1"/>
    </xf>
    <xf numFmtId="191" fontId="175" fillId="0" borderId="0" xfId="0" applyNumberFormat="1" applyFont="1" applyAlignment="1">
      <alignment vertical="center"/>
    </xf>
    <xf numFmtId="191" fontId="181" fillId="0" borderId="0" xfId="0" applyNumberFormat="1" applyFont="1" applyAlignment="1">
      <alignment horizontal="center" vertical="center" shrinkToFit="1"/>
    </xf>
    <xf numFmtId="191" fontId="179" fillId="0" borderId="0" xfId="0" applyNumberFormat="1" applyFont="1" applyAlignment="1">
      <alignment horizontal="center"/>
    </xf>
    <xf numFmtId="191" fontId="179" fillId="0" borderId="0" xfId="0" applyNumberFormat="1" applyFont="1" applyAlignment="1">
      <alignment shrinkToFit="1"/>
    </xf>
    <xf numFmtId="211" fontId="179" fillId="0" borderId="0" xfId="0" applyNumberFormat="1" applyFont="1"/>
    <xf numFmtId="191" fontId="105" fillId="0" borderId="0" xfId="0" applyNumberFormat="1" applyFont="1" applyAlignment="1">
      <alignment horizontal="left"/>
    </xf>
    <xf numFmtId="0" fontId="167" fillId="0" borderId="4" xfId="0" applyFont="1" applyBorder="1" applyAlignment="1">
      <alignment horizontal="center" vertical="center" wrapText="1"/>
    </xf>
    <xf numFmtId="10" fontId="57" fillId="0" borderId="4" xfId="21" applyNumberFormat="1" applyFont="1" applyFill="1" applyBorder="1" applyAlignment="1">
      <alignment horizontal="right" vertical="center"/>
    </xf>
    <xf numFmtId="197" fontId="115" fillId="0" borderId="4" xfId="21" applyNumberFormat="1" applyFont="1" applyFill="1" applyBorder="1" applyAlignment="1">
      <alignment vertical="center" wrapText="1"/>
    </xf>
    <xf numFmtId="196" fontId="115" fillId="0" borderId="4" xfId="21" applyNumberFormat="1" applyFont="1" applyFill="1" applyBorder="1" applyAlignment="1">
      <alignment vertical="center" wrapText="1"/>
    </xf>
    <xf numFmtId="197" fontId="78" fillId="0" borderId="4" xfId="1" applyNumberFormat="1" applyFont="1" applyFill="1" applyBorder="1" applyAlignment="1">
      <alignment horizontal="right" vertical="center" shrinkToFit="1"/>
    </xf>
    <xf numFmtId="1" fontId="124" fillId="0" borderId="4" xfId="1" applyNumberFormat="1" applyFont="1" applyFill="1" applyBorder="1" applyAlignment="1">
      <alignment horizontal="center" vertical="center" wrapText="1"/>
    </xf>
    <xf numFmtId="1" fontId="129" fillId="0" borderId="4" xfId="1" applyNumberFormat="1" applyFont="1" applyFill="1" applyBorder="1" applyAlignment="1">
      <alignment horizontal="center" vertical="center"/>
    </xf>
    <xf numFmtId="1" fontId="113" fillId="0" borderId="4" xfId="1" applyNumberFormat="1" applyFont="1" applyFill="1" applyBorder="1" applyAlignment="1">
      <alignment horizontal="center" vertical="center"/>
    </xf>
    <xf numFmtId="197" fontId="113" fillId="0" borderId="4" xfId="1" applyNumberFormat="1" applyFont="1" applyFill="1" applyBorder="1" applyAlignment="1">
      <alignment horizontal="center" vertical="center"/>
    </xf>
    <xf numFmtId="1" fontId="129" fillId="0" borderId="0" xfId="1" applyNumberFormat="1" applyFont="1" applyFill="1" applyAlignment="1">
      <alignment horizontal="center" vertical="center"/>
    </xf>
    <xf numFmtId="197" fontId="111" fillId="0" borderId="14" xfId="1" applyNumberFormat="1" applyFont="1" applyFill="1" applyBorder="1" applyAlignment="1">
      <alignment horizontal="center" vertical="center"/>
    </xf>
    <xf numFmtId="197" fontId="111" fillId="0" borderId="22" xfId="1" applyNumberFormat="1" applyFont="1" applyFill="1" applyBorder="1" applyAlignment="1">
      <alignment horizontal="center" vertical="center"/>
    </xf>
    <xf numFmtId="197" fontId="111" fillId="0" borderId="19" xfId="1" applyNumberFormat="1" applyFont="1" applyFill="1" applyBorder="1" applyAlignment="1">
      <alignment horizontal="center" vertical="center"/>
    </xf>
    <xf numFmtId="1" fontId="111" fillId="0" borderId="14" xfId="1" applyNumberFormat="1" applyFont="1" applyFill="1" applyBorder="1" applyAlignment="1">
      <alignment horizontal="center" vertical="center"/>
    </xf>
    <xf numFmtId="1" fontId="111" fillId="0" borderId="22" xfId="1" applyNumberFormat="1" applyFont="1" applyFill="1" applyBorder="1" applyAlignment="1">
      <alignment horizontal="center" vertical="center"/>
    </xf>
    <xf numFmtId="1" fontId="111" fillId="0" borderId="19" xfId="1" applyNumberFormat="1" applyFont="1" applyFill="1" applyBorder="1" applyAlignment="1">
      <alignment horizontal="center" vertical="center"/>
    </xf>
    <xf numFmtId="197" fontId="111" fillId="0" borderId="14" xfId="1" applyNumberFormat="1" applyFont="1" applyFill="1" applyBorder="1" applyAlignment="1">
      <alignment horizontal="center" vertical="center" wrapText="1"/>
    </xf>
    <xf numFmtId="197" fontId="111" fillId="0" borderId="22" xfId="1" applyNumberFormat="1" applyFont="1" applyFill="1" applyBorder="1" applyAlignment="1">
      <alignment horizontal="center" vertical="center" wrapText="1"/>
    </xf>
    <xf numFmtId="197" fontId="111" fillId="0" borderId="19" xfId="1" applyNumberFormat="1" applyFont="1" applyFill="1" applyBorder="1" applyAlignment="1">
      <alignment horizontal="center" vertical="center" wrapText="1"/>
    </xf>
    <xf numFmtId="196" fontId="121" fillId="0" borderId="0" xfId="1" applyFont="1" applyFill="1" applyBorder="1" applyAlignment="1">
      <alignment horizontal="center" vertical="center"/>
    </xf>
    <xf numFmtId="1" fontId="111" fillId="0" borderId="4" xfId="1" applyNumberFormat="1" applyFont="1" applyFill="1" applyBorder="1" applyAlignment="1">
      <alignment horizontal="center" vertical="center"/>
    </xf>
    <xf numFmtId="1" fontId="113" fillId="0" borderId="14" xfId="1" applyNumberFormat="1" applyFont="1" applyFill="1" applyBorder="1" applyAlignment="1">
      <alignment horizontal="center" vertical="center"/>
    </xf>
    <xf numFmtId="1" fontId="113" fillId="0" borderId="22" xfId="1" applyNumberFormat="1" applyFont="1" applyFill="1" applyBorder="1" applyAlignment="1">
      <alignment horizontal="center" vertical="center"/>
    </xf>
    <xf numFmtId="1" fontId="113" fillId="0" borderId="19" xfId="1" applyNumberFormat="1" applyFont="1" applyFill="1" applyBorder="1" applyAlignment="1">
      <alignment horizontal="center" vertical="center"/>
    </xf>
    <xf numFmtId="216" fontId="124" fillId="0" borderId="4" xfId="1" applyNumberFormat="1" applyFont="1" applyFill="1" applyBorder="1" applyAlignment="1">
      <alignment horizontal="center" vertical="center" wrapText="1"/>
    </xf>
    <xf numFmtId="1" fontId="124" fillId="0" borderId="4" xfId="1" applyNumberFormat="1" applyFont="1" applyFill="1" applyBorder="1" applyAlignment="1">
      <alignment horizontal="center" vertical="center"/>
    </xf>
    <xf numFmtId="0" fontId="148" fillId="0" borderId="14" xfId="0" applyFont="1" applyBorder="1" applyAlignment="1">
      <alignment horizontal="center"/>
    </xf>
    <xf numFmtId="0" fontId="148" fillId="0" borderId="22" xfId="0" applyFont="1" applyBorder="1" applyAlignment="1">
      <alignment horizontal="center"/>
    </xf>
    <xf numFmtId="0" fontId="148" fillId="0" borderId="19" xfId="0" applyFont="1" applyBorder="1" applyAlignment="1">
      <alignment horizontal="center"/>
    </xf>
    <xf numFmtId="192" fontId="148" fillId="0" borderId="4" xfId="1" applyNumberFormat="1" applyFont="1" applyFill="1" applyBorder="1" applyAlignment="1">
      <alignment horizontal="center"/>
    </xf>
    <xf numFmtId="213" fontId="112" fillId="0" borderId="4" xfId="1" applyNumberFormat="1" applyFont="1" applyFill="1" applyBorder="1" applyAlignment="1">
      <alignment horizontal="center"/>
    </xf>
    <xf numFmtId="0" fontId="147" fillId="0" borderId="14" xfId="0" applyFont="1" applyBorder="1" applyAlignment="1">
      <alignment horizontal="center"/>
    </xf>
    <xf numFmtId="0" fontId="147" fillId="0" borderId="22" xfId="0" applyFont="1" applyBorder="1" applyAlignment="1">
      <alignment horizontal="center"/>
    </xf>
    <xf numFmtId="0" fontId="147" fillId="0" borderId="19" xfId="0" applyFont="1" applyBorder="1" applyAlignment="1">
      <alignment horizontal="center"/>
    </xf>
    <xf numFmtId="1" fontId="78" fillId="0" borderId="0" xfId="1" applyNumberFormat="1" applyFont="1" applyFill="1" applyAlignment="1">
      <alignment horizontal="center" vertical="center"/>
    </xf>
    <xf numFmtId="1" fontId="9" fillId="0" borderId="0" xfId="1" applyNumberFormat="1" applyFont="1" applyFill="1" applyAlignment="1">
      <alignment horizontal="left" vertical="center"/>
    </xf>
    <xf numFmtId="1" fontId="9" fillId="0" borderId="0" xfId="1" applyNumberFormat="1" applyFont="1" applyFill="1" applyBorder="1" applyAlignment="1">
      <alignment horizontal="left" vertical="center"/>
    </xf>
    <xf numFmtId="1" fontId="130" fillId="0" borderId="0" xfId="1" applyNumberFormat="1" applyFont="1" applyFill="1" applyBorder="1" applyAlignment="1">
      <alignment horizontal="center" vertical="center"/>
    </xf>
    <xf numFmtId="0" fontId="124" fillId="0" borderId="4" xfId="19" applyFont="1" applyBorder="1" applyAlignment="1">
      <alignment horizontal="center" vertical="center"/>
    </xf>
    <xf numFmtId="3" fontId="124" fillId="0" borderId="4" xfId="26" applyNumberFormat="1" applyFont="1" applyFill="1" applyBorder="1" applyAlignment="1">
      <alignment horizontal="center" vertical="center" wrapText="1"/>
    </xf>
    <xf numFmtId="3" fontId="124" fillId="0" borderId="14" xfId="26" applyNumberFormat="1" applyFont="1" applyFill="1" applyBorder="1" applyAlignment="1">
      <alignment horizontal="center" vertical="center" wrapText="1"/>
    </xf>
    <xf numFmtId="3" fontId="124" fillId="0" borderId="22" xfId="26" applyNumberFormat="1" applyFont="1" applyFill="1" applyBorder="1" applyAlignment="1">
      <alignment horizontal="center" vertical="center" wrapText="1"/>
    </xf>
    <xf numFmtId="3" fontId="124" fillId="0" borderId="19" xfId="26" applyNumberFormat="1" applyFont="1" applyFill="1" applyBorder="1" applyAlignment="1">
      <alignment horizontal="center" vertical="center" wrapText="1"/>
    </xf>
    <xf numFmtId="1" fontId="150" fillId="0" borderId="0" xfId="1" applyNumberFormat="1" applyFont="1" applyFill="1" applyBorder="1" applyAlignment="1">
      <alignment horizontal="center" vertical="center"/>
    </xf>
    <xf numFmtId="3" fontId="124" fillId="0" borderId="4" xfId="1" applyNumberFormat="1" applyFont="1" applyFill="1" applyBorder="1" applyAlignment="1">
      <alignment horizontal="center" vertical="center"/>
    </xf>
    <xf numFmtId="1" fontId="152" fillId="0" borderId="4" xfId="1" applyNumberFormat="1" applyFont="1" applyFill="1" applyBorder="1" applyAlignment="1">
      <alignment horizontal="center" vertical="center"/>
    </xf>
    <xf numFmtId="1" fontId="91" fillId="0" borderId="4" xfId="1" applyNumberFormat="1" applyFont="1" applyFill="1" applyBorder="1" applyAlignment="1">
      <alignment horizontal="center" vertical="center" wrapText="1"/>
    </xf>
    <xf numFmtId="192" fontId="147" fillId="0" borderId="14" xfId="1" applyNumberFormat="1" applyFont="1" applyFill="1" applyBorder="1" applyAlignment="1">
      <alignment horizontal="center"/>
    </xf>
    <xf numFmtId="192" fontId="147" fillId="0" borderId="22" xfId="1" applyNumberFormat="1" applyFont="1" applyFill="1" applyBorder="1" applyAlignment="1">
      <alignment horizontal="center"/>
    </xf>
    <xf numFmtId="192" fontId="147" fillId="0" borderId="19" xfId="1" applyNumberFormat="1" applyFont="1" applyFill="1" applyBorder="1" applyAlignment="1">
      <alignment horizontal="center"/>
    </xf>
    <xf numFmtId="1" fontId="150" fillId="0" borderId="0" xfId="1" quotePrefix="1" applyNumberFormat="1" applyFont="1" applyFill="1" applyBorder="1" applyAlignment="1">
      <alignment horizontal="center" vertical="center"/>
    </xf>
    <xf numFmtId="1" fontId="169" fillId="0" borderId="0" xfId="1" applyNumberFormat="1" applyFont="1" applyFill="1" applyBorder="1" applyAlignment="1">
      <alignment horizontal="center" vertical="center"/>
    </xf>
    <xf numFmtId="0" fontId="172" fillId="0" borderId="0" xfId="19" applyFont="1" applyAlignment="1">
      <alignment horizontal="center" vertical="center"/>
    </xf>
    <xf numFmtId="1" fontId="91" fillId="0" borderId="3" xfId="1" applyNumberFormat="1" applyFont="1" applyFill="1" applyBorder="1" applyAlignment="1">
      <alignment horizontal="left" vertical="center"/>
    </xf>
    <xf numFmtId="0" fontId="147" fillId="0" borderId="14" xfId="0" applyFont="1" applyBorder="1" applyAlignment="1">
      <alignment horizontal="center" vertical="center"/>
    </xf>
    <xf numFmtId="0" fontId="147" fillId="0" borderId="22" xfId="0" applyFont="1" applyBorder="1" applyAlignment="1">
      <alignment horizontal="center" vertical="center"/>
    </xf>
    <xf numFmtId="0" fontId="147" fillId="0" borderId="19" xfId="0" applyFont="1" applyBorder="1" applyAlignment="1">
      <alignment horizontal="center" vertical="center"/>
    </xf>
    <xf numFmtId="192" fontId="147" fillId="0" borderId="4" xfId="0" applyNumberFormat="1" applyFont="1" applyBorder="1" applyAlignment="1">
      <alignment horizontal="center"/>
    </xf>
    <xf numFmtId="0" fontId="147" fillId="0" borderId="4" xfId="0" applyFont="1" applyBorder="1" applyAlignment="1">
      <alignment horizontal="center"/>
    </xf>
    <xf numFmtId="197" fontId="113" fillId="0" borderId="14" xfId="1" applyNumberFormat="1" applyFont="1" applyFill="1" applyBorder="1" applyAlignment="1">
      <alignment vertical="center"/>
    </xf>
    <xf numFmtId="197" fontId="113" fillId="0" borderId="22" xfId="1" applyNumberFormat="1" applyFont="1" applyFill="1" applyBorder="1" applyAlignment="1">
      <alignment vertical="center"/>
    </xf>
    <xf numFmtId="197" fontId="113" fillId="0" borderId="19" xfId="1" applyNumberFormat="1" applyFont="1" applyFill="1" applyBorder="1" applyAlignment="1">
      <alignment vertical="center"/>
    </xf>
    <xf numFmtId="0" fontId="129" fillId="0" borderId="4" xfId="19" applyFont="1" applyBorder="1" applyAlignment="1">
      <alignment horizontal="center" vertical="center"/>
    </xf>
    <xf numFmtId="3" fontId="129" fillId="0" borderId="4" xfId="26" applyNumberFormat="1" applyFont="1" applyFill="1" applyBorder="1" applyAlignment="1">
      <alignment horizontal="center" vertical="center" wrapText="1"/>
    </xf>
    <xf numFmtId="196" fontId="129" fillId="0" borderId="4" xfId="1" applyFont="1" applyFill="1" applyBorder="1" applyAlignment="1">
      <alignment horizontal="center" vertical="center" wrapText="1"/>
    </xf>
    <xf numFmtId="216" fontId="129" fillId="0" borderId="4" xfId="1" applyNumberFormat="1" applyFont="1" applyFill="1" applyBorder="1" applyAlignment="1">
      <alignment horizontal="center" vertical="center" wrapText="1"/>
    </xf>
    <xf numFmtId="197" fontId="129" fillId="0" borderId="4" xfId="1" applyNumberFormat="1" applyFont="1" applyFill="1" applyBorder="1" applyAlignment="1">
      <alignment horizontal="center" vertical="center" wrapText="1"/>
    </xf>
    <xf numFmtId="215" fontId="129" fillId="0" borderId="4" xfId="26" applyNumberFormat="1" applyFont="1" applyFill="1" applyBorder="1" applyAlignment="1">
      <alignment horizontal="center" vertical="center" wrapText="1"/>
    </xf>
    <xf numFmtId="215" fontId="124" fillId="0" borderId="4" xfId="26" applyNumberFormat="1" applyFont="1" applyFill="1" applyBorder="1" applyAlignment="1">
      <alignment horizontal="center" vertical="center" wrapText="1"/>
    </xf>
    <xf numFmtId="215" fontId="124" fillId="0" borderId="14" xfId="26" applyNumberFormat="1" applyFont="1" applyFill="1" applyBorder="1" applyAlignment="1">
      <alignment horizontal="center" vertical="center" wrapText="1"/>
    </xf>
    <xf numFmtId="215" fontId="124" fillId="0" borderId="22" xfId="26" applyNumberFormat="1" applyFont="1" applyFill="1" applyBorder="1" applyAlignment="1">
      <alignment horizontal="center" vertical="center" wrapText="1"/>
    </xf>
    <xf numFmtId="215" fontId="124" fillId="0" borderId="19" xfId="26" applyNumberFormat="1" applyFont="1" applyFill="1" applyBorder="1" applyAlignment="1">
      <alignment horizontal="center" vertical="center" wrapText="1"/>
    </xf>
    <xf numFmtId="0" fontId="124" fillId="0" borderId="14" xfId="19" applyFont="1" applyBorder="1" applyAlignment="1">
      <alignment horizontal="center" vertical="center"/>
    </xf>
    <xf numFmtId="0" fontId="124" fillId="0" borderId="19" xfId="19" applyFont="1" applyBorder="1" applyAlignment="1">
      <alignment horizontal="center" vertical="center"/>
    </xf>
    <xf numFmtId="196" fontId="124" fillId="0" borderId="4" xfId="1" applyFont="1" applyFill="1" applyBorder="1" applyAlignment="1">
      <alignment horizontal="center" vertical="center" wrapText="1"/>
    </xf>
    <xf numFmtId="0" fontId="152" fillId="0" borderId="4" xfId="19" applyFont="1" applyBorder="1" applyAlignment="1">
      <alignment horizontal="center" vertical="center"/>
    </xf>
    <xf numFmtId="3" fontId="152" fillId="0" borderId="4" xfId="26" applyNumberFormat="1" applyFont="1" applyFill="1" applyBorder="1" applyAlignment="1">
      <alignment horizontal="center" vertical="center" wrapText="1"/>
    </xf>
    <xf numFmtId="196" fontId="152" fillId="0" borderId="14" xfId="1" applyFont="1" applyFill="1" applyBorder="1" applyAlignment="1">
      <alignment horizontal="center" vertical="center" wrapText="1"/>
    </xf>
    <xf numFmtId="196" fontId="152" fillId="0" borderId="22" xfId="1" applyFont="1" applyFill="1" applyBorder="1" applyAlignment="1">
      <alignment horizontal="center" vertical="center" wrapText="1"/>
    </xf>
    <xf numFmtId="196" fontId="152" fillId="0" borderId="19" xfId="1" applyFont="1" applyFill="1" applyBorder="1" applyAlignment="1">
      <alignment horizontal="center" vertical="center" wrapText="1"/>
    </xf>
    <xf numFmtId="216" fontId="152" fillId="0" borderId="4" xfId="1" applyNumberFormat="1" applyFont="1" applyFill="1" applyBorder="1" applyAlignment="1">
      <alignment horizontal="center" vertical="center" wrapText="1"/>
    </xf>
    <xf numFmtId="215" fontId="152" fillId="0" borderId="14" xfId="26" applyNumberFormat="1" applyFont="1" applyFill="1" applyBorder="1" applyAlignment="1">
      <alignment horizontal="center" vertical="center" wrapText="1"/>
    </xf>
    <xf numFmtId="215" fontId="152" fillId="0" borderId="22" xfId="26" applyNumberFormat="1" applyFont="1" applyFill="1" applyBorder="1" applyAlignment="1">
      <alignment horizontal="center" vertical="center" wrapText="1"/>
    </xf>
    <xf numFmtId="215" fontId="152" fillId="0" borderId="19" xfId="26" applyNumberFormat="1" applyFont="1" applyFill="1" applyBorder="1" applyAlignment="1">
      <alignment horizontal="center" vertical="center" wrapText="1"/>
    </xf>
    <xf numFmtId="197" fontId="124" fillId="0" borderId="4" xfId="1" applyNumberFormat="1" applyFont="1" applyFill="1" applyBorder="1" applyAlignment="1">
      <alignment horizontal="center" vertical="center" wrapText="1"/>
    </xf>
    <xf numFmtId="3" fontId="152" fillId="0" borderId="14" xfId="26" applyNumberFormat="1" applyFont="1" applyFill="1" applyBorder="1" applyAlignment="1">
      <alignment horizontal="center" vertical="center" wrapText="1"/>
    </xf>
    <xf numFmtId="3" fontId="152" fillId="0" borderId="22" xfId="26" applyNumberFormat="1" applyFont="1" applyFill="1" applyBorder="1" applyAlignment="1">
      <alignment horizontal="center" vertical="center" wrapText="1"/>
    </xf>
    <xf numFmtId="3" fontId="152" fillId="0" borderId="19" xfId="26" applyNumberFormat="1" applyFont="1" applyFill="1" applyBorder="1" applyAlignment="1">
      <alignment horizontal="center" vertical="center" wrapText="1"/>
    </xf>
    <xf numFmtId="0" fontId="124" fillId="0" borderId="0" xfId="19" applyFont="1" applyAlignment="1">
      <alignment horizontal="center"/>
    </xf>
    <xf numFmtId="0" fontId="124" fillId="0" borderId="0" xfId="0" applyFont="1" applyAlignment="1">
      <alignment horizontal="center"/>
    </xf>
    <xf numFmtId="0" fontId="130" fillId="0" borderId="0" xfId="19" applyFont="1" applyAlignment="1">
      <alignment horizontal="center" vertical="center"/>
    </xf>
    <xf numFmtId="0" fontId="160" fillId="0" borderId="0" xfId="0" applyFont="1" applyAlignment="1">
      <alignment horizontal="center" vertical="center"/>
    </xf>
    <xf numFmtId="1" fontId="124" fillId="0" borderId="0" xfId="1" applyNumberFormat="1" applyFont="1" applyFill="1" applyBorder="1" applyAlignment="1">
      <alignment horizontal="center" vertical="center"/>
    </xf>
    <xf numFmtId="1" fontId="124" fillId="0" borderId="0" xfId="1" quotePrefix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2" fillId="0" borderId="0" xfId="19" applyFont="1" applyAlignment="1">
      <alignment horizontal="center" vertical="center"/>
    </xf>
    <xf numFmtId="0" fontId="13" fillId="0" borderId="0" xfId="20" applyFont="1" applyAlignment="1">
      <alignment horizontal="left"/>
    </xf>
    <xf numFmtId="198" fontId="25" fillId="0" borderId="0" xfId="1" applyNumberFormat="1" applyFont="1" applyFill="1" applyBorder="1" applyAlignment="1">
      <alignment horizontal="center" vertical="center"/>
    </xf>
    <xf numFmtId="198" fontId="25" fillId="0" borderId="0" xfId="1" quotePrefix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shrinkToFit="1"/>
    </xf>
    <xf numFmtId="0" fontId="78" fillId="0" borderId="0" xfId="0" applyFont="1" applyAlignment="1">
      <alignment horizontal="left"/>
    </xf>
    <xf numFmtId="2" fontId="120" fillId="0" borderId="4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11" fillId="0" borderId="4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1" fillId="0" borderId="4" xfId="1" applyNumberFormat="1" applyFont="1" applyFill="1" applyBorder="1" applyAlignment="1">
      <alignment horizontal="center" vertical="center" wrapText="1"/>
    </xf>
    <xf numFmtId="0" fontId="45" fillId="0" borderId="4" xfId="0" applyFont="1" applyBorder="1"/>
    <xf numFmtId="0" fontId="10" fillId="0" borderId="0" xfId="0" applyFont="1" applyAlignment="1">
      <alignment horizontal="center"/>
    </xf>
    <xf numFmtId="0" fontId="39" fillId="0" borderId="4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/>
    </xf>
    <xf numFmtId="0" fontId="11" fillId="4" borderId="10" xfId="0" applyFont="1" applyFill="1" applyBorder="1" applyAlignment="1">
      <alignment horizontal="center" vertical="center" shrinkToFit="1"/>
    </xf>
    <xf numFmtId="0" fontId="11" fillId="4" borderId="4" xfId="0" applyFont="1" applyFill="1" applyBorder="1" applyAlignment="1">
      <alignment horizontal="center" vertical="center"/>
    </xf>
    <xf numFmtId="199" fontId="10" fillId="0" borderId="0" xfId="1" applyNumberFormat="1" applyFont="1" applyFill="1" applyAlignment="1">
      <alignment horizontal="center"/>
    </xf>
    <xf numFmtId="0" fontId="4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99" fontId="27" fillId="0" borderId="0" xfId="1" applyNumberFormat="1" applyFont="1" applyFill="1" applyAlignment="1">
      <alignment horizontal="center"/>
    </xf>
    <xf numFmtId="0" fontId="17" fillId="0" borderId="3" xfId="0" applyFont="1" applyBorder="1" applyAlignment="1">
      <alignment horizontal="center"/>
    </xf>
    <xf numFmtId="0" fontId="45" fillId="0" borderId="4" xfId="0" applyFont="1" applyBorder="1" applyAlignment="1">
      <alignment wrapText="1"/>
    </xf>
    <xf numFmtId="208" fontId="11" fillId="0" borderId="4" xfId="1" applyNumberFormat="1" applyFont="1" applyFill="1" applyBorder="1" applyAlignment="1">
      <alignment horizontal="center" vertical="center" wrapText="1"/>
    </xf>
    <xf numFmtId="208" fontId="45" fillId="0" borderId="4" xfId="0" applyNumberFormat="1" applyFont="1" applyBorder="1"/>
    <xf numFmtId="0" fontId="7" fillId="0" borderId="4" xfId="0" applyFont="1" applyBorder="1" applyAlignment="1">
      <alignment horizontal="center" vertical="center" wrapText="1"/>
    </xf>
    <xf numFmtId="4" fontId="9" fillId="0" borderId="0" xfId="0" applyNumberFormat="1" applyFont="1" applyAlignment="1">
      <alignment horizontal="center"/>
    </xf>
    <xf numFmtId="196" fontId="10" fillId="0" borderId="0" xfId="1" applyFont="1" applyFill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99" fontId="11" fillId="0" borderId="4" xfId="1" applyNumberFormat="1" applyFont="1" applyFill="1" applyBorder="1" applyAlignment="1">
      <alignment horizontal="center" vertical="center" wrapText="1"/>
    </xf>
    <xf numFmtId="4" fontId="105" fillId="0" borderId="0" xfId="1" applyNumberFormat="1" applyFont="1" applyFill="1" applyAlignment="1">
      <alignment horizontal="center"/>
    </xf>
    <xf numFmtId="191" fontId="181" fillId="0" borderId="4" xfId="0" applyNumberFormat="1" applyFont="1" applyBorder="1" applyAlignment="1">
      <alignment horizontal="center" vertical="center" shrinkToFit="1"/>
    </xf>
    <xf numFmtId="214" fontId="105" fillId="0" borderId="0" xfId="0" applyNumberFormat="1" applyFont="1" applyAlignment="1">
      <alignment horizontal="center"/>
    </xf>
    <xf numFmtId="211" fontId="105" fillId="0" borderId="0" xfId="0" applyNumberFormat="1" applyFont="1" applyAlignment="1">
      <alignment horizontal="center"/>
    </xf>
    <xf numFmtId="191" fontId="105" fillId="0" borderId="0" xfId="0" applyNumberFormat="1" applyFont="1" applyAlignment="1">
      <alignment horizontal="center"/>
    </xf>
    <xf numFmtId="3" fontId="105" fillId="0" borderId="0" xfId="1" applyNumberFormat="1" applyFont="1" applyFill="1" applyAlignment="1">
      <alignment horizontal="center"/>
    </xf>
    <xf numFmtId="191" fontId="178" fillId="0" borderId="0" xfId="0" applyNumberFormat="1" applyFont="1" applyAlignment="1">
      <alignment horizontal="center" vertical="center"/>
    </xf>
    <xf numFmtId="191" fontId="179" fillId="0" borderId="0" xfId="0" applyNumberFormat="1" applyFont="1" applyAlignment="1">
      <alignment horizontal="center" vertical="center"/>
    </xf>
    <xf numFmtId="191" fontId="178" fillId="0" borderId="4" xfId="1" applyNumberFormat="1" applyFont="1" applyFill="1" applyBorder="1" applyAlignment="1">
      <alignment horizontal="center" vertical="center" wrapText="1"/>
    </xf>
    <xf numFmtId="191" fontId="178" fillId="0" borderId="4" xfId="0" applyNumberFormat="1" applyFont="1" applyBorder="1" applyAlignment="1">
      <alignment horizontal="center" vertical="center" wrapText="1"/>
    </xf>
    <xf numFmtId="191" fontId="178" fillId="0" borderId="14" xfId="0" applyNumberFormat="1" applyFont="1" applyBorder="1" applyAlignment="1">
      <alignment horizontal="center" vertical="center" wrapText="1"/>
    </xf>
    <xf numFmtId="191" fontId="178" fillId="0" borderId="19" xfId="0" applyNumberFormat="1" applyFont="1" applyBorder="1" applyAlignment="1">
      <alignment horizontal="center" vertical="center" wrapText="1"/>
    </xf>
    <xf numFmtId="191" fontId="111" fillId="0" borderId="0" xfId="1" applyNumberFormat="1" applyFont="1" applyFill="1" applyAlignment="1">
      <alignment horizontal="center"/>
    </xf>
    <xf numFmtId="191" fontId="113" fillId="0" borderId="0" xfId="0" applyNumberFormat="1" applyFont="1" applyAlignment="1">
      <alignment horizontal="center"/>
    </xf>
    <xf numFmtId="191" fontId="177" fillId="0" borderId="0" xfId="0" applyNumberFormat="1" applyFont="1" applyAlignment="1">
      <alignment horizontal="center"/>
    </xf>
    <xf numFmtId="191" fontId="178" fillId="0" borderId="14" xfId="0" applyNumberFormat="1" applyFont="1" applyBorder="1" applyAlignment="1">
      <alignment horizontal="center" vertical="center" shrinkToFit="1"/>
    </xf>
    <xf numFmtId="191" fontId="178" fillId="0" borderId="22" xfId="0" applyNumberFormat="1" applyFont="1" applyBorder="1" applyAlignment="1">
      <alignment horizontal="center" vertical="center" shrinkToFit="1"/>
    </xf>
    <xf numFmtId="191" fontId="178" fillId="0" borderId="19" xfId="0" applyNumberFormat="1" applyFont="1" applyBorder="1" applyAlignment="1">
      <alignment horizontal="center" vertical="center" shrinkToFit="1"/>
    </xf>
    <xf numFmtId="191" fontId="178" fillId="0" borderId="4" xfId="1" applyNumberFormat="1" applyFont="1" applyFill="1" applyBorder="1" applyAlignment="1">
      <alignment horizontal="center"/>
    </xf>
    <xf numFmtId="191" fontId="111" fillId="0" borderId="0" xfId="1" quotePrefix="1" applyNumberFormat="1" applyFont="1" applyFill="1" applyAlignment="1">
      <alignment horizontal="center"/>
    </xf>
    <xf numFmtId="0" fontId="157" fillId="0" borderId="0" xfId="0" applyFont="1"/>
    <xf numFmtId="191" fontId="107" fillId="0" borderId="0" xfId="0" applyNumberFormat="1" applyFont="1" applyAlignment="1">
      <alignment horizontal="center"/>
    </xf>
    <xf numFmtId="191" fontId="91" fillId="0" borderId="0" xfId="0" applyNumberFormat="1" applyFont="1" applyAlignment="1">
      <alignment horizontal="center"/>
    </xf>
    <xf numFmtId="191" fontId="111" fillId="0" borderId="0" xfId="0" applyNumberFormat="1" applyFont="1" applyAlignment="1">
      <alignment horizontal="center"/>
    </xf>
    <xf numFmtId="191" fontId="179" fillId="0" borderId="0" xfId="0" applyNumberFormat="1" applyFont="1" applyAlignment="1">
      <alignment horizontal="right"/>
    </xf>
    <xf numFmtId="211" fontId="179" fillId="0" borderId="3" xfId="0" applyNumberFormat="1" applyFont="1" applyBorder="1" applyAlignment="1">
      <alignment horizontal="center" vertical="center"/>
    </xf>
    <xf numFmtId="191" fontId="178" fillId="0" borderId="4" xfId="0" applyNumberFormat="1" applyFont="1" applyBorder="1" applyAlignment="1">
      <alignment horizontal="center" vertical="center" shrinkToFit="1"/>
    </xf>
    <xf numFmtId="191" fontId="105" fillId="0" borderId="3" xfId="0" applyNumberFormat="1" applyFont="1" applyBorder="1" applyAlignment="1">
      <alignment horizontal="center" vertical="center"/>
    </xf>
    <xf numFmtId="191" fontId="178" fillId="0" borderId="14" xfId="1" applyNumberFormat="1" applyFont="1" applyFill="1" applyBorder="1" applyAlignment="1">
      <alignment horizontal="center" vertical="center" wrapText="1"/>
    </xf>
    <xf numFmtId="191" fontId="178" fillId="0" borderId="22" xfId="1" applyNumberFormat="1" applyFont="1" applyFill="1" applyBorder="1" applyAlignment="1">
      <alignment horizontal="center" vertical="center" wrapText="1"/>
    </xf>
    <xf numFmtId="191" fontId="178" fillId="0" borderId="19" xfId="1" applyNumberFormat="1" applyFont="1" applyFill="1" applyBorder="1" applyAlignment="1">
      <alignment horizontal="center" vertical="center" wrapText="1"/>
    </xf>
    <xf numFmtId="191" fontId="179" fillId="0" borderId="0" xfId="0" applyNumberFormat="1" applyFont="1" applyAlignment="1">
      <alignment horizontal="center"/>
    </xf>
    <xf numFmtId="191" fontId="91" fillId="0" borderId="0" xfId="0" applyNumberFormat="1" applyFont="1" applyAlignment="1">
      <alignment horizontal="center" vertical="center"/>
    </xf>
    <xf numFmtId="191" fontId="178" fillId="0" borderId="10" xfId="1" applyNumberFormat="1" applyFont="1" applyFill="1" applyBorder="1" applyAlignment="1">
      <alignment horizontal="center" vertical="center" wrapText="1"/>
    </xf>
    <xf numFmtId="191" fontId="178" fillId="0" borderId="11" xfId="1" applyNumberFormat="1" applyFont="1" applyFill="1" applyBorder="1" applyAlignment="1">
      <alignment horizontal="center" vertical="center" wrapText="1"/>
    </xf>
    <xf numFmtId="191" fontId="178" fillId="0" borderId="16" xfId="1" applyNumberFormat="1" applyFont="1" applyFill="1" applyBorder="1" applyAlignment="1">
      <alignment horizontal="center" vertical="center" wrapText="1"/>
    </xf>
    <xf numFmtId="191" fontId="91" fillId="0" borderId="0" xfId="1" applyNumberFormat="1" applyFont="1" applyFill="1" applyAlignment="1">
      <alignment horizontal="center"/>
    </xf>
    <xf numFmtId="191" fontId="179" fillId="0" borderId="15" xfId="0" applyNumberFormat="1" applyFont="1" applyBorder="1" applyAlignment="1">
      <alignment horizontal="center" vertical="center"/>
    </xf>
    <xf numFmtId="191" fontId="105" fillId="0" borderId="0" xfId="0" applyNumberFormat="1" applyFont="1" applyAlignment="1">
      <alignment horizontal="center" vertical="center"/>
    </xf>
    <xf numFmtId="191" fontId="105" fillId="0" borderId="0" xfId="0" applyNumberFormat="1" applyFont="1" applyAlignment="1">
      <alignment horizontal="right"/>
    </xf>
    <xf numFmtId="191" fontId="91" fillId="0" borderId="0" xfId="1" quotePrefix="1" applyNumberFormat="1" applyFont="1" applyFill="1" applyAlignment="1">
      <alignment horizontal="center"/>
    </xf>
    <xf numFmtId="191" fontId="12" fillId="0" borderId="0" xfId="0" applyNumberFormat="1" applyFont="1" applyAlignment="1">
      <alignment horizontal="center"/>
    </xf>
    <xf numFmtId="191" fontId="12" fillId="0" borderId="0" xfId="1" applyNumberFormat="1" applyFont="1" applyFill="1" applyAlignment="1">
      <alignment horizontal="center"/>
    </xf>
    <xf numFmtId="191" fontId="121" fillId="0" borderId="0" xfId="0" applyNumberFormat="1" applyFont="1" applyAlignment="1">
      <alignment horizontal="center"/>
    </xf>
    <xf numFmtId="191" fontId="80" fillId="0" borderId="0" xfId="0" applyNumberFormat="1" applyFont="1" applyAlignment="1">
      <alignment horizontal="left" vertical="center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211" fontId="12" fillId="0" borderId="0" xfId="0" applyNumberFormat="1" applyFont="1" applyAlignment="1">
      <alignment horizontal="center"/>
    </xf>
    <xf numFmtId="4" fontId="12" fillId="0" borderId="0" xfId="1" applyNumberFormat="1" applyFont="1" applyFill="1" applyAlignment="1">
      <alignment horizontal="center" vertical="center"/>
    </xf>
    <xf numFmtId="191" fontId="9" fillId="0" borderId="0" xfId="0" applyNumberFormat="1" applyFont="1" applyAlignment="1">
      <alignment horizontal="center"/>
    </xf>
    <xf numFmtId="3" fontId="12" fillId="0" borderId="0" xfId="1" applyNumberFormat="1" applyFont="1" applyFill="1" applyAlignment="1">
      <alignment horizontal="center"/>
    </xf>
    <xf numFmtId="191" fontId="175" fillId="0" borderId="4" xfId="0" applyNumberFormat="1" applyFont="1" applyBorder="1" applyAlignment="1">
      <alignment horizontal="center" vertical="center"/>
    </xf>
    <xf numFmtId="191" fontId="25" fillId="0" borderId="4" xfId="0" applyNumberFormat="1" applyFont="1" applyBorder="1" applyAlignment="1">
      <alignment horizontal="center" vertical="center" wrapText="1"/>
    </xf>
    <xf numFmtId="191" fontId="25" fillId="0" borderId="4" xfId="0" applyNumberFormat="1" applyFont="1" applyBorder="1" applyAlignment="1">
      <alignment horizontal="center" vertical="center"/>
    </xf>
    <xf numFmtId="191" fontId="25" fillId="0" borderId="4" xfId="0" applyNumberFormat="1" applyFont="1" applyBorder="1" applyAlignment="1">
      <alignment horizontal="center" vertical="center" shrinkToFit="1"/>
    </xf>
    <xf numFmtId="191" fontId="25" fillId="0" borderId="4" xfId="1" applyNumberFormat="1" applyFont="1" applyFill="1" applyBorder="1" applyAlignment="1">
      <alignment horizontal="center" vertical="center" wrapText="1"/>
    </xf>
    <xf numFmtId="191" fontId="7" fillId="0" borderId="3" xfId="0" applyNumberFormat="1" applyFont="1" applyBorder="1" applyAlignment="1">
      <alignment horizontal="center"/>
    </xf>
    <xf numFmtId="191" fontId="80" fillId="0" borderId="0" xfId="0" applyNumberFormat="1" applyFont="1" applyAlignment="1">
      <alignment horizontal="center"/>
    </xf>
    <xf numFmtId="191" fontId="78" fillId="0" borderId="0" xfId="0" applyNumberFormat="1" applyFont="1" applyAlignment="1">
      <alignment horizontal="right"/>
    </xf>
    <xf numFmtId="211" fontId="158" fillId="0" borderId="0" xfId="0" applyNumberFormat="1" applyFont="1" applyAlignment="1">
      <alignment horizontal="center" vertical="center"/>
    </xf>
    <xf numFmtId="191" fontId="10" fillId="0" borderId="0" xfId="0" applyNumberFormat="1" applyFont="1" applyAlignment="1">
      <alignment horizontal="center"/>
    </xf>
    <xf numFmtId="191" fontId="7" fillId="0" borderId="0" xfId="0" applyNumberFormat="1" applyFont="1" applyAlignment="1">
      <alignment horizontal="center"/>
    </xf>
    <xf numFmtId="191" fontId="80" fillId="0" borderId="0" xfId="1" applyNumberFormat="1" applyFont="1" applyFill="1" applyAlignment="1">
      <alignment horizontal="center"/>
    </xf>
    <xf numFmtId="191" fontId="158" fillId="0" borderId="0" xfId="0" applyNumberFormat="1" applyFont="1" applyAlignment="1">
      <alignment horizontal="center"/>
    </xf>
    <xf numFmtId="191" fontId="25" fillId="0" borderId="4" xfId="1" applyNumberFormat="1" applyFont="1" applyFill="1" applyBorder="1" applyAlignment="1">
      <alignment horizontal="center"/>
    </xf>
    <xf numFmtId="0" fontId="114" fillId="0" borderId="0" xfId="0" applyFont="1" applyAlignment="1">
      <alignment horizontal="center"/>
    </xf>
    <xf numFmtId="0" fontId="77" fillId="0" borderId="0" xfId="0" applyFont="1" applyAlignment="1">
      <alignment horizontal="center" vertical="center"/>
    </xf>
    <xf numFmtId="0" fontId="116" fillId="0" borderId="15" xfId="0" applyFont="1" applyBorder="1" applyAlignment="1">
      <alignment horizontal="right" vertical="center"/>
    </xf>
    <xf numFmtId="0" fontId="114" fillId="0" borderId="0" xfId="0" applyFont="1" applyAlignment="1">
      <alignment horizontal="left"/>
    </xf>
    <xf numFmtId="0" fontId="101" fillId="0" borderId="0" xfId="0" applyFont="1" applyAlignment="1">
      <alignment horizontal="center" vertical="center"/>
    </xf>
    <xf numFmtId="0" fontId="75" fillId="0" borderId="0" xfId="0" applyFont="1" applyAlignment="1">
      <alignment horizontal="center"/>
    </xf>
    <xf numFmtId="0" fontId="75" fillId="0" borderId="0" xfId="0" quotePrefix="1" applyFont="1" applyAlignment="1">
      <alignment horizontal="center"/>
    </xf>
    <xf numFmtId="0" fontId="7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199" fontId="40" fillId="0" borderId="0" xfId="1" applyNumberFormat="1" applyFont="1" applyFill="1" applyAlignment="1">
      <alignment horizontal="center"/>
    </xf>
    <xf numFmtId="0" fontId="40" fillId="0" borderId="0" xfId="0" quotePrefix="1" applyFont="1" applyAlignment="1">
      <alignment horizontal="center"/>
    </xf>
    <xf numFmtId="0" fontId="78" fillId="0" borderId="0" xfId="0" applyFont="1" applyAlignment="1">
      <alignment horizontal="center"/>
    </xf>
    <xf numFmtId="0" fontId="48" fillId="0" borderId="3" xfId="0" applyFont="1" applyBorder="1" applyAlignment="1">
      <alignment horizontal="center"/>
    </xf>
    <xf numFmtId="0" fontId="39" fillId="0" borderId="4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 shrinkToFit="1"/>
    </xf>
    <xf numFmtId="0" fontId="36" fillId="0" borderId="0" xfId="0" applyFont="1" applyAlignment="1">
      <alignment horizontal="left" vertical="center" shrinkToFit="1"/>
    </xf>
    <xf numFmtId="0" fontId="40" fillId="0" borderId="0" xfId="0" applyFont="1" applyAlignment="1">
      <alignment horizontal="left" vertical="center"/>
    </xf>
    <xf numFmtId="0" fontId="88" fillId="0" borderId="0" xfId="0" applyFont="1" applyAlignment="1">
      <alignment horizontal="center"/>
    </xf>
    <xf numFmtId="0" fontId="110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justify" wrapText="1"/>
    </xf>
    <xf numFmtId="0" fontId="59" fillId="0" borderId="15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40" fillId="0" borderId="4" xfId="0" applyFont="1" applyBorder="1" applyAlignment="1">
      <alignment horizontal="left" vertical="center"/>
    </xf>
    <xf numFmtId="199" fontId="25" fillId="0" borderId="0" xfId="1" applyNumberFormat="1" applyFont="1" applyFill="1" applyAlignment="1">
      <alignment horizontal="center"/>
    </xf>
    <xf numFmtId="0" fontId="80" fillId="0" borderId="0" xfId="0" applyFont="1" applyAlignment="1">
      <alignment horizontal="center" vertical="center" wrapText="1"/>
    </xf>
    <xf numFmtId="0" fontId="80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199" fontId="25" fillId="0" borderId="0" xfId="1" quotePrefix="1" applyNumberFormat="1" applyFont="1" applyFill="1" applyAlignment="1">
      <alignment horizontal="center"/>
    </xf>
    <xf numFmtId="0" fontId="25" fillId="0" borderId="4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10" xfId="0" applyFont="1" applyBorder="1" applyAlignment="1">
      <alignment horizontal="center" vertical="justify" wrapText="1"/>
    </xf>
    <xf numFmtId="0" fontId="25" fillId="0" borderId="16" xfId="0" applyFont="1" applyBorder="1" applyAlignment="1">
      <alignment horizontal="center" vertical="justify" wrapText="1"/>
    </xf>
    <xf numFmtId="0" fontId="189" fillId="0" borderId="14" xfId="0" applyFont="1" applyBorder="1" applyAlignment="1">
      <alignment horizontal="left" vertical="center" wrapText="1"/>
    </xf>
    <xf numFmtId="0" fontId="189" fillId="0" borderId="22" xfId="0" applyFont="1" applyBorder="1" applyAlignment="1">
      <alignment horizontal="left" vertical="center" wrapText="1"/>
    </xf>
    <xf numFmtId="0" fontId="189" fillId="0" borderId="19" xfId="0" applyFont="1" applyBorder="1" applyAlignment="1">
      <alignment horizontal="left" vertical="center" wrapText="1"/>
    </xf>
    <xf numFmtId="191" fontId="25" fillId="0" borderId="0" xfId="1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191" fontId="25" fillId="0" borderId="0" xfId="1" quotePrefix="1" applyNumberFormat="1" applyFont="1" applyFill="1" applyAlignment="1">
      <alignment horizontal="center"/>
    </xf>
    <xf numFmtId="0" fontId="80" fillId="0" borderId="0" xfId="0" applyFont="1" applyAlignment="1">
      <alignment horizontal="center"/>
    </xf>
    <xf numFmtId="0" fontId="25" fillId="0" borderId="10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78" fillId="0" borderId="14" xfId="0" applyFont="1" applyBorder="1" applyAlignment="1">
      <alignment horizontal="center" vertical="center"/>
    </xf>
    <xf numFmtId="0" fontId="78" fillId="0" borderId="22" xfId="0" applyFont="1" applyBorder="1" applyAlignment="1">
      <alignment horizontal="center" vertical="center"/>
    </xf>
    <xf numFmtId="0" fontId="78" fillId="0" borderId="19" xfId="0" applyFont="1" applyBorder="1" applyAlignment="1">
      <alignment horizontal="center" vertical="center"/>
    </xf>
    <xf numFmtId="1" fontId="25" fillId="0" borderId="14" xfId="0" applyNumberFormat="1" applyFont="1" applyBorder="1" applyAlignment="1">
      <alignment horizontal="center" vertical="center" wrapText="1"/>
    </xf>
    <xf numFmtId="1" fontId="25" fillId="0" borderId="22" xfId="0" applyNumberFormat="1" applyFont="1" applyBorder="1" applyAlignment="1">
      <alignment horizontal="center" vertical="center" wrapText="1"/>
    </xf>
    <xf numFmtId="1" fontId="25" fillId="0" borderId="19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189" fillId="0" borderId="14" xfId="0" applyFont="1" applyBorder="1" applyAlignment="1">
      <alignment horizontal="center" vertical="center"/>
    </xf>
    <xf numFmtId="0" fontId="189" fillId="0" borderId="22" xfId="0" applyFont="1" applyBorder="1" applyAlignment="1">
      <alignment horizontal="center" vertical="center"/>
    </xf>
    <xf numFmtId="0" fontId="189" fillId="0" borderId="19" xfId="0" applyFont="1" applyBorder="1" applyAlignment="1">
      <alignment horizontal="center" vertical="center"/>
    </xf>
    <xf numFmtId="0" fontId="102" fillId="3" borderId="14" xfId="0" applyFont="1" applyFill="1" applyBorder="1" applyAlignment="1">
      <alignment horizontal="center" vertical="center"/>
    </xf>
    <xf numFmtId="0" fontId="102" fillId="3" borderId="22" xfId="0" applyFont="1" applyFill="1" applyBorder="1" applyAlignment="1">
      <alignment horizontal="center" vertical="center"/>
    </xf>
    <xf numFmtId="0" fontId="102" fillId="3" borderId="19" xfId="0" applyFont="1" applyFill="1" applyBorder="1" applyAlignment="1">
      <alignment horizontal="center" vertical="center"/>
    </xf>
    <xf numFmtId="197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98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97" fontId="78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197" fontId="25" fillId="0" borderId="0" xfId="1" applyNumberFormat="1" applyFont="1" applyFill="1" applyAlignment="1">
      <alignment horizontal="center"/>
    </xf>
    <xf numFmtId="0" fontId="32" fillId="0" borderId="0" xfId="0" applyFont="1" applyAlignment="1">
      <alignment horizontal="center"/>
    </xf>
    <xf numFmtId="0" fontId="25" fillId="3" borderId="0" xfId="0" applyFont="1" applyFill="1" applyAlignment="1">
      <alignment horizontal="center" vertical="center"/>
    </xf>
    <xf numFmtId="0" fontId="78" fillId="0" borderId="14" xfId="0" applyFont="1" applyBorder="1" applyAlignment="1">
      <alignment horizontal="left" vertical="center"/>
    </xf>
    <xf numFmtId="0" fontId="78" fillId="0" borderId="22" xfId="0" applyFont="1" applyBorder="1" applyAlignment="1">
      <alignment horizontal="left" vertical="center"/>
    </xf>
    <xf numFmtId="0" fontId="78" fillId="0" borderId="19" xfId="0" applyFont="1" applyBorder="1" applyAlignment="1">
      <alignment horizontal="left" vertical="center"/>
    </xf>
    <xf numFmtId="0" fontId="25" fillId="0" borderId="1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91" fillId="0" borderId="0" xfId="0" applyFont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97" fontId="25" fillId="0" borderId="14" xfId="1" applyNumberFormat="1" applyFont="1" applyFill="1" applyBorder="1" applyAlignment="1">
      <alignment horizontal="center" vertical="center" wrapText="1"/>
    </xf>
    <xf numFmtId="197" fontId="25" fillId="0" borderId="22" xfId="1" applyNumberFormat="1" applyFont="1" applyFill="1" applyBorder="1" applyAlignment="1">
      <alignment horizontal="center" vertical="center" wrapText="1"/>
    </xf>
    <xf numFmtId="197" fontId="25" fillId="0" borderId="19" xfId="1" applyNumberFormat="1" applyFont="1" applyFill="1" applyBorder="1" applyAlignment="1">
      <alignment horizontal="center" vertical="center" wrapText="1"/>
    </xf>
    <xf numFmtId="0" fontId="189" fillId="0" borderId="14" xfId="0" applyFont="1" applyBorder="1" applyAlignment="1">
      <alignment horizontal="left" vertical="center"/>
    </xf>
    <xf numFmtId="0" fontId="189" fillId="0" borderId="22" xfId="0" applyFont="1" applyBorder="1" applyAlignment="1">
      <alignment horizontal="left" vertical="center"/>
    </xf>
    <xf numFmtId="1" fontId="78" fillId="0" borderId="14" xfId="0" applyNumberFormat="1" applyFont="1" applyBorder="1" applyAlignment="1">
      <alignment horizontal="left" vertical="center" wrapText="1"/>
    </xf>
    <xf numFmtId="1" fontId="78" fillId="0" borderId="22" xfId="0" applyNumberFormat="1" applyFont="1" applyBorder="1" applyAlignment="1">
      <alignment horizontal="left" vertical="center" wrapText="1"/>
    </xf>
    <xf numFmtId="1" fontId="78" fillId="0" borderId="19" xfId="0" applyNumberFormat="1" applyFont="1" applyBorder="1" applyAlignment="1">
      <alignment horizontal="left" vertical="center" wrapText="1"/>
    </xf>
    <xf numFmtId="0" fontId="166" fillId="3" borderId="14" xfId="0" applyFont="1" applyFill="1" applyBorder="1" applyAlignment="1">
      <alignment horizontal="center" vertical="center"/>
    </xf>
    <xf numFmtId="0" fontId="166" fillId="3" borderId="22" xfId="0" applyFont="1" applyFill="1" applyBorder="1" applyAlignment="1">
      <alignment horizontal="center" vertical="center"/>
    </xf>
    <xf numFmtId="0" fontId="166" fillId="3" borderId="19" xfId="0" applyFont="1" applyFill="1" applyBorder="1" applyAlignment="1">
      <alignment horizontal="center" vertical="center"/>
    </xf>
    <xf numFmtId="0" fontId="23" fillId="0" borderId="0" xfId="16" applyFont="1" applyAlignment="1">
      <alignment horizontal="center"/>
    </xf>
    <xf numFmtId="0" fontId="67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197" fontId="12" fillId="0" borderId="3" xfId="1" applyNumberFormat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3" fillId="0" borderId="14" xfId="0" applyFont="1" applyBorder="1" applyAlignment="1">
      <alignment horizontal="center" vertical="center"/>
    </xf>
    <xf numFmtId="0" fontId="103" fillId="0" borderId="22" xfId="0" applyFont="1" applyBorder="1" applyAlignment="1">
      <alignment horizontal="center" vertical="center"/>
    </xf>
    <xf numFmtId="0" fontId="103" fillId="0" borderId="19" xfId="0" applyFont="1" applyBorder="1" applyAlignment="1">
      <alignment horizontal="center" vertical="center"/>
    </xf>
    <xf numFmtId="0" fontId="82" fillId="0" borderId="0" xfId="16" applyFont="1" applyAlignment="1">
      <alignment horizontal="center"/>
    </xf>
    <xf numFmtId="3" fontId="17" fillId="0" borderId="0" xfId="0" applyNumberFormat="1" applyFont="1"/>
    <xf numFmtId="3" fontId="17" fillId="0" borderId="0" xfId="0" applyNumberFormat="1" applyFont="1" applyAlignment="1">
      <alignment horizontal="center"/>
    </xf>
    <xf numFmtId="0" fontId="10" fillId="0" borderId="0" xfId="0" quotePrefix="1" applyFont="1" applyAlignment="1">
      <alignment horizontal="center"/>
    </xf>
    <xf numFmtId="204" fontId="11" fillId="0" borderId="14" xfId="0" applyNumberFormat="1" applyFont="1" applyBorder="1" applyAlignment="1">
      <alignment horizontal="center" vertical="center"/>
    </xf>
    <xf numFmtId="0" fontId="135" fillId="0" borderId="22" xfId="0" applyFont="1" applyBorder="1" applyAlignment="1">
      <alignment vertical="center"/>
    </xf>
    <xf numFmtId="0" fontId="135" fillId="0" borderId="19" xfId="0" applyFont="1" applyBorder="1" applyAlignment="1">
      <alignment vertical="center"/>
    </xf>
    <xf numFmtId="204" fontId="11" fillId="0" borderId="22" xfId="0" applyNumberFormat="1" applyFont="1" applyBorder="1" applyAlignment="1">
      <alignment horizontal="center" vertical="center"/>
    </xf>
    <xf numFmtId="204" fontId="11" fillId="0" borderId="1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204" fontId="11" fillId="0" borderId="0" xfId="0" applyNumberFormat="1" applyFont="1" applyAlignment="1">
      <alignment horizontal="center" vertical="center"/>
    </xf>
    <xf numFmtId="219" fontId="32" fillId="3" borderId="0" xfId="5" applyNumberFormat="1" applyFont="1" applyFill="1" applyAlignment="1">
      <alignment horizontal="right" vertical="center"/>
    </xf>
    <xf numFmtId="0" fontId="25" fillId="3" borderId="0" xfId="0" applyFont="1" applyFill="1" applyAlignment="1">
      <alignment horizontal="center"/>
    </xf>
    <xf numFmtId="0" fontId="25" fillId="3" borderId="0" xfId="0" quotePrefix="1" applyFont="1" applyFill="1" applyAlignment="1">
      <alignment horizontal="center"/>
    </xf>
    <xf numFmtId="0" fontId="80" fillId="3" borderId="0" xfId="0" applyFont="1" applyFill="1" applyAlignment="1">
      <alignment horizontal="center"/>
    </xf>
    <xf numFmtId="0" fontId="25" fillId="3" borderId="23" xfId="0" applyFont="1" applyFill="1" applyBorder="1" applyAlignment="1">
      <alignment horizontal="center" vertical="center"/>
    </xf>
    <xf numFmtId="0" fontId="25" fillId="3" borderId="24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110" fillId="3" borderId="14" xfId="0" applyFont="1" applyFill="1" applyBorder="1" applyAlignment="1">
      <alignment horizontal="center" vertical="center"/>
    </xf>
    <xf numFmtId="0" fontId="110" fillId="3" borderId="22" xfId="0" applyFont="1" applyFill="1" applyBorder="1" applyAlignment="1">
      <alignment horizontal="center" vertical="center"/>
    </xf>
    <xf numFmtId="0" fontId="110" fillId="3" borderId="1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25" fillId="3" borderId="4" xfId="0" applyFont="1" applyFill="1" applyBorder="1" applyAlignment="1">
      <alignment horizontal="center"/>
    </xf>
    <xf numFmtId="0" fontId="102" fillId="3" borderId="4" xfId="0" applyFont="1" applyFill="1" applyBorder="1" applyAlignment="1">
      <alignment horizontal="center" vertical="center"/>
    </xf>
    <xf numFmtId="0" fontId="32" fillId="3" borderId="15" xfId="0" applyFont="1" applyFill="1" applyBorder="1" applyAlignment="1">
      <alignment horizontal="center"/>
    </xf>
    <xf numFmtId="0" fontId="25" fillId="3" borderId="14" xfId="0" applyFont="1" applyFill="1" applyBorder="1" applyAlignment="1">
      <alignment horizontal="center" vertical="center"/>
    </xf>
    <xf numFmtId="0" fontId="25" fillId="3" borderId="19" xfId="0" applyFont="1" applyFill="1" applyBorder="1" applyAlignment="1">
      <alignment horizontal="center" vertical="center"/>
    </xf>
    <xf numFmtId="213" fontId="78" fillId="3" borderId="14" xfId="1" applyNumberFormat="1" applyFont="1" applyFill="1" applyBorder="1" applyAlignment="1">
      <alignment horizontal="center" vertical="center"/>
    </xf>
    <xf numFmtId="213" fontId="78" fillId="3" borderId="19" xfId="1" applyNumberFormat="1" applyFont="1" applyFill="1" applyBorder="1" applyAlignment="1">
      <alignment horizontal="center" vertical="center"/>
    </xf>
    <xf numFmtId="0" fontId="78" fillId="3" borderId="0" xfId="0" applyFont="1" applyFill="1" applyAlignment="1">
      <alignment horizontal="center"/>
    </xf>
    <xf numFmtId="199" fontId="28" fillId="0" borderId="0" xfId="1" applyNumberFormat="1" applyFont="1" applyFill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0" fontId="20" fillId="0" borderId="15" xfId="0" applyFont="1" applyBorder="1" applyAlignment="1">
      <alignment horizontal="right"/>
    </xf>
    <xf numFmtId="0" fontId="31" fillId="0" borderId="0" xfId="0" applyFont="1" applyAlignment="1">
      <alignment horizontal="center"/>
    </xf>
    <xf numFmtId="0" fontId="131" fillId="3" borderId="0" xfId="0" applyFont="1" applyFill="1" applyAlignment="1">
      <alignment horizontal="center"/>
    </xf>
    <xf numFmtId="0" fontId="40" fillId="3" borderId="4" xfId="0" applyFont="1" applyFill="1" applyBorder="1" applyAlignment="1">
      <alignment horizontal="center" vertical="center" shrinkToFit="1"/>
    </xf>
    <xf numFmtId="0" fontId="40" fillId="3" borderId="10" xfId="0" applyFont="1" applyFill="1" applyBorder="1" applyAlignment="1">
      <alignment horizontal="center" vertical="center" shrinkToFit="1"/>
    </xf>
    <xf numFmtId="0" fontId="40" fillId="3" borderId="16" xfId="0" applyFont="1" applyFill="1" applyBorder="1" applyAlignment="1">
      <alignment horizontal="center" vertical="center" shrinkToFit="1"/>
    </xf>
    <xf numFmtId="0" fontId="40" fillId="3" borderId="4" xfId="0" applyFont="1" applyFill="1" applyBorder="1" applyAlignment="1">
      <alignment horizontal="center" vertical="center" wrapText="1"/>
    </xf>
    <xf numFmtId="0" fontId="184" fillId="3" borderId="16" xfId="0" applyFont="1" applyFill="1" applyBorder="1"/>
    <xf numFmtId="198" fontId="40" fillId="3" borderId="10" xfId="1" applyNumberFormat="1" applyFont="1" applyFill="1" applyBorder="1" applyAlignment="1">
      <alignment horizontal="center" vertical="center" shrinkToFit="1"/>
    </xf>
    <xf numFmtId="0" fontId="78" fillId="0" borderId="0" xfId="0" applyFont="1" applyAlignment="1">
      <alignment horizontal="center" vertical="center"/>
    </xf>
    <xf numFmtId="0" fontId="40" fillId="3" borderId="14" xfId="0" applyFont="1" applyFill="1" applyBorder="1" applyAlignment="1">
      <alignment horizontal="center" vertical="center"/>
    </xf>
    <xf numFmtId="0" fontId="40" fillId="3" borderId="22" xfId="0" applyFont="1" applyFill="1" applyBorder="1" applyAlignment="1">
      <alignment horizontal="center" vertical="center"/>
    </xf>
    <xf numFmtId="0" fontId="40" fillId="3" borderId="19" xfId="0" applyFont="1" applyFill="1" applyBorder="1" applyAlignment="1">
      <alignment horizontal="center" vertical="center"/>
    </xf>
    <xf numFmtId="198" fontId="79" fillId="3" borderId="0" xfId="0" applyNumberFormat="1" applyFont="1" applyFill="1" applyAlignment="1">
      <alignment horizontal="center"/>
    </xf>
    <xf numFmtId="0" fontId="78" fillId="3" borderId="0" xfId="0" applyFont="1" applyFill="1" applyAlignment="1">
      <alignment horizontal="left"/>
    </xf>
    <xf numFmtId="0" fontId="63" fillId="0" borderId="4" xfId="0" applyFont="1" applyBorder="1" applyAlignment="1">
      <alignment horizontal="center"/>
    </xf>
    <xf numFmtId="0" fontId="117" fillId="0" borderId="4" xfId="0" applyFont="1" applyBorder="1" applyAlignment="1">
      <alignment horizontal="center"/>
    </xf>
    <xf numFmtId="196" fontId="70" fillId="0" borderId="0" xfId="1" applyFont="1" applyFill="1" applyAlignment="1">
      <alignment horizontal="center"/>
    </xf>
    <xf numFmtId="197" fontId="1" fillId="0" borderId="0" xfId="1" applyNumberFormat="1" applyFont="1" applyFill="1" applyAlignment="1">
      <alignment horizontal="center"/>
    </xf>
    <xf numFmtId="197" fontId="70" fillId="0" borderId="0" xfId="1" applyNumberFormat="1" applyFont="1" applyFill="1" applyAlignment="1">
      <alignment horizontal="center"/>
    </xf>
    <xf numFmtId="213" fontId="0" fillId="0" borderId="0" xfId="0" applyNumberFormat="1" applyAlignment="1">
      <alignment horizontal="center"/>
    </xf>
    <xf numFmtId="0" fontId="37" fillId="0" borderId="4" xfId="0" applyFont="1" applyBorder="1" applyAlignment="1">
      <alignment horizontal="center"/>
    </xf>
    <xf numFmtId="0" fontId="63" fillId="0" borderId="10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56" fillId="0" borderId="4" xfId="0" applyFont="1" applyBorder="1" applyAlignment="1">
      <alignment horizontal="center"/>
    </xf>
    <xf numFmtId="0" fontId="62" fillId="0" borderId="4" xfId="0" applyFont="1" applyBorder="1" applyAlignment="1">
      <alignment horizontal="center"/>
    </xf>
    <xf numFmtId="0" fontId="10" fillId="0" borderId="14" xfId="18" applyFont="1" applyBorder="1" applyAlignment="1">
      <alignment horizontal="left" vertical="center"/>
    </xf>
    <xf numFmtId="0" fontId="10" fillId="0" borderId="19" xfId="18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88" fillId="0" borderId="0" xfId="16" applyFont="1" applyAlignment="1">
      <alignment horizontal="center"/>
    </xf>
    <xf numFmtId="0" fontId="72" fillId="0" borderId="0" xfId="16" applyFont="1" applyAlignment="1">
      <alignment horizontal="right"/>
    </xf>
    <xf numFmtId="0" fontId="48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9" fillId="0" borderId="0" xfId="0" applyFont="1" applyAlignment="1">
      <alignment horizontal="left" vertical="center"/>
    </xf>
    <xf numFmtId="0" fontId="36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25" fillId="0" borderId="4" xfId="0" applyFont="1" applyBorder="1" applyAlignment="1">
      <alignment horizontal="center" vertical="center" shrinkToFit="1"/>
    </xf>
    <xf numFmtId="197" fontId="25" fillId="0" borderId="4" xfId="1" applyNumberFormat="1" applyFont="1" applyFill="1" applyBorder="1" applyAlignment="1">
      <alignment horizontal="left" vertical="center" wrapText="1"/>
    </xf>
    <xf numFmtId="0" fontId="25" fillId="0" borderId="0" xfId="0" quotePrefix="1" applyFont="1" applyAlignment="1">
      <alignment horizontal="center"/>
    </xf>
    <xf numFmtId="0" fontId="74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74" fillId="0" borderId="0" xfId="0" applyFont="1" applyAlignment="1">
      <alignment horizontal="center"/>
    </xf>
    <xf numFmtId="0" fontId="25" fillId="4" borderId="4" xfId="0" applyFont="1" applyFill="1" applyBorder="1" applyAlignment="1">
      <alignment horizontal="center"/>
    </xf>
    <xf numFmtId="0" fontId="165" fillId="4" borderId="4" xfId="0" applyFont="1" applyFill="1" applyBorder="1" applyAlignment="1">
      <alignment horizontal="center"/>
    </xf>
  </cellXfs>
  <cellStyles count="30">
    <cellStyle name="Accent6" xfId="28" builtinId="49"/>
    <cellStyle name="Comma" xfId="1" builtinId="3"/>
    <cellStyle name="Comma [0]" xfId="29" builtinId="6"/>
    <cellStyle name="Comma [0] 2" xfId="2"/>
    <cellStyle name="Comma 19" xfId="3"/>
    <cellStyle name="Comma 2" xfId="4"/>
    <cellStyle name="Comma 2 2" xfId="5"/>
    <cellStyle name="Comma 3" xfId="6"/>
    <cellStyle name="Comma 5" xfId="24"/>
    <cellStyle name="Comma_Sheet1" xfId="26"/>
    <cellStyle name="Currency" xfId="7" builtinId="4"/>
    <cellStyle name="Normal" xfId="0" builtinId="0"/>
    <cellStyle name="Normal 10" xfId="8"/>
    <cellStyle name="Normal 16" xfId="9"/>
    <cellStyle name="Normal 2" xfId="10"/>
    <cellStyle name="Normal 2 2" xfId="11"/>
    <cellStyle name="Normal 2 2 2" xfId="12"/>
    <cellStyle name="Normal 2 2 2 2" xfId="13"/>
    <cellStyle name="Normal 2 2 2 2 2 2" xfId="23"/>
    <cellStyle name="Normal 21" xfId="25"/>
    <cellStyle name="Normal 24" xfId="27"/>
    <cellStyle name="Normal 3" xfId="14"/>
    <cellStyle name="Normal 3 6" xfId="15"/>
    <cellStyle name="Normal 4" xfId="16"/>
    <cellStyle name="Normal 5" xfId="17"/>
    <cellStyle name="Normal_KE HOACH SAN XUAT HANG THANG NAM 2016" xfId="18"/>
    <cellStyle name="Normal_Sheet1" xfId="19"/>
    <cellStyle name="Normal_Sheet1 2" xfId="20"/>
    <cellStyle name="Percent" xfId="21" builtinId="5"/>
    <cellStyle name="Percent 2" xfId="22"/>
  </cellStyles>
  <dxfs count="2824"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2823"/>
      <tableStyleElement type="secondRowStripe" dxfId="28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984685</xdr:colOff>
      <xdr:row>7</xdr:row>
      <xdr:rowOff>102052</xdr:rowOff>
    </xdr:from>
    <xdr:to>
      <xdr:col>11</xdr:col>
      <xdr:colOff>724913</xdr:colOff>
      <xdr:row>7</xdr:row>
      <xdr:rowOff>103640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7118785" y="3988252"/>
          <a:ext cx="310826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298885</xdr:colOff>
      <xdr:row>6</xdr:row>
      <xdr:rowOff>102052</xdr:rowOff>
    </xdr:from>
    <xdr:to>
      <xdr:col>9</xdr:col>
      <xdr:colOff>39113</xdr:colOff>
      <xdr:row>6</xdr:row>
      <xdr:rowOff>103640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248325" y="3043372"/>
          <a:ext cx="268916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249891</xdr:colOff>
      <xdr:row>5</xdr:row>
      <xdr:rowOff>203200</xdr:rowOff>
    </xdr:from>
    <xdr:to>
      <xdr:col>9</xdr:col>
      <xdr:colOff>259416</xdr:colOff>
      <xdr:row>5</xdr:row>
      <xdr:rowOff>204788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389331" y="1170940"/>
          <a:ext cx="11982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23813</xdr:rowOff>
    </xdr:from>
    <xdr:to>
      <xdr:col>5</xdr:col>
      <xdr:colOff>23813</xdr:colOff>
      <xdr:row>7</xdr:row>
      <xdr:rowOff>25401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3929063" y="1881188"/>
          <a:ext cx="25241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23813</xdr:rowOff>
    </xdr:from>
    <xdr:to>
      <xdr:col>5</xdr:col>
      <xdr:colOff>23813</xdr:colOff>
      <xdr:row>6</xdr:row>
      <xdr:rowOff>25401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6431280" y="220313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744703</xdr:colOff>
      <xdr:row>6</xdr:row>
      <xdr:rowOff>86590</xdr:rowOff>
    </xdr:from>
    <xdr:to>
      <xdr:col>5</xdr:col>
      <xdr:colOff>51976</xdr:colOff>
      <xdr:row>6</xdr:row>
      <xdr:rowOff>86590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3983203" y="2265910"/>
          <a:ext cx="250005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1350820</xdr:colOff>
      <xdr:row>6</xdr:row>
      <xdr:rowOff>69272</xdr:rowOff>
    </xdr:from>
    <xdr:to>
      <xdr:col>5</xdr:col>
      <xdr:colOff>346365</xdr:colOff>
      <xdr:row>6</xdr:row>
      <xdr:rowOff>69272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3408220" y="2157152"/>
          <a:ext cx="22188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109225</xdr:colOff>
      <xdr:row>7</xdr:row>
      <xdr:rowOff>51955</xdr:rowOff>
    </xdr:from>
    <xdr:to>
      <xdr:col>6</xdr:col>
      <xdr:colOff>207815</xdr:colOff>
      <xdr:row>7</xdr:row>
      <xdr:rowOff>51955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2319025" y="1995055"/>
          <a:ext cx="1797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1187824</xdr:colOff>
      <xdr:row>5</xdr:row>
      <xdr:rowOff>22411</xdr:rowOff>
    </xdr:from>
    <xdr:to>
      <xdr:col>4</xdr:col>
      <xdr:colOff>67236</xdr:colOff>
      <xdr:row>5</xdr:row>
      <xdr:rowOff>23999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1540249" y="1213036"/>
          <a:ext cx="2165537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35EEA01A-1662-41DA-BFFC-A61669471719}"/>
            </a:ext>
          </a:extLst>
        </xdr:cNvPr>
        <xdr:cNvCxnSpPr/>
      </xdr:nvCxnSpPr>
      <xdr:spPr>
        <a:xfrm>
          <a:off x="1165860" y="1255395"/>
          <a:ext cx="143446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1152525</xdr:colOff>
      <xdr:row>6</xdr:row>
      <xdr:rowOff>9525</xdr:rowOff>
    </xdr:from>
    <xdr:to>
      <xdr:col>3</xdr:col>
      <xdr:colOff>209550</xdr:colOff>
      <xdr:row>6</xdr:row>
      <xdr:rowOff>11113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495425" y="1411605"/>
          <a:ext cx="186880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154642</xdr:colOff>
      <xdr:row>6</xdr:row>
      <xdr:rowOff>58834</xdr:rowOff>
    </xdr:from>
    <xdr:to>
      <xdr:col>6</xdr:col>
      <xdr:colOff>759760</xdr:colOff>
      <xdr:row>6</xdr:row>
      <xdr:rowOff>60422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2509222" y="1529494"/>
          <a:ext cx="248725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185057</xdr:colOff>
      <xdr:row>6</xdr:row>
      <xdr:rowOff>32657</xdr:rowOff>
    </xdr:from>
    <xdr:to>
      <xdr:col>6</xdr:col>
      <xdr:colOff>729343</xdr:colOff>
      <xdr:row>6</xdr:row>
      <xdr:rowOff>32657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B15D604E-A2D1-936A-5451-CE680304A7ED}"/>
            </a:ext>
          </a:extLst>
        </xdr:cNvPr>
        <xdr:cNvCxnSpPr/>
      </xdr:nvCxnSpPr>
      <xdr:spPr>
        <a:xfrm>
          <a:off x="2677886" y="1524000"/>
          <a:ext cx="132805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1030810" y="142557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043087" y="140779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1552575</xdr:colOff>
      <xdr:row>5</xdr:row>
      <xdr:rowOff>28575</xdr:rowOff>
    </xdr:from>
    <xdr:to>
      <xdr:col>4</xdr:col>
      <xdr:colOff>1009650</xdr:colOff>
      <xdr:row>5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1964055" y="1095375"/>
          <a:ext cx="148399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="" xmlns:a16="http://schemas.microsoft.com/office/drawing/2014/main" id="{8B3957D8-7C14-465C-A26B-4402D83D5F7C}"/>
            </a:ext>
          </a:extLst>
        </xdr:cNvPr>
        <xdr:cNvSpPr>
          <a:spLocks noChangeShapeType="1"/>
        </xdr:cNvSpPr>
      </xdr:nvSpPr>
      <xdr:spPr>
        <a:xfrm>
          <a:off x="7414260" y="103251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1066800</xdr:colOff>
      <xdr:row>4</xdr:row>
      <xdr:rowOff>200025</xdr:rowOff>
    </xdr:from>
    <xdr:to>
      <xdr:col>2</xdr:col>
      <xdr:colOff>1028700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29ACBC0D-27B3-46E4-A152-B50A221AC4C8}"/>
            </a:ext>
          </a:extLst>
        </xdr:cNvPr>
        <xdr:cNvCxnSpPr/>
      </xdr:nvCxnSpPr>
      <xdr:spPr>
        <a:xfrm>
          <a:off x="1485900" y="1175385"/>
          <a:ext cx="12649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8</xdr:row>
      <xdr:rowOff>38100</xdr:rowOff>
    </xdr:from>
    <xdr:to>
      <xdr:col>2</xdr:col>
      <xdr:colOff>523875</xdr:colOff>
      <xdr:row>8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1190625" y="1381125"/>
          <a:ext cx="10382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242047</xdr:rowOff>
    </xdr:from>
    <xdr:to>
      <xdr:col>5</xdr:col>
      <xdr:colOff>152400</xdr:colOff>
      <xdr:row>6</xdr:row>
      <xdr:rowOff>242047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83E08473-E0D7-1D01-E1BE-6C3B3DF30931}"/>
            </a:ext>
          </a:extLst>
        </xdr:cNvPr>
        <xdr:cNvCxnSpPr/>
      </xdr:nvCxnSpPr>
      <xdr:spPr>
        <a:xfrm>
          <a:off x="1694329" y="1595718"/>
          <a:ext cx="14253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500-000004000000}"/>
            </a:ext>
          </a:extLst>
        </xdr:cNvPr>
        <xdr:cNvCxnSpPr/>
      </xdr:nvCxnSpPr>
      <xdr:spPr>
        <a:xfrm>
          <a:off x="1781175" y="1419225"/>
          <a:ext cx="1247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CxnSpPr/>
      </xdr:nvCxnSpPr>
      <xdr:spPr>
        <a:xfrm>
          <a:off x="1794510" y="1407795"/>
          <a:ext cx="141732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1165860" y="1255395"/>
          <a:ext cx="143446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700-000002000000}"/>
            </a:ext>
          </a:extLst>
        </xdr:cNvPr>
        <xdr:cNvCxnSpPr/>
      </xdr:nvCxnSpPr>
      <xdr:spPr>
        <a:xfrm>
          <a:off x="1120140" y="1255395"/>
          <a:ext cx="13125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7</xdr:row>
      <xdr:rowOff>28575</xdr:rowOff>
    </xdr:from>
    <xdr:to>
      <xdr:col>2</xdr:col>
      <xdr:colOff>0</xdr:colOff>
      <xdr:row>7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18F4433C-53B0-4A79-A911-7E33B92E19DD}"/>
            </a:ext>
          </a:extLst>
        </xdr:cNvPr>
        <xdr:cNvCxnSpPr/>
      </xdr:nvCxnSpPr>
      <xdr:spPr>
        <a:xfrm>
          <a:off x="1794510" y="1407795"/>
          <a:ext cx="141732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1390650</xdr:colOff>
      <xdr:row>7</xdr:row>
      <xdr:rowOff>28575</xdr:rowOff>
    </xdr:from>
    <xdr:to>
      <xdr:col>2</xdr:col>
      <xdr:colOff>0</xdr:colOff>
      <xdr:row>7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E476FAC-C729-4401-AC38-66973A4F3D4F}"/>
            </a:ext>
          </a:extLst>
        </xdr:cNvPr>
        <xdr:cNvCxnSpPr/>
      </xdr:nvCxnSpPr>
      <xdr:spPr>
        <a:xfrm>
          <a:off x="1794510" y="1407795"/>
          <a:ext cx="141732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n/Documents/Zalo%20Received%20Files/&#272;&#7896;I%201%20TH&#193;NG%208%20N&#258;M%202024%20(5)%20(3)%20(3)%20(4)%20(3)%20(1)%20(2)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  <sheetName val="BẢNG CHẤM CÔNG"/>
      <sheetName val="LÁT A"/>
      <sheetName val="Trang_tính1"/>
      <sheetName val="LÁT B"/>
      <sheetName val="LÁT C"/>
      <sheetName val="LÁT D"/>
      <sheetName val="MỦ DÂY"/>
      <sheetName val="TH MỦ CN"/>
      <sheetName val="LŨY KẾ MỦ"/>
      <sheetName val="bôi thuốc"/>
      <sheetName val="kỷ thuật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2:BJ236"/>
  <sheetViews>
    <sheetView topLeftCell="A10" zoomScale="16" zoomScaleNormal="16" zoomScaleSheetLayoutView="25" zoomScalePageLayoutView="40" workbookViewId="0">
      <pane ySplit="7" topLeftCell="A156" activePane="bottomLeft" state="frozen"/>
      <selection activeCell="A10" sqref="A10"/>
      <selection pane="bottomLeft" activeCell="AL188" sqref="AL188:AQ188"/>
    </sheetView>
  </sheetViews>
  <sheetFormatPr defaultColWidth="5.28515625" defaultRowHeight="15"/>
  <cols>
    <col min="1" max="1" width="17.7109375" style="388" customWidth="1"/>
    <col min="2" max="2" width="15.140625" style="388" customWidth="1"/>
    <col min="3" max="3" width="25.7109375" style="388" customWidth="1"/>
    <col min="4" max="4" width="58.28515625" style="388" customWidth="1"/>
    <col min="5" max="5" width="53.140625" style="388" customWidth="1"/>
    <col min="6" max="11" width="21" style="388" customWidth="1"/>
    <col min="12" max="12" width="24.85546875" style="388" customWidth="1"/>
    <col min="13" max="13" width="23.7109375" style="388" customWidth="1"/>
    <col min="14" max="14" width="27.140625" style="388" customWidth="1"/>
    <col min="15" max="15" width="24.85546875" style="388" customWidth="1"/>
    <col min="16" max="16" width="23.28515625" style="388" customWidth="1"/>
    <col min="17" max="17" width="23.7109375" style="388" customWidth="1"/>
    <col min="18" max="18" width="27.140625" style="388" customWidth="1"/>
    <col min="19" max="19" width="22.7109375" style="388" customWidth="1"/>
    <col min="20" max="20" width="23.28515625" style="388" customWidth="1"/>
    <col min="21" max="21" width="24.28515625" style="388" customWidth="1"/>
    <col min="22" max="22" width="23.28515625" style="388" customWidth="1"/>
    <col min="23" max="23" width="24.28515625" style="388" customWidth="1"/>
    <col min="24" max="24" width="23.7109375" style="388" customWidth="1"/>
    <col min="25" max="25" width="25.42578125" style="388" customWidth="1"/>
    <col min="26" max="26" width="23.7109375" style="388" customWidth="1"/>
    <col min="27" max="27" width="24.85546875" style="388" customWidth="1"/>
    <col min="28" max="28" width="23.28515625" style="388" customWidth="1"/>
    <col min="29" max="29" width="24.28515625" style="388" customWidth="1"/>
    <col min="30" max="30" width="24.85546875" style="388" customWidth="1"/>
    <col min="31" max="31" width="24.28515625" style="388" customWidth="1"/>
    <col min="32" max="32" width="26" style="388" customWidth="1"/>
    <col min="33" max="34" width="23.28515625" style="388" customWidth="1"/>
    <col min="35" max="35" width="25.42578125" style="388" customWidth="1"/>
    <col min="36" max="36" width="24.42578125" style="388" customWidth="1"/>
    <col min="37" max="37" width="29.85546875" style="388" customWidth="1"/>
    <col min="38" max="38" width="26.7109375" style="388" customWidth="1"/>
    <col min="39" max="39" width="30.28515625" style="388" customWidth="1"/>
    <col min="40" max="40" width="35" style="388" customWidth="1"/>
    <col min="41" max="41" width="27.85546875" style="388" customWidth="1"/>
    <col min="42" max="42" width="36.140625" style="388" customWidth="1"/>
    <col min="43" max="43" width="34.7109375" style="388" customWidth="1"/>
    <col min="44" max="44" width="23.28515625" style="388" customWidth="1"/>
    <col min="45" max="45" width="5.28515625" style="387"/>
    <col min="46" max="46" width="14.5703125" style="387" customWidth="1"/>
    <col min="47" max="48" width="5.28515625" style="388"/>
    <col min="49" max="49" width="61.7109375" style="388" customWidth="1"/>
    <col min="50" max="16384" width="5.28515625" style="388"/>
  </cols>
  <sheetData>
    <row r="2" spans="1:62" ht="44.25" customHeight="1">
      <c r="A2" s="1386" t="s">
        <v>51</v>
      </c>
      <c r="B2" s="1386"/>
      <c r="C2" s="1386"/>
      <c r="D2" s="1386"/>
      <c r="E2" s="1386"/>
      <c r="F2" s="1386"/>
      <c r="G2" s="1386"/>
      <c r="H2" s="1386"/>
      <c r="I2" s="1386"/>
      <c r="J2" s="1386"/>
      <c r="K2" s="1386"/>
      <c r="L2" s="1386"/>
      <c r="M2" s="1386"/>
      <c r="N2" s="1386"/>
      <c r="O2" s="1386"/>
      <c r="P2" s="1386"/>
      <c r="Q2" s="1386"/>
      <c r="R2" s="1386"/>
      <c r="S2" s="1386"/>
      <c r="T2" s="1386"/>
      <c r="U2" s="1386"/>
      <c r="V2" s="1386"/>
      <c r="W2" s="1386"/>
      <c r="X2" s="1386"/>
      <c r="Y2" s="1386"/>
      <c r="Z2" s="1386"/>
      <c r="AA2" s="1386"/>
      <c r="AB2" s="1386"/>
      <c r="AC2" s="1386"/>
      <c r="AD2" s="1386"/>
      <c r="AE2" s="1386"/>
      <c r="AF2" s="1386"/>
      <c r="AG2" s="1386"/>
      <c r="AH2" s="1386"/>
      <c r="AI2" s="1386"/>
      <c r="AJ2" s="1386"/>
      <c r="AK2" s="1386"/>
      <c r="AL2" s="1386"/>
      <c r="AM2" s="1386"/>
      <c r="AN2" s="1386"/>
      <c r="AO2" s="1386"/>
      <c r="AP2" s="1386"/>
      <c r="AQ2" s="1386"/>
      <c r="AR2" s="1386"/>
      <c r="AS2" s="388"/>
      <c r="AT2" s="388"/>
    </row>
    <row r="3" spans="1:62" ht="40.5" customHeight="1">
      <c r="A3" s="1386" t="s">
        <v>52</v>
      </c>
      <c r="B3" s="1386"/>
      <c r="C3" s="1386"/>
      <c r="D3" s="1386"/>
      <c r="E3" s="1386"/>
      <c r="F3" s="1386"/>
      <c r="G3" s="1386"/>
      <c r="H3" s="1386"/>
      <c r="I3" s="1386"/>
      <c r="J3" s="1386"/>
      <c r="K3" s="1386"/>
      <c r="L3" s="1386"/>
      <c r="M3" s="1386"/>
      <c r="N3" s="1386"/>
      <c r="O3" s="1386"/>
      <c r="P3" s="1386"/>
      <c r="Q3" s="1386"/>
      <c r="R3" s="1386"/>
      <c r="S3" s="1386"/>
      <c r="T3" s="1386"/>
      <c r="U3" s="1386"/>
      <c r="V3" s="1386"/>
      <c r="W3" s="1386"/>
      <c r="X3" s="1386"/>
      <c r="Y3" s="1386"/>
      <c r="Z3" s="1386"/>
      <c r="AA3" s="1386"/>
      <c r="AB3" s="1386"/>
      <c r="AC3" s="1386"/>
      <c r="AD3" s="1386"/>
      <c r="AE3" s="1386"/>
      <c r="AF3" s="1386"/>
      <c r="AG3" s="1386"/>
      <c r="AH3" s="1386"/>
      <c r="AI3" s="1386"/>
      <c r="AJ3" s="1386"/>
      <c r="AK3" s="1386"/>
      <c r="AL3" s="1386"/>
      <c r="AM3" s="1386"/>
      <c r="AN3" s="1386"/>
      <c r="AO3" s="1386"/>
      <c r="AP3" s="1386"/>
      <c r="AQ3" s="1386"/>
      <c r="AR3" s="1386"/>
      <c r="AS3" s="388"/>
      <c r="AT3" s="388"/>
    </row>
    <row r="4" spans="1:62" ht="40.5" customHeight="1">
      <c r="A4" s="1393" t="s">
        <v>254</v>
      </c>
      <c r="B4" s="1393"/>
      <c r="C4" s="1393"/>
      <c r="D4" s="1393"/>
      <c r="E4" s="1393"/>
      <c r="F4" s="1393"/>
      <c r="G4" s="1393"/>
      <c r="H4" s="1393"/>
      <c r="I4" s="1393"/>
      <c r="J4" s="1393"/>
      <c r="K4" s="1393"/>
      <c r="L4" s="1393"/>
      <c r="M4" s="1393"/>
      <c r="N4" s="1393"/>
      <c r="O4" s="1393"/>
      <c r="P4" s="1393"/>
      <c r="Q4" s="1393"/>
      <c r="R4" s="1393"/>
      <c r="S4" s="1393"/>
      <c r="T4" s="1393"/>
      <c r="U4" s="1393"/>
      <c r="V4" s="1393"/>
      <c r="W4" s="1393"/>
      <c r="X4" s="1393"/>
      <c r="Y4" s="1393"/>
      <c r="Z4" s="1393"/>
      <c r="AA4" s="1393"/>
      <c r="AB4" s="1393"/>
      <c r="AC4" s="1393"/>
      <c r="AD4" s="1393"/>
      <c r="AE4" s="1393"/>
      <c r="AF4" s="1393"/>
      <c r="AG4" s="1393"/>
      <c r="AH4" s="1393"/>
      <c r="AI4" s="1393"/>
      <c r="AJ4" s="1393"/>
      <c r="AK4" s="1393"/>
      <c r="AL4" s="1393"/>
      <c r="AM4" s="1393"/>
      <c r="AN4" s="1393"/>
      <c r="AO4" s="1393"/>
      <c r="AP4" s="1393"/>
      <c r="AQ4" s="1393"/>
      <c r="AR4" s="1393"/>
      <c r="AS4" s="388"/>
      <c r="AT4" s="388"/>
    </row>
    <row r="5" spans="1:62" ht="40.5" customHeight="1">
      <c r="A5" s="776"/>
      <c r="B5" s="777"/>
      <c r="C5" s="777"/>
      <c r="D5" s="777"/>
      <c r="E5" s="777"/>
      <c r="F5" s="777"/>
      <c r="G5" s="777"/>
      <c r="H5" s="777"/>
      <c r="I5" s="777"/>
      <c r="J5" s="777"/>
      <c r="K5" s="777"/>
      <c r="L5" s="777"/>
      <c r="M5" s="777"/>
      <c r="N5" s="777"/>
      <c r="O5" s="777"/>
      <c r="P5" s="778"/>
      <c r="Q5" s="778"/>
      <c r="R5" s="778"/>
      <c r="S5" s="778"/>
      <c r="T5" s="778"/>
      <c r="U5" s="778"/>
      <c r="V5" s="778"/>
      <c r="W5" s="778"/>
      <c r="X5" s="778"/>
      <c r="Y5" s="778"/>
      <c r="Z5" s="778"/>
      <c r="AA5" s="778"/>
      <c r="AB5" s="778"/>
      <c r="AC5" s="778"/>
      <c r="AD5" s="778"/>
      <c r="AE5" s="778"/>
      <c r="AF5" s="778"/>
      <c r="AG5" s="778"/>
      <c r="AH5" s="778"/>
      <c r="AI5" s="778"/>
      <c r="AJ5" s="778"/>
      <c r="AK5" s="778"/>
      <c r="AL5" s="778"/>
      <c r="AM5" s="778"/>
      <c r="AN5" s="778"/>
      <c r="AO5" s="778"/>
      <c r="AP5" s="778"/>
      <c r="AQ5" s="779"/>
      <c r="AR5" s="776"/>
      <c r="AS5" s="388"/>
      <c r="AT5" s="388"/>
    </row>
    <row r="6" spans="1:62" ht="40.5" customHeight="1">
      <c r="A6" s="776"/>
      <c r="B6" s="1386" t="s">
        <v>510</v>
      </c>
      <c r="C6" s="1386"/>
      <c r="D6" s="1386"/>
      <c r="E6" s="1386"/>
      <c r="F6" s="1386"/>
      <c r="G6" s="1386"/>
      <c r="H6" s="1386"/>
      <c r="I6" s="1386"/>
      <c r="J6" s="1386"/>
      <c r="K6" s="1386"/>
      <c r="L6" s="1386"/>
      <c r="M6" s="1386"/>
      <c r="N6" s="1386"/>
      <c r="O6" s="1386"/>
      <c r="P6" s="1386"/>
      <c r="Q6" s="1386"/>
      <c r="R6" s="1386"/>
      <c r="S6" s="778"/>
      <c r="T6" s="778"/>
      <c r="U6" s="778"/>
      <c r="V6" s="778"/>
      <c r="W6" s="778"/>
      <c r="X6" s="778"/>
      <c r="Y6" s="778"/>
      <c r="Z6" s="778"/>
      <c r="AA6" s="778"/>
      <c r="AB6" s="778"/>
      <c r="AC6" s="778"/>
      <c r="AD6" s="778"/>
      <c r="AE6" s="778"/>
      <c r="AF6" s="778"/>
      <c r="AG6" s="778"/>
      <c r="AH6" s="778"/>
      <c r="AI6" s="778"/>
      <c r="AJ6" s="778"/>
      <c r="AK6" s="778"/>
      <c r="AL6" s="778"/>
      <c r="AM6" s="778"/>
      <c r="AN6" s="778"/>
      <c r="AO6" s="778"/>
      <c r="AP6" s="778"/>
      <c r="AQ6" s="779"/>
      <c r="AR6" s="776"/>
      <c r="AS6" s="388"/>
      <c r="AT6" s="388"/>
    </row>
    <row r="7" spans="1:62" ht="49.15" customHeight="1">
      <c r="A7" s="776"/>
      <c r="B7" s="1386" t="s">
        <v>497</v>
      </c>
      <c r="C7" s="1386"/>
      <c r="D7" s="1386"/>
      <c r="E7" s="1386"/>
      <c r="F7" s="1386"/>
      <c r="G7" s="1386"/>
      <c r="H7" s="1386"/>
      <c r="I7" s="1386"/>
      <c r="J7" s="1386"/>
      <c r="K7" s="1386"/>
      <c r="L7" s="1386"/>
      <c r="M7" s="1386"/>
      <c r="N7" s="1386"/>
      <c r="O7" s="1386"/>
      <c r="P7" s="1386"/>
      <c r="Q7" s="1386"/>
      <c r="R7" s="1386"/>
      <c r="S7" s="778"/>
      <c r="T7" s="778"/>
      <c r="U7" s="778"/>
      <c r="V7" s="778"/>
      <c r="W7" s="778"/>
      <c r="X7" s="778"/>
      <c r="Y7" s="778"/>
      <c r="Z7" s="778"/>
      <c r="AA7" s="778"/>
      <c r="AB7" s="778"/>
      <c r="AC7" s="778"/>
      <c r="AD7" s="778"/>
      <c r="AE7" s="778"/>
      <c r="AF7" s="778"/>
      <c r="AG7" s="778"/>
      <c r="AH7" s="778"/>
      <c r="AI7" s="778"/>
      <c r="AJ7" s="778"/>
      <c r="AK7" s="778"/>
      <c r="AL7" s="778"/>
      <c r="AM7" s="778"/>
      <c r="AN7" s="778"/>
      <c r="AO7" s="778"/>
      <c r="AP7" s="778"/>
      <c r="AQ7" s="779"/>
      <c r="AR7" s="776"/>
      <c r="AS7" s="388"/>
      <c r="AT7" s="388"/>
    </row>
    <row r="8" spans="1:62" ht="40.5" customHeight="1">
      <c r="A8" s="776"/>
      <c r="B8" s="1386"/>
      <c r="C8" s="1386"/>
      <c r="D8" s="1386"/>
      <c r="E8" s="1386"/>
      <c r="F8" s="1386"/>
      <c r="G8" s="1386"/>
      <c r="H8" s="1386"/>
      <c r="I8" s="1386"/>
      <c r="J8" s="1386"/>
      <c r="K8" s="1386"/>
      <c r="L8" s="1386"/>
      <c r="M8" s="1386"/>
      <c r="N8" s="1386"/>
      <c r="O8" s="1386"/>
      <c r="P8" s="1386"/>
      <c r="Q8" s="1386"/>
      <c r="R8" s="1386"/>
      <c r="S8" s="1386"/>
      <c r="T8" s="1386"/>
      <c r="U8" s="1386"/>
      <c r="V8" s="1386"/>
      <c r="W8" s="1386"/>
      <c r="X8" s="1386"/>
      <c r="Y8" s="1386"/>
      <c r="Z8" s="1386"/>
      <c r="AA8" s="1386"/>
      <c r="AB8" s="1386"/>
      <c r="AC8" s="1386"/>
      <c r="AD8" s="1386"/>
      <c r="AE8" s="1386"/>
      <c r="AF8" s="1386"/>
      <c r="AG8" s="1386"/>
      <c r="AH8" s="1386"/>
      <c r="AI8" s="1386"/>
      <c r="AJ8" s="1386"/>
      <c r="AK8" s="1386"/>
      <c r="AL8" s="1386"/>
      <c r="AM8" s="1386"/>
      <c r="AN8" s="1386"/>
      <c r="AO8" s="1386"/>
      <c r="AP8" s="1386"/>
      <c r="AQ8" s="1386"/>
      <c r="AR8" s="776"/>
      <c r="AS8" s="388"/>
      <c r="AT8" s="388"/>
    </row>
    <row r="9" spans="1:62" ht="119.45" customHeight="1">
      <c r="A9" s="1394" t="s">
        <v>804</v>
      </c>
      <c r="B9" s="1394"/>
      <c r="C9" s="1394"/>
      <c r="D9" s="1394"/>
      <c r="E9" s="1394"/>
      <c r="F9" s="1394"/>
      <c r="G9" s="1394"/>
      <c r="H9" s="1394"/>
      <c r="I9" s="1394"/>
      <c r="J9" s="1394"/>
      <c r="K9" s="1394"/>
      <c r="L9" s="1394"/>
      <c r="M9" s="1394"/>
      <c r="N9" s="1394"/>
      <c r="O9" s="1394"/>
      <c r="P9" s="1394"/>
      <c r="Q9" s="1394"/>
      <c r="R9" s="1394"/>
      <c r="S9" s="1394"/>
      <c r="T9" s="1394"/>
      <c r="U9" s="1394"/>
      <c r="V9" s="1394"/>
      <c r="W9" s="1394"/>
      <c r="X9" s="1394"/>
      <c r="Y9" s="1394"/>
      <c r="Z9" s="1394"/>
      <c r="AA9" s="1394"/>
      <c r="AB9" s="1394"/>
      <c r="AC9" s="1394"/>
      <c r="AD9" s="1394"/>
      <c r="AE9" s="1394"/>
      <c r="AF9" s="1394"/>
      <c r="AG9" s="1394"/>
      <c r="AH9" s="1394"/>
      <c r="AI9" s="1394"/>
      <c r="AJ9" s="1394"/>
      <c r="AK9" s="1394"/>
      <c r="AL9" s="1394"/>
      <c r="AM9" s="1394"/>
      <c r="AN9" s="1394"/>
      <c r="AO9" s="1394"/>
      <c r="AP9" s="1394"/>
      <c r="AQ9" s="1394"/>
      <c r="AR9" s="1394"/>
      <c r="AS9" s="388"/>
      <c r="AT9" s="388"/>
    </row>
    <row r="10" spans="1:62" ht="101.45" customHeight="1">
      <c r="A10" s="1395" t="s">
        <v>805</v>
      </c>
      <c r="B10" s="1395"/>
      <c r="C10" s="1395"/>
      <c r="D10" s="1395"/>
      <c r="E10" s="1395"/>
      <c r="F10" s="1395"/>
      <c r="G10" s="1395"/>
      <c r="H10" s="1395"/>
      <c r="I10" s="1395"/>
      <c r="J10" s="1395"/>
      <c r="K10" s="1395"/>
      <c r="L10" s="1395"/>
      <c r="M10" s="1395"/>
      <c r="N10" s="1395"/>
      <c r="O10" s="1395"/>
      <c r="P10" s="1395"/>
      <c r="Q10" s="1395"/>
      <c r="R10" s="1395"/>
      <c r="S10" s="1395"/>
      <c r="T10" s="1395"/>
      <c r="U10" s="1395"/>
      <c r="V10" s="1395"/>
      <c r="W10" s="1395"/>
      <c r="X10" s="1395"/>
      <c r="Y10" s="1395"/>
      <c r="Z10" s="1395"/>
      <c r="AA10" s="1395"/>
      <c r="AB10" s="1395"/>
      <c r="AC10" s="1395"/>
      <c r="AD10" s="1395"/>
      <c r="AE10" s="1395"/>
      <c r="AF10" s="1395"/>
      <c r="AG10" s="1395"/>
      <c r="AH10" s="1395"/>
      <c r="AI10" s="1395"/>
      <c r="AJ10" s="1395"/>
      <c r="AK10" s="1395"/>
      <c r="AL10" s="1395"/>
      <c r="AM10" s="1395"/>
      <c r="AN10" s="1395"/>
      <c r="AO10" s="1395"/>
      <c r="AP10" s="1395"/>
      <c r="AQ10" s="1395"/>
      <c r="AR10" s="1395"/>
      <c r="AS10" s="388"/>
      <c r="AT10" s="388"/>
    </row>
    <row r="11" spans="1:62" ht="16.5" customHeight="1">
      <c r="A11" s="404"/>
      <c r="B11" s="405"/>
      <c r="C11" s="405"/>
      <c r="D11" s="405"/>
      <c r="E11" s="405"/>
      <c r="F11" s="405"/>
      <c r="G11" s="405"/>
      <c r="H11" s="405"/>
      <c r="I11" s="405"/>
      <c r="J11" s="405"/>
      <c r="K11" s="405"/>
      <c r="L11" s="405"/>
      <c r="M11" s="405"/>
      <c r="N11" s="405"/>
      <c r="O11" s="405"/>
      <c r="P11" s="406"/>
      <c r="Q11" s="406"/>
      <c r="R11" s="406"/>
      <c r="S11" s="406"/>
      <c r="T11" s="406"/>
      <c r="U11" s="406"/>
      <c r="V11" s="406"/>
      <c r="W11" s="406"/>
      <c r="X11" s="406"/>
      <c r="Y11" s="406"/>
      <c r="Z11" s="406"/>
      <c r="AA11" s="406"/>
      <c r="AB11" s="406"/>
      <c r="AC11" s="406"/>
      <c r="AD11" s="406"/>
      <c r="AE11" s="406"/>
      <c r="AF11" s="406"/>
      <c r="AG11" s="406"/>
      <c r="AH11" s="406"/>
      <c r="AI11" s="406"/>
      <c r="AJ11" s="406"/>
      <c r="AK11" s="406"/>
      <c r="AL11" s="406"/>
      <c r="AM11" s="406"/>
      <c r="AN11" s="406"/>
      <c r="AO11" s="406"/>
      <c r="AP11" s="406"/>
      <c r="AQ11" s="407"/>
      <c r="AR11" s="404"/>
      <c r="AS11" s="388"/>
      <c r="AT11" s="388"/>
    </row>
    <row r="12" spans="1:62" ht="36.75" customHeight="1">
      <c r="B12" s="390"/>
      <c r="C12" s="390"/>
      <c r="D12" s="390"/>
      <c r="E12" s="390"/>
      <c r="F12" s="390"/>
      <c r="G12" s="390"/>
      <c r="H12" s="390"/>
      <c r="I12" s="390"/>
      <c r="J12" s="390"/>
      <c r="K12" s="390"/>
      <c r="L12" s="390"/>
      <c r="M12" s="390"/>
      <c r="N12" s="390"/>
      <c r="O12" s="390"/>
      <c r="P12" s="390"/>
      <c r="Q12" s="390"/>
      <c r="R12" s="390"/>
      <c r="S12" s="390"/>
      <c r="T12" s="390"/>
      <c r="U12" s="390"/>
      <c r="V12" s="390"/>
      <c r="W12" s="390"/>
      <c r="X12" s="390"/>
      <c r="Y12" s="390"/>
      <c r="Z12" s="390"/>
      <c r="AA12" s="390"/>
      <c r="AB12" s="390"/>
      <c r="AC12" s="390"/>
      <c r="AD12" s="390"/>
      <c r="AE12" s="390"/>
      <c r="AF12" s="390"/>
      <c r="AG12" s="390"/>
      <c r="AH12" s="390"/>
      <c r="AI12" s="390"/>
      <c r="AJ12" s="390"/>
      <c r="AK12" s="1396"/>
      <c r="AL12" s="1396"/>
      <c r="AM12" s="1177"/>
      <c r="AN12" s="1177"/>
      <c r="AO12" s="1177"/>
      <c r="AP12" s="1177"/>
      <c r="AQ12" s="460"/>
      <c r="AR12" s="459"/>
      <c r="AS12" s="388"/>
      <c r="AT12" s="388"/>
    </row>
    <row r="13" spans="1:62" ht="81.599999999999994" customHeight="1">
      <c r="A13" s="1368" t="s">
        <v>12</v>
      </c>
      <c r="B13" s="1368"/>
      <c r="C13" s="1368" t="s">
        <v>357</v>
      </c>
      <c r="D13" s="1368" t="s">
        <v>13</v>
      </c>
      <c r="E13" s="1368" t="s">
        <v>352</v>
      </c>
      <c r="F13" s="1368" t="s">
        <v>49</v>
      </c>
      <c r="G13" s="1368"/>
      <c r="H13" s="1368"/>
      <c r="I13" s="1368"/>
      <c r="J13" s="1368"/>
      <c r="K13" s="1368"/>
      <c r="L13" s="1368"/>
      <c r="M13" s="1368"/>
      <c r="N13" s="1368"/>
      <c r="O13" s="1368"/>
      <c r="P13" s="1368"/>
      <c r="Q13" s="1368"/>
      <c r="R13" s="1368"/>
      <c r="S13" s="1368"/>
      <c r="T13" s="1368"/>
      <c r="U13" s="1368"/>
      <c r="V13" s="1368"/>
      <c r="W13" s="1368"/>
      <c r="X13" s="1368"/>
      <c r="Y13" s="1368"/>
      <c r="Z13" s="1368"/>
      <c r="AA13" s="1368"/>
      <c r="AB13" s="1368"/>
      <c r="AC13" s="1368"/>
      <c r="AD13" s="1368"/>
      <c r="AE13" s="1368"/>
      <c r="AF13" s="1368"/>
      <c r="AG13" s="1368"/>
      <c r="AH13" s="1368"/>
      <c r="AI13" s="1368"/>
      <c r="AJ13" s="1368"/>
      <c r="AK13" s="1348" t="s">
        <v>242</v>
      </c>
      <c r="AL13" s="1348" t="s">
        <v>365</v>
      </c>
      <c r="AM13" s="1348" t="s">
        <v>103</v>
      </c>
      <c r="AN13" s="1348" t="s">
        <v>852</v>
      </c>
      <c r="AO13" s="1348" t="s">
        <v>853</v>
      </c>
      <c r="AP13" s="1348" t="s">
        <v>854</v>
      </c>
      <c r="AQ13" s="1348" t="s">
        <v>855</v>
      </c>
      <c r="AR13" s="1348" t="s">
        <v>345</v>
      </c>
      <c r="AS13" s="388"/>
      <c r="AT13" s="388"/>
    </row>
    <row r="14" spans="1:62" ht="105" customHeight="1">
      <c r="A14" s="1368"/>
      <c r="B14" s="1368"/>
      <c r="C14" s="1368"/>
      <c r="D14" s="1368"/>
      <c r="E14" s="1368"/>
      <c r="F14" s="599">
        <v>1</v>
      </c>
      <c r="G14" s="599">
        <v>2</v>
      </c>
      <c r="H14" s="599">
        <v>3</v>
      </c>
      <c r="I14" s="599">
        <v>4</v>
      </c>
      <c r="J14" s="599">
        <v>5</v>
      </c>
      <c r="K14" s="599">
        <v>6</v>
      </c>
      <c r="L14" s="599">
        <v>7</v>
      </c>
      <c r="M14" s="599">
        <v>8</v>
      </c>
      <c r="N14" s="599">
        <v>9</v>
      </c>
      <c r="O14" s="599">
        <v>10</v>
      </c>
      <c r="P14" s="599">
        <v>11</v>
      </c>
      <c r="Q14" s="599">
        <v>12</v>
      </c>
      <c r="R14" s="599">
        <v>13</v>
      </c>
      <c r="S14" s="599">
        <v>14</v>
      </c>
      <c r="T14" s="599">
        <v>15</v>
      </c>
      <c r="U14" s="599">
        <v>16</v>
      </c>
      <c r="V14" s="599">
        <v>17</v>
      </c>
      <c r="W14" s="599">
        <v>18</v>
      </c>
      <c r="X14" s="599">
        <v>19</v>
      </c>
      <c r="Y14" s="599">
        <v>20</v>
      </c>
      <c r="Z14" s="599">
        <v>21</v>
      </c>
      <c r="AA14" s="599">
        <v>22</v>
      </c>
      <c r="AB14" s="599">
        <v>23</v>
      </c>
      <c r="AC14" s="599">
        <v>24</v>
      </c>
      <c r="AD14" s="599">
        <v>25</v>
      </c>
      <c r="AE14" s="599">
        <v>26</v>
      </c>
      <c r="AF14" s="599">
        <v>27</v>
      </c>
      <c r="AG14" s="599">
        <v>28</v>
      </c>
      <c r="AH14" s="599">
        <v>29</v>
      </c>
      <c r="AI14" s="599">
        <v>30</v>
      </c>
      <c r="AJ14" s="599">
        <v>31</v>
      </c>
      <c r="AK14" s="1348"/>
      <c r="AL14" s="1348"/>
      <c r="AM14" s="1348"/>
      <c r="AN14" s="1348"/>
      <c r="AO14" s="1348"/>
      <c r="AP14" s="1348"/>
      <c r="AQ14" s="1348"/>
      <c r="AR14" s="1348"/>
      <c r="AS14" s="388"/>
      <c r="AT14" s="1389" t="s">
        <v>365</v>
      </c>
    </row>
    <row r="15" spans="1:62" ht="60" customHeight="1">
      <c r="A15" s="1349" t="s">
        <v>523</v>
      </c>
      <c r="B15" s="1349"/>
      <c r="C15" s="1349"/>
      <c r="D15" s="1349"/>
      <c r="E15" s="1349"/>
      <c r="F15" s="604" t="s">
        <v>36</v>
      </c>
      <c r="G15" s="604" t="s">
        <v>43</v>
      </c>
      <c r="H15" s="604" t="s">
        <v>392</v>
      </c>
      <c r="I15" s="604" t="s">
        <v>44</v>
      </c>
      <c r="J15" s="604" t="s">
        <v>36</v>
      </c>
      <c r="K15" s="604" t="s">
        <v>43</v>
      </c>
      <c r="L15" s="604" t="s">
        <v>392</v>
      </c>
      <c r="M15" s="604" t="s">
        <v>44</v>
      </c>
      <c r="N15" s="604" t="s">
        <v>36</v>
      </c>
      <c r="O15" s="604" t="s">
        <v>43</v>
      </c>
      <c r="P15" s="604" t="s">
        <v>392</v>
      </c>
      <c r="Q15" s="604" t="s">
        <v>44</v>
      </c>
      <c r="R15" s="604" t="s">
        <v>36</v>
      </c>
      <c r="S15" s="604" t="s">
        <v>756</v>
      </c>
      <c r="T15" s="604" t="s">
        <v>44</v>
      </c>
      <c r="U15" s="604" t="s">
        <v>36</v>
      </c>
      <c r="V15" s="604" t="s">
        <v>43</v>
      </c>
      <c r="W15" s="604" t="s">
        <v>392</v>
      </c>
      <c r="X15" s="604" t="s">
        <v>44</v>
      </c>
      <c r="Y15" s="604" t="s">
        <v>36</v>
      </c>
      <c r="Z15" s="604" t="s">
        <v>756</v>
      </c>
      <c r="AA15" s="604" t="s">
        <v>44</v>
      </c>
      <c r="AB15" s="604" t="s">
        <v>36</v>
      </c>
      <c r="AC15" s="604" t="s">
        <v>43</v>
      </c>
      <c r="AD15" s="604" t="s">
        <v>392</v>
      </c>
      <c r="AE15" s="604" t="s">
        <v>44</v>
      </c>
      <c r="AF15" s="604" t="s">
        <v>36</v>
      </c>
      <c r="AG15" s="604" t="s">
        <v>43</v>
      </c>
      <c r="AH15" s="604" t="s">
        <v>392</v>
      </c>
      <c r="AI15" s="604" t="s">
        <v>44</v>
      </c>
      <c r="AJ15" s="608"/>
      <c r="AK15" s="608"/>
      <c r="AL15" s="608"/>
      <c r="AM15" s="608"/>
      <c r="AN15" s="608"/>
      <c r="AO15" s="608"/>
      <c r="AP15" s="608"/>
      <c r="AQ15" s="608"/>
      <c r="AR15" s="608"/>
      <c r="AS15" s="388"/>
      <c r="AT15" s="1389"/>
      <c r="AW15" s="404"/>
      <c r="AX15" s="404"/>
      <c r="AY15" s="404"/>
      <c r="AZ15" s="404"/>
      <c r="BA15" s="404"/>
      <c r="BB15" s="404"/>
      <c r="BC15" s="404"/>
      <c r="BD15" s="404"/>
      <c r="BE15" s="404"/>
      <c r="BF15" s="404"/>
      <c r="BG15" s="404"/>
      <c r="BH15" s="404"/>
      <c r="BI15" s="404"/>
      <c r="BJ15" s="404"/>
    </row>
    <row r="16" spans="1:62" s="389" customFormat="1" ht="41.25" customHeight="1">
      <c r="A16" s="1368" t="s">
        <v>498</v>
      </c>
      <c r="B16" s="1368"/>
      <c r="C16" s="1368"/>
      <c r="D16" s="1368"/>
      <c r="E16" s="599"/>
      <c r="F16" s="1110">
        <f>SUM(F17:F97)</f>
        <v>835</v>
      </c>
      <c r="G16" s="1110">
        <f t="shared" ref="G16:AJ16" si="0">SUM(G17:G97)</f>
        <v>6713</v>
      </c>
      <c r="H16" s="1110">
        <f t="shared" si="0"/>
        <v>5962</v>
      </c>
      <c r="I16" s="1110">
        <f t="shared" si="0"/>
        <v>6519</v>
      </c>
      <c r="J16" s="1110">
        <f t="shared" si="0"/>
        <v>13879</v>
      </c>
      <c r="K16" s="1110">
        <f t="shared" si="0"/>
        <v>8647</v>
      </c>
      <c r="L16" s="1110">
        <f t="shared" si="0"/>
        <v>6851</v>
      </c>
      <c r="M16" s="1110">
        <f t="shared" si="0"/>
        <v>13028</v>
      </c>
      <c r="N16" s="1110">
        <f t="shared" si="0"/>
        <v>6013</v>
      </c>
      <c r="O16" s="1110">
        <f t="shared" si="0"/>
        <v>9838</v>
      </c>
      <c r="P16" s="1110">
        <f t="shared" si="0"/>
        <v>11015</v>
      </c>
      <c r="Q16" s="1110">
        <f t="shared" si="0"/>
        <v>10685</v>
      </c>
      <c r="R16" s="1110">
        <f t="shared" si="0"/>
        <v>12619</v>
      </c>
      <c r="S16" s="1110">
        <f t="shared" si="0"/>
        <v>9745</v>
      </c>
      <c r="T16" s="1110">
        <f t="shared" si="0"/>
        <v>8935</v>
      </c>
      <c r="U16" s="1110">
        <f t="shared" si="0"/>
        <v>9343</v>
      </c>
      <c r="V16" s="1110">
        <f t="shared" si="0"/>
        <v>9642</v>
      </c>
      <c r="W16" s="1110">
        <f t="shared" si="0"/>
        <v>8918</v>
      </c>
      <c r="X16" s="1110">
        <f t="shared" si="0"/>
        <v>8709</v>
      </c>
      <c r="Y16" s="1110">
        <f t="shared" si="0"/>
        <v>10655</v>
      </c>
      <c r="Z16" s="1110">
        <f t="shared" si="0"/>
        <v>10952</v>
      </c>
      <c r="AA16" s="1110">
        <f t="shared" si="0"/>
        <v>8388</v>
      </c>
      <c r="AB16" s="1110">
        <f t="shared" si="0"/>
        <v>8217</v>
      </c>
      <c r="AC16" s="1110">
        <f t="shared" si="0"/>
        <v>10434</v>
      </c>
      <c r="AD16" s="1110">
        <f t="shared" si="0"/>
        <v>11049</v>
      </c>
      <c r="AE16" s="1110">
        <f t="shared" si="0"/>
        <v>9205</v>
      </c>
      <c r="AF16" s="1110">
        <f t="shared" si="0"/>
        <v>9300</v>
      </c>
      <c r="AG16" s="1110">
        <f t="shared" si="0"/>
        <v>12462</v>
      </c>
      <c r="AH16" s="1110">
        <f t="shared" si="0"/>
        <v>12430</v>
      </c>
      <c r="AI16" s="1110">
        <f t="shared" si="0"/>
        <v>10102</v>
      </c>
      <c r="AJ16" s="1110">
        <f t="shared" si="0"/>
        <v>11446</v>
      </c>
      <c r="AK16" s="1164">
        <f>SUM(AK17:AK97)</f>
        <v>292536</v>
      </c>
      <c r="AL16" s="1164">
        <f t="shared" ref="AL16:AM16" si="1">SUM(AL17:AL97)</f>
        <v>3531.4964585555235</v>
      </c>
      <c r="AM16" s="1164">
        <f t="shared" si="1"/>
        <v>129136.23099999997</v>
      </c>
      <c r="AN16" s="1164">
        <f>SUM(AN17:AN97)</f>
        <v>299923</v>
      </c>
      <c r="AO16" s="1164"/>
      <c r="AP16" s="1164">
        <f>SUM(AP17:AP97)</f>
        <v>10180.000000000002</v>
      </c>
      <c r="AQ16" s="1110">
        <f t="shared" ref="AQ16" si="2">SUM(AQ17:AQ97)</f>
        <v>139316.231</v>
      </c>
      <c r="AR16" s="611"/>
      <c r="AW16" s="407"/>
      <c r="AX16" s="407"/>
      <c r="AY16" s="407"/>
      <c r="AZ16" s="407"/>
      <c r="BA16" s="407"/>
      <c r="BB16" s="407"/>
      <c r="BC16" s="407"/>
      <c r="BD16" s="407"/>
      <c r="BE16" s="407"/>
      <c r="BF16" s="407"/>
      <c r="BG16" s="407"/>
      <c r="BH16" s="407"/>
      <c r="BI16" s="407"/>
      <c r="BJ16" s="407"/>
    </row>
    <row r="17" spans="1:62" ht="54" customHeight="1">
      <c r="A17" s="604">
        <v>1</v>
      </c>
      <c r="B17" s="604">
        <v>1</v>
      </c>
      <c r="C17" s="604">
        <f>'Chấm công KT'!C13</f>
        <v>0</v>
      </c>
      <c r="D17" s="608" t="str">
        <f>'Chấm công KT'!D13</f>
        <v xml:space="preserve">T. Lăm  </v>
      </c>
      <c r="E17" s="608"/>
      <c r="F17" s="780">
        <v>0</v>
      </c>
      <c r="G17" s="780">
        <v>127</v>
      </c>
      <c r="H17" s="780">
        <v>84</v>
      </c>
      <c r="I17" s="780">
        <v>94</v>
      </c>
      <c r="J17" s="780">
        <v>146</v>
      </c>
      <c r="K17" s="780">
        <v>101</v>
      </c>
      <c r="L17" s="780">
        <v>108</v>
      </c>
      <c r="M17" s="780">
        <v>188</v>
      </c>
      <c r="N17" s="780">
        <v>148</v>
      </c>
      <c r="O17" s="780">
        <v>100</v>
      </c>
      <c r="P17" s="780">
        <v>168</v>
      </c>
      <c r="Q17" s="780">
        <v>179</v>
      </c>
      <c r="R17" s="780">
        <v>186</v>
      </c>
      <c r="S17" s="780">
        <v>116</v>
      </c>
      <c r="T17" s="780">
        <v>127</v>
      </c>
      <c r="U17" s="780">
        <v>107</v>
      </c>
      <c r="V17" s="780">
        <v>141</v>
      </c>
      <c r="W17" s="780">
        <v>99</v>
      </c>
      <c r="X17" s="780">
        <v>117</v>
      </c>
      <c r="Y17" s="780">
        <v>136</v>
      </c>
      <c r="Z17" s="780">
        <v>161</v>
      </c>
      <c r="AA17" s="780">
        <v>104</v>
      </c>
      <c r="AB17" s="780">
        <v>125</v>
      </c>
      <c r="AC17" s="780">
        <v>121</v>
      </c>
      <c r="AD17" s="780">
        <v>162</v>
      </c>
      <c r="AE17" s="780">
        <v>92</v>
      </c>
      <c r="AF17" s="780">
        <v>121</v>
      </c>
      <c r="AG17" s="780">
        <v>170</v>
      </c>
      <c r="AH17" s="780">
        <v>182</v>
      </c>
      <c r="AI17" s="780">
        <v>123</v>
      </c>
      <c r="AJ17" s="780">
        <v>281</v>
      </c>
      <c r="AK17" s="781">
        <f>SUM(F17:AJ17)</f>
        <v>4114</v>
      </c>
      <c r="AL17" s="1111">
        <v>44.143705731944095</v>
      </c>
      <c r="AM17" s="1112">
        <f>AK17*AL17/100</f>
        <v>1816.07205381218</v>
      </c>
      <c r="AN17" s="1112">
        <v>3874</v>
      </c>
      <c r="AO17" s="1180">
        <v>3.3942045124915396</v>
      </c>
      <c r="AP17" s="1112">
        <f>AN17*AO17/100</f>
        <v>131.49148281392226</v>
      </c>
      <c r="AQ17" s="1114">
        <f>AM17+AP17</f>
        <v>1947.5635366261022</v>
      </c>
      <c r="AR17" s="1157" t="s">
        <v>43</v>
      </c>
      <c r="AS17" s="388"/>
      <c r="AT17" s="388"/>
      <c r="AW17" s="1113">
        <f>AQ16/15*100</f>
        <v>928774.87333333341</v>
      </c>
      <c r="AX17" s="404"/>
      <c r="AY17" s="404"/>
      <c r="AZ17" s="404"/>
      <c r="BA17" s="404"/>
      <c r="BB17" s="404"/>
      <c r="BC17" s="404"/>
      <c r="BD17" s="404"/>
      <c r="BE17" s="404"/>
      <c r="BF17" s="404"/>
      <c r="BG17" s="404"/>
      <c r="BH17" s="404"/>
      <c r="BI17" s="404"/>
      <c r="BJ17" s="404"/>
    </row>
    <row r="18" spans="1:62" ht="54" customHeight="1">
      <c r="A18" s="604">
        <v>2</v>
      </c>
      <c r="B18" s="604">
        <v>2</v>
      </c>
      <c r="C18" s="604" t="str">
        <f>'Chấm công KT'!C14</f>
        <v>04052</v>
      </c>
      <c r="D18" s="608" t="str">
        <f>'Chấm công KT'!D14</f>
        <v>T. Feng</v>
      </c>
      <c r="E18" s="608"/>
      <c r="F18" s="780">
        <v>0</v>
      </c>
      <c r="G18" s="780">
        <v>113</v>
      </c>
      <c r="H18" s="780">
        <v>69</v>
      </c>
      <c r="I18" s="780">
        <v>89</v>
      </c>
      <c r="J18" s="780">
        <v>191</v>
      </c>
      <c r="K18" s="780">
        <v>95</v>
      </c>
      <c r="L18" s="780">
        <v>74</v>
      </c>
      <c r="M18" s="780">
        <v>169</v>
      </c>
      <c r="N18" s="780">
        <v>139</v>
      </c>
      <c r="O18" s="780">
        <v>163</v>
      </c>
      <c r="P18" s="780">
        <v>131</v>
      </c>
      <c r="Q18" s="780">
        <v>163</v>
      </c>
      <c r="R18" s="780">
        <v>192</v>
      </c>
      <c r="S18" s="780">
        <v>146</v>
      </c>
      <c r="T18" s="780">
        <v>144</v>
      </c>
      <c r="U18" s="780">
        <v>160</v>
      </c>
      <c r="V18" s="780">
        <v>178</v>
      </c>
      <c r="W18" s="780">
        <v>109</v>
      </c>
      <c r="X18" s="780">
        <v>109</v>
      </c>
      <c r="Y18" s="780">
        <v>120</v>
      </c>
      <c r="Z18" s="780">
        <v>191</v>
      </c>
      <c r="AA18" s="780">
        <v>115</v>
      </c>
      <c r="AB18" s="780">
        <v>94</v>
      </c>
      <c r="AC18" s="780">
        <v>132</v>
      </c>
      <c r="AD18" s="780">
        <v>206</v>
      </c>
      <c r="AE18" s="780">
        <v>169</v>
      </c>
      <c r="AF18" s="780">
        <v>108</v>
      </c>
      <c r="AG18" s="780">
        <v>162</v>
      </c>
      <c r="AH18" s="780">
        <v>182</v>
      </c>
      <c r="AI18" s="780">
        <v>149</v>
      </c>
      <c r="AJ18" s="780">
        <v>140</v>
      </c>
      <c r="AK18" s="781">
        <f t="shared" ref="AK18:AK81" si="3">SUM(F18:AJ18)</f>
        <v>4202</v>
      </c>
      <c r="AL18" s="1111">
        <v>44.143705731944095</v>
      </c>
      <c r="AM18" s="1112">
        <f t="shared" ref="AM18:AM81" si="4">AK18*AL18/100</f>
        <v>1854.918514856291</v>
      </c>
      <c r="AN18" s="1112">
        <v>3883</v>
      </c>
      <c r="AO18" s="1180">
        <v>3.3942045124915396</v>
      </c>
      <c r="AP18" s="1112">
        <f t="shared" ref="AP18:AP19" si="5">AN18*AO18/100</f>
        <v>131.79696122004648</v>
      </c>
      <c r="AQ18" s="1114">
        <f t="shared" ref="AQ18:AQ81" si="6">AM18+AP18</f>
        <v>1986.7154760763376</v>
      </c>
      <c r="AR18" s="1157" t="s">
        <v>43</v>
      </c>
      <c r="AS18" s="388"/>
      <c r="AT18" s="388"/>
      <c r="AW18" s="1178">
        <f>10180/AN16*100</f>
        <v>3.3942045124915396</v>
      </c>
      <c r="AX18" s="404"/>
      <c r="AY18" s="404"/>
      <c r="AZ18" s="404"/>
      <c r="BA18" s="404"/>
      <c r="BB18" s="404"/>
      <c r="BC18" s="404"/>
      <c r="BD18" s="404"/>
      <c r="BE18" s="404"/>
      <c r="BF18" s="404"/>
      <c r="BG18" s="404"/>
      <c r="BH18" s="404"/>
      <c r="BI18" s="404"/>
      <c r="BJ18" s="404"/>
    </row>
    <row r="19" spans="1:62" ht="54" customHeight="1">
      <c r="A19" s="604">
        <v>3</v>
      </c>
      <c r="B19" s="604">
        <v>3</v>
      </c>
      <c r="C19" s="604" t="str">
        <f>'Chấm công KT'!C15</f>
        <v>02725</v>
      </c>
      <c r="D19" s="608" t="str">
        <f>'Chấm công KT'!D15</f>
        <v>T. Sa Văn</v>
      </c>
      <c r="E19" s="608"/>
      <c r="F19" s="780">
        <v>212</v>
      </c>
      <c r="G19" s="780">
        <v>0</v>
      </c>
      <c r="H19" s="780">
        <v>0</v>
      </c>
      <c r="I19" s="780">
        <v>141</v>
      </c>
      <c r="J19" s="780">
        <v>172</v>
      </c>
      <c r="K19" s="780">
        <v>183</v>
      </c>
      <c r="L19" s="780">
        <v>110</v>
      </c>
      <c r="M19" s="780">
        <v>200</v>
      </c>
      <c r="N19" s="780">
        <v>122</v>
      </c>
      <c r="O19" s="780">
        <v>170</v>
      </c>
      <c r="P19" s="780">
        <v>143</v>
      </c>
      <c r="Q19" s="780">
        <v>169</v>
      </c>
      <c r="R19" s="780">
        <v>170</v>
      </c>
      <c r="S19" s="780">
        <v>128</v>
      </c>
      <c r="T19" s="780">
        <v>142</v>
      </c>
      <c r="U19" s="780">
        <v>160</v>
      </c>
      <c r="V19" s="780">
        <v>166</v>
      </c>
      <c r="W19" s="780">
        <v>124</v>
      </c>
      <c r="X19" s="780">
        <v>124</v>
      </c>
      <c r="Y19" s="780">
        <v>157</v>
      </c>
      <c r="Z19" s="780">
        <v>124</v>
      </c>
      <c r="AA19" s="780">
        <v>104</v>
      </c>
      <c r="AB19" s="780">
        <v>110</v>
      </c>
      <c r="AC19" s="780">
        <v>140</v>
      </c>
      <c r="AD19" s="780">
        <v>153</v>
      </c>
      <c r="AE19" s="780">
        <v>137</v>
      </c>
      <c r="AF19" s="780">
        <v>152</v>
      </c>
      <c r="AG19" s="780">
        <v>180</v>
      </c>
      <c r="AH19" s="780">
        <v>216</v>
      </c>
      <c r="AI19" s="780">
        <v>122</v>
      </c>
      <c r="AJ19" s="780">
        <v>173</v>
      </c>
      <c r="AK19" s="781">
        <f t="shared" si="3"/>
        <v>4404</v>
      </c>
      <c r="AL19" s="1111">
        <v>44.143705731944095</v>
      </c>
      <c r="AM19" s="1112">
        <f t="shared" si="4"/>
        <v>1944.088800434818</v>
      </c>
      <c r="AN19" s="1112">
        <v>5035</v>
      </c>
      <c r="AO19" s="1180">
        <v>3.3942045124915401</v>
      </c>
      <c r="AP19" s="1112">
        <f t="shared" si="5"/>
        <v>170.89819720394905</v>
      </c>
      <c r="AQ19" s="1114">
        <f t="shared" si="6"/>
        <v>2114.9869976387672</v>
      </c>
      <c r="AR19" s="1157" t="s">
        <v>43</v>
      </c>
      <c r="AS19" s="388"/>
      <c r="AT19" s="388"/>
      <c r="AW19" s="776"/>
      <c r="AX19" s="404"/>
      <c r="AY19" s="404"/>
      <c r="AZ19" s="404"/>
      <c r="BA19" s="404"/>
      <c r="BB19" s="404"/>
      <c r="BC19" s="404"/>
      <c r="BD19" s="404"/>
      <c r="BE19" s="404"/>
      <c r="BF19" s="404"/>
      <c r="BG19" s="404"/>
      <c r="BH19" s="404"/>
      <c r="BI19" s="404"/>
      <c r="BJ19" s="404"/>
    </row>
    <row r="20" spans="1:62" ht="54" customHeight="1">
      <c r="A20" s="604">
        <v>4</v>
      </c>
      <c r="B20" s="604">
        <v>4</v>
      </c>
      <c r="C20" s="604" t="str">
        <f>'Chấm công KT'!C16</f>
        <v>04053</v>
      </c>
      <c r="D20" s="608" t="str">
        <f>'Chấm công KT'!D16</f>
        <v>Lăm Ma Thu</v>
      </c>
      <c r="E20" s="608"/>
      <c r="F20" s="780">
        <v>0</v>
      </c>
      <c r="G20" s="780">
        <v>0</v>
      </c>
      <c r="H20" s="780">
        <v>0</v>
      </c>
      <c r="I20" s="780">
        <v>76</v>
      </c>
      <c r="J20" s="780">
        <v>228</v>
      </c>
      <c r="K20" s="780">
        <v>170</v>
      </c>
      <c r="L20" s="780">
        <v>83</v>
      </c>
      <c r="M20" s="780">
        <v>145</v>
      </c>
      <c r="N20" s="780">
        <v>0</v>
      </c>
      <c r="O20" s="780">
        <v>122</v>
      </c>
      <c r="P20" s="780">
        <v>89</v>
      </c>
      <c r="Q20" s="780">
        <v>128</v>
      </c>
      <c r="R20" s="780">
        <v>221</v>
      </c>
      <c r="S20" s="780">
        <v>0</v>
      </c>
      <c r="T20" s="780">
        <v>0</v>
      </c>
      <c r="U20" s="780">
        <v>104</v>
      </c>
      <c r="V20" s="780">
        <v>0</v>
      </c>
      <c r="W20" s="780">
        <v>123</v>
      </c>
      <c r="X20" s="780">
        <v>161</v>
      </c>
      <c r="Y20" s="780">
        <v>119</v>
      </c>
      <c r="Z20" s="780">
        <v>199</v>
      </c>
      <c r="AA20" s="780">
        <v>129</v>
      </c>
      <c r="AB20" s="780">
        <v>101</v>
      </c>
      <c r="AC20" s="780">
        <v>100</v>
      </c>
      <c r="AD20" s="780">
        <v>203</v>
      </c>
      <c r="AE20" s="780">
        <v>60</v>
      </c>
      <c r="AF20" s="780">
        <v>91</v>
      </c>
      <c r="AG20" s="780">
        <v>155</v>
      </c>
      <c r="AH20" s="780">
        <v>175</v>
      </c>
      <c r="AI20" s="780">
        <v>87</v>
      </c>
      <c r="AJ20" s="780">
        <v>144</v>
      </c>
      <c r="AK20" s="781">
        <f t="shared" si="3"/>
        <v>3213</v>
      </c>
      <c r="AL20" s="1111">
        <v>44.143705731944095</v>
      </c>
      <c r="AM20" s="1112">
        <f t="shared" si="4"/>
        <v>1418.3372651673637</v>
      </c>
      <c r="AN20" s="1112">
        <v>3912</v>
      </c>
      <c r="AO20" s="1180">
        <v>3.3942045124915401</v>
      </c>
      <c r="AP20" s="1112">
        <f t="shared" ref="AP20:AP83" si="7">AN20*AO20/100</f>
        <v>132.78128052866904</v>
      </c>
      <c r="AQ20" s="1114">
        <f t="shared" si="6"/>
        <v>1551.1185456960327</v>
      </c>
      <c r="AR20" s="1157" t="s">
        <v>43</v>
      </c>
      <c r="AS20" s="388"/>
      <c r="AT20" s="388"/>
      <c r="AW20" s="776"/>
      <c r="AX20" s="404"/>
      <c r="AY20" s="404"/>
      <c r="AZ20" s="404"/>
      <c r="BA20" s="404"/>
      <c r="BB20" s="404"/>
      <c r="BC20" s="404"/>
      <c r="BD20" s="404"/>
      <c r="BE20" s="404"/>
      <c r="BF20" s="404"/>
      <c r="BG20" s="404"/>
      <c r="BH20" s="404"/>
      <c r="BI20" s="404"/>
      <c r="BJ20" s="404"/>
    </row>
    <row r="21" spans="1:62" ht="54" customHeight="1">
      <c r="A21" s="604">
        <v>5</v>
      </c>
      <c r="B21" s="604">
        <v>5</v>
      </c>
      <c r="C21" s="604" t="str">
        <f>'Chấm công KT'!C17</f>
        <v>03459</v>
      </c>
      <c r="D21" s="608" t="str">
        <f>'Chấm công KT'!D17</f>
        <v>N. Vạt</v>
      </c>
      <c r="E21" s="608"/>
      <c r="F21" s="780">
        <v>0</v>
      </c>
      <c r="G21" s="780">
        <v>63</v>
      </c>
      <c r="H21" s="780">
        <v>129</v>
      </c>
      <c r="I21" s="780">
        <v>60</v>
      </c>
      <c r="J21" s="780">
        <v>153</v>
      </c>
      <c r="K21" s="780">
        <v>90</v>
      </c>
      <c r="L21" s="780">
        <v>92</v>
      </c>
      <c r="M21" s="780">
        <v>154</v>
      </c>
      <c r="N21" s="780">
        <v>114</v>
      </c>
      <c r="O21" s="780">
        <v>80</v>
      </c>
      <c r="P21" s="780">
        <v>174</v>
      </c>
      <c r="Q21" s="780">
        <v>127</v>
      </c>
      <c r="R21" s="780">
        <v>0</v>
      </c>
      <c r="S21" s="780">
        <v>160</v>
      </c>
      <c r="T21" s="780">
        <v>167</v>
      </c>
      <c r="U21" s="780">
        <v>0</v>
      </c>
      <c r="V21" s="780">
        <v>141</v>
      </c>
      <c r="W21" s="780">
        <v>133</v>
      </c>
      <c r="X21" s="780">
        <v>207</v>
      </c>
      <c r="Y21" s="780">
        <v>198</v>
      </c>
      <c r="Z21" s="780">
        <v>0</v>
      </c>
      <c r="AA21" s="780">
        <v>112</v>
      </c>
      <c r="AB21" s="780">
        <v>155</v>
      </c>
      <c r="AC21" s="780">
        <v>156</v>
      </c>
      <c r="AD21" s="780">
        <v>180</v>
      </c>
      <c r="AE21" s="780">
        <v>0</v>
      </c>
      <c r="AF21" s="780">
        <v>118</v>
      </c>
      <c r="AG21" s="780">
        <v>156</v>
      </c>
      <c r="AH21" s="780">
        <v>162</v>
      </c>
      <c r="AI21" s="780">
        <v>169</v>
      </c>
      <c r="AJ21" s="780">
        <v>210</v>
      </c>
      <c r="AK21" s="781">
        <f t="shared" si="3"/>
        <v>3660</v>
      </c>
      <c r="AL21" s="1111">
        <v>44.143705731944095</v>
      </c>
      <c r="AM21" s="1112">
        <f t="shared" si="4"/>
        <v>1615.659629789154</v>
      </c>
      <c r="AN21" s="1112">
        <v>3471</v>
      </c>
      <c r="AO21" s="1180">
        <v>3.3942045124915401</v>
      </c>
      <c r="AP21" s="1112">
        <f t="shared" si="7"/>
        <v>117.81283862858136</v>
      </c>
      <c r="AQ21" s="1114">
        <f t="shared" si="6"/>
        <v>1733.4724684177354</v>
      </c>
      <c r="AR21" s="1157" t="s">
        <v>43</v>
      </c>
      <c r="AS21" s="388"/>
      <c r="AT21" s="388"/>
      <c r="AW21" s="776"/>
      <c r="AX21" s="404"/>
      <c r="AY21" s="404"/>
      <c r="AZ21" s="404"/>
      <c r="BA21" s="404"/>
      <c r="BB21" s="404"/>
      <c r="BC21" s="404"/>
      <c r="BD21" s="404"/>
      <c r="BE21" s="404"/>
      <c r="BF21" s="404"/>
      <c r="BG21" s="404"/>
      <c r="BH21" s="404"/>
      <c r="BI21" s="404"/>
      <c r="BJ21" s="404"/>
    </row>
    <row r="22" spans="1:62" ht="54" customHeight="1">
      <c r="A22" s="604">
        <v>6</v>
      </c>
      <c r="B22" s="604">
        <v>6</v>
      </c>
      <c r="C22" s="604" t="str">
        <f>'Chấm công KT'!C18</f>
        <v>04054</v>
      </c>
      <c r="D22" s="608" t="str">
        <f>'Chấm công KT'!D18</f>
        <v>N. Kay Son</v>
      </c>
      <c r="E22" s="608"/>
      <c r="F22" s="780">
        <v>0</v>
      </c>
      <c r="G22" s="780">
        <v>0</v>
      </c>
      <c r="H22" s="780">
        <v>100</v>
      </c>
      <c r="I22" s="780">
        <v>79</v>
      </c>
      <c r="J22" s="780">
        <v>148</v>
      </c>
      <c r="K22" s="780">
        <v>147</v>
      </c>
      <c r="L22" s="780">
        <v>117</v>
      </c>
      <c r="M22" s="780">
        <v>207</v>
      </c>
      <c r="N22" s="780">
        <v>150</v>
      </c>
      <c r="O22" s="780">
        <v>150</v>
      </c>
      <c r="P22" s="780">
        <v>166</v>
      </c>
      <c r="Q22" s="780">
        <v>198</v>
      </c>
      <c r="R22" s="780">
        <v>177</v>
      </c>
      <c r="S22" s="780">
        <v>141</v>
      </c>
      <c r="T22" s="780">
        <v>125</v>
      </c>
      <c r="U22" s="780">
        <v>161</v>
      </c>
      <c r="V22" s="780">
        <v>203</v>
      </c>
      <c r="W22" s="780">
        <v>106</v>
      </c>
      <c r="X22" s="780">
        <v>140</v>
      </c>
      <c r="Y22" s="780">
        <v>160</v>
      </c>
      <c r="Z22" s="780">
        <v>194</v>
      </c>
      <c r="AA22" s="780">
        <v>121</v>
      </c>
      <c r="AB22" s="780">
        <v>133</v>
      </c>
      <c r="AC22" s="780">
        <v>151</v>
      </c>
      <c r="AD22" s="780">
        <v>198</v>
      </c>
      <c r="AE22" s="780">
        <v>158</v>
      </c>
      <c r="AF22" s="780">
        <v>141</v>
      </c>
      <c r="AG22" s="780">
        <v>170</v>
      </c>
      <c r="AH22" s="780">
        <v>226</v>
      </c>
      <c r="AI22" s="780">
        <v>122</v>
      </c>
      <c r="AJ22" s="780">
        <v>160</v>
      </c>
      <c r="AK22" s="781">
        <f t="shared" si="3"/>
        <v>4449</v>
      </c>
      <c r="AL22" s="1111">
        <v>44.143705731944095</v>
      </c>
      <c r="AM22" s="1112">
        <f t="shared" si="4"/>
        <v>1963.9534680141928</v>
      </c>
      <c r="AN22" s="1112">
        <v>4292</v>
      </c>
      <c r="AO22" s="1180">
        <v>3.3942045124915401</v>
      </c>
      <c r="AP22" s="1112">
        <f t="shared" si="7"/>
        <v>145.6792576761369</v>
      </c>
      <c r="AQ22" s="1114">
        <f t="shared" si="6"/>
        <v>2109.6327256903296</v>
      </c>
      <c r="AR22" s="1157" t="s">
        <v>43</v>
      </c>
      <c r="AS22" s="388"/>
      <c r="AT22" s="388"/>
      <c r="AW22" s="776"/>
    </row>
    <row r="23" spans="1:62" ht="54" customHeight="1">
      <c r="A23" s="604">
        <v>7</v>
      </c>
      <c r="B23" s="604">
        <v>7</v>
      </c>
      <c r="C23" s="604" t="str">
        <f>'Chấm công KT'!C19</f>
        <v>04055</v>
      </c>
      <c r="D23" s="608" t="str">
        <f>'Chấm công KT'!D19</f>
        <v>T. Đèng 1</v>
      </c>
      <c r="E23" s="608"/>
      <c r="F23" s="780">
        <v>0</v>
      </c>
      <c r="G23" s="780">
        <v>0</v>
      </c>
      <c r="H23" s="780">
        <v>135</v>
      </c>
      <c r="I23" s="780">
        <v>157</v>
      </c>
      <c r="J23" s="780">
        <v>195</v>
      </c>
      <c r="K23" s="780">
        <v>123</v>
      </c>
      <c r="L23" s="780">
        <v>143</v>
      </c>
      <c r="M23" s="780">
        <v>162</v>
      </c>
      <c r="N23" s="780">
        <v>115</v>
      </c>
      <c r="O23" s="780">
        <v>104</v>
      </c>
      <c r="P23" s="780">
        <v>136</v>
      </c>
      <c r="Q23" s="780">
        <v>159</v>
      </c>
      <c r="R23" s="780">
        <v>179</v>
      </c>
      <c r="S23" s="780">
        <v>164</v>
      </c>
      <c r="T23" s="780">
        <v>131</v>
      </c>
      <c r="U23" s="780">
        <v>176</v>
      </c>
      <c r="V23" s="780">
        <v>141</v>
      </c>
      <c r="W23" s="780">
        <v>161</v>
      </c>
      <c r="X23" s="780">
        <v>119</v>
      </c>
      <c r="Y23" s="780">
        <v>138</v>
      </c>
      <c r="Z23" s="780">
        <v>152</v>
      </c>
      <c r="AA23" s="780">
        <v>101</v>
      </c>
      <c r="AB23" s="780">
        <v>0</v>
      </c>
      <c r="AC23" s="780">
        <v>145</v>
      </c>
      <c r="AD23" s="780">
        <v>95</v>
      </c>
      <c r="AE23" s="780">
        <v>146</v>
      </c>
      <c r="AF23" s="780">
        <v>144</v>
      </c>
      <c r="AG23" s="780">
        <v>170</v>
      </c>
      <c r="AH23" s="780">
        <v>141</v>
      </c>
      <c r="AI23" s="780">
        <v>115</v>
      </c>
      <c r="AJ23" s="780">
        <v>106</v>
      </c>
      <c r="AK23" s="781">
        <f t="shared" si="3"/>
        <v>3953</v>
      </c>
      <c r="AL23" s="1111">
        <v>44.143705731944095</v>
      </c>
      <c r="AM23" s="1112">
        <f t="shared" si="4"/>
        <v>1745.0006875837501</v>
      </c>
      <c r="AN23" s="1112">
        <v>3779</v>
      </c>
      <c r="AO23" s="1180">
        <v>3.3942045124915401</v>
      </c>
      <c r="AP23" s="1112">
        <f t="shared" si="7"/>
        <v>128.2669885270553</v>
      </c>
      <c r="AQ23" s="1114">
        <f t="shared" si="6"/>
        <v>1873.2676761108053</v>
      </c>
      <c r="AR23" s="1157" t="s">
        <v>36</v>
      </c>
      <c r="AS23" s="388"/>
      <c r="AT23" s="388"/>
      <c r="AW23" s="776"/>
    </row>
    <row r="24" spans="1:62" ht="54" customHeight="1">
      <c r="A24" s="604">
        <v>8</v>
      </c>
      <c r="B24" s="604">
        <v>8</v>
      </c>
      <c r="C24" s="604" t="str">
        <f>'Chấm công KT'!C20</f>
        <v>03462</v>
      </c>
      <c r="D24" s="608" t="str">
        <f>'Chấm công KT'!D20</f>
        <v>T . Bua Ngân</v>
      </c>
      <c r="E24" s="608"/>
      <c r="F24" s="780">
        <v>0</v>
      </c>
      <c r="G24" s="780">
        <v>126</v>
      </c>
      <c r="H24" s="780">
        <v>110</v>
      </c>
      <c r="I24" s="780">
        <v>131</v>
      </c>
      <c r="J24" s="780">
        <v>194</v>
      </c>
      <c r="K24" s="780">
        <v>117</v>
      </c>
      <c r="L24" s="780">
        <v>102</v>
      </c>
      <c r="M24" s="780">
        <v>158</v>
      </c>
      <c r="N24" s="780">
        <v>83</v>
      </c>
      <c r="O24" s="780">
        <v>159</v>
      </c>
      <c r="P24" s="780">
        <v>126</v>
      </c>
      <c r="Q24" s="780">
        <v>154</v>
      </c>
      <c r="R24" s="780">
        <v>114</v>
      </c>
      <c r="S24" s="780">
        <v>123</v>
      </c>
      <c r="T24" s="780">
        <v>0</v>
      </c>
      <c r="U24" s="780">
        <v>0</v>
      </c>
      <c r="V24" s="780">
        <v>137</v>
      </c>
      <c r="W24" s="780">
        <v>114</v>
      </c>
      <c r="X24" s="780">
        <v>154</v>
      </c>
      <c r="Y24" s="780">
        <v>222</v>
      </c>
      <c r="Z24" s="780">
        <v>151</v>
      </c>
      <c r="AA24" s="780">
        <v>118</v>
      </c>
      <c r="AB24" s="780">
        <v>115</v>
      </c>
      <c r="AC24" s="780">
        <v>131</v>
      </c>
      <c r="AD24" s="780">
        <v>116</v>
      </c>
      <c r="AE24" s="780">
        <v>0</v>
      </c>
      <c r="AF24" s="780">
        <v>111</v>
      </c>
      <c r="AG24" s="780">
        <v>158</v>
      </c>
      <c r="AH24" s="780">
        <v>95</v>
      </c>
      <c r="AI24" s="780">
        <v>178</v>
      </c>
      <c r="AJ24" s="780">
        <v>122</v>
      </c>
      <c r="AK24" s="781">
        <f t="shared" si="3"/>
        <v>3619</v>
      </c>
      <c r="AL24" s="1111">
        <v>44.143705731944095</v>
      </c>
      <c r="AM24" s="1112">
        <f t="shared" si="4"/>
        <v>1597.5607104390569</v>
      </c>
      <c r="AN24" s="1112">
        <v>3373</v>
      </c>
      <c r="AO24" s="1180">
        <v>3.3942045124915401</v>
      </c>
      <c r="AP24" s="1112">
        <f t="shared" si="7"/>
        <v>114.48651820633964</v>
      </c>
      <c r="AQ24" s="1114">
        <f>AM24+AP24</f>
        <v>1712.0472286453967</v>
      </c>
      <c r="AR24" s="1157" t="s">
        <v>36</v>
      </c>
      <c r="AS24" s="388"/>
      <c r="AT24" s="388"/>
      <c r="AW24" s="776"/>
    </row>
    <row r="25" spans="1:62" ht="54" customHeight="1">
      <c r="A25" s="604">
        <v>9</v>
      </c>
      <c r="B25" s="604">
        <v>9</v>
      </c>
      <c r="C25" s="604" t="str">
        <f>'Chấm công KT'!C21</f>
        <v>03463</v>
      </c>
      <c r="D25" s="608" t="str">
        <f>'Chấm công KT'!D21</f>
        <v>T Căng</v>
      </c>
      <c r="E25" s="608"/>
      <c r="F25" s="780">
        <v>0</v>
      </c>
      <c r="G25" s="780">
        <v>130</v>
      </c>
      <c r="H25" s="780">
        <v>141</v>
      </c>
      <c r="I25" s="780">
        <v>77</v>
      </c>
      <c r="J25" s="780">
        <v>204</v>
      </c>
      <c r="K25" s="780">
        <v>91</v>
      </c>
      <c r="L25" s="780">
        <v>101</v>
      </c>
      <c r="M25" s="780">
        <v>172</v>
      </c>
      <c r="N25" s="780">
        <v>106</v>
      </c>
      <c r="O25" s="780">
        <v>94</v>
      </c>
      <c r="P25" s="780">
        <v>253</v>
      </c>
      <c r="Q25" s="780">
        <v>158</v>
      </c>
      <c r="R25" s="780">
        <v>143</v>
      </c>
      <c r="S25" s="780">
        <v>176</v>
      </c>
      <c r="T25" s="780">
        <v>182</v>
      </c>
      <c r="U25" s="780">
        <v>0</v>
      </c>
      <c r="V25" s="780">
        <v>160</v>
      </c>
      <c r="W25" s="780">
        <v>153</v>
      </c>
      <c r="X25" s="780">
        <v>237</v>
      </c>
      <c r="Y25" s="780">
        <v>322</v>
      </c>
      <c r="Z25" s="780">
        <v>145</v>
      </c>
      <c r="AA25" s="780">
        <v>162</v>
      </c>
      <c r="AB25" s="780">
        <v>138</v>
      </c>
      <c r="AC25" s="780">
        <v>171</v>
      </c>
      <c r="AD25" s="780">
        <v>181</v>
      </c>
      <c r="AE25" s="780">
        <v>125</v>
      </c>
      <c r="AF25" s="780">
        <v>131</v>
      </c>
      <c r="AG25" s="780">
        <v>171</v>
      </c>
      <c r="AH25" s="780">
        <v>143</v>
      </c>
      <c r="AI25" s="780">
        <v>151</v>
      </c>
      <c r="AJ25" s="780">
        <v>235</v>
      </c>
      <c r="AK25" s="781">
        <f t="shared" si="3"/>
        <v>4653</v>
      </c>
      <c r="AL25" s="1111">
        <v>44.143705731944095</v>
      </c>
      <c r="AM25" s="1112">
        <f t="shared" si="4"/>
        <v>2054.0066277073588</v>
      </c>
      <c r="AN25" s="1112">
        <v>4784</v>
      </c>
      <c r="AO25" s="1180">
        <v>3.3942045124915401</v>
      </c>
      <c r="AP25" s="1112">
        <f t="shared" si="7"/>
        <v>162.37874387759527</v>
      </c>
      <c r="AQ25" s="1114">
        <f t="shared" si="6"/>
        <v>2216.3853715849541</v>
      </c>
      <c r="AR25" s="1157" t="s">
        <v>36</v>
      </c>
      <c r="AS25" s="388"/>
      <c r="AT25" s="388"/>
      <c r="AW25" s="776"/>
    </row>
    <row r="26" spans="1:62" ht="54" customHeight="1">
      <c r="A26" s="604">
        <v>10</v>
      </c>
      <c r="B26" s="604">
        <v>10</v>
      </c>
      <c r="C26" s="604" t="str">
        <f>'Chấm công KT'!C22</f>
        <v>03464</v>
      </c>
      <c r="D26" s="608" t="str">
        <f>'Chấm công KT'!D22</f>
        <v>N. Phôn 1</v>
      </c>
      <c r="E26" s="608"/>
      <c r="F26" s="780">
        <v>0</v>
      </c>
      <c r="G26" s="780">
        <v>136</v>
      </c>
      <c r="H26" s="780">
        <v>122</v>
      </c>
      <c r="I26" s="780">
        <v>84</v>
      </c>
      <c r="J26" s="780">
        <v>214</v>
      </c>
      <c r="K26" s="780">
        <v>100</v>
      </c>
      <c r="L26" s="780">
        <v>124</v>
      </c>
      <c r="M26" s="780">
        <v>191</v>
      </c>
      <c r="N26" s="780">
        <v>104</v>
      </c>
      <c r="O26" s="780">
        <v>94</v>
      </c>
      <c r="P26" s="780">
        <v>251</v>
      </c>
      <c r="Q26" s="780">
        <v>179</v>
      </c>
      <c r="R26" s="780">
        <v>141</v>
      </c>
      <c r="S26" s="780">
        <v>181</v>
      </c>
      <c r="T26" s="780">
        <v>180</v>
      </c>
      <c r="U26" s="780">
        <v>0</v>
      </c>
      <c r="V26" s="780">
        <v>120</v>
      </c>
      <c r="W26" s="780">
        <v>160</v>
      </c>
      <c r="X26" s="780">
        <v>240</v>
      </c>
      <c r="Y26" s="780">
        <v>312</v>
      </c>
      <c r="Z26" s="780">
        <v>150</v>
      </c>
      <c r="AA26" s="780">
        <v>161</v>
      </c>
      <c r="AB26" s="780">
        <v>160</v>
      </c>
      <c r="AC26" s="780">
        <v>186</v>
      </c>
      <c r="AD26" s="780">
        <v>175</v>
      </c>
      <c r="AE26" s="780">
        <v>120</v>
      </c>
      <c r="AF26" s="780">
        <v>158</v>
      </c>
      <c r="AG26" s="780">
        <v>184</v>
      </c>
      <c r="AH26" s="780">
        <v>147</v>
      </c>
      <c r="AI26" s="780">
        <v>161</v>
      </c>
      <c r="AJ26" s="780">
        <v>250</v>
      </c>
      <c r="AK26" s="781">
        <f t="shared" si="3"/>
        <v>4785</v>
      </c>
      <c r="AL26" s="1111">
        <v>44.143705731944095</v>
      </c>
      <c r="AM26" s="1112">
        <f t="shared" si="4"/>
        <v>2112.2763192735247</v>
      </c>
      <c r="AN26" s="1112">
        <v>4831</v>
      </c>
      <c r="AO26" s="1180">
        <v>3.3942045124915401</v>
      </c>
      <c r="AP26" s="1112">
        <f t="shared" si="7"/>
        <v>163.97401999846633</v>
      </c>
      <c r="AQ26" s="1114">
        <f t="shared" si="6"/>
        <v>2276.2503392719909</v>
      </c>
      <c r="AR26" s="1157" t="s">
        <v>36</v>
      </c>
      <c r="AS26" s="388"/>
      <c r="AT26" s="388"/>
      <c r="AW26" s="776"/>
    </row>
    <row r="27" spans="1:62" ht="54" customHeight="1">
      <c r="A27" s="604">
        <v>11</v>
      </c>
      <c r="B27" s="604">
        <v>11</v>
      </c>
      <c r="C27" s="604" t="str">
        <f>'Chấm công KT'!C23</f>
        <v>03465</v>
      </c>
      <c r="D27" s="608" t="str">
        <f>'Chấm công KT'!D23</f>
        <v>T. In Păn</v>
      </c>
      <c r="E27" s="608"/>
      <c r="F27" s="780">
        <v>0</v>
      </c>
      <c r="G27" s="780">
        <v>106</v>
      </c>
      <c r="H27" s="780">
        <v>138</v>
      </c>
      <c r="I27" s="780">
        <v>0</v>
      </c>
      <c r="J27" s="780">
        <v>203</v>
      </c>
      <c r="K27" s="780">
        <v>90</v>
      </c>
      <c r="L27" s="780">
        <v>135</v>
      </c>
      <c r="M27" s="780">
        <v>213</v>
      </c>
      <c r="N27" s="780">
        <v>0</v>
      </c>
      <c r="O27" s="780">
        <v>56</v>
      </c>
      <c r="P27" s="780">
        <v>194</v>
      </c>
      <c r="Q27" s="780">
        <v>170</v>
      </c>
      <c r="R27" s="780">
        <v>192</v>
      </c>
      <c r="S27" s="780">
        <v>107</v>
      </c>
      <c r="T27" s="780">
        <v>194</v>
      </c>
      <c r="U27" s="780">
        <v>164</v>
      </c>
      <c r="V27" s="780">
        <v>148</v>
      </c>
      <c r="W27" s="780">
        <v>110</v>
      </c>
      <c r="X27" s="780">
        <v>186</v>
      </c>
      <c r="Y27" s="780">
        <v>154</v>
      </c>
      <c r="Z27" s="780">
        <v>202</v>
      </c>
      <c r="AA27" s="780">
        <v>0</v>
      </c>
      <c r="AB27" s="780">
        <v>150</v>
      </c>
      <c r="AC27" s="780">
        <v>132</v>
      </c>
      <c r="AD27" s="780">
        <v>140</v>
      </c>
      <c r="AE27" s="780">
        <v>140</v>
      </c>
      <c r="AF27" s="780">
        <v>207</v>
      </c>
      <c r="AG27" s="780">
        <v>216</v>
      </c>
      <c r="AH27" s="780">
        <v>174</v>
      </c>
      <c r="AI27" s="780">
        <v>0</v>
      </c>
      <c r="AJ27" s="780">
        <v>176</v>
      </c>
      <c r="AK27" s="781">
        <f t="shared" si="3"/>
        <v>4097</v>
      </c>
      <c r="AL27" s="1111">
        <v>44.143705731944095</v>
      </c>
      <c r="AM27" s="1112">
        <f t="shared" si="4"/>
        <v>1808.5676238377498</v>
      </c>
      <c r="AN27" s="1112">
        <v>3949</v>
      </c>
      <c r="AO27" s="1180">
        <v>3.3942045124915401</v>
      </c>
      <c r="AP27" s="1112">
        <f t="shared" si="7"/>
        <v>134.03713619829091</v>
      </c>
      <c r="AQ27" s="1114">
        <f t="shared" si="6"/>
        <v>1942.6047600360407</v>
      </c>
      <c r="AR27" s="1157" t="s">
        <v>36</v>
      </c>
      <c r="AS27" s="388"/>
      <c r="AT27" s="388"/>
    </row>
    <row r="28" spans="1:62" ht="54" customHeight="1">
      <c r="A28" s="604">
        <v>12</v>
      </c>
      <c r="B28" s="604">
        <v>12</v>
      </c>
      <c r="C28" s="604" t="str">
        <f>'Chấm công KT'!C24</f>
        <v>03466</v>
      </c>
      <c r="D28" s="608" t="str">
        <f>'Chấm công KT'!D24</f>
        <v>N. Keo</v>
      </c>
      <c r="E28" s="608"/>
      <c r="F28" s="780">
        <v>0</v>
      </c>
      <c r="G28" s="780">
        <v>106</v>
      </c>
      <c r="H28" s="780">
        <v>110</v>
      </c>
      <c r="I28" s="780">
        <v>90</v>
      </c>
      <c r="J28" s="780">
        <v>211</v>
      </c>
      <c r="K28" s="780">
        <v>88</v>
      </c>
      <c r="L28" s="780">
        <v>96</v>
      </c>
      <c r="M28" s="780">
        <v>162</v>
      </c>
      <c r="N28" s="780">
        <v>92</v>
      </c>
      <c r="O28" s="780">
        <v>180</v>
      </c>
      <c r="P28" s="780">
        <v>228</v>
      </c>
      <c r="Q28" s="780">
        <v>142</v>
      </c>
      <c r="R28" s="780">
        <v>186</v>
      </c>
      <c r="S28" s="780">
        <v>158</v>
      </c>
      <c r="T28" s="780">
        <v>178</v>
      </c>
      <c r="U28" s="780">
        <v>116</v>
      </c>
      <c r="V28" s="780">
        <v>156</v>
      </c>
      <c r="W28" s="780">
        <v>120</v>
      </c>
      <c r="X28" s="780">
        <v>154</v>
      </c>
      <c r="Y28" s="780">
        <v>0</v>
      </c>
      <c r="Z28" s="780">
        <v>188</v>
      </c>
      <c r="AA28" s="780">
        <v>138</v>
      </c>
      <c r="AB28" s="780">
        <v>164</v>
      </c>
      <c r="AC28" s="780">
        <v>146</v>
      </c>
      <c r="AD28" s="780">
        <v>180</v>
      </c>
      <c r="AE28" s="780">
        <v>156</v>
      </c>
      <c r="AF28" s="780">
        <v>205</v>
      </c>
      <c r="AG28" s="780">
        <v>160</v>
      </c>
      <c r="AH28" s="780">
        <v>213</v>
      </c>
      <c r="AI28" s="780">
        <v>124</v>
      </c>
      <c r="AJ28" s="780">
        <v>263</v>
      </c>
      <c r="AK28" s="781">
        <f t="shared" si="3"/>
        <v>4510</v>
      </c>
      <c r="AL28" s="1111">
        <v>44.143705731944095</v>
      </c>
      <c r="AM28" s="1112">
        <f t="shared" si="4"/>
        <v>1990.8811285106788</v>
      </c>
      <c r="AN28" s="1112">
        <v>4330</v>
      </c>
      <c r="AO28" s="1180">
        <v>3.3942045124915401</v>
      </c>
      <c r="AP28" s="1112">
        <f t="shared" si="7"/>
        <v>146.96905539088368</v>
      </c>
      <c r="AQ28" s="1114">
        <f t="shared" si="6"/>
        <v>2137.8501839015626</v>
      </c>
      <c r="AR28" s="1157" t="s">
        <v>36</v>
      </c>
      <c r="AS28" s="388"/>
      <c r="AT28" s="388"/>
    </row>
    <row r="29" spans="1:62" ht="54" customHeight="1">
      <c r="A29" s="604">
        <v>13</v>
      </c>
      <c r="B29" s="604">
        <v>13</v>
      </c>
      <c r="C29" s="604" t="str">
        <f>'Chấm công KT'!C25</f>
        <v>02727</v>
      </c>
      <c r="D29" s="608" t="str">
        <f>'Chấm công KT'!D25</f>
        <v>T. Thong Đon</v>
      </c>
      <c r="E29" s="608"/>
      <c r="F29" s="780">
        <v>0</v>
      </c>
      <c r="G29" s="780">
        <v>170</v>
      </c>
      <c r="H29" s="780">
        <v>146</v>
      </c>
      <c r="I29" s="780">
        <v>81</v>
      </c>
      <c r="J29" s="780">
        <v>191</v>
      </c>
      <c r="K29" s="780">
        <v>105</v>
      </c>
      <c r="L29" s="780">
        <v>100</v>
      </c>
      <c r="M29" s="780">
        <v>213</v>
      </c>
      <c r="N29" s="780">
        <v>93</v>
      </c>
      <c r="O29" s="780">
        <v>104</v>
      </c>
      <c r="P29" s="780">
        <v>222</v>
      </c>
      <c r="Q29" s="780">
        <v>133</v>
      </c>
      <c r="R29" s="780">
        <v>163</v>
      </c>
      <c r="S29" s="780">
        <v>186</v>
      </c>
      <c r="T29" s="780">
        <v>173</v>
      </c>
      <c r="U29" s="780">
        <v>120</v>
      </c>
      <c r="V29" s="780">
        <v>128</v>
      </c>
      <c r="W29" s="780">
        <v>207</v>
      </c>
      <c r="X29" s="780">
        <v>201</v>
      </c>
      <c r="Y29" s="780">
        <v>162</v>
      </c>
      <c r="Z29" s="780">
        <v>141</v>
      </c>
      <c r="AA29" s="780">
        <v>121</v>
      </c>
      <c r="AB29" s="780">
        <v>189</v>
      </c>
      <c r="AC29" s="780">
        <v>109</v>
      </c>
      <c r="AD29" s="780">
        <v>108</v>
      </c>
      <c r="AE29" s="780">
        <v>110</v>
      </c>
      <c r="AF29" s="780">
        <v>169</v>
      </c>
      <c r="AG29" s="780">
        <v>182</v>
      </c>
      <c r="AH29" s="780">
        <v>188</v>
      </c>
      <c r="AI29" s="780">
        <v>161</v>
      </c>
      <c r="AJ29" s="780">
        <v>274</v>
      </c>
      <c r="AK29" s="781">
        <f t="shared" si="3"/>
        <v>4650</v>
      </c>
      <c r="AL29" s="1111">
        <v>44.143705731944095</v>
      </c>
      <c r="AM29" s="1112">
        <f t="shared" si="4"/>
        <v>2052.6823165354003</v>
      </c>
      <c r="AN29" s="1112">
        <v>4257</v>
      </c>
      <c r="AO29" s="1180">
        <v>3.3942045124915401</v>
      </c>
      <c r="AP29" s="1112">
        <f t="shared" si="7"/>
        <v>144.49128609676487</v>
      </c>
      <c r="AQ29" s="1114">
        <f t="shared" si="6"/>
        <v>2197.1736026321651</v>
      </c>
      <c r="AR29" s="1157" t="s">
        <v>43</v>
      </c>
      <c r="AS29" s="388"/>
      <c r="AT29" s="388"/>
    </row>
    <row r="30" spans="1:62" ht="54" customHeight="1">
      <c r="A30" s="604">
        <v>14</v>
      </c>
      <c r="B30" s="604">
        <v>14</v>
      </c>
      <c r="C30" s="604" t="str">
        <f>'Chấm công KT'!C26</f>
        <v>03467</v>
      </c>
      <c r="D30" s="608" t="str">
        <f>'Chấm công KT'!D26</f>
        <v>T. Hin</v>
      </c>
      <c r="E30" s="608"/>
      <c r="F30" s="780">
        <v>0</v>
      </c>
      <c r="G30" s="780">
        <v>128</v>
      </c>
      <c r="H30" s="780">
        <v>81</v>
      </c>
      <c r="I30" s="780">
        <v>71</v>
      </c>
      <c r="J30" s="780">
        <v>145</v>
      </c>
      <c r="K30" s="780">
        <v>111</v>
      </c>
      <c r="L30" s="780">
        <v>0</v>
      </c>
      <c r="M30" s="780">
        <v>200</v>
      </c>
      <c r="N30" s="780">
        <v>76</v>
      </c>
      <c r="O30" s="780">
        <v>120</v>
      </c>
      <c r="P30" s="780">
        <v>222</v>
      </c>
      <c r="Q30" s="780">
        <v>112</v>
      </c>
      <c r="R30" s="780">
        <v>113</v>
      </c>
      <c r="S30" s="780">
        <v>147</v>
      </c>
      <c r="T30" s="780">
        <v>130</v>
      </c>
      <c r="U30" s="780">
        <v>0</v>
      </c>
      <c r="V30" s="780">
        <v>142</v>
      </c>
      <c r="W30" s="780">
        <v>200</v>
      </c>
      <c r="X30" s="780">
        <v>109</v>
      </c>
      <c r="Y30" s="780">
        <v>158</v>
      </c>
      <c r="Z30" s="780">
        <v>119</v>
      </c>
      <c r="AA30" s="780">
        <v>152</v>
      </c>
      <c r="AB30" s="780">
        <v>110</v>
      </c>
      <c r="AC30" s="780">
        <v>97</v>
      </c>
      <c r="AD30" s="780">
        <v>134</v>
      </c>
      <c r="AE30" s="780">
        <v>178</v>
      </c>
      <c r="AF30" s="780">
        <v>112</v>
      </c>
      <c r="AG30" s="780">
        <v>91</v>
      </c>
      <c r="AH30" s="780">
        <v>144</v>
      </c>
      <c r="AI30" s="780">
        <v>146</v>
      </c>
      <c r="AJ30" s="780">
        <v>172</v>
      </c>
      <c r="AK30" s="781">
        <f t="shared" si="3"/>
        <v>3720</v>
      </c>
      <c r="AL30" s="1111">
        <v>44.143705731944095</v>
      </c>
      <c r="AM30" s="1112">
        <f t="shared" si="4"/>
        <v>1642.1458532283204</v>
      </c>
      <c r="AN30" s="1112">
        <v>3486</v>
      </c>
      <c r="AO30" s="1180">
        <v>3.3942045124915401</v>
      </c>
      <c r="AP30" s="1112">
        <f t="shared" si="7"/>
        <v>118.3219693054551</v>
      </c>
      <c r="AQ30" s="1114">
        <f t="shared" si="6"/>
        <v>1760.4678225337755</v>
      </c>
      <c r="AR30" s="1157" t="s">
        <v>36</v>
      </c>
      <c r="AS30" s="388"/>
      <c r="AT30" s="388"/>
    </row>
    <row r="31" spans="1:62" ht="54" customHeight="1">
      <c r="A31" s="604">
        <v>15</v>
      </c>
      <c r="B31" s="604">
        <v>15</v>
      </c>
      <c r="C31" s="604" t="str">
        <f>'Chấm công KT'!C27</f>
        <v>04056</v>
      </c>
      <c r="D31" s="608" t="str">
        <f>'Chấm công KT'!D27</f>
        <v>N. Ly Phon</v>
      </c>
      <c r="E31" s="608"/>
      <c r="F31" s="780">
        <v>0</v>
      </c>
      <c r="G31" s="780">
        <v>0</v>
      </c>
      <c r="H31" s="780">
        <v>75</v>
      </c>
      <c r="I31" s="780">
        <v>118</v>
      </c>
      <c r="J31" s="780">
        <v>156</v>
      </c>
      <c r="K31" s="780">
        <v>181</v>
      </c>
      <c r="L31" s="780">
        <v>85</v>
      </c>
      <c r="M31" s="780">
        <v>153</v>
      </c>
      <c r="N31" s="780">
        <v>86</v>
      </c>
      <c r="O31" s="780">
        <v>146</v>
      </c>
      <c r="P31" s="780">
        <v>157</v>
      </c>
      <c r="Q31" s="780">
        <v>150</v>
      </c>
      <c r="R31" s="780">
        <v>149</v>
      </c>
      <c r="S31" s="780">
        <v>124</v>
      </c>
      <c r="T31" s="780">
        <v>160</v>
      </c>
      <c r="U31" s="780">
        <v>166</v>
      </c>
      <c r="V31" s="780">
        <v>125</v>
      </c>
      <c r="W31" s="780">
        <v>131</v>
      </c>
      <c r="X31" s="780">
        <v>147</v>
      </c>
      <c r="Y31" s="780">
        <v>126</v>
      </c>
      <c r="Z31" s="780">
        <v>130</v>
      </c>
      <c r="AA31" s="780">
        <v>0</v>
      </c>
      <c r="AB31" s="780">
        <v>142</v>
      </c>
      <c r="AC31" s="780">
        <v>118</v>
      </c>
      <c r="AD31" s="780">
        <v>110</v>
      </c>
      <c r="AE31" s="780">
        <v>202</v>
      </c>
      <c r="AF31" s="780">
        <v>108</v>
      </c>
      <c r="AG31" s="780">
        <v>161</v>
      </c>
      <c r="AH31" s="780">
        <v>154</v>
      </c>
      <c r="AI31" s="780">
        <v>144</v>
      </c>
      <c r="AJ31" s="780">
        <v>189</v>
      </c>
      <c r="AK31" s="781">
        <f t="shared" si="3"/>
        <v>3893</v>
      </c>
      <c r="AL31" s="1111">
        <v>44.143705731944095</v>
      </c>
      <c r="AM31" s="1112">
        <f t="shared" si="4"/>
        <v>1718.5144641445836</v>
      </c>
      <c r="AN31" s="1112">
        <v>3436</v>
      </c>
      <c r="AO31" s="1180">
        <v>3.3942045124915401</v>
      </c>
      <c r="AP31" s="1112">
        <f t="shared" si="7"/>
        <v>116.62486704920931</v>
      </c>
      <c r="AQ31" s="1114">
        <f t="shared" si="6"/>
        <v>1835.1393311937929</v>
      </c>
      <c r="AR31" s="1157" t="s">
        <v>36</v>
      </c>
      <c r="AS31" s="388"/>
      <c r="AT31" s="388"/>
    </row>
    <row r="32" spans="1:62" ht="54" customHeight="1">
      <c r="A32" s="604">
        <v>16</v>
      </c>
      <c r="B32" s="604">
        <v>16</v>
      </c>
      <c r="C32" s="604" t="str">
        <f>'Chấm công KT'!C28</f>
        <v>03469</v>
      </c>
      <c r="D32" s="608" t="str">
        <f>'Chấm công KT'!D28</f>
        <v>T. Xôm Va Nít</v>
      </c>
      <c r="E32" s="608"/>
      <c r="F32" s="780">
        <v>0</v>
      </c>
      <c r="G32" s="780">
        <v>115</v>
      </c>
      <c r="H32" s="780">
        <v>97</v>
      </c>
      <c r="I32" s="780">
        <v>90</v>
      </c>
      <c r="J32" s="780">
        <v>218</v>
      </c>
      <c r="K32" s="780">
        <v>115</v>
      </c>
      <c r="L32" s="780">
        <v>109</v>
      </c>
      <c r="M32" s="780">
        <v>164</v>
      </c>
      <c r="N32" s="780">
        <v>120</v>
      </c>
      <c r="O32" s="780">
        <v>171</v>
      </c>
      <c r="P32" s="780">
        <v>214</v>
      </c>
      <c r="Q32" s="780">
        <v>144</v>
      </c>
      <c r="R32" s="780">
        <v>192</v>
      </c>
      <c r="S32" s="780">
        <v>148</v>
      </c>
      <c r="T32" s="780">
        <v>179</v>
      </c>
      <c r="U32" s="780">
        <v>121</v>
      </c>
      <c r="V32" s="780">
        <v>149</v>
      </c>
      <c r="W32" s="780">
        <v>118</v>
      </c>
      <c r="X32" s="780">
        <v>160</v>
      </c>
      <c r="Y32" s="780">
        <v>0</v>
      </c>
      <c r="Z32" s="780">
        <v>89</v>
      </c>
      <c r="AA32" s="780">
        <v>138</v>
      </c>
      <c r="AB32" s="780">
        <v>182</v>
      </c>
      <c r="AC32" s="780">
        <v>146</v>
      </c>
      <c r="AD32" s="780">
        <v>180</v>
      </c>
      <c r="AE32" s="780">
        <v>160</v>
      </c>
      <c r="AF32" s="780">
        <v>204</v>
      </c>
      <c r="AG32" s="780">
        <v>168</v>
      </c>
      <c r="AH32" s="780">
        <v>181</v>
      </c>
      <c r="AI32" s="780">
        <v>110</v>
      </c>
      <c r="AJ32" s="780">
        <v>230</v>
      </c>
      <c r="AK32" s="781">
        <f t="shared" si="3"/>
        <v>4412</v>
      </c>
      <c r="AL32" s="1111">
        <v>44.143705731944095</v>
      </c>
      <c r="AM32" s="1112">
        <f t="shared" si="4"/>
        <v>1947.6202968933735</v>
      </c>
      <c r="AN32" s="1112">
        <v>4353</v>
      </c>
      <c r="AO32" s="1180">
        <v>3.3942045124915401</v>
      </c>
      <c r="AP32" s="1112">
        <f t="shared" si="7"/>
        <v>147.74972242875674</v>
      </c>
      <c r="AQ32" s="1114">
        <f t="shared" si="6"/>
        <v>2095.3700193221302</v>
      </c>
      <c r="AR32" s="1157" t="s">
        <v>36</v>
      </c>
      <c r="AS32" s="388"/>
      <c r="AT32" s="388"/>
    </row>
    <row r="33" spans="1:46" ht="54" customHeight="1">
      <c r="A33" s="604">
        <v>17</v>
      </c>
      <c r="B33" s="604">
        <v>17</v>
      </c>
      <c r="C33" s="604" t="str">
        <f>'Chấm công KT'!C29</f>
        <v>03470</v>
      </c>
      <c r="D33" s="608" t="str">
        <f>'Chấm công KT'!D29</f>
        <v>T. Lọi</v>
      </c>
      <c r="E33" s="608"/>
      <c r="F33" s="780">
        <v>0</v>
      </c>
      <c r="G33" s="780">
        <v>55</v>
      </c>
      <c r="H33" s="780">
        <v>158</v>
      </c>
      <c r="I33" s="780">
        <v>61</v>
      </c>
      <c r="J33" s="780">
        <v>154</v>
      </c>
      <c r="K33" s="780">
        <v>89</v>
      </c>
      <c r="L33" s="780">
        <v>100</v>
      </c>
      <c r="M33" s="780">
        <v>161</v>
      </c>
      <c r="N33" s="780">
        <v>110</v>
      </c>
      <c r="O33" s="780">
        <v>75</v>
      </c>
      <c r="P33" s="780">
        <v>220</v>
      </c>
      <c r="Q33" s="780">
        <v>154</v>
      </c>
      <c r="R33" s="780">
        <v>0</v>
      </c>
      <c r="S33" s="780">
        <v>120</v>
      </c>
      <c r="T33" s="780">
        <v>166</v>
      </c>
      <c r="U33" s="780">
        <v>0</v>
      </c>
      <c r="V33" s="780">
        <v>142</v>
      </c>
      <c r="W33" s="780">
        <v>120</v>
      </c>
      <c r="X33" s="780">
        <v>171</v>
      </c>
      <c r="Y33" s="780">
        <v>175</v>
      </c>
      <c r="Z33" s="780">
        <v>0</v>
      </c>
      <c r="AA33" s="780">
        <v>113</v>
      </c>
      <c r="AB33" s="780">
        <v>155</v>
      </c>
      <c r="AC33" s="780">
        <v>168</v>
      </c>
      <c r="AD33" s="780">
        <v>171</v>
      </c>
      <c r="AE33" s="780">
        <v>0</v>
      </c>
      <c r="AF33" s="780">
        <v>120</v>
      </c>
      <c r="AG33" s="780">
        <v>160</v>
      </c>
      <c r="AH33" s="780">
        <v>184</v>
      </c>
      <c r="AI33" s="780">
        <v>170</v>
      </c>
      <c r="AJ33" s="780">
        <v>205</v>
      </c>
      <c r="AK33" s="781">
        <f t="shared" si="3"/>
        <v>3677</v>
      </c>
      <c r="AL33" s="1111">
        <v>44.143705731944095</v>
      </c>
      <c r="AM33" s="1112">
        <f t="shared" si="4"/>
        <v>1623.1640597635844</v>
      </c>
      <c r="AN33" s="1112">
        <v>3463</v>
      </c>
      <c r="AO33" s="1180">
        <v>3.3942045124915401</v>
      </c>
      <c r="AP33" s="1112">
        <f t="shared" si="7"/>
        <v>117.54130226758203</v>
      </c>
      <c r="AQ33" s="1114">
        <f t="shared" si="6"/>
        <v>1740.7053620311665</v>
      </c>
      <c r="AR33" s="1157" t="s">
        <v>36</v>
      </c>
      <c r="AS33" s="388"/>
      <c r="AT33" s="388"/>
    </row>
    <row r="34" spans="1:46" ht="54" customHeight="1">
      <c r="A34" s="604">
        <v>18</v>
      </c>
      <c r="B34" s="604">
        <v>18</v>
      </c>
      <c r="C34" s="604" t="str">
        <f>'Chấm công KT'!C30</f>
        <v>03471</v>
      </c>
      <c r="D34" s="608" t="str">
        <f>'Chấm công KT'!D30</f>
        <v>T. Phô Thong</v>
      </c>
      <c r="E34" s="608"/>
      <c r="F34" s="780">
        <v>118</v>
      </c>
      <c r="G34" s="780">
        <v>167</v>
      </c>
      <c r="H34" s="780">
        <v>178</v>
      </c>
      <c r="I34" s="780">
        <v>110</v>
      </c>
      <c r="J34" s="780">
        <v>100</v>
      </c>
      <c r="K34" s="780">
        <v>135</v>
      </c>
      <c r="L34" s="780">
        <v>176</v>
      </c>
      <c r="M34" s="780">
        <v>169</v>
      </c>
      <c r="N34" s="780">
        <v>137</v>
      </c>
      <c r="O34" s="780">
        <v>89</v>
      </c>
      <c r="P34" s="780">
        <v>239</v>
      </c>
      <c r="Q34" s="780">
        <v>152</v>
      </c>
      <c r="R34" s="780">
        <v>184</v>
      </c>
      <c r="S34" s="780">
        <v>157</v>
      </c>
      <c r="T34" s="780">
        <v>224</v>
      </c>
      <c r="U34" s="780">
        <v>164</v>
      </c>
      <c r="V34" s="780">
        <v>165</v>
      </c>
      <c r="W34" s="780">
        <v>190</v>
      </c>
      <c r="X34" s="780">
        <v>217</v>
      </c>
      <c r="Y34" s="780">
        <v>154</v>
      </c>
      <c r="Z34" s="780">
        <v>171</v>
      </c>
      <c r="AA34" s="780">
        <v>158</v>
      </c>
      <c r="AB34" s="780">
        <v>201</v>
      </c>
      <c r="AC34" s="780">
        <v>160</v>
      </c>
      <c r="AD34" s="780">
        <v>174</v>
      </c>
      <c r="AE34" s="780">
        <v>157</v>
      </c>
      <c r="AF34" s="780">
        <v>207</v>
      </c>
      <c r="AG34" s="780">
        <v>161</v>
      </c>
      <c r="AH34" s="780">
        <v>170</v>
      </c>
      <c r="AI34" s="780">
        <v>154</v>
      </c>
      <c r="AJ34" s="780">
        <v>226</v>
      </c>
      <c r="AK34" s="781">
        <f t="shared" si="3"/>
        <v>5164</v>
      </c>
      <c r="AL34" s="1111">
        <v>44.143705731944095</v>
      </c>
      <c r="AM34" s="1112">
        <f t="shared" si="4"/>
        <v>2279.5809639975932</v>
      </c>
      <c r="AN34" s="1112">
        <v>4404</v>
      </c>
      <c r="AO34" s="1180">
        <v>3.3942045124915401</v>
      </c>
      <c r="AP34" s="1112">
        <f t="shared" si="7"/>
        <v>149.48076673012744</v>
      </c>
      <c r="AQ34" s="1114">
        <f t="shared" si="6"/>
        <v>2429.0617307277207</v>
      </c>
      <c r="AR34" s="1157" t="s">
        <v>36</v>
      </c>
      <c r="AS34" s="388"/>
      <c r="AT34" s="388"/>
    </row>
    <row r="35" spans="1:46" ht="54" customHeight="1">
      <c r="A35" s="604">
        <v>19</v>
      </c>
      <c r="B35" s="604">
        <v>19</v>
      </c>
      <c r="C35" s="604" t="str">
        <f>'Chấm công KT'!C31</f>
        <v>03472</v>
      </c>
      <c r="D35" s="608" t="str">
        <f>'Chấm công KT'!D31</f>
        <v>N. Soi</v>
      </c>
      <c r="E35" s="608"/>
      <c r="F35" s="780">
        <v>0</v>
      </c>
      <c r="G35" s="780">
        <v>0</v>
      </c>
      <c r="H35" s="780">
        <v>98</v>
      </c>
      <c r="I35" s="780">
        <v>0</v>
      </c>
      <c r="J35" s="780">
        <v>204</v>
      </c>
      <c r="K35" s="780">
        <v>86</v>
      </c>
      <c r="L35" s="780">
        <v>84</v>
      </c>
      <c r="M35" s="780">
        <v>268</v>
      </c>
      <c r="N35" s="780">
        <v>0</v>
      </c>
      <c r="O35" s="780">
        <v>0</v>
      </c>
      <c r="P35" s="780">
        <v>195</v>
      </c>
      <c r="Q35" s="780">
        <v>145</v>
      </c>
      <c r="R35" s="780">
        <v>181</v>
      </c>
      <c r="S35" s="780">
        <v>127</v>
      </c>
      <c r="T35" s="780">
        <v>144</v>
      </c>
      <c r="U35" s="780">
        <v>196</v>
      </c>
      <c r="V35" s="780">
        <v>157</v>
      </c>
      <c r="W35" s="780">
        <v>163</v>
      </c>
      <c r="X35" s="780">
        <v>134</v>
      </c>
      <c r="Y35" s="780">
        <v>180</v>
      </c>
      <c r="Z35" s="780">
        <v>144</v>
      </c>
      <c r="AA35" s="780">
        <v>125</v>
      </c>
      <c r="AB35" s="780">
        <v>0</v>
      </c>
      <c r="AC35" s="780">
        <v>185</v>
      </c>
      <c r="AD35" s="780">
        <v>157</v>
      </c>
      <c r="AE35" s="780">
        <v>134</v>
      </c>
      <c r="AF35" s="780">
        <v>204</v>
      </c>
      <c r="AG35" s="780">
        <v>194</v>
      </c>
      <c r="AH35" s="780">
        <v>164</v>
      </c>
      <c r="AI35" s="780">
        <v>126</v>
      </c>
      <c r="AJ35" s="780">
        <v>170</v>
      </c>
      <c r="AK35" s="781">
        <f t="shared" si="3"/>
        <v>3965</v>
      </c>
      <c r="AL35" s="1111">
        <v>44.143705731944095</v>
      </c>
      <c r="AM35" s="1112">
        <f t="shared" si="4"/>
        <v>1750.2979322715835</v>
      </c>
      <c r="AN35" s="1112">
        <v>3333</v>
      </c>
      <c r="AO35" s="1180">
        <v>3.3942045124915401</v>
      </c>
      <c r="AP35" s="1112">
        <f t="shared" si="7"/>
        <v>113.12883640134304</v>
      </c>
      <c r="AQ35" s="1114">
        <f t="shared" si="6"/>
        <v>1863.4267686729265</v>
      </c>
      <c r="AR35" s="1157" t="s">
        <v>36</v>
      </c>
      <c r="AS35" s="388"/>
      <c r="AT35" s="388"/>
    </row>
    <row r="36" spans="1:46" ht="54" customHeight="1">
      <c r="A36" s="604">
        <v>20</v>
      </c>
      <c r="B36" s="604">
        <v>20</v>
      </c>
      <c r="C36" s="604" t="str">
        <f>'Chấm công KT'!C32</f>
        <v>03473</v>
      </c>
      <c r="D36" s="608" t="str">
        <f>'Chấm công KT'!D32</f>
        <v>N. Me Kha La</v>
      </c>
      <c r="E36" s="608"/>
      <c r="F36" s="780">
        <v>0</v>
      </c>
      <c r="G36" s="780">
        <v>200</v>
      </c>
      <c r="H36" s="780">
        <v>107</v>
      </c>
      <c r="I36" s="780">
        <v>140</v>
      </c>
      <c r="J36" s="780">
        <v>150</v>
      </c>
      <c r="K36" s="780">
        <v>161</v>
      </c>
      <c r="L36" s="780">
        <v>147</v>
      </c>
      <c r="M36" s="780">
        <v>170</v>
      </c>
      <c r="N36" s="780">
        <v>122</v>
      </c>
      <c r="O36" s="780">
        <v>154</v>
      </c>
      <c r="P36" s="780">
        <v>150</v>
      </c>
      <c r="Q36" s="780">
        <v>167</v>
      </c>
      <c r="R36" s="780">
        <v>194</v>
      </c>
      <c r="S36" s="780">
        <v>129</v>
      </c>
      <c r="T36" s="780">
        <v>137</v>
      </c>
      <c r="U36" s="780">
        <v>183</v>
      </c>
      <c r="V36" s="780">
        <v>152</v>
      </c>
      <c r="W36" s="780">
        <v>126</v>
      </c>
      <c r="X36" s="780">
        <v>127</v>
      </c>
      <c r="Y36" s="780">
        <v>132</v>
      </c>
      <c r="Z36" s="780">
        <v>183</v>
      </c>
      <c r="AA36" s="780">
        <v>104</v>
      </c>
      <c r="AB36" s="780">
        <v>148</v>
      </c>
      <c r="AC36" s="780">
        <v>182</v>
      </c>
      <c r="AD36" s="780">
        <v>152</v>
      </c>
      <c r="AE36" s="780">
        <v>132</v>
      </c>
      <c r="AF36" s="780">
        <v>153</v>
      </c>
      <c r="AG36" s="780">
        <v>246</v>
      </c>
      <c r="AH36" s="780">
        <v>200</v>
      </c>
      <c r="AI36" s="780">
        <v>156</v>
      </c>
      <c r="AJ36" s="780">
        <v>162</v>
      </c>
      <c r="AK36" s="781">
        <f t="shared" si="3"/>
        <v>4666</v>
      </c>
      <c r="AL36" s="1111">
        <v>44.143705731944095</v>
      </c>
      <c r="AM36" s="1112">
        <f t="shared" si="4"/>
        <v>2059.7453094525113</v>
      </c>
      <c r="AN36" s="1112">
        <v>4759</v>
      </c>
      <c r="AO36" s="1180">
        <v>3.3942045124915401</v>
      </c>
      <c r="AP36" s="1112">
        <f t="shared" si="7"/>
        <v>161.53019274947238</v>
      </c>
      <c r="AQ36" s="1114">
        <f t="shared" si="6"/>
        <v>2221.2755022019837</v>
      </c>
      <c r="AR36" s="1157" t="s">
        <v>36</v>
      </c>
      <c r="AS36" s="388"/>
      <c r="AT36" s="388"/>
    </row>
    <row r="37" spans="1:46" ht="54" customHeight="1">
      <c r="A37" s="604">
        <v>21</v>
      </c>
      <c r="B37" s="604">
        <v>21</v>
      </c>
      <c r="C37" s="604" t="str">
        <f>'Chấm công KT'!C33</f>
        <v>03474</v>
      </c>
      <c r="D37" s="608" t="str">
        <f>'Chấm công KT'!D33</f>
        <v>N. Mon Khăm</v>
      </c>
      <c r="E37" s="608"/>
      <c r="F37" s="780">
        <v>0</v>
      </c>
      <c r="G37" s="780">
        <v>124</v>
      </c>
      <c r="H37" s="780">
        <v>143</v>
      </c>
      <c r="I37" s="780">
        <v>0</v>
      </c>
      <c r="J37" s="780">
        <v>208</v>
      </c>
      <c r="K37" s="780">
        <v>71</v>
      </c>
      <c r="L37" s="780">
        <v>126</v>
      </c>
      <c r="M37" s="780">
        <v>273</v>
      </c>
      <c r="N37" s="780">
        <v>0</v>
      </c>
      <c r="O37" s="780">
        <v>60</v>
      </c>
      <c r="P37" s="780">
        <v>187</v>
      </c>
      <c r="Q37" s="780">
        <v>165</v>
      </c>
      <c r="R37" s="780">
        <v>227</v>
      </c>
      <c r="S37" s="780">
        <v>113</v>
      </c>
      <c r="T37" s="780">
        <v>194</v>
      </c>
      <c r="U37" s="780">
        <v>164</v>
      </c>
      <c r="V37" s="780">
        <v>149</v>
      </c>
      <c r="W37" s="780">
        <v>140</v>
      </c>
      <c r="X37" s="780">
        <v>182</v>
      </c>
      <c r="Y37" s="780">
        <v>123</v>
      </c>
      <c r="Z37" s="780">
        <v>212</v>
      </c>
      <c r="AA37" s="780">
        <v>0</v>
      </c>
      <c r="AB37" s="780">
        <v>153</v>
      </c>
      <c r="AC37" s="780">
        <v>0</v>
      </c>
      <c r="AD37" s="780">
        <v>172</v>
      </c>
      <c r="AE37" s="780">
        <v>188</v>
      </c>
      <c r="AF37" s="780">
        <v>0</v>
      </c>
      <c r="AG37" s="780">
        <v>211</v>
      </c>
      <c r="AH37" s="780">
        <v>200</v>
      </c>
      <c r="AI37" s="780">
        <v>0</v>
      </c>
      <c r="AJ37" s="780">
        <v>0</v>
      </c>
      <c r="AK37" s="781">
        <f t="shared" si="3"/>
        <v>3785</v>
      </c>
      <c r="AL37" s="1111">
        <v>44.143705731944095</v>
      </c>
      <c r="AM37" s="1112">
        <f t="shared" si="4"/>
        <v>1670.8392619540839</v>
      </c>
      <c r="AN37" s="1112">
        <v>3815</v>
      </c>
      <c r="AO37" s="1180">
        <v>3.3942045124915401</v>
      </c>
      <c r="AP37" s="1112">
        <f t="shared" si="7"/>
        <v>129.48890215155225</v>
      </c>
      <c r="AQ37" s="1114">
        <f t="shared" si="6"/>
        <v>1800.3281641056362</v>
      </c>
      <c r="AR37" s="1157" t="s">
        <v>43</v>
      </c>
      <c r="AS37" s="388"/>
      <c r="AT37" s="388"/>
    </row>
    <row r="38" spans="1:46" ht="54" customHeight="1">
      <c r="A38" s="604">
        <v>22</v>
      </c>
      <c r="B38" s="604">
        <v>22</v>
      </c>
      <c r="C38" s="604">
        <f>'Chấm công KT'!C34</f>
        <v>0</v>
      </c>
      <c r="D38" s="608" t="str">
        <f>'Chấm công KT'!D34</f>
        <v>N.Choi</v>
      </c>
      <c r="E38" s="608"/>
      <c r="F38" s="780">
        <v>0</v>
      </c>
      <c r="G38" s="780">
        <v>106</v>
      </c>
      <c r="H38" s="780">
        <v>0</v>
      </c>
      <c r="I38" s="780">
        <v>101</v>
      </c>
      <c r="J38" s="780">
        <v>148</v>
      </c>
      <c r="K38" s="780">
        <v>93</v>
      </c>
      <c r="L38" s="780">
        <v>101</v>
      </c>
      <c r="M38" s="780">
        <v>231</v>
      </c>
      <c r="N38" s="780">
        <v>92</v>
      </c>
      <c r="O38" s="780">
        <v>148</v>
      </c>
      <c r="P38" s="780">
        <v>87</v>
      </c>
      <c r="Q38" s="780">
        <v>188</v>
      </c>
      <c r="R38" s="780">
        <v>149</v>
      </c>
      <c r="S38" s="780">
        <v>161</v>
      </c>
      <c r="T38" s="780">
        <v>0</v>
      </c>
      <c r="U38" s="780">
        <v>189</v>
      </c>
      <c r="V38" s="780">
        <v>145</v>
      </c>
      <c r="W38" s="780">
        <v>0</v>
      </c>
      <c r="X38" s="780">
        <v>82</v>
      </c>
      <c r="Y38" s="780">
        <v>0</v>
      </c>
      <c r="Z38" s="780">
        <v>0</v>
      </c>
      <c r="AA38" s="780">
        <v>240</v>
      </c>
      <c r="AB38" s="780">
        <v>0</v>
      </c>
      <c r="AC38" s="780">
        <v>273</v>
      </c>
      <c r="AD38" s="780">
        <v>190</v>
      </c>
      <c r="AE38" s="780">
        <v>113</v>
      </c>
      <c r="AF38" s="780">
        <v>163</v>
      </c>
      <c r="AG38" s="780">
        <v>221</v>
      </c>
      <c r="AH38" s="780">
        <v>152</v>
      </c>
      <c r="AI38" s="780">
        <v>123</v>
      </c>
      <c r="AJ38" s="780">
        <v>108</v>
      </c>
      <c r="AK38" s="781">
        <f t="shared" si="3"/>
        <v>3604</v>
      </c>
      <c r="AL38" s="1111">
        <v>44.143705731944095</v>
      </c>
      <c r="AM38" s="1112">
        <f t="shared" si="4"/>
        <v>1590.9391545792651</v>
      </c>
      <c r="AN38" s="1112">
        <v>3855</v>
      </c>
      <c r="AO38" s="1180">
        <v>3.3942045124915401</v>
      </c>
      <c r="AP38" s="1112">
        <f t="shared" si="7"/>
        <v>130.84658395654887</v>
      </c>
      <c r="AQ38" s="1114">
        <f t="shared" si="6"/>
        <v>1721.7857385358138</v>
      </c>
      <c r="AR38" s="1157" t="s">
        <v>36</v>
      </c>
      <c r="AS38" s="388"/>
      <c r="AT38" s="388"/>
    </row>
    <row r="39" spans="1:46" ht="54" customHeight="1">
      <c r="A39" s="604">
        <v>23</v>
      </c>
      <c r="B39" s="604">
        <v>23</v>
      </c>
      <c r="C39" s="604" t="str">
        <f>'Chấm công KT'!C35</f>
        <v>03476</v>
      </c>
      <c r="D39" s="608" t="str">
        <f>'Chấm công KT'!D35</f>
        <v>T. Bin Ly.</v>
      </c>
      <c r="E39" s="608"/>
      <c r="F39" s="780">
        <v>0</v>
      </c>
      <c r="G39" s="780">
        <v>94</v>
      </c>
      <c r="H39" s="780">
        <v>143</v>
      </c>
      <c r="I39" s="780">
        <v>91</v>
      </c>
      <c r="J39" s="780">
        <v>182</v>
      </c>
      <c r="K39" s="780">
        <v>0</v>
      </c>
      <c r="L39" s="780">
        <v>128</v>
      </c>
      <c r="M39" s="780">
        <v>227</v>
      </c>
      <c r="N39" s="780">
        <v>0</v>
      </c>
      <c r="O39" s="780">
        <v>143</v>
      </c>
      <c r="P39" s="780">
        <v>162</v>
      </c>
      <c r="Q39" s="780">
        <v>278</v>
      </c>
      <c r="R39" s="780">
        <v>182</v>
      </c>
      <c r="S39" s="780">
        <v>128</v>
      </c>
      <c r="T39" s="780">
        <v>145</v>
      </c>
      <c r="U39" s="780">
        <v>217</v>
      </c>
      <c r="V39" s="780">
        <v>167</v>
      </c>
      <c r="W39" s="780">
        <v>101</v>
      </c>
      <c r="X39" s="780">
        <v>0</v>
      </c>
      <c r="Y39" s="780">
        <v>178</v>
      </c>
      <c r="Z39" s="780">
        <v>125</v>
      </c>
      <c r="AA39" s="780">
        <v>88</v>
      </c>
      <c r="AB39" s="780">
        <v>184</v>
      </c>
      <c r="AC39" s="780">
        <v>174</v>
      </c>
      <c r="AD39" s="780">
        <v>115</v>
      </c>
      <c r="AE39" s="780">
        <v>84</v>
      </c>
      <c r="AF39" s="780">
        <v>110</v>
      </c>
      <c r="AG39" s="780">
        <v>252</v>
      </c>
      <c r="AH39" s="780">
        <v>134</v>
      </c>
      <c r="AI39" s="780">
        <v>122</v>
      </c>
      <c r="AJ39" s="780">
        <v>0</v>
      </c>
      <c r="AK39" s="781">
        <f t="shared" si="3"/>
        <v>3954</v>
      </c>
      <c r="AL39" s="1111">
        <v>44.143705731944095</v>
      </c>
      <c r="AM39" s="1112">
        <f t="shared" si="4"/>
        <v>1745.4421246410693</v>
      </c>
      <c r="AN39" s="1112">
        <v>4306</v>
      </c>
      <c r="AO39" s="1180">
        <v>3.3942045124915401</v>
      </c>
      <c r="AP39" s="1112">
        <f t="shared" si="7"/>
        <v>146.15444630788571</v>
      </c>
      <c r="AQ39" s="1114">
        <f t="shared" si="6"/>
        <v>1891.5965709489551</v>
      </c>
      <c r="AR39" s="1157" t="s">
        <v>36</v>
      </c>
      <c r="AS39" s="388"/>
      <c r="AT39" s="388"/>
    </row>
    <row r="40" spans="1:46" ht="54" customHeight="1">
      <c r="A40" s="604">
        <v>24</v>
      </c>
      <c r="B40" s="604">
        <v>24</v>
      </c>
      <c r="C40" s="604">
        <f>'Chấm công KT'!C36</f>
        <v>0</v>
      </c>
      <c r="D40" s="608" t="str">
        <f>'Chấm công KT'!D36</f>
        <v>N. Tinh</v>
      </c>
      <c r="E40" s="608"/>
      <c r="F40" s="780">
        <v>0</v>
      </c>
      <c r="G40" s="780">
        <v>84</v>
      </c>
      <c r="H40" s="780">
        <v>0</v>
      </c>
      <c r="I40" s="780">
        <v>83</v>
      </c>
      <c r="J40" s="780">
        <v>210</v>
      </c>
      <c r="K40" s="780">
        <v>75</v>
      </c>
      <c r="L40" s="780">
        <v>147</v>
      </c>
      <c r="M40" s="780">
        <v>175</v>
      </c>
      <c r="N40" s="780">
        <v>136</v>
      </c>
      <c r="O40" s="780">
        <v>100</v>
      </c>
      <c r="P40" s="780">
        <v>171</v>
      </c>
      <c r="Q40" s="780">
        <v>160</v>
      </c>
      <c r="R40" s="780">
        <v>186</v>
      </c>
      <c r="S40" s="780">
        <v>151</v>
      </c>
      <c r="T40" s="780">
        <v>155</v>
      </c>
      <c r="U40" s="780">
        <v>207</v>
      </c>
      <c r="V40" s="780">
        <v>174</v>
      </c>
      <c r="W40" s="780">
        <v>127</v>
      </c>
      <c r="X40" s="780">
        <v>125</v>
      </c>
      <c r="Y40" s="780">
        <v>126</v>
      </c>
      <c r="Z40" s="780">
        <v>219</v>
      </c>
      <c r="AA40" s="780">
        <v>114</v>
      </c>
      <c r="AB40" s="780">
        <v>102</v>
      </c>
      <c r="AC40" s="780">
        <v>155</v>
      </c>
      <c r="AD40" s="780">
        <v>120</v>
      </c>
      <c r="AE40" s="780">
        <v>100</v>
      </c>
      <c r="AF40" s="780">
        <v>96</v>
      </c>
      <c r="AG40" s="780">
        <v>115</v>
      </c>
      <c r="AH40" s="780">
        <v>174</v>
      </c>
      <c r="AI40" s="780">
        <v>75</v>
      </c>
      <c r="AJ40" s="780">
        <v>178</v>
      </c>
      <c r="AK40" s="781">
        <f t="shared" si="3"/>
        <v>4040</v>
      </c>
      <c r="AL40" s="1111">
        <v>44.143705731944095</v>
      </c>
      <c r="AM40" s="1112">
        <f t="shared" si="4"/>
        <v>1783.4057115705414</v>
      </c>
      <c r="AN40" s="1112">
        <v>3895</v>
      </c>
      <c r="AO40" s="1180">
        <v>3.3942045124915401</v>
      </c>
      <c r="AP40" s="1112">
        <f t="shared" si="7"/>
        <v>132.20426576154549</v>
      </c>
      <c r="AQ40" s="1114">
        <f t="shared" si="6"/>
        <v>1915.6099773320868</v>
      </c>
      <c r="AR40" s="1157" t="s">
        <v>36</v>
      </c>
      <c r="AS40" s="388"/>
      <c r="AT40" s="388"/>
    </row>
    <row r="41" spans="1:46" ht="54" customHeight="1">
      <c r="A41" s="604">
        <v>25</v>
      </c>
      <c r="B41" s="604">
        <v>25</v>
      </c>
      <c r="C41" s="604" t="str">
        <f>'Chấm công KT'!C37</f>
        <v>03478</v>
      </c>
      <c r="D41" s="608" t="str">
        <f>'Chấm công KT'!D37</f>
        <v>N. Nong</v>
      </c>
      <c r="E41" s="608"/>
      <c r="F41" s="780">
        <v>0</v>
      </c>
      <c r="G41" s="780">
        <v>0</v>
      </c>
      <c r="H41" s="780">
        <v>104</v>
      </c>
      <c r="I41" s="780">
        <v>68</v>
      </c>
      <c r="J41" s="780">
        <v>197</v>
      </c>
      <c r="K41" s="780">
        <v>229</v>
      </c>
      <c r="L41" s="780">
        <v>95</v>
      </c>
      <c r="M41" s="780">
        <v>171</v>
      </c>
      <c r="N41" s="780">
        <v>0</v>
      </c>
      <c r="O41" s="780">
        <v>166</v>
      </c>
      <c r="P41" s="780">
        <v>196</v>
      </c>
      <c r="Q41" s="780">
        <v>0</v>
      </c>
      <c r="R41" s="780">
        <v>245</v>
      </c>
      <c r="S41" s="780">
        <v>180</v>
      </c>
      <c r="T41" s="780">
        <v>154</v>
      </c>
      <c r="U41" s="780">
        <v>210</v>
      </c>
      <c r="V41" s="780">
        <v>158</v>
      </c>
      <c r="W41" s="780">
        <v>145</v>
      </c>
      <c r="X41" s="780">
        <v>140</v>
      </c>
      <c r="Y41" s="780">
        <v>108</v>
      </c>
      <c r="Z41" s="780">
        <v>158</v>
      </c>
      <c r="AA41" s="780">
        <v>0</v>
      </c>
      <c r="AB41" s="780">
        <v>0</v>
      </c>
      <c r="AC41" s="780">
        <v>145</v>
      </c>
      <c r="AD41" s="780">
        <v>160</v>
      </c>
      <c r="AE41" s="780">
        <v>167</v>
      </c>
      <c r="AF41" s="780">
        <v>179</v>
      </c>
      <c r="AG41" s="780">
        <v>146</v>
      </c>
      <c r="AH41" s="780">
        <v>174</v>
      </c>
      <c r="AI41" s="780">
        <v>117</v>
      </c>
      <c r="AJ41" s="780">
        <v>200</v>
      </c>
      <c r="AK41" s="781">
        <f t="shared" si="3"/>
        <v>4012</v>
      </c>
      <c r="AL41" s="1111">
        <v>44.143705731944095</v>
      </c>
      <c r="AM41" s="1112">
        <f t="shared" si="4"/>
        <v>1771.045473965597</v>
      </c>
      <c r="AN41" s="1112">
        <v>4450</v>
      </c>
      <c r="AO41" s="1180">
        <v>3.3942045124915401</v>
      </c>
      <c r="AP41" s="1112">
        <f t="shared" si="7"/>
        <v>151.04210080587353</v>
      </c>
      <c r="AQ41" s="1114">
        <f t="shared" si="6"/>
        <v>1922.0875747714706</v>
      </c>
      <c r="AR41" s="1157" t="s">
        <v>36</v>
      </c>
      <c r="AS41" s="388"/>
      <c r="AT41" s="388"/>
    </row>
    <row r="42" spans="1:46" ht="54" customHeight="1">
      <c r="A42" s="604">
        <v>26</v>
      </c>
      <c r="B42" s="604">
        <v>26</v>
      </c>
      <c r="C42" s="604" t="str">
        <f>'Chấm công KT'!C38</f>
        <v>03479</v>
      </c>
      <c r="D42" s="608" t="str">
        <f>'Chấm công KT'!D38</f>
        <v>N. Tun 1</v>
      </c>
      <c r="E42" s="608"/>
      <c r="F42" s="780">
        <v>0</v>
      </c>
      <c r="G42" s="780">
        <v>111</v>
      </c>
      <c r="H42" s="780">
        <v>61</v>
      </c>
      <c r="I42" s="780">
        <v>60</v>
      </c>
      <c r="J42" s="780">
        <v>222</v>
      </c>
      <c r="K42" s="780">
        <v>87</v>
      </c>
      <c r="L42" s="780">
        <v>0</v>
      </c>
      <c r="M42" s="780">
        <v>167</v>
      </c>
      <c r="N42" s="780">
        <v>0</v>
      </c>
      <c r="O42" s="780">
        <v>158</v>
      </c>
      <c r="P42" s="780">
        <v>200</v>
      </c>
      <c r="Q42" s="780">
        <v>0</v>
      </c>
      <c r="R42" s="780">
        <v>196</v>
      </c>
      <c r="S42" s="780">
        <v>131</v>
      </c>
      <c r="T42" s="780">
        <v>120</v>
      </c>
      <c r="U42" s="780">
        <v>231</v>
      </c>
      <c r="V42" s="780">
        <v>191</v>
      </c>
      <c r="W42" s="780">
        <v>0</v>
      </c>
      <c r="X42" s="780">
        <v>130</v>
      </c>
      <c r="Y42" s="780">
        <v>139</v>
      </c>
      <c r="Z42" s="780">
        <v>147</v>
      </c>
      <c r="AA42" s="780">
        <v>134</v>
      </c>
      <c r="AB42" s="780">
        <v>126</v>
      </c>
      <c r="AC42" s="780">
        <v>0</v>
      </c>
      <c r="AD42" s="780">
        <v>185</v>
      </c>
      <c r="AE42" s="780">
        <v>139</v>
      </c>
      <c r="AF42" s="780">
        <v>0</v>
      </c>
      <c r="AG42" s="780">
        <v>210</v>
      </c>
      <c r="AH42" s="780">
        <v>120</v>
      </c>
      <c r="AI42" s="780">
        <v>107</v>
      </c>
      <c r="AJ42" s="780">
        <v>145</v>
      </c>
      <c r="AK42" s="781">
        <f t="shared" si="3"/>
        <v>3517</v>
      </c>
      <c r="AL42" s="1111">
        <v>44.143705731944095</v>
      </c>
      <c r="AM42" s="1112">
        <f t="shared" si="4"/>
        <v>1552.534130592474</v>
      </c>
      <c r="AN42" s="1112">
        <v>4180</v>
      </c>
      <c r="AO42" s="1180">
        <v>3.3942045124915401</v>
      </c>
      <c r="AP42" s="1112">
        <f t="shared" si="7"/>
        <v>141.87774862214638</v>
      </c>
      <c r="AQ42" s="1114">
        <f t="shared" si="6"/>
        <v>1694.4118792146203</v>
      </c>
      <c r="AR42" s="1157" t="s">
        <v>43</v>
      </c>
      <c r="AS42" s="388"/>
      <c r="AT42" s="388"/>
    </row>
    <row r="43" spans="1:46" ht="54" customHeight="1">
      <c r="A43" s="604">
        <v>27</v>
      </c>
      <c r="B43" s="604">
        <v>27</v>
      </c>
      <c r="C43" s="604" t="str">
        <f>'Chấm công KT'!C39</f>
        <v>03480</v>
      </c>
      <c r="D43" s="608" t="str">
        <f>'Chấm công KT'!D39</f>
        <v>T . Lốc</v>
      </c>
      <c r="E43" s="608"/>
      <c r="F43" s="780">
        <v>0</v>
      </c>
      <c r="G43" s="780">
        <v>101</v>
      </c>
      <c r="H43" s="780">
        <v>61</v>
      </c>
      <c r="I43" s="780">
        <v>63</v>
      </c>
      <c r="J43" s="780">
        <v>210</v>
      </c>
      <c r="K43" s="780">
        <v>82</v>
      </c>
      <c r="L43" s="780">
        <v>0</v>
      </c>
      <c r="M43" s="780">
        <v>182</v>
      </c>
      <c r="N43" s="780">
        <v>0</v>
      </c>
      <c r="O43" s="780">
        <v>159</v>
      </c>
      <c r="P43" s="780">
        <v>205</v>
      </c>
      <c r="Q43" s="780">
        <v>0</v>
      </c>
      <c r="R43" s="780">
        <v>197</v>
      </c>
      <c r="S43" s="780">
        <v>142</v>
      </c>
      <c r="T43" s="780">
        <v>120</v>
      </c>
      <c r="U43" s="780">
        <v>290</v>
      </c>
      <c r="V43" s="780">
        <v>185</v>
      </c>
      <c r="W43" s="780">
        <v>0</v>
      </c>
      <c r="X43" s="780">
        <v>125</v>
      </c>
      <c r="Y43" s="780">
        <v>140</v>
      </c>
      <c r="Z43" s="780">
        <v>123</v>
      </c>
      <c r="AA43" s="780">
        <v>134</v>
      </c>
      <c r="AB43" s="780">
        <v>122</v>
      </c>
      <c r="AC43" s="780">
        <v>0</v>
      </c>
      <c r="AD43" s="780">
        <v>206</v>
      </c>
      <c r="AE43" s="780">
        <v>140</v>
      </c>
      <c r="AF43" s="780">
        <v>0</v>
      </c>
      <c r="AG43" s="780">
        <v>222</v>
      </c>
      <c r="AH43" s="780">
        <v>120</v>
      </c>
      <c r="AI43" s="780">
        <v>110</v>
      </c>
      <c r="AJ43" s="780">
        <v>143</v>
      </c>
      <c r="AK43" s="781">
        <f t="shared" si="3"/>
        <v>3582</v>
      </c>
      <c r="AL43" s="1111">
        <v>44.143705731944095</v>
      </c>
      <c r="AM43" s="1112">
        <f t="shared" si="4"/>
        <v>1581.2275393182374</v>
      </c>
      <c r="AN43" s="1112">
        <v>4199</v>
      </c>
      <c r="AO43" s="1180">
        <v>3.3942045124915401</v>
      </c>
      <c r="AP43" s="1112">
        <f t="shared" si="7"/>
        <v>142.52264747951978</v>
      </c>
      <c r="AQ43" s="1114">
        <f t="shared" si="6"/>
        <v>1723.7501867977571</v>
      </c>
      <c r="AR43" s="1157" t="s">
        <v>36</v>
      </c>
      <c r="AS43" s="388"/>
      <c r="AT43" s="388"/>
    </row>
    <row r="44" spans="1:46" ht="54" customHeight="1">
      <c r="A44" s="604">
        <v>28</v>
      </c>
      <c r="B44" s="604">
        <v>28</v>
      </c>
      <c r="C44" s="604" t="str">
        <f>'Chấm công KT'!C40</f>
        <v>03481</v>
      </c>
      <c r="D44" s="608" t="str">
        <f>'Chấm công KT'!D40</f>
        <v>N . Khâm (1)</v>
      </c>
      <c r="E44" s="608"/>
      <c r="F44" s="780">
        <v>0</v>
      </c>
      <c r="G44" s="780">
        <v>0</v>
      </c>
      <c r="H44" s="780">
        <v>108</v>
      </c>
      <c r="I44" s="780">
        <v>0</v>
      </c>
      <c r="J44" s="780">
        <v>198</v>
      </c>
      <c r="K44" s="780">
        <v>156</v>
      </c>
      <c r="L44" s="780">
        <v>96</v>
      </c>
      <c r="M44" s="780">
        <v>187</v>
      </c>
      <c r="N44" s="780">
        <v>0</v>
      </c>
      <c r="O44" s="780">
        <v>141</v>
      </c>
      <c r="P44" s="780">
        <v>202</v>
      </c>
      <c r="Q44" s="780">
        <v>203</v>
      </c>
      <c r="R44" s="780">
        <v>202</v>
      </c>
      <c r="S44" s="780">
        <v>0</v>
      </c>
      <c r="T44" s="780">
        <v>166</v>
      </c>
      <c r="U44" s="780">
        <v>0</v>
      </c>
      <c r="V44" s="780">
        <v>0</v>
      </c>
      <c r="W44" s="780">
        <v>209</v>
      </c>
      <c r="X44" s="780">
        <v>0</v>
      </c>
      <c r="Y44" s="780">
        <v>0</v>
      </c>
      <c r="Z44" s="780">
        <v>0</v>
      </c>
      <c r="AA44" s="780">
        <v>0</v>
      </c>
      <c r="AB44" s="780">
        <v>229</v>
      </c>
      <c r="AC44" s="780">
        <v>305</v>
      </c>
      <c r="AD44" s="780">
        <v>190</v>
      </c>
      <c r="AE44" s="780">
        <v>0</v>
      </c>
      <c r="AF44" s="780">
        <v>115</v>
      </c>
      <c r="AG44" s="780">
        <v>178</v>
      </c>
      <c r="AH44" s="780">
        <v>142</v>
      </c>
      <c r="AI44" s="780">
        <v>160</v>
      </c>
      <c r="AJ44" s="780">
        <v>0</v>
      </c>
      <c r="AK44" s="781">
        <f t="shared" si="3"/>
        <v>3187</v>
      </c>
      <c r="AL44" s="1111">
        <v>44.143705731944095</v>
      </c>
      <c r="AM44" s="1112">
        <f t="shared" si="4"/>
        <v>1406.8599016770584</v>
      </c>
      <c r="AN44" s="1112">
        <v>4391</v>
      </c>
      <c r="AO44" s="1180">
        <v>3.3942045124915401</v>
      </c>
      <c r="AP44" s="1112">
        <f t="shared" si="7"/>
        <v>149.03952014350352</v>
      </c>
      <c r="AQ44" s="1114">
        <f t="shared" si="6"/>
        <v>1555.8994218205619</v>
      </c>
      <c r="AR44" s="1157" t="s">
        <v>36</v>
      </c>
      <c r="AS44" s="388"/>
      <c r="AT44" s="388"/>
    </row>
    <row r="45" spans="1:46" ht="54" customHeight="1">
      <c r="A45" s="604">
        <v>29</v>
      </c>
      <c r="B45" s="604">
        <v>29</v>
      </c>
      <c r="C45" s="604" t="str">
        <f>'Chấm công KT'!C41</f>
        <v>03482</v>
      </c>
      <c r="D45" s="608" t="str">
        <f>'Chấm công KT'!D41</f>
        <v>T . Phết</v>
      </c>
      <c r="E45" s="608"/>
      <c r="F45" s="780">
        <v>0</v>
      </c>
      <c r="G45" s="780">
        <v>0</v>
      </c>
      <c r="H45" s="780">
        <v>108</v>
      </c>
      <c r="I45" s="780">
        <v>0</v>
      </c>
      <c r="J45" s="780">
        <v>184</v>
      </c>
      <c r="K45" s="780">
        <v>165</v>
      </c>
      <c r="L45" s="780">
        <v>99</v>
      </c>
      <c r="M45" s="780">
        <v>172</v>
      </c>
      <c r="N45" s="780">
        <v>0</v>
      </c>
      <c r="O45" s="780">
        <v>144</v>
      </c>
      <c r="P45" s="780">
        <v>192</v>
      </c>
      <c r="Q45" s="780">
        <v>226</v>
      </c>
      <c r="R45" s="780">
        <v>228</v>
      </c>
      <c r="S45" s="780">
        <v>0</v>
      </c>
      <c r="T45" s="780">
        <v>169</v>
      </c>
      <c r="U45" s="780">
        <v>0</v>
      </c>
      <c r="V45" s="780">
        <v>0</v>
      </c>
      <c r="W45" s="780">
        <v>186</v>
      </c>
      <c r="X45" s="780">
        <v>0</v>
      </c>
      <c r="Y45" s="780">
        <v>0</v>
      </c>
      <c r="Z45" s="780">
        <v>0</v>
      </c>
      <c r="AA45" s="780">
        <v>0</v>
      </c>
      <c r="AB45" s="780">
        <v>242</v>
      </c>
      <c r="AC45" s="780">
        <v>313</v>
      </c>
      <c r="AD45" s="780">
        <v>251</v>
      </c>
      <c r="AE45" s="780">
        <v>0</v>
      </c>
      <c r="AF45" s="780">
        <v>129</v>
      </c>
      <c r="AG45" s="780">
        <v>198</v>
      </c>
      <c r="AH45" s="780">
        <v>155</v>
      </c>
      <c r="AI45" s="780">
        <v>162</v>
      </c>
      <c r="AJ45" s="780">
        <v>0</v>
      </c>
      <c r="AK45" s="781">
        <f t="shared" si="3"/>
        <v>3323</v>
      </c>
      <c r="AL45" s="1111">
        <v>44.143705731944095</v>
      </c>
      <c r="AM45" s="1112">
        <f t="shared" si="4"/>
        <v>1466.8953414725024</v>
      </c>
      <c r="AN45" s="1112">
        <v>4508</v>
      </c>
      <c r="AO45" s="1180">
        <v>3.3942045124915401</v>
      </c>
      <c r="AP45" s="1112">
        <f t="shared" si="7"/>
        <v>153.01073942311862</v>
      </c>
      <c r="AQ45" s="1114">
        <f t="shared" si="6"/>
        <v>1619.906080895621</v>
      </c>
      <c r="AR45" s="1157" t="s">
        <v>36</v>
      </c>
      <c r="AS45" s="388"/>
      <c r="AT45" s="388"/>
    </row>
    <row r="46" spans="1:46" ht="54" customHeight="1">
      <c r="A46" s="604">
        <v>30</v>
      </c>
      <c r="B46" s="604">
        <v>30</v>
      </c>
      <c r="C46" s="604" t="str">
        <f>'Chấm công KT'!C42</f>
        <v>03483</v>
      </c>
      <c r="D46" s="608" t="str">
        <f>'Chấm công KT'!D42</f>
        <v>T. Viêng Sa Văn</v>
      </c>
      <c r="E46" s="608"/>
      <c r="F46" s="780">
        <v>0</v>
      </c>
      <c r="G46" s="780">
        <v>0</v>
      </c>
      <c r="H46" s="780">
        <v>0</v>
      </c>
      <c r="I46" s="780">
        <v>71</v>
      </c>
      <c r="J46" s="780">
        <v>188</v>
      </c>
      <c r="K46" s="780">
        <v>188</v>
      </c>
      <c r="L46" s="780">
        <v>161</v>
      </c>
      <c r="M46" s="780">
        <v>153</v>
      </c>
      <c r="N46" s="780">
        <v>136</v>
      </c>
      <c r="O46" s="780">
        <v>104</v>
      </c>
      <c r="P46" s="780">
        <v>135</v>
      </c>
      <c r="Q46" s="780">
        <v>219</v>
      </c>
      <c r="R46" s="780">
        <v>185</v>
      </c>
      <c r="S46" s="780">
        <v>134</v>
      </c>
      <c r="T46" s="780">
        <v>140</v>
      </c>
      <c r="U46" s="780">
        <v>141</v>
      </c>
      <c r="V46" s="780">
        <v>0</v>
      </c>
      <c r="W46" s="780">
        <v>0</v>
      </c>
      <c r="X46" s="780">
        <v>114</v>
      </c>
      <c r="Y46" s="780">
        <v>122</v>
      </c>
      <c r="Z46" s="780">
        <v>206</v>
      </c>
      <c r="AA46" s="780">
        <v>97</v>
      </c>
      <c r="AB46" s="780">
        <v>115</v>
      </c>
      <c r="AC46" s="780">
        <v>140</v>
      </c>
      <c r="AD46" s="780">
        <v>116</v>
      </c>
      <c r="AE46" s="780">
        <v>105</v>
      </c>
      <c r="AF46" s="780">
        <v>0</v>
      </c>
      <c r="AG46" s="780">
        <v>115</v>
      </c>
      <c r="AH46" s="780">
        <v>184</v>
      </c>
      <c r="AI46" s="780">
        <v>90</v>
      </c>
      <c r="AJ46" s="780">
        <v>126</v>
      </c>
      <c r="AK46" s="781">
        <f t="shared" si="3"/>
        <v>3485</v>
      </c>
      <c r="AL46" s="1111">
        <v>44.143705731944095</v>
      </c>
      <c r="AM46" s="1112">
        <f t="shared" si="4"/>
        <v>1538.4081447582516</v>
      </c>
      <c r="AN46" s="1112">
        <v>4743</v>
      </c>
      <c r="AO46" s="1180">
        <v>3.3942045124915401</v>
      </c>
      <c r="AP46" s="1112">
        <f t="shared" si="7"/>
        <v>160.98712002747374</v>
      </c>
      <c r="AQ46" s="1114">
        <f t="shared" si="6"/>
        <v>1699.3952647857254</v>
      </c>
      <c r="AR46" s="1157" t="s">
        <v>36</v>
      </c>
      <c r="AS46" s="388"/>
      <c r="AT46" s="388"/>
    </row>
    <row r="47" spans="1:46" ht="54" customHeight="1">
      <c r="A47" s="604">
        <v>31</v>
      </c>
      <c r="B47" s="604">
        <v>31</v>
      </c>
      <c r="C47" s="604" t="str">
        <f>'Chấm công KT'!C43</f>
        <v>03484</v>
      </c>
      <c r="D47" s="608" t="str">
        <f>'Chấm công KT'!D43</f>
        <v>T. Ca Te</v>
      </c>
      <c r="E47" s="608"/>
      <c r="F47" s="780">
        <v>0</v>
      </c>
      <c r="G47" s="780">
        <v>0</v>
      </c>
      <c r="H47" s="780">
        <v>122</v>
      </c>
      <c r="I47" s="780">
        <v>107</v>
      </c>
      <c r="J47" s="780">
        <v>164</v>
      </c>
      <c r="K47" s="780">
        <v>194</v>
      </c>
      <c r="L47" s="780">
        <v>105</v>
      </c>
      <c r="M47" s="780">
        <v>175</v>
      </c>
      <c r="N47" s="780">
        <v>0</v>
      </c>
      <c r="O47" s="780">
        <v>166</v>
      </c>
      <c r="P47" s="780">
        <v>189</v>
      </c>
      <c r="Q47" s="780">
        <v>0</v>
      </c>
      <c r="R47" s="780">
        <v>254</v>
      </c>
      <c r="S47" s="780">
        <v>175</v>
      </c>
      <c r="T47" s="780">
        <v>159</v>
      </c>
      <c r="U47" s="780">
        <v>210</v>
      </c>
      <c r="V47" s="780">
        <v>154</v>
      </c>
      <c r="W47" s="780">
        <v>143</v>
      </c>
      <c r="X47" s="780">
        <v>154</v>
      </c>
      <c r="Y47" s="780">
        <v>123</v>
      </c>
      <c r="Z47" s="780">
        <v>122</v>
      </c>
      <c r="AA47" s="780">
        <v>110</v>
      </c>
      <c r="AB47" s="780">
        <v>132</v>
      </c>
      <c r="AC47" s="780">
        <v>149</v>
      </c>
      <c r="AD47" s="780">
        <v>130</v>
      </c>
      <c r="AE47" s="780">
        <v>180</v>
      </c>
      <c r="AF47" s="780">
        <v>204</v>
      </c>
      <c r="AG47" s="780">
        <v>140</v>
      </c>
      <c r="AH47" s="780">
        <v>201</v>
      </c>
      <c r="AI47" s="780">
        <v>124</v>
      </c>
      <c r="AJ47" s="780">
        <v>184</v>
      </c>
      <c r="AK47" s="781">
        <f t="shared" si="3"/>
        <v>4270</v>
      </c>
      <c r="AL47" s="1111">
        <v>44.143705731944095</v>
      </c>
      <c r="AM47" s="1112">
        <f t="shared" si="4"/>
        <v>1884.9362347540127</v>
      </c>
      <c r="AN47" s="1112">
        <v>4222</v>
      </c>
      <c r="AO47" s="1180">
        <v>3.3942045124915401</v>
      </c>
      <c r="AP47" s="1112">
        <f t="shared" si="7"/>
        <v>143.30331451739283</v>
      </c>
      <c r="AQ47" s="1114">
        <f t="shared" si="6"/>
        <v>2028.2395492714056</v>
      </c>
      <c r="AR47" s="1157" t="s">
        <v>43</v>
      </c>
      <c r="AS47" s="388"/>
      <c r="AT47" s="388"/>
    </row>
    <row r="48" spans="1:46" ht="54" customHeight="1">
      <c r="A48" s="604">
        <v>32</v>
      </c>
      <c r="B48" s="604">
        <v>32</v>
      </c>
      <c r="C48" s="604" t="str">
        <f>'Chấm công KT'!C44</f>
        <v>03485</v>
      </c>
      <c r="D48" s="608" t="str">
        <f>'Chấm công KT'!D44</f>
        <v>T. Lâm Phon</v>
      </c>
      <c r="E48" s="608"/>
      <c r="F48" s="780">
        <v>0</v>
      </c>
      <c r="G48" s="780">
        <v>105</v>
      </c>
      <c r="H48" s="780">
        <v>148</v>
      </c>
      <c r="I48" s="780">
        <v>115</v>
      </c>
      <c r="J48" s="780">
        <v>194</v>
      </c>
      <c r="K48" s="780">
        <v>97</v>
      </c>
      <c r="L48" s="780">
        <v>121</v>
      </c>
      <c r="M48" s="780">
        <v>197</v>
      </c>
      <c r="N48" s="780">
        <v>124</v>
      </c>
      <c r="O48" s="780">
        <v>166</v>
      </c>
      <c r="P48" s="780">
        <v>251</v>
      </c>
      <c r="Q48" s="780">
        <v>180</v>
      </c>
      <c r="R48" s="780">
        <v>187</v>
      </c>
      <c r="S48" s="780">
        <v>163</v>
      </c>
      <c r="T48" s="780">
        <v>181</v>
      </c>
      <c r="U48" s="780">
        <v>158</v>
      </c>
      <c r="V48" s="780">
        <v>164</v>
      </c>
      <c r="W48" s="780">
        <v>141</v>
      </c>
      <c r="X48" s="780">
        <v>182</v>
      </c>
      <c r="Y48" s="780">
        <v>154</v>
      </c>
      <c r="Z48" s="780">
        <v>162</v>
      </c>
      <c r="AA48" s="780">
        <v>149</v>
      </c>
      <c r="AB48" s="780">
        <v>203</v>
      </c>
      <c r="AC48" s="780">
        <v>140</v>
      </c>
      <c r="AD48" s="780">
        <v>0</v>
      </c>
      <c r="AE48" s="780">
        <v>135</v>
      </c>
      <c r="AF48" s="780">
        <v>166</v>
      </c>
      <c r="AG48" s="780">
        <v>144</v>
      </c>
      <c r="AH48" s="780">
        <v>255</v>
      </c>
      <c r="AI48" s="780">
        <v>155</v>
      </c>
      <c r="AJ48" s="780">
        <v>180</v>
      </c>
      <c r="AK48" s="781">
        <f t="shared" si="3"/>
        <v>4717</v>
      </c>
      <c r="AL48" s="1111">
        <v>44.143705731944095</v>
      </c>
      <c r="AM48" s="1112">
        <f t="shared" si="4"/>
        <v>2082.258599375803</v>
      </c>
      <c r="AN48" s="1112">
        <v>4483</v>
      </c>
      <c r="AO48" s="1180">
        <v>3.3942045124915401</v>
      </c>
      <c r="AP48" s="1112">
        <f t="shared" si="7"/>
        <v>152.16218829499573</v>
      </c>
      <c r="AQ48" s="1114">
        <f t="shared" si="6"/>
        <v>2234.4207876707987</v>
      </c>
      <c r="AR48" s="1157" t="s">
        <v>43</v>
      </c>
      <c r="AS48" s="388"/>
      <c r="AT48" s="388"/>
    </row>
    <row r="49" spans="1:46" ht="54" customHeight="1">
      <c r="A49" s="604">
        <v>33</v>
      </c>
      <c r="B49" s="604">
        <v>33</v>
      </c>
      <c r="C49" s="604" t="str">
        <f>'Chấm công KT'!C45</f>
        <v>02712</v>
      </c>
      <c r="D49" s="608" t="str">
        <f>'Chấm công KT'!D45</f>
        <v>T. Sô Đa</v>
      </c>
      <c r="E49" s="608"/>
      <c r="F49" s="780">
        <v>0</v>
      </c>
      <c r="G49" s="780">
        <v>128</v>
      </c>
      <c r="H49" s="780">
        <v>119</v>
      </c>
      <c r="I49" s="780">
        <v>182</v>
      </c>
      <c r="J49" s="780">
        <v>215</v>
      </c>
      <c r="K49" s="780">
        <v>125</v>
      </c>
      <c r="L49" s="780">
        <v>163</v>
      </c>
      <c r="M49" s="780">
        <v>223</v>
      </c>
      <c r="N49" s="780">
        <v>109</v>
      </c>
      <c r="O49" s="780">
        <v>168</v>
      </c>
      <c r="P49" s="780">
        <v>205</v>
      </c>
      <c r="Q49" s="780">
        <v>189</v>
      </c>
      <c r="R49" s="780">
        <v>132</v>
      </c>
      <c r="S49" s="780">
        <v>136</v>
      </c>
      <c r="T49" s="780">
        <v>160</v>
      </c>
      <c r="U49" s="780">
        <v>145</v>
      </c>
      <c r="V49" s="780">
        <v>149</v>
      </c>
      <c r="W49" s="780">
        <v>106</v>
      </c>
      <c r="X49" s="780">
        <v>154</v>
      </c>
      <c r="Y49" s="780">
        <v>136</v>
      </c>
      <c r="Z49" s="780">
        <v>104</v>
      </c>
      <c r="AA49" s="780">
        <v>104</v>
      </c>
      <c r="AB49" s="780">
        <v>133</v>
      </c>
      <c r="AC49" s="780">
        <v>135</v>
      </c>
      <c r="AD49" s="780">
        <v>139</v>
      </c>
      <c r="AE49" s="780">
        <v>130</v>
      </c>
      <c r="AF49" s="780">
        <v>177</v>
      </c>
      <c r="AG49" s="780">
        <v>193</v>
      </c>
      <c r="AH49" s="780">
        <v>186</v>
      </c>
      <c r="AI49" s="780">
        <v>132</v>
      </c>
      <c r="AJ49" s="780">
        <v>0</v>
      </c>
      <c r="AK49" s="781">
        <f t="shared" si="3"/>
        <v>4377</v>
      </c>
      <c r="AL49" s="1111">
        <v>44.143705731944095</v>
      </c>
      <c r="AM49" s="1112">
        <f t="shared" si="4"/>
        <v>1932.1699998871929</v>
      </c>
      <c r="AN49" s="1112">
        <v>3989</v>
      </c>
      <c r="AO49" s="1180">
        <v>3.3942045124915401</v>
      </c>
      <c r="AP49" s="1112">
        <f t="shared" si="7"/>
        <v>135.39481800328753</v>
      </c>
      <c r="AQ49" s="1114">
        <f t="shared" si="6"/>
        <v>2067.5648178904803</v>
      </c>
      <c r="AR49" s="1157" t="s">
        <v>36</v>
      </c>
      <c r="AS49" s="388"/>
      <c r="AT49" s="388"/>
    </row>
    <row r="50" spans="1:46" ht="54" customHeight="1">
      <c r="A50" s="604">
        <v>34</v>
      </c>
      <c r="B50" s="604">
        <v>34</v>
      </c>
      <c r="C50" s="604">
        <f>'Chấm công KT'!C46</f>
        <v>0</v>
      </c>
      <c r="D50" s="608" t="str">
        <f>'Chấm công KT'!D46</f>
        <v>N. Pheng Mi</v>
      </c>
      <c r="E50" s="608"/>
      <c r="F50" s="780">
        <v>0</v>
      </c>
      <c r="G50" s="780">
        <v>107</v>
      </c>
      <c r="H50" s="780">
        <v>0</v>
      </c>
      <c r="I50" s="780">
        <v>106</v>
      </c>
      <c r="J50" s="780">
        <v>218</v>
      </c>
      <c r="K50" s="780">
        <v>84</v>
      </c>
      <c r="L50" s="780">
        <v>250</v>
      </c>
      <c r="M50" s="780">
        <v>225</v>
      </c>
      <c r="N50" s="780">
        <v>0</v>
      </c>
      <c r="O50" s="780">
        <v>145</v>
      </c>
      <c r="P50" s="780">
        <v>245</v>
      </c>
      <c r="Q50" s="780">
        <v>206</v>
      </c>
      <c r="R50" s="780">
        <v>235</v>
      </c>
      <c r="S50" s="780">
        <v>0</v>
      </c>
      <c r="T50" s="780">
        <v>244</v>
      </c>
      <c r="U50" s="780">
        <v>0</v>
      </c>
      <c r="V50" s="780">
        <v>127</v>
      </c>
      <c r="W50" s="780">
        <v>148</v>
      </c>
      <c r="X50" s="780">
        <v>192</v>
      </c>
      <c r="Y50" s="780">
        <v>287</v>
      </c>
      <c r="Z50" s="780">
        <v>137</v>
      </c>
      <c r="AA50" s="780">
        <v>0</v>
      </c>
      <c r="AB50" s="780">
        <v>0</v>
      </c>
      <c r="AC50" s="780">
        <v>0</v>
      </c>
      <c r="AD50" s="780">
        <v>112</v>
      </c>
      <c r="AE50" s="780">
        <v>191</v>
      </c>
      <c r="AF50" s="780">
        <v>254</v>
      </c>
      <c r="AG50" s="780">
        <v>232</v>
      </c>
      <c r="AH50" s="780">
        <v>106</v>
      </c>
      <c r="AI50" s="780">
        <v>103</v>
      </c>
      <c r="AJ50" s="780">
        <v>192</v>
      </c>
      <c r="AK50" s="781">
        <f t="shared" si="3"/>
        <v>4146</v>
      </c>
      <c r="AL50" s="1111">
        <v>44.143705731944095</v>
      </c>
      <c r="AM50" s="1112">
        <f t="shared" si="4"/>
        <v>1830.1980396464021</v>
      </c>
      <c r="AN50" s="1112">
        <v>4457</v>
      </c>
      <c r="AO50" s="1180">
        <v>3.3942045124915401</v>
      </c>
      <c r="AP50" s="1112">
        <f t="shared" si="7"/>
        <v>151.27969512174795</v>
      </c>
      <c r="AQ50" s="1114">
        <f t="shared" si="6"/>
        <v>1981.47773476815</v>
      </c>
      <c r="AR50" s="1157" t="s">
        <v>43</v>
      </c>
      <c r="AS50" s="388"/>
      <c r="AT50" s="388"/>
    </row>
    <row r="51" spans="1:46" ht="54" customHeight="1">
      <c r="A51" s="604">
        <v>35</v>
      </c>
      <c r="B51" s="604">
        <v>35</v>
      </c>
      <c r="C51" s="604" t="str">
        <f>'Chấm công KT'!C47</f>
        <v>02714</v>
      </c>
      <c r="D51" s="608" t="str">
        <f>'Chấm công KT'!D47</f>
        <v>N. Tủn</v>
      </c>
      <c r="E51" s="608"/>
      <c r="F51" s="780">
        <v>0</v>
      </c>
      <c r="G51" s="780">
        <v>247</v>
      </c>
      <c r="H51" s="780">
        <v>98</v>
      </c>
      <c r="I51" s="780">
        <v>100</v>
      </c>
      <c r="J51" s="780">
        <v>231</v>
      </c>
      <c r="K51" s="780">
        <v>119</v>
      </c>
      <c r="L51" s="780">
        <v>0</v>
      </c>
      <c r="M51" s="780">
        <v>216</v>
      </c>
      <c r="N51" s="780">
        <v>0</v>
      </c>
      <c r="O51" s="780">
        <v>163</v>
      </c>
      <c r="P51" s="780">
        <v>179</v>
      </c>
      <c r="Q51" s="780">
        <v>0</v>
      </c>
      <c r="R51" s="780">
        <v>130</v>
      </c>
      <c r="S51" s="780">
        <v>170</v>
      </c>
      <c r="T51" s="780">
        <v>0</v>
      </c>
      <c r="U51" s="780">
        <v>305</v>
      </c>
      <c r="V51" s="780">
        <v>0</v>
      </c>
      <c r="W51" s="780">
        <v>108</v>
      </c>
      <c r="X51" s="780">
        <v>86</v>
      </c>
      <c r="Y51" s="780">
        <v>134</v>
      </c>
      <c r="Z51" s="780">
        <v>158</v>
      </c>
      <c r="AA51" s="780">
        <v>0</v>
      </c>
      <c r="AB51" s="780">
        <v>0</v>
      </c>
      <c r="AC51" s="780">
        <v>145</v>
      </c>
      <c r="AD51" s="780">
        <v>133</v>
      </c>
      <c r="AE51" s="780">
        <v>209</v>
      </c>
      <c r="AF51" s="780">
        <v>137</v>
      </c>
      <c r="AG51" s="780">
        <v>214</v>
      </c>
      <c r="AH51" s="780">
        <v>176</v>
      </c>
      <c r="AI51" s="780">
        <v>103</v>
      </c>
      <c r="AJ51" s="780">
        <v>100</v>
      </c>
      <c r="AK51" s="781">
        <f t="shared" si="3"/>
        <v>3661</v>
      </c>
      <c r="AL51" s="1111">
        <v>44.143705731944095</v>
      </c>
      <c r="AM51" s="1112">
        <f t="shared" si="4"/>
        <v>1616.1010668464733</v>
      </c>
      <c r="AN51" s="1112">
        <v>4251</v>
      </c>
      <c r="AO51" s="1180">
        <v>3.3942045124915401</v>
      </c>
      <c r="AP51" s="1112">
        <f t="shared" si="7"/>
        <v>144.28763382601537</v>
      </c>
      <c r="AQ51" s="1114">
        <f t="shared" si="6"/>
        <v>1760.3887006724885</v>
      </c>
      <c r="AR51" s="1157" t="s">
        <v>36</v>
      </c>
      <c r="AS51" s="388"/>
      <c r="AT51" s="388"/>
    </row>
    <row r="52" spans="1:46" ht="54" customHeight="1">
      <c r="A52" s="604">
        <v>36</v>
      </c>
      <c r="B52" s="604">
        <v>36</v>
      </c>
      <c r="C52" s="604" t="str">
        <f>'Chấm công KT'!C48</f>
        <v>02713</v>
      </c>
      <c r="D52" s="608" t="str">
        <f>'Chấm công KT'!D48</f>
        <v>T. Lung</v>
      </c>
      <c r="E52" s="608"/>
      <c r="F52" s="780">
        <v>0</v>
      </c>
      <c r="G52" s="780">
        <v>258</v>
      </c>
      <c r="H52" s="780">
        <v>99</v>
      </c>
      <c r="I52" s="780">
        <v>123</v>
      </c>
      <c r="J52" s="780">
        <v>237</v>
      </c>
      <c r="K52" s="780">
        <v>120</v>
      </c>
      <c r="L52" s="780">
        <v>0</v>
      </c>
      <c r="M52" s="780">
        <v>210</v>
      </c>
      <c r="N52" s="780">
        <v>0</v>
      </c>
      <c r="O52" s="780">
        <v>164</v>
      </c>
      <c r="P52" s="780">
        <v>179</v>
      </c>
      <c r="Q52" s="780">
        <v>0</v>
      </c>
      <c r="R52" s="780">
        <v>169</v>
      </c>
      <c r="S52" s="780">
        <v>135</v>
      </c>
      <c r="T52" s="780">
        <v>0</v>
      </c>
      <c r="U52" s="780">
        <v>311</v>
      </c>
      <c r="V52" s="780">
        <v>0</v>
      </c>
      <c r="W52" s="780">
        <v>115</v>
      </c>
      <c r="X52" s="780">
        <v>85</v>
      </c>
      <c r="Y52" s="780">
        <v>140</v>
      </c>
      <c r="Z52" s="780">
        <v>187</v>
      </c>
      <c r="AA52" s="780">
        <v>0</v>
      </c>
      <c r="AB52" s="780">
        <v>0</v>
      </c>
      <c r="AC52" s="780">
        <v>145</v>
      </c>
      <c r="AD52" s="780">
        <v>130</v>
      </c>
      <c r="AE52" s="780">
        <v>218</v>
      </c>
      <c r="AF52" s="780">
        <v>104</v>
      </c>
      <c r="AG52" s="780">
        <v>211</v>
      </c>
      <c r="AH52" s="780">
        <v>184</v>
      </c>
      <c r="AI52" s="780">
        <v>133</v>
      </c>
      <c r="AJ52" s="780">
        <v>101</v>
      </c>
      <c r="AK52" s="781">
        <f t="shared" si="3"/>
        <v>3758</v>
      </c>
      <c r="AL52" s="1111">
        <v>44.143705731944095</v>
      </c>
      <c r="AM52" s="1112">
        <f t="shared" si="4"/>
        <v>1658.9204614064593</v>
      </c>
      <c r="AN52" s="1112">
        <v>4304</v>
      </c>
      <c r="AO52" s="1180">
        <v>3.3942045124915401</v>
      </c>
      <c r="AP52" s="1112">
        <f t="shared" si="7"/>
        <v>146.0865622176359</v>
      </c>
      <c r="AQ52" s="1114">
        <f t="shared" si="6"/>
        <v>1805.0070236240952</v>
      </c>
      <c r="AR52" s="1157" t="s">
        <v>36</v>
      </c>
      <c r="AS52" s="388"/>
      <c r="AT52" s="388"/>
    </row>
    <row r="53" spans="1:46" ht="54" customHeight="1">
      <c r="A53" s="604">
        <v>37</v>
      </c>
      <c r="B53" s="604">
        <v>37</v>
      </c>
      <c r="C53" s="604" t="str">
        <f>'Chấm công KT'!C49</f>
        <v>04058</v>
      </c>
      <c r="D53" s="608" t="str">
        <f>'Chấm công KT'!D49</f>
        <v>T. Bi Ly (2)</v>
      </c>
      <c r="E53" s="608"/>
      <c r="F53" s="780">
        <v>0</v>
      </c>
      <c r="G53" s="780">
        <v>86</v>
      </c>
      <c r="H53" s="780">
        <v>0</v>
      </c>
      <c r="I53" s="780">
        <v>85</v>
      </c>
      <c r="J53" s="780">
        <v>231</v>
      </c>
      <c r="K53" s="780">
        <v>72</v>
      </c>
      <c r="L53" s="780">
        <v>144</v>
      </c>
      <c r="M53" s="780">
        <v>180</v>
      </c>
      <c r="N53" s="780">
        <v>123</v>
      </c>
      <c r="O53" s="780">
        <v>107</v>
      </c>
      <c r="P53" s="780">
        <v>172</v>
      </c>
      <c r="Q53" s="780">
        <v>179</v>
      </c>
      <c r="R53" s="780">
        <v>180</v>
      </c>
      <c r="S53" s="780">
        <v>155</v>
      </c>
      <c r="T53" s="780">
        <v>177</v>
      </c>
      <c r="U53" s="780">
        <v>210</v>
      </c>
      <c r="V53" s="780">
        <v>181</v>
      </c>
      <c r="W53" s="780">
        <v>115</v>
      </c>
      <c r="X53" s="780">
        <v>124</v>
      </c>
      <c r="Y53" s="780">
        <v>142</v>
      </c>
      <c r="Z53" s="780">
        <v>182</v>
      </c>
      <c r="AA53" s="780">
        <v>115</v>
      </c>
      <c r="AB53" s="780">
        <v>102</v>
      </c>
      <c r="AC53" s="780">
        <v>164</v>
      </c>
      <c r="AD53" s="780">
        <v>140</v>
      </c>
      <c r="AE53" s="780">
        <v>103</v>
      </c>
      <c r="AF53" s="780">
        <v>103</v>
      </c>
      <c r="AG53" s="780">
        <v>118</v>
      </c>
      <c r="AH53" s="780">
        <v>186</v>
      </c>
      <c r="AI53" s="780">
        <v>108</v>
      </c>
      <c r="AJ53" s="780">
        <v>185</v>
      </c>
      <c r="AK53" s="781">
        <f t="shared" si="3"/>
        <v>4169</v>
      </c>
      <c r="AL53" s="1111">
        <v>44.143705731944095</v>
      </c>
      <c r="AM53" s="1112">
        <f t="shared" si="4"/>
        <v>1840.3510919647492</v>
      </c>
      <c r="AN53" s="1112">
        <v>4193</v>
      </c>
      <c r="AO53" s="1180">
        <v>3.3942045124915401</v>
      </c>
      <c r="AP53" s="1112">
        <f t="shared" si="7"/>
        <v>142.31899520877027</v>
      </c>
      <c r="AQ53" s="1114">
        <f t="shared" si="6"/>
        <v>1982.6700871735195</v>
      </c>
      <c r="AR53" s="1157" t="s">
        <v>36</v>
      </c>
      <c r="AS53" s="388"/>
      <c r="AT53" s="388"/>
    </row>
    <row r="54" spans="1:46" ht="54" customHeight="1">
      <c r="A54" s="604">
        <v>38</v>
      </c>
      <c r="B54" s="604">
        <v>38</v>
      </c>
      <c r="C54" s="604" t="str">
        <f>'Chấm công KT'!C50</f>
        <v>03487</v>
      </c>
      <c r="D54" s="608" t="str">
        <f>'Chấm công KT'!D50</f>
        <v>N. Ba Say</v>
      </c>
      <c r="E54" s="608"/>
      <c r="F54" s="780">
        <v>0</v>
      </c>
      <c r="G54" s="780">
        <v>147</v>
      </c>
      <c r="H54" s="780">
        <v>132</v>
      </c>
      <c r="I54" s="780">
        <v>0</v>
      </c>
      <c r="J54" s="780">
        <v>129</v>
      </c>
      <c r="K54" s="780">
        <v>0</v>
      </c>
      <c r="L54" s="780">
        <v>122</v>
      </c>
      <c r="M54" s="780">
        <v>133</v>
      </c>
      <c r="N54" s="780">
        <v>107</v>
      </c>
      <c r="O54" s="780">
        <v>206</v>
      </c>
      <c r="P54" s="780">
        <v>178</v>
      </c>
      <c r="Q54" s="780">
        <v>112</v>
      </c>
      <c r="R54" s="780">
        <v>182</v>
      </c>
      <c r="S54" s="780">
        <v>161</v>
      </c>
      <c r="T54" s="780">
        <v>120</v>
      </c>
      <c r="U54" s="780">
        <v>0</v>
      </c>
      <c r="V54" s="780">
        <v>146</v>
      </c>
      <c r="W54" s="780">
        <v>167</v>
      </c>
      <c r="X54" s="780">
        <v>0</v>
      </c>
      <c r="Y54" s="780">
        <v>126</v>
      </c>
      <c r="Z54" s="780">
        <v>147</v>
      </c>
      <c r="AA54" s="780">
        <v>172</v>
      </c>
      <c r="AB54" s="780">
        <v>184</v>
      </c>
      <c r="AC54" s="780">
        <v>79</v>
      </c>
      <c r="AD54" s="780">
        <v>113</v>
      </c>
      <c r="AE54" s="780">
        <v>110</v>
      </c>
      <c r="AF54" s="780">
        <v>113</v>
      </c>
      <c r="AG54" s="780">
        <v>0</v>
      </c>
      <c r="AH54" s="780">
        <v>195</v>
      </c>
      <c r="AI54" s="780">
        <v>0</v>
      </c>
      <c r="AJ54" s="780">
        <v>0</v>
      </c>
      <c r="AK54" s="781">
        <f t="shared" si="3"/>
        <v>3281</v>
      </c>
      <c r="AL54" s="1111">
        <v>44.143705731944095</v>
      </c>
      <c r="AM54" s="1112">
        <f t="shared" si="4"/>
        <v>1448.3549850650857</v>
      </c>
      <c r="AN54" s="1112">
        <v>3710</v>
      </c>
      <c r="AO54" s="1180">
        <v>3.3942045124915401</v>
      </c>
      <c r="AP54" s="1112">
        <f t="shared" si="7"/>
        <v>125.92498741343614</v>
      </c>
      <c r="AQ54" s="1114">
        <f t="shared" si="6"/>
        <v>1574.2799724785218</v>
      </c>
      <c r="AR54" s="1157" t="s">
        <v>43</v>
      </c>
      <c r="AS54" s="388"/>
      <c r="AT54" s="388"/>
    </row>
    <row r="55" spans="1:46" ht="54" customHeight="1">
      <c r="A55" s="604">
        <v>39</v>
      </c>
      <c r="B55" s="604">
        <v>39</v>
      </c>
      <c r="C55" s="604" t="str">
        <f>'Chấm công KT'!C51</f>
        <v>03488</v>
      </c>
      <c r="D55" s="608" t="str">
        <f>'Chấm công KT'!D51</f>
        <v>N. Đeng</v>
      </c>
      <c r="E55" s="608"/>
      <c r="F55" s="780">
        <v>0</v>
      </c>
      <c r="G55" s="780">
        <v>104</v>
      </c>
      <c r="H55" s="780">
        <v>54</v>
      </c>
      <c r="I55" s="780">
        <v>81</v>
      </c>
      <c r="J55" s="780">
        <v>236</v>
      </c>
      <c r="K55" s="780">
        <v>91</v>
      </c>
      <c r="L55" s="780">
        <v>51</v>
      </c>
      <c r="M55" s="780">
        <v>149</v>
      </c>
      <c r="N55" s="780">
        <v>120</v>
      </c>
      <c r="O55" s="780">
        <v>159</v>
      </c>
      <c r="P55" s="780">
        <v>0</v>
      </c>
      <c r="Q55" s="780">
        <v>0</v>
      </c>
      <c r="R55" s="780">
        <v>0</v>
      </c>
      <c r="S55" s="780">
        <v>0</v>
      </c>
      <c r="T55" s="780">
        <v>0</v>
      </c>
      <c r="U55" s="780">
        <v>114</v>
      </c>
      <c r="V55" s="780">
        <v>0</v>
      </c>
      <c r="W55" s="780">
        <v>0</v>
      </c>
      <c r="X55" s="780">
        <v>0</v>
      </c>
      <c r="Y55" s="780">
        <v>112</v>
      </c>
      <c r="Z55" s="780">
        <v>233</v>
      </c>
      <c r="AA55" s="780">
        <v>150</v>
      </c>
      <c r="AB55" s="780">
        <v>161</v>
      </c>
      <c r="AC55" s="780">
        <v>154</v>
      </c>
      <c r="AD55" s="780">
        <v>150</v>
      </c>
      <c r="AE55" s="780">
        <v>125</v>
      </c>
      <c r="AF55" s="780">
        <v>102</v>
      </c>
      <c r="AG55" s="780">
        <v>190</v>
      </c>
      <c r="AH55" s="780">
        <v>224</v>
      </c>
      <c r="AI55" s="780">
        <v>202</v>
      </c>
      <c r="AJ55" s="780">
        <v>135</v>
      </c>
      <c r="AK55" s="781">
        <f t="shared" si="3"/>
        <v>3097</v>
      </c>
      <c r="AL55" s="1111">
        <v>44.143705731944095</v>
      </c>
      <c r="AM55" s="1112">
        <f t="shared" si="4"/>
        <v>1367.1305665183088</v>
      </c>
      <c r="AN55" s="1112">
        <v>4115</v>
      </c>
      <c r="AO55" s="1180">
        <v>3.3942045124915401</v>
      </c>
      <c r="AP55" s="1112">
        <f t="shared" si="7"/>
        <v>139.67151568902688</v>
      </c>
      <c r="AQ55" s="1114">
        <f t="shared" si="6"/>
        <v>1506.8020822073356</v>
      </c>
      <c r="AR55" s="1157" t="s">
        <v>36</v>
      </c>
      <c r="AS55" s="388"/>
      <c r="AT55" s="388"/>
    </row>
    <row r="56" spans="1:46" ht="54" customHeight="1">
      <c r="A56" s="604">
        <v>40</v>
      </c>
      <c r="B56" s="604">
        <v>40</v>
      </c>
      <c r="C56" s="604" t="str">
        <f>'Chấm công KT'!C52</f>
        <v>03489</v>
      </c>
      <c r="D56" s="608" t="str">
        <f>'Chấm công KT'!D52</f>
        <v>T. Tinh</v>
      </c>
      <c r="E56" s="608"/>
      <c r="F56" s="780">
        <v>0</v>
      </c>
      <c r="G56" s="780">
        <v>163</v>
      </c>
      <c r="H56" s="780">
        <v>143</v>
      </c>
      <c r="I56" s="780">
        <v>0</v>
      </c>
      <c r="J56" s="780">
        <v>105</v>
      </c>
      <c r="K56" s="780">
        <v>0</v>
      </c>
      <c r="L56" s="780">
        <v>120</v>
      </c>
      <c r="M56" s="780">
        <v>0</v>
      </c>
      <c r="N56" s="780">
        <v>127</v>
      </c>
      <c r="O56" s="780">
        <v>206</v>
      </c>
      <c r="P56" s="780">
        <v>164</v>
      </c>
      <c r="Q56" s="780">
        <v>124</v>
      </c>
      <c r="R56" s="780">
        <v>178</v>
      </c>
      <c r="S56" s="780">
        <v>149</v>
      </c>
      <c r="T56" s="780">
        <v>112</v>
      </c>
      <c r="U56" s="780">
        <v>0</v>
      </c>
      <c r="V56" s="780">
        <v>159</v>
      </c>
      <c r="W56" s="780">
        <v>155</v>
      </c>
      <c r="X56" s="780">
        <v>0</v>
      </c>
      <c r="Y56" s="780">
        <v>171</v>
      </c>
      <c r="Z56" s="780">
        <v>152</v>
      </c>
      <c r="AA56" s="780">
        <v>89</v>
      </c>
      <c r="AB56" s="780">
        <v>242</v>
      </c>
      <c r="AC56" s="780">
        <v>80</v>
      </c>
      <c r="AD56" s="780">
        <v>120</v>
      </c>
      <c r="AE56" s="780">
        <v>121</v>
      </c>
      <c r="AF56" s="780">
        <v>120</v>
      </c>
      <c r="AG56" s="780">
        <v>0</v>
      </c>
      <c r="AH56" s="780">
        <v>193</v>
      </c>
      <c r="AI56" s="780">
        <v>0</v>
      </c>
      <c r="AJ56" s="780">
        <v>0</v>
      </c>
      <c r="AK56" s="781">
        <f t="shared" si="3"/>
        <v>3193</v>
      </c>
      <c r="AL56" s="1111">
        <v>44.143705731944095</v>
      </c>
      <c r="AM56" s="1112">
        <f t="shared" si="4"/>
        <v>1409.5085240209748</v>
      </c>
      <c r="AN56" s="1112">
        <v>3763</v>
      </c>
      <c r="AO56" s="1180">
        <v>3.3942045124915401</v>
      </c>
      <c r="AP56" s="1112">
        <f t="shared" si="7"/>
        <v>127.72391580505666</v>
      </c>
      <c r="AQ56" s="1114">
        <f t="shared" si="6"/>
        <v>1537.2324398260316</v>
      </c>
      <c r="AR56" s="1157" t="s">
        <v>36</v>
      </c>
      <c r="AS56" s="388"/>
      <c r="AT56" s="388"/>
    </row>
    <row r="57" spans="1:46" ht="54" customHeight="1">
      <c r="A57" s="604">
        <v>41</v>
      </c>
      <c r="B57" s="604">
        <v>41</v>
      </c>
      <c r="C57" s="604" t="str">
        <f>'Chấm công KT'!C53</f>
        <v>04059</v>
      </c>
      <c r="D57" s="608" t="str">
        <f>'Chấm công KT'!D53</f>
        <v>T. Khăm Pỏi</v>
      </c>
      <c r="E57" s="608"/>
      <c r="F57" s="780">
        <v>0</v>
      </c>
      <c r="G57" s="780">
        <v>0</v>
      </c>
      <c r="H57" s="780">
        <v>81</v>
      </c>
      <c r="I57" s="780">
        <v>0</v>
      </c>
      <c r="J57" s="780">
        <v>123</v>
      </c>
      <c r="K57" s="780">
        <v>172</v>
      </c>
      <c r="L57" s="780">
        <v>0</v>
      </c>
      <c r="M57" s="780">
        <v>140</v>
      </c>
      <c r="N57" s="780">
        <v>0</v>
      </c>
      <c r="O57" s="780">
        <v>153</v>
      </c>
      <c r="P57" s="780">
        <v>0</v>
      </c>
      <c r="Q57" s="780">
        <v>102</v>
      </c>
      <c r="R57" s="780">
        <v>191</v>
      </c>
      <c r="S57" s="780">
        <v>240</v>
      </c>
      <c r="T57" s="780">
        <v>186</v>
      </c>
      <c r="U57" s="780">
        <v>0</v>
      </c>
      <c r="V57" s="780">
        <v>147</v>
      </c>
      <c r="W57" s="780">
        <v>163</v>
      </c>
      <c r="X57" s="780">
        <v>109</v>
      </c>
      <c r="Y57" s="780">
        <v>0</v>
      </c>
      <c r="Z57" s="780">
        <v>139</v>
      </c>
      <c r="AA57" s="780">
        <v>0</v>
      </c>
      <c r="AB57" s="780">
        <v>119</v>
      </c>
      <c r="AC57" s="780">
        <v>153</v>
      </c>
      <c r="AD57" s="780">
        <v>0</v>
      </c>
      <c r="AE57" s="780">
        <v>225</v>
      </c>
      <c r="AF57" s="780">
        <v>82</v>
      </c>
      <c r="AG57" s="780">
        <v>147</v>
      </c>
      <c r="AH57" s="780">
        <v>191</v>
      </c>
      <c r="AI57" s="780">
        <v>190</v>
      </c>
      <c r="AJ57" s="780">
        <v>157</v>
      </c>
      <c r="AK57" s="781">
        <f t="shared" si="3"/>
        <v>3210</v>
      </c>
      <c r="AL57" s="1111">
        <v>44.143705731944095</v>
      </c>
      <c r="AM57" s="1112">
        <f t="shared" si="4"/>
        <v>1417.0129539954055</v>
      </c>
      <c r="AN57" s="1112">
        <v>4073</v>
      </c>
      <c r="AO57" s="1180">
        <v>3.3942045124915401</v>
      </c>
      <c r="AP57" s="1112">
        <f t="shared" si="7"/>
        <v>138.24594979378043</v>
      </c>
      <c r="AQ57" s="1114">
        <f t="shared" si="6"/>
        <v>1555.258903789186</v>
      </c>
      <c r="AR57" s="1157" t="s">
        <v>36</v>
      </c>
      <c r="AS57" s="388"/>
      <c r="AT57" s="388"/>
    </row>
    <row r="58" spans="1:46" ht="54" customHeight="1">
      <c r="A58" s="604">
        <v>42</v>
      </c>
      <c r="B58" s="604">
        <v>42</v>
      </c>
      <c r="C58" s="604" t="str">
        <f>'Chấm công KT'!C54</f>
        <v>03491</v>
      </c>
      <c r="D58" s="608" t="str">
        <f>'Chấm công KT'!D54</f>
        <v>Lăm Ngân</v>
      </c>
      <c r="E58" s="608"/>
      <c r="F58" s="780">
        <v>0</v>
      </c>
      <c r="G58" s="780">
        <v>109</v>
      </c>
      <c r="H58" s="780">
        <v>73</v>
      </c>
      <c r="I58" s="780">
        <v>94</v>
      </c>
      <c r="J58" s="780">
        <v>230</v>
      </c>
      <c r="K58" s="780">
        <v>84</v>
      </c>
      <c r="L58" s="780">
        <v>56</v>
      </c>
      <c r="M58" s="780">
        <v>154</v>
      </c>
      <c r="N58" s="780">
        <v>120</v>
      </c>
      <c r="O58" s="780">
        <v>160</v>
      </c>
      <c r="P58" s="780">
        <v>0</v>
      </c>
      <c r="Q58" s="780">
        <v>0</v>
      </c>
      <c r="R58" s="780">
        <v>227</v>
      </c>
      <c r="S58" s="780">
        <v>108</v>
      </c>
      <c r="T58" s="780">
        <v>212</v>
      </c>
      <c r="U58" s="780">
        <v>99</v>
      </c>
      <c r="V58" s="780">
        <v>156</v>
      </c>
      <c r="W58" s="780">
        <v>79</v>
      </c>
      <c r="X58" s="780">
        <v>0</v>
      </c>
      <c r="Y58" s="780">
        <v>120</v>
      </c>
      <c r="Z58" s="780">
        <v>232</v>
      </c>
      <c r="AA58" s="780">
        <v>161</v>
      </c>
      <c r="AB58" s="780">
        <v>153</v>
      </c>
      <c r="AC58" s="780">
        <v>0</v>
      </c>
      <c r="AD58" s="780">
        <v>184</v>
      </c>
      <c r="AE58" s="780">
        <v>130</v>
      </c>
      <c r="AF58" s="780">
        <v>100</v>
      </c>
      <c r="AG58" s="780">
        <v>180</v>
      </c>
      <c r="AH58" s="780">
        <v>202</v>
      </c>
      <c r="AI58" s="780">
        <v>180</v>
      </c>
      <c r="AJ58" s="780">
        <v>131</v>
      </c>
      <c r="AK58" s="781">
        <f t="shared" si="3"/>
        <v>3734</v>
      </c>
      <c r="AL58" s="1111">
        <v>44.143705731944095</v>
      </c>
      <c r="AM58" s="1112">
        <f t="shared" si="4"/>
        <v>1648.3259720307926</v>
      </c>
      <c r="AN58" s="1112">
        <v>4220</v>
      </c>
      <c r="AO58" s="1180">
        <v>3.3942045124915401</v>
      </c>
      <c r="AP58" s="1112">
        <f t="shared" si="7"/>
        <v>143.235430427143</v>
      </c>
      <c r="AQ58" s="1114">
        <f t="shared" si="6"/>
        <v>1791.5614024579356</v>
      </c>
      <c r="AR58" s="1157" t="s">
        <v>36</v>
      </c>
      <c r="AS58" s="388"/>
      <c r="AT58" s="388"/>
    </row>
    <row r="59" spans="1:46" ht="54" customHeight="1">
      <c r="A59" s="604">
        <v>43</v>
      </c>
      <c r="B59" s="604">
        <v>43</v>
      </c>
      <c r="C59" s="604" t="str">
        <f>'Chấm công KT'!C55</f>
        <v>04060</v>
      </c>
      <c r="D59" s="608" t="str">
        <f>'Chấm công KT'!D55</f>
        <v>T. Không</v>
      </c>
      <c r="E59" s="608"/>
      <c r="F59" s="780">
        <v>0</v>
      </c>
      <c r="G59" s="780">
        <v>139</v>
      </c>
      <c r="H59" s="780">
        <v>99</v>
      </c>
      <c r="I59" s="780">
        <v>67</v>
      </c>
      <c r="J59" s="780">
        <v>245</v>
      </c>
      <c r="K59" s="780">
        <v>103</v>
      </c>
      <c r="L59" s="780">
        <v>91</v>
      </c>
      <c r="M59" s="780">
        <v>137</v>
      </c>
      <c r="N59" s="780">
        <v>178</v>
      </c>
      <c r="O59" s="780">
        <v>157</v>
      </c>
      <c r="P59" s="780">
        <v>190</v>
      </c>
      <c r="Q59" s="780">
        <v>153</v>
      </c>
      <c r="R59" s="780">
        <v>182</v>
      </c>
      <c r="S59" s="780">
        <v>130</v>
      </c>
      <c r="T59" s="780">
        <v>126</v>
      </c>
      <c r="U59" s="780">
        <v>155</v>
      </c>
      <c r="V59" s="780">
        <v>171</v>
      </c>
      <c r="W59" s="780">
        <v>112</v>
      </c>
      <c r="X59" s="780">
        <v>125</v>
      </c>
      <c r="Y59" s="780">
        <v>94</v>
      </c>
      <c r="Z59" s="780">
        <v>129</v>
      </c>
      <c r="AA59" s="780">
        <v>120</v>
      </c>
      <c r="AB59" s="780">
        <v>120</v>
      </c>
      <c r="AC59" s="780">
        <v>84</v>
      </c>
      <c r="AD59" s="780">
        <v>182</v>
      </c>
      <c r="AE59" s="780">
        <v>135</v>
      </c>
      <c r="AF59" s="780">
        <v>139</v>
      </c>
      <c r="AG59" s="780">
        <v>155</v>
      </c>
      <c r="AH59" s="780">
        <v>0</v>
      </c>
      <c r="AI59" s="780">
        <v>158</v>
      </c>
      <c r="AJ59" s="780">
        <v>197</v>
      </c>
      <c r="AK59" s="781">
        <f t="shared" si="3"/>
        <v>4073</v>
      </c>
      <c r="AL59" s="1111">
        <v>44.143705731944095</v>
      </c>
      <c r="AM59" s="1112">
        <f t="shared" si="4"/>
        <v>1797.9731344620832</v>
      </c>
      <c r="AN59" s="1112">
        <v>3838</v>
      </c>
      <c r="AO59" s="1180">
        <v>3.3942045124915401</v>
      </c>
      <c r="AP59" s="1112">
        <f t="shared" si="7"/>
        <v>130.26956918942531</v>
      </c>
      <c r="AQ59" s="1114">
        <f t="shared" si="6"/>
        <v>1928.2427036515085</v>
      </c>
      <c r="AR59" s="1157" t="s">
        <v>36</v>
      </c>
      <c r="AS59" s="388"/>
      <c r="AT59" s="388"/>
    </row>
    <row r="60" spans="1:46" ht="54" customHeight="1">
      <c r="A60" s="604">
        <v>44</v>
      </c>
      <c r="B60" s="604">
        <v>44</v>
      </c>
      <c r="C60" s="604" t="str">
        <f>'Chấm công KT'!C56</f>
        <v>03492</v>
      </c>
      <c r="D60" s="608" t="str">
        <f>'Chấm công KT'!D56</f>
        <v>T. Lem</v>
      </c>
      <c r="E60" s="608"/>
      <c r="F60" s="780">
        <v>0</v>
      </c>
      <c r="G60" s="780">
        <v>132</v>
      </c>
      <c r="H60" s="780">
        <v>0</v>
      </c>
      <c r="I60" s="780">
        <v>162</v>
      </c>
      <c r="J60" s="780">
        <v>232</v>
      </c>
      <c r="K60" s="780">
        <v>118</v>
      </c>
      <c r="L60" s="780">
        <v>169</v>
      </c>
      <c r="M60" s="780">
        <v>199</v>
      </c>
      <c r="N60" s="780">
        <v>0</v>
      </c>
      <c r="O60" s="780">
        <v>122</v>
      </c>
      <c r="P60" s="780">
        <v>105</v>
      </c>
      <c r="Q60" s="780">
        <v>163</v>
      </c>
      <c r="R60" s="780">
        <v>191</v>
      </c>
      <c r="S60" s="780">
        <v>0</v>
      </c>
      <c r="T60" s="780">
        <v>0</v>
      </c>
      <c r="U60" s="780">
        <v>0</v>
      </c>
      <c r="V60" s="780">
        <v>0</v>
      </c>
      <c r="W60" s="780">
        <v>305</v>
      </c>
      <c r="X60" s="780">
        <v>139</v>
      </c>
      <c r="Y60" s="780">
        <v>226</v>
      </c>
      <c r="Z60" s="780">
        <v>178</v>
      </c>
      <c r="AA60" s="780">
        <v>145</v>
      </c>
      <c r="AB60" s="780">
        <v>107</v>
      </c>
      <c r="AC60" s="780">
        <v>212</v>
      </c>
      <c r="AD60" s="780">
        <v>139</v>
      </c>
      <c r="AE60" s="780">
        <v>0</v>
      </c>
      <c r="AF60" s="780">
        <v>0</v>
      </c>
      <c r="AG60" s="780">
        <v>232</v>
      </c>
      <c r="AH60" s="780">
        <v>0</v>
      </c>
      <c r="AI60" s="780">
        <v>333</v>
      </c>
      <c r="AJ60" s="780">
        <v>162</v>
      </c>
      <c r="AK60" s="781">
        <f t="shared" si="3"/>
        <v>3771</v>
      </c>
      <c r="AL60" s="1111">
        <v>44.143705731944095</v>
      </c>
      <c r="AM60" s="1112">
        <f t="shared" si="4"/>
        <v>1664.6591431516117</v>
      </c>
      <c r="AN60" s="1112">
        <v>4154</v>
      </c>
      <c r="AO60" s="1180">
        <v>3.3942045124915401</v>
      </c>
      <c r="AP60" s="1112">
        <f t="shared" si="7"/>
        <v>140.99525544889858</v>
      </c>
      <c r="AQ60" s="1114">
        <f t="shared" si="6"/>
        <v>1805.6543986005104</v>
      </c>
      <c r="AR60" s="1157" t="s">
        <v>43</v>
      </c>
      <c r="AS60" s="388"/>
      <c r="AT60" s="388"/>
    </row>
    <row r="61" spans="1:46" ht="54" customHeight="1">
      <c r="A61" s="604">
        <v>45</v>
      </c>
      <c r="B61" s="604">
        <v>45</v>
      </c>
      <c r="C61" s="604" t="str">
        <f>'Chấm công KT'!C57</f>
        <v>03493</v>
      </c>
      <c r="D61" s="608" t="str">
        <f>'Chấm công KT'!D57</f>
        <v>T. Pông</v>
      </c>
      <c r="E61" s="608"/>
      <c r="F61" s="780">
        <v>0</v>
      </c>
      <c r="G61" s="780">
        <v>153</v>
      </c>
      <c r="H61" s="780">
        <v>69</v>
      </c>
      <c r="I61" s="780">
        <v>62</v>
      </c>
      <c r="J61" s="780">
        <v>226</v>
      </c>
      <c r="K61" s="780">
        <v>98</v>
      </c>
      <c r="L61" s="780">
        <v>70</v>
      </c>
      <c r="M61" s="780">
        <v>187</v>
      </c>
      <c r="N61" s="780">
        <v>96</v>
      </c>
      <c r="O61" s="780">
        <v>185</v>
      </c>
      <c r="P61" s="780">
        <v>115</v>
      </c>
      <c r="Q61" s="780">
        <v>175</v>
      </c>
      <c r="R61" s="780">
        <v>178</v>
      </c>
      <c r="S61" s="780">
        <v>160</v>
      </c>
      <c r="T61" s="780">
        <v>101</v>
      </c>
      <c r="U61" s="780">
        <v>0</v>
      </c>
      <c r="V61" s="780">
        <v>144</v>
      </c>
      <c r="W61" s="780">
        <v>0</v>
      </c>
      <c r="X61" s="780">
        <v>79</v>
      </c>
      <c r="Y61" s="780">
        <v>244</v>
      </c>
      <c r="Z61" s="780">
        <v>112</v>
      </c>
      <c r="AA61" s="780">
        <v>120</v>
      </c>
      <c r="AB61" s="780">
        <v>81</v>
      </c>
      <c r="AC61" s="780">
        <v>115</v>
      </c>
      <c r="AD61" s="780">
        <v>109</v>
      </c>
      <c r="AE61" s="780">
        <v>136</v>
      </c>
      <c r="AF61" s="780">
        <v>66</v>
      </c>
      <c r="AG61" s="780">
        <v>205</v>
      </c>
      <c r="AH61" s="780">
        <v>191</v>
      </c>
      <c r="AI61" s="780">
        <v>95</v>
      </c>
      <c r="AJ61" s="780">
        <v>118</v>
      </c>
      <c r="AK61" s="781">
        <f t="shared" si="3"/>
        <v>3690</v>
      </c>
      <c r="AL61" s="1111">
        <v>44.143705731944095</v>
      </c>
      <c r="AM61" s="1112">
        <f t="shared" si="4"/>
        <v>1628.9027415087371</v>
      </c>
      <c r="AN61" s="1112">
        <v>5054</v>
      </c>
      <c r="AO61" s="1180">
        <v>3.3942045124915401</v>
      </c>
      <c r="AP61" s="1112">
        <f t="shared" si="7"/>
        <v>171.54309606132244</v>
      </c>
      <c r="AQ61" s="1114">
        <f t="shared" si="6"/>
        <v>1800.4458375700597</v>
      </c>
      <c r="AR61" s="1157" t="s">
        <v>36</v>
      </c>
      <c r="AS61" s="388"/>
      <c r="AT61" s="388"/>
    </row>
    <row r="62" spans="1:46" ht="54" customHeight="1">
      <c r="A62" s="604">
        <v>46</v>
      </c>
      <c r="B62" s="604">
        <v>46</v>
      </c>
      <c r="C62" s="604" t="str">
        <f>'Chấm công KT'!C58</f>
        <v>03496</v>
      </c>
      <c r="D62" s="608" t="str">
        <f>'Chấm công KT'!D58</f>
        <v>T. Lốp</v>
      </c>
      <c r="E62" s="608"/>
      <c r="F62" s="780">
        <v>0</v>
      </c>
      <c r="G62" s="780">
        <v>0</v>
      </c>
      <c r="H62" s="780">
        <v>94</v>
      </c>
      <c r="I62" s="780">
        <v>144</v>
      </c>
      <c r="J62" s="780">
        <v>304</v>
      </c>
      <c r="K62" s="780">
        <v>170</v>
      </c>
      <c r="L62" s="780">
        <v>60</v>
      </c>
      <c r="M62" s="780">
        <v>191</v>
      </c>
      <c r="N62" s="780">
        <v>173</v>
      </c>
      <c r="O62" s="780">
        <v>160</v>
      </c>
      <c r="P62" s="780">
        <v>132</v>
      </c>
      <c r="Q62" s="780">
        <v>192</v>
      </c>
      <c r="R62" s="780">
        <v>143</v>
      </c>
      <c r="S62" s="780">
        <v>183</v>
      </c>
      <c r="T62" s="780">
        <v>0</v>
      </c>
      <c r="U62" s="780">
        <v>181</v>
      </c>
      <c r="V62" s="780">
        <v>215</v>
      </c>
      <c r="W62" s="780">
        <v>133</v>
      </c>
      <c r="X62" s="780">
        <v>242</v>
      </c>
      <c r="Y62" s="780">
        <v>204</v>
      </c>
      <c r="Z62" s="780">
        <v>249</v>
      </c>
      <c r="AA62" s="780">
        <v>144</v>
      </c>
      <c r="AB62" s="780">
        <v>0</v>
      </c>
      <c r="AC62" s="780">
        <v>170</v>
      </c>
      <c r="AD62" s="780">
        <v>240</v>
      </c>
      <c r="AE62" s="780">
        <v>0</v>
      </c>
      <c r="AF62" s="780">
        <v>117</v>
      </c>
      <c r="AG62" s="780">
        <v>238</v>
      </c>
      <c r="AH62" s="780">
        <v>190</v>
      </c>
      <c r="AI62" s="780">
        <v>210</v>
      </c>
      <c r="AJ62" s="780">
        <v>66</v>
      </c>
      <c r="AK62" s="781">
        <f t="shared" si="3"/>
        <v>4545</v>
      </c>
      <c r="AL62" s="1111">
        <v>44.143705731944095</v>
      </c>
      <c r="AM62" s="1112">
        <f t="shared" si="4"/>
        <v>2006.3314255168591</v>
      </c>
      <c r="AN62" s="1112">
        <v>5104</v>
      </c>
      <c r="AO62" s="1180">
        <v>3.3942045124915401</v>
      </c>
      <c r="AP62" s="1112">
        <f t="shared" si="7"/>
        <v>173.2401983175682</v>
      </c>
      <c r="AQ62" s="1114">
        <f t="shared" si="6"/>
        <v>2179.5716238344271</v>
      </c>
      <c r="AR62" s="1157" t="s">
        <v>36</v>
      </c>
      <c r="AS62" s="388"/>
      <c r="AT62" s="388"/>
    </row>
    <row r="63" spans="1:46" ht="54" customHeight="1">
      <c r="A63" s="604">
        <v>47</v>
      </c>
      <c r="B63" s="604">
        <v>47</v>
      </c>
      <c r="C63" s="604" t="str">
        <f>'Chấm công KT'!C59</f>
        <v>04061</v>
      </c>
      <c r="D63" s="608" t="str">
        <f>'Chấm công KT'!D59</f>
        <v>N. Nu Ni</v>
      </c>
      <c r="E63" s="608"/>
      <c r="F63" s="780">
        <v>0</v>
      </c>
      <c r="G63" s="780">
        <v>0</v>
      </c>
      <c r="H63" s="780">
        <v>100</v>
      </c>
      <c r="I63" s="780">
        <v>116</v>
      </c>
      <c r="J63" s="780">
        <v>271</v>
      </c>
      <c r="K63" s="780">
        <v>153</v>
      </c>
      <c r="L63" s="780">
        <v>63</v>
      </c>
      <c r="M63" s="780">
        <v>223</v>
      </c>
      <c r="N63" s="780">
        <v>170</v>
      </c>
      <c r="O63" s="780">
        <v>167</v>
      </c>
      <c r="P63" s="780">
        <v>145</v>
      </c>
      <c r="Q63" s="780">
        <v>200</v>
      </c>
      <c r="R63" s="780">
        <v>135</v>
      </c>
      <c r="S63" s="780">
        <v>200</v>
      </c>
      <c r="T63" s="780">
        <v>0</v>
      </c>
      <c r="U63" s="780">
        <v>183</v>
      </c>
      <c r="V63" s="780">
        <v>283</v>
      </c>
      <c r="W63" s="780">
        <v>126</v>
      </c>
      <c r="X63" s="780">
        <v>260</v>
      </c>
      <c r="Y63" s="780">
        <v>214</v>
      </c>
      <c r="Z63" s="780">
        <v>240</v>
      </c>
      <c r="AA63" s="780">
        <v>150</v>
      </c>
      <c r="AB63" s="780">
        <v>0</v>
      </c>
      <c r="AC63" s="780">
        <v>160</v>
      </c>
      <c r="AD63" s="780">
        <v>220</v>
      </c>
      <c r="AE63" s="780">
        <v>0</v>
      </c>
      <c r="AF63" s="780">
        <v>135</v>
      </c>
      <c r="AG63" s="780">
        <v>244</v>
      </c>
      <c r="AH63" s="780">
        <v>201</v>
      </c>
      <c r="AI63" s="780">
        <v>222</v>
      </c>
      <c r="AJ63" s="780">
        <v>64</v>
      </c>
      <c r="AK63" s="781">
        <f t="shared" si="3"/>
        <v>4645</v>
      </c>
      <c r="AL63" s="1111">
        <v>44.143705731944095</v>
      </c>
      <c r="AM63" s="1112">
        <f t="shared" si="4"/>
        <v>2050.4751312488033</v>
      </c>
      <c r="AN63" s="1112">
        <v>5065</v>
      </c>
      <c r="AO63" s="1180">
        <v>3.3942045124915401</v>
      </c>
      <c r="AP63" s="1112">
        <f t="shared" si="7"/>
        <v>171.9164585576965</v>
      </c>
      <c r="AQ63" s="1114">
        <f t="shared" si="6"/>
        <v>2222.3915898064997</v>
      </c>
      <c r="AR63" s="1157" t="s">
        <v>43</v>
      </c>
      <c r="AS63" s="388"/>
      <c r="AT63" s="388"/>
    </row>
    <row r="64" spans="1:46" ht="54" customHeight="1">
      <c r="A64" s="604">
        <v>48</v>
      </c>
      <c r="B64" s="604">
        <v>48</v>
      </c>
      <c r="C64" s="604" t="str">
        <f>'Chấm công KT'!C60</f>
        <v>03494</v>
      </c>
      <c r="D64" s="608" t="str">
        <f>'Chấm công KT'!D60</f>
        <v>T. Đi</v>
      </c>
      <c r="E64" s="608"/>
      <c r="F64" s="780">
        <v>0</v>
      </c>
      <c r="G64" s="780">
        <v>117</v>
      </c>
      <c r="H64" s="780">
        <v>55</v>
      </c>
      <c r="I64" s="780">
        <v>92</v>
      </c>
      <c r="J64" s="780">
        <v>250</v>
      </c>
      <c r="K64" s="780">
        <v>60</v>
      </c>
      <c r="L64" s="780">
        <v>0</v>
      </c>
      <c r="M64" s="780">
        <v>157</v>
      </c>
      <c r="N64" s="780">
        <v>114</v>
      </c>
      <c r="O64" s="780">
        <v>142</v>
      </c>
      <c r="P64" s="780">
        <v>137</v>
      </c>
      <c r="Q64" s="780">
        <v>163</v>
      </c>
      <c r="R64" s="780">
        <v>173</v>
      </c>
      <c r="S64" s="780">
        <v>149</v>
      </c>
      <c r="T64" s="780">
        <v>0</v>
      </c>
      <c r="U64" s="780">
        <v>115</v>
      </c>
      <c r="V64" s="780">
        <v>145</v>
      </c>
      <c r="W64" s="780">
        <v>0</v>
      </c>
      <c r="X64" s="780">
        <v>69</v>
      </c>
      <c r="Y64" s="780">
        <v>172</v>
      </c>
      <c r="Z64" s="780">
        <v>141</v>
      </c>
      <c r="AA64" s="780">
        <v>173</v>
      </c>
      <c r="AB64" s="780">
        <v>92</v>
      </c>
      <c r="AC64" s="780">
        <v>127</v>
      </c>
      <c r="AD64" s="780">
        <v>150</v>
      </c>
      <c r="AE64" s="780">
        <v>137</v>
      </c>
      <c r="AF64" s="780">
        <v>73</v>
      </c>
      <c r="AG64" s="780">
        <v>141</v>
      </c>
      <c r="AH64" s="780">
        <v>117</v>
      </c>
      <c r="AI64" s="780">
        <v>108</v>
      </c>
      <c r="AJ64" s="780">
        <v>137</v>
      </c>
      <c r="AK64" s="781">
        <f t="shared" si="3"/>
        <v>3506</v>
      </c>
      <c r="AL64" s="1111">
        <v>44.143705731944095</v>
      </c>
      <c r="AM64" s="1112">
        <f t="shared" si="4"/>
        <v>1547.67832296196</v>
      </c>
      <c r="AN64" s="1112">
        <v>3875</v>
      </c>
      <c r="AO64" s="1180">
        <v>3.3942045124915401</v>
      </c>
      <c r="AP64" s="1112">
        <f t="shared" si="7"/>
        <v>131.52542485904718</v>
      </c>
      <c r="AQ64" s="1114">
        <f t="shared" si="6"/>
        <v>1679.2037478210073</v>
      </c>
      <c r="AR64" s="1157" t="s">
        <v>36</v>
      </c>
      <c r="AS64" s="388"/>
      <c r="AT64" s="388"/>
    </row>
    <row r="65" spans="1:46" ht="54" customHeight="1">
      <c r="A65" s="604">
        <v>49</v>
      </c>
      <c r="B65" s="604">
        <v>49</v>
      </c>
      <c r="C65" s="604" t="str">
        <f>'Chấm công KT'!C61</f>
        <v>03495</v>
      </c>
      <c r="D65" s="608" t="str">
        <f>'Chấm công KT'!D61</f>
        <v>N. On Xi</v>
      </c>
      <c r="E65" s="608"/>
      <c r="F65" s="780">
        <v>0</v>
      </c>
      <c r="G65" s="780">
        <v>111</v>
      </c>
      <c r="H65" s="780">
        <v>84</v>
      </c>
      <c r="I65" s="780">
        <v>90</v>
      </c>
      <c r="J65" s="780">
        <v>160</v>
      </c>
      <c r="K65" s="780">
        <v>96</v>
      </c>
      <c r="L65" s="780">
        <v>72</v>
      </c>
      <c r="M65" s="780">
        <v>175</v>
      </c>
      <c r="N65" s="780">
        <v>145</v>
      </c>
      <c r="O65" s="780">
        <v>157</v>
      </c>
      <c r="P65" s="780">
        <v>134</v>
      </c>
      <c r="Q65" s="780">
        <v>162</v>
      </c>
      <c r="R65" s="780">
        <v>193</v>
      </c>
      <c r="S65" s="780">
        <v>146</v>
      </c>
      <c r="T65" s="780">
        <v>139</v>
      </c>
      <c r="U65" s="780">
        <v>162</v>
      </c>
      <c r="V65" s="780">
        <v>174</v>
      </c>
      <c r="W65" s="780">
        <v>125</v>
      </c>
      <c r="X65" s="780">
        <v>109</v>
      </c>
      <c r="Y65" s="780">
        <v>128</v>
      </c>
      <c r="Z65" s="780">
        <v>181</v>
      </c>
      <c r="AA65" s="780">
        <v>115</v>
      </c>
      <c r="AB65" s="780">
        <v>94</v>
      </c>
      <c r="AC65" s="780">
        <v>144</v>
      </c>
      <c r="AD65" s="780">
        <v>181</v>
      </c>
      <c r="AE65" s="780">
        <v>147</v>
      </c>
      <c r="AF65" s="780">
        <v>104</v>
      </c>
      <c r="AG65" s="780">
        <v>162</v>
      </c>
      <c r="AH65" s="780">
        <v>214</v>
      </c>
      <c r="AI65" s="780">
        <v>147</v>
      </c>
      <c r="AJ65" s="780">
        <v>140</v>
      </c>
      <c r="AK65" s="781">
        <f t="shared" si="3"/>
        <v>4191</v>
      </c>
      <c r="AL65" s="1111">
        <v>44.143705731944095</v>
      </c>
      <c r="AM65" s="1112">
        <f t="shared" si="4"/>
        <v>1850.0627072257769</v>
      </c>
      <c r="AN65" s="1112">
        <v>3980</v>
      </c>
      <c r="AO65" s="1180">
        <v>3.3942045124915401</v>
      </c>
      <c r="AP65" s="1112">
        <f t="shared" si="7"/>
        <v>135.0893395971633</v>
      </c>
      <c r="AQ65" s="1114">
        <f t="shared" si="6"/>
        <v>1985.1520468229401</v>
      </c>
      <c r="AR65" s="1157" t="s">
        <v>36</v>
      </c>
      <c r="AS65" s="388"/>
      <c r="AT65" s="388"/>
    </row>
    <row r="66" spans="1:46" ht="54" customHeight="1">
      <c r="A66" s="604">
        <v>50</v>
      </c>
      <c r="B66" s="604">
        <v>50</v>
      </c>
      <c r="C66" s="604" t="str">
        <f>'Chấm công KT'!C62</f>
        <v>04062</v>
      </c>
      <c r="D66" s="608" t="str">
        <f>'Chấm công KT'!D62</f>
        <v>N. Thông La</v>
      </c>
      <c r="E66" s="608"/>
      <c r="F66" s="780">
        <v>0</v>
      </c>
      <c r="G66" s="780">
        <v>141</v>
      </c>
      <c r="H66" s="780">
        <v>92</v>
      </c>
      <c r="I66" s="780">
        <v>78</v>
      </c>
      <c r="J66" s="780">
        <v>292</v>
      </c>
      <c r="K66" s="780">
        <v>123</v>
      </c>
      <c r="L66" s="780">
        <v>97</v>
      </c>
      <c r="M66" s="780">
        <v>155</v>
      </c>
      <c r="N66" s="780">
        <v>189</v>
      </c>
      <c r="O66" s="780">
        <v>198</v>
      </c>
      <c r="P66" s="780">
        <v>150</v>
      </c>
      <c r="Q66" s="780">
        <v>126</v>
      </c>
      <c r="R66" s="780">
        <v>232</v>
      </c>
      <c r="S66" s="780">
        <v>163</v>
      </c>
      <c r="T66" s="780">
        <v>123</v>
      </c>
      <c r="U66" s="780">
        <v>130</v>
      </c>
      <c r="V66" s="780">
        <v>236</v>
      </c>
      <c r="W66" s="780">
        <v>164</v>
      </c>
      <c r="X66" s="780">
        <v>139</v>
      </c>
      <c r="Y66" s="780">
        <v>118</v>
      </c>
      <c r="Z66" s="780">
        <v>187</v>
      </c>
      <c r="AA66" s="780">
        <v>151</v>
      </c>
      <c r="AB66" s="780">
        <v>115</v>
      </c>
      <c r="AC66" s="780">
        <v>115</v>
      </c>
      <c r="AD66" s="780">
        <v>197</v>
      </c>
      <c r="AE66" s="780">
        <v>140</v>
      </c>
      <c r="AF66" s="780">
        <v>124</v>
      </c>
      <c r="AG66" s="780">
        <v>89</v>
      </c>
      <c r="AH66" s="780">
        <v>201</v>
      </c>
      <c r="AI66" s="780">
        <v>134</v>
      </c>
      <c r="AJ66" s="780">
        <v>118</v>
      </c>
      <c r="AK66" s="781">
        <f t="shared" si="3"/>
        <v>4517</v>
      </c>
      <c r="AL66" s="1111">
        <v>44.143705731944095</v>
      </c>
      <c r="AM66" s="1112">
        <f t="shared" si="4"/>
        <v>1993.971187911915</v>
      </c>
      <c r="AN66" s="1112">
        <v>4866</v>
      </c>
      <c r="AO66" s="1180">
        <v>3.3942045124915401</v>
      </c>
      <c r="AP66" s="1112">
        <f t="shared" si="7"/>
        <v>165.16199157783834</v>
      </c>
      <c r="AQ66" s="1114">
        <f t="shared" si="6"/>
        <v>2159.1331794897533</v>
      </c>
      <c r="AR66" s="1157" t="s">
        <v>43</v>
      </c>
      <c r="AS66" s="388"/>
      <c r="AT66" s="388"/>
    </row>
    <row r="67" spans="1:46" ht="54" customHeight="1">
      <c r="A67" s="604">
        <v>51</v>
      </c>
      <c r="B67" s="604">
        <v>51</v>
      </c>
      <c r="C67" s="604" t="str">
        <f>'Chấm công KT'!C63</f>
        <v>03497</v>
      </c>
      <c r="D67" s="608" t="str">
        <f>'Chấm công KT'!D63</f>
        <v>T. Son Xay</v>
      </c>
      <c r="E67" s="608"/>
      <c r="F67" s="780">
        <v>195</v>
      </c>
      <c r="G67" s="780">
        <v>0</v>
      </c>
      <c r="H67" s="780">
        <v>0</v>
      </c>
      <c r="I67" s="780">
        <v>116</v>
      </c>
      <c r="J67" s="780">
        <v>133</v>
      </c>
      <c r="K67" s="780">
        <v>180</v>
      </c>
      <c r="L67" s="780">
        <v>177</v>
      </c>
      <c r="M67" s="780">
        <v>184</v>
      </c>
      <c r="N67" s="780">
        <v>0</v>
      </c>
      <c r="O67" s="780">
        <v>122</v>
      </c>
      <c r="P67" s="780">
        <v>199</v>
      </c>
      <c r="Q67" s="780">
        <v>186</v>
      </c>
      <c r="R67" s="780">
        <v>237</v>
      </c>
      <c r="S67" s="780">
        <v>180</v>
      </c>
      <c r="T67" s="780">
        <v>182</v>
      </c>
      <c r="U67" s="780">
        <v>0</v>
      </c>
      <c r="V67" s="780">
        <v>226</v>
      </c>
      <c r="W67" s="780">
        <v>139</v>
      </c>
      <c r="X67" s="780">
        <v>176</v>
      </c>
      <c r="Y67" s="780">
        <v>254</v>
      </c>
      <c r="Z67" s="780">
        <v>186</v>
      </c>
      <c r="AA67" s="780">
        <v>151</v>
      </c>
      <c r="AB67" s="780">
        <v>0</v>
      </c>
      <c r="AC67" s="780">
        <v>104</v>
      </c>
      <c r="AD67" s="780">
        <v>182</v>
      </c>
      <c r="AE67" s="780">
        <v>122</v>
      </c>
      <c r="AF67" s="780">
        <v>168</v>
      </c>
      <c r="AG67" s="780">
        <v>224</v>
      </c>
      <c r="AH67" s="780">
        <v>163</v>
      </c>
      <c r="AI67" s="780">
        <v>136</v>
      </c>
      <c r="AJ67" s="780">
        <v>195</v>
      </c>
      <c r="AK67" s="781">
        <f t="shared" si="3"/>
        <v>4517</v>
      </c>
      <c r="AL67" s="1111">
        <v>44.143705731944095</v>
      </c>
      <c r="AM67" s="1112">
        <f t="shared" si="4"/>
        <v>1993.971187911915</v>
      </c>
      <c r="AN67" s="1112">
        <v>4888</v>
      </c>
      <c r="AO67" s="1180">
        <v>3.3942045124915401</v>
      </c>
      <c r="AP67" s="1112">
        <f t="shared" si="7"/>
        <v>165.90871657058648</v>
      </c>
      <c r="AQ67" s="1114">
        <f t="shared" si="6"/>
        <v>2159.8799044825014</v>
      </c>
      <c r="AR67" s="1157" t="s">
        <v>43</v>
      </c>
      <c r="AS67" s="388"/>
      <c r="AT67" s="388"/>
    </row>
    <row r="68" spans="1:46" ht="54" customHeight="1">
      <c r="A68" s="604">
        <v>52</v>
      </c>
      <c r="B68" s="604">
        <v>52</v>
      </c>
      <c r="C68" s="604" t="str">
        <f>'Chấm công KT'!C64</f>
        <v>03498</v>
      </c>
      <c r="D68" s="608" t="str">
        <f>'Chấm công KT'!D64</f>
        <v>N. Lăm Phay</v>
      </c>
      <c r="E68" s="608"/>
      <c r="F68" s="780">
        <v>186</v>
      </c>
      <c r="G68" s="780">
        <v>0</v>
      </c>
      <c r="H68" s="780">
        <v>0</v>
      </c>
      <c r="I68" s="780">
        <v>124</v>
      </c>
      <c r="J68" s="780">
        <v>0</v>
      </c>
      <c r="K68" s="780">
        <v>218</v>
      </c>
      <c r="L68" s="780">
        <v>184</v>
      </c>
      <c r="M68" s="780">
        <v>236</v>
      </c>
      <c r="N68" s="780">
        <v>0</v>
      </c>
      <c r="O68" s="780">
        <v>122</v>
      </c>
      <c r="P68" s="780">
        <v>175</v>
      </c>
      <c r="Q68" s="780">
        <v>189</v>
      </c>
      <c r="R68" s="780">
        <v>250</v>
      </c>
      <c r="S68" s="780">
        <v>170</v>
      </c>
      <c r="T68" s="780">
        <v>162</v>
      </c>
      <c r="U68" s="780">
        <v>0</v>
      </c>
      <c r="V68" s="780">
        <v>202</v>
      </c>
      <c r="W68" s="780">
        <v>150</v>
      </c>
      <c r="X68" s="780">
        <v>164</v>
      </c>
      <c r="Y68" s="780">
        <v>270</v>
      </c>
      <c r="Z68" s="780">
        <v>190</v>
      </c>
      <c r="AA68" s="780">
        <v>151</v>
      </c>
      <c r="AB68" s="780">
        <v>0</v>
      </c>
      <c r="AC68" s="780">
        <v>121</v>
      </c>
      <c r="AD68" s="780">
        <v>196</v>
      </c>
      <c r="AE68" s="780">
        <v>170</v>
      </c>
      <c r="AF68" s="780">
        <v>170</v>
      </c>
      <c r="AG68" s="780">
        <v>210</v>
      </c>
      <c r="AH68" s="780">
        <v>180</v>
      </c>
      <c r="AI68" s="780">
        <v>130</v>
      </c>
      <c r="AJ68" s="780">
        <v>200</v>
      </c>
      <c r="AK68" s="781">
        <f t="shared" si="3"/>
        <v>4520</v>
      </c>
      <c r="AL68" s="1111">
        <v>44.143705731944095</v>
      </c>
      <c r="AM68" s="1112">
        <f t="shared" si="4"/>
        <v>1995.295499083873</v>
      </c>
      <c r="AN68" s="1112">
        <v>4978</v>
      </c>
      <c r="AO68" s="1180">
        <v>3.3942045124915401</v>
      </c>
      <c r="AP68" s="1112">
        <f t="shared" si="7"/>
        <v>168.96350063182888</v>
      </c>
      <c r="AQ68" s="1114">
        <f t="shared" si="6"/>
        <v>2164.258999715702</v>
      </c>
      <c r="AR68" s="1157" t="s">
        <v>36</v>
      </c>
      <c r="AS68" s="388"/>
      <c r="AT68" s="388"/>
    </row>
    <row r="69" spans="1:46" ht="54" customHeight="1">
      <c r="A69" s="604">
        <v>53</v>
      </c>
      <c r="B69" s="604">
        <v>53</v>
      </c>
      <c r="C69" s="604" t="str">
        <f>'Chấm công KT'!C65</f>
        <v>02706</v>
      </c>
      <c r="D69" s="608" t="str">
        <f>'Chấm công KT'!D65</f>
        <v>T. Nhung</v>
      </c>
      <c r="E69" s="608"/>
      <c r="F69" s="780">
        <v>0</v>
      </c>
      <c r="G69" s="780">
        <v>160</v>
      </c>
      <c r="H69" s="780">
        <v>162</v>
      </c>
      <c r="I69" s="780">
        <v>186</v>
      </c>
      <c r="J69" s="780">
        <v>222</v>
      </c>
      <c r="K69" s="780">
        <v>95</v>
      </c>
      <c r="L69" s="780">
        <v>77</v>
      </c>
      <c r="M69" s="780">
        <v>186</v>
      </c>
      <c r="N69" s="780">
        <v>153</v>
      </c>
      <c r="O69" s="780">
        <v>163</v>
      </c>
      <c r="P69" s="780">
        <v>149</v>
      </c>
      <c r="Q69" s="780">
        <v>182</v>
      </c>
      <c r="R69" s="780">
        <v>181</v>
      </c>
      <c r="S69" s="780">
        <v>136</v>
      </c>
      <c r="T69" s="780">
        <v>102</v>
      </c>
      <c r="U69" s="780">
        <v>168</v>
      </c>
      <c r="V69" s="780">
        <v>153</v>
      </c>
      <c r="W69" s="780">
        <v>148</v>
      </c>
      <c r="X69" s="780">
        <v>125</v>
      </c>
      <c r="Y69" s="780">
        <v>120</v>
      </c>
      <c r="Z69" s="780">
        <v>207</v>
      </c>
      <c r="AA69" s="780">
        <v>98</v>
      </c>
      <c r="AB69" s="780">
        <v>104</v>
      </c>
      <c r="AC69" s="780">
        <v>136</v>
      </c>
      <c r="AD69" s="780">
        <v>142</v>
      </c>
      <c r="AE69" s="780">
        <v>114</v>
      </c>
      <c r="AF69" s="780">
        <v>82</v>
      </c>
      <c r="AG69" s="780">
        <v>196</v>
      </c>
      <c r="AH69" s="780">
        <v>206</v>
      </c>
      <c r="AI69" s="780">
        <v>172</v>
      </c>
      <c r="AJ69" s="780">
        <v>144</v>
      </c>
      <c r="AK69" s="781">
        <f t="shared" si="3"/>
        <v>4469</v>
      </c>
      <c r="AL69" s="1111">
        <v>44.143705731944095</v>
      </c>
      <c r="AM69" s="1112">
        <f t="shared" si="4"/>
        <v>1972.7822091605817</v>
      </c>
      <c r="AN69" s="1112">
        <v>4751</v>
      </c>
      <c r="AO69" s="1180">
        <v>3.3942045124915401</v>
      </c>
      <c r="AP69" s="1112">
        <f t="shared" si="7"/>
        <v>161.25865638847307</v>
      </c>
      <c r="AQ69" s="1114">
        <f t="shared" si="6"/>
        <v>2134.0408655490546</v>
      </c>
      <c r="AR69" s="1157" t="s">
        <v>36</v>
      </c>
      <c r="AS69" s="388"/>
      <c r="AT69" s="388"/>
    </row>
    <row r="70" spans="1:46" ht="54" customHeight="1">
      <c r="A70" s="604">
        <v>54</v>
      </c>
      <c r="B70" s="604">
        <v>54</v>
      </c>
      <c r="C70" s="604">
        <f>'Chấm công KT'!C66</f>
        <v>0</v>
      </c>
      <c r="D70" s="608" t="str">
        <f>'Chấm công KT'!D66</f>
        <v>N. In Ton</v>
      </c>
      <c r="E70" s="608"/>
      <c r="F70" s="780">
        <v>0</v>
      </c>
      <c r="G70" s="780">
        <v>0</v>
      </c>
      <c r="H70" s="780">
        <v>0</v>
      </c>
      <c r="I70" s="780">
        <v>73</v>
      </c>
      <c r="J70" s="780">
        <v>215</v>
      </c>
      <c r="K70" s="780">
        <v>180</v>
      </c>
      <c r="L70" s="780">
        <v>151</v>
      </c>
      <c r="M70" s="780">
        <v>185</v>
      </c>
      <c r="N70" s="780">
        <v>134</v>
      </c>
      <c r="O70" s="780">
        <v>94</v>
      </c>
      <c r="P70" s="780">
        <v>140</v>
      </c>
      <c r="Q70" s="780">
        <v>233</v>
      </c>
      <c r="R70" s="780">
        <v>194</v>
      </c>
      <c r="S70" s="780">
        <v>135</v>
      </c>
      <c r="T70" s="780">
        <v>134</v>
      </c>
      <c r="U70" s="780">
        <v>146</v>
      </c>
      <c r="V70" s="780">
        <v>0</v>
      </c>
      <c r="W70" s="780">
        <v>112</v>
      </c>
      <c r="X70" s="780">
        <v>86</v>
      </c>
      <c r="Y70" s="780">
        <v>100</v>
      </c>
      <c r="Z70" s="780">
        <v>111</v>
      </c>
      <c r="AA70" s="780">
        <v>98</v>
      </c>
      <c r="AB70" s="780">
        <v>0</v>
      </c>
      <c r="AC70" s="780">
        <v>140</v>
      </c>
      <c r="AD70" s="780">
        <v>122</v>
      </c>
      <c r="AE70" s="780">
        <v>111</v>
      </c>
      <c r="AF70" s="780">
        <v>0</v>
      </c>
      <c r="AG70" s="780">
        <v>110</v>
      </c>
      <c r="AH70" s="780">
        <v>181</v>
      </c>
      <c r="AI70" s="780">
        <v>100</v>
      </c>
      <c r="AJ70" s="780">
        <v>195</v>
      </c>
      <c r="AK70" s="781">
        <f t="shared" si="3"/>
        <v>3480</v>
      </c>
      <c r="AL70" s="1111">
        <v>44.143705731944095</v>
      </c>
      <c r="AM70" s="1112">
        <f t="shared" si="4"/>
        <v>1536.2009594716544</v>
      </c>
      <c r="AN70" s="1112">
        <v>4111</v>
      </c>
      <c r="AO70" s="1180">
        <v>3.3942045124915401</v>
      </c>
      <c r="AP70" s="1112">
        <f t="shared" si="7"/>
        <v>139.53574750852721</v>
      </c>
      <c r="AQ70" s="1114">
        <f t="shared" si="6"/>
        <v>1675.7367069801817</v>
      </c>
      <c r="AR70" s="1157" t="s">
        <v>36</v>
      </c>
      <c r="AS70" s="388"/>
      <c r="AT70" s="388"/>
    </row>
    <row r="71" spans="1:46" ht="54" customHeight="1">
      <c r="A71" s="604">
        <v>55</v>
      </c>
      <c r="B71" s="604">
        <v>55</v>
      </c>
      <c r="C71" s="604" t="str">
        <f>'Chấm công KT'!C67</f>
        <v>04064</v>
      </c>
      <c r="D71" s="608" t="str">
        <f>'Chấm công KT'!D67</f>
        <v>N. Khay Chăn</v>
      </c>
      <c r="E71" s="608"/>
      <c r="F71" s="780">
        <v>124</v>
      </c>
      <c r="G71" s="780">
        <v>164</v>
      </c>
      <c r="H71" s="780">
        <v>174</v>
      </c>
      <c r="I71" s="780">
        <v>120</v>
      </c>
      <c r="J71" s="780">
        <v>116</v>
      </c>
      <c r="K71" s="780">
        <v>137</v>
      </c>
      <c r="L71" s="780">
        <v>176</v>
      </c>
      <c r="M71" s="780">
        <v>181</v>
      </c>
      <c r="N71" s="780">
        <v>141</v>
      </c>
      <c r="O71" s="780">
        <v>89</v>
      </c>
      <c r="P71" s="780">
        <v>232</v>
      </c>
      <c r="Q71" s="780">
        <v>155</v>
      </c>
      <c r="R71" s="780">
        <v>177</v>
      </c>
      <c r="S71" s="780">
        <v>161</v>
      </c>
      <c r="T71" s="780">
        <v>221</v>
      </c>
      <c r="U71" s="780">
        <v>183</v>
      </c>
      <c r="V71" s="780">
        <v>184</v>
      </c>
      <c r="W71" s="780">
        <v>192</v>
      </c>
      <c r="X71" s="780">
        <v>208</v>
      </c>
      <c r="Y71" s="780">
        <v>211</v>
      </c>
      <c r="Z71" s="780">
        <v>165</v>
      </c>
      <c r="AA71" s="780">
        <v>158</v>
      </c>
      <c r="AB71" s="780">
        <v>191</v>
      </c>
      <c r="AC71" s="780">
        <v>163</v>
      </c>
      <c r="AD71" s="780">
        <v>195</v>
      </c>
      <c r="AE71" s="780">
        <v>152</v>
      </c>
      <c r="AF71" s="780">
        <v>200</v>
      </c>
      <c r="AG71" s="780">
        <v>170</v>
      </c>
      <c r="AH71" s="780">
        <v>190</v>
      </c>
      <c r="AI71" s="780">
        <v>154</v>
      </c>
      <c r="AJ71" s="780">
        <v>225</v>
      </c>
      <c r="AK71" s="781">
        <f t="shared" si="3"/>
        <v>5309</v>
      </c>
      <c r="AL71" s="1111">
        <v>44.143705731944095</v>
      </c>
      <c r="AM71" s="1112">
        <f t="shared" si="4"/>
        <v>2343.589337308912</v>
      </c>
      <c r="AN71" s="1112">
        <v>4099</v>
      </c>
      <c r="AO71" s="1180">
        <v>3.3942045124915401</v>
      </c>
      <c r="AP71" s="1112">
        <f t="shared" si="7"/>
        <v>139.12844296702823</v>
      </c>
      <c r="AQ71" s="1114">
        <f t="shared" si="6"/>
        <v>2482.7177802759402</v>
      </c>
      <c r="AR71" s="1157" t="s">
        <v>36</v>
      </c>
      <c r="AS71" s="388"/>
      <c r="AT71" s="388"/>
    </row>
    <row r="72" spans="1:46" ht="54" customHeight="1">
      <c r="A72" s="604">
        <v>56</v>
      </c>
      <c r="B72" s="604">
        <v>56</v>
      </c>
      <c r="C72" s="604" t="str">
        <f>'Chấm công KT'!C68</f>
        <v>03501</v>
      </c>
      <c r="D72" s="608" t="str">
        <f>'Chấm công KT'!D68</f>
        <v>T Dăn</v>
      </c>
      <c r="E72" s="608"/>
      <c r="F72" s="780">
        <v>0</v>
      </c>
      <c r="G72" s="780">
        <v>135</v>
      </c>
      <c r="H72" s="780">
        <v>104</v>
      </c>
      <c r="I72" s="780">
        <v>130</v>
      </c>
      <c r="J72" s="780">
        <v>180</v>
      </c>
      <c r="K72" s="780">
        <v>124</v>
      </c>
      <c r="L72" s="780">
        <v>0</v>
      </c>
      <c r="M72" s="780">
        <v>158</v>
      </c>
      <c r="N72" s="780">
        <v>83</v>
      </c>
      <c r="O72" s="780">
        <v>157</v>
      </c>
      <c r="P72" s="780">
        <v>122</v>
      </c>
      <c r="Q72" s="780">
        <v>163</v>
      </c>
      <c r="R72" s="780">
        <v>124</v>
      </c>
      <c r="S72" s="780">
        <v>124</v>
      </c>
      <c r="T72" s="780">
        <v>0</v>
      </c>
      <c r="U72" s="780">
        <v>0</v>
      </c>
      <c r="V72" s="780">
        <v>127</v>
      </c>
      <c r="W72" s="780">
        <v>114</v>
      </c>
      <c r="X72" s="780">
        <v>175</v>
      </c>
      <c r="Y72" s="780">
        <v>197</v>
      </c>
      <c r="Z72" s="780">
        <v>151</v>
      </c>
      <c r="AA72" s="780">
        <v>124</v>
      </c>
      <c r="AB72" s="780">
        <v>0</v>
      </c>
      <c r="AC72" s="780">
        <v>120</v>
      </c>
      <c r="AD72" s="780">
        <v>174</v>
      </c>
      <c r="AE72" s="780">
        <v>0</v>
      </c>
      <c r="AF72" s="780">
        <v>115</v>
      </c>
      <c r="AG72" s="780">
        <v>167</v>
      </c>
      <c r="AH72" s="780">
        <v>101</v>
      </c>
      <c r="AI72" s="780">
        <v>206</v>
      </c>
      <c r="AJ72" s="780">
        <v>119</v>
      </c>
      <c r="AK72" s="781">
        <f t="shared" si="3"/>
        <v>3494</v>
      </c>
      <c r="AL72" s="1111">
        <v>44.143705731944095</v>
      </c>
      <c r="AM72" s="1112">
        <f t="shared" si="4"/>
        <v>1542.3810782741266</v>
      </c>
      <c r="AN72" s="1112">
        <v>3204</v>
      </c>
      <c r="AO72" s="1180">
        <v>3.3942045124915401</v>
      </c>
      <c r="AP72" s="1112">
        <f t="shared" si="7"/>
        <v>108.75031258022895</v>
      </c>
      <c r="AQ72" s="1114">
        <f t="shared" si="6"/>
        <v>1651.1313908543555</v>
      </c>
      <c r="AR72" s="1157" t="s">
        <v>43</v>
      </c>
      <c r="AS72" s="388"/>
      <c r="AT72" s="388"/>
    </row>
    <row r="73" spans="1:46" ht="54" customHeight="1">
      <c r="A73" s="604">
        <v>57</v>
      </c>
      <c r="B73" s="604">
        <v>57</v>
      </c>
      <c r="C73" s="604" t="str">
        <f>'Chấm công KT'!C69</f>
        <v>03502</v>
      </c>
      <c r="D73" s="608" t="str">
        <f>'Chấm công KT'!D69</f>
        <v>T. Xợt</v>
      </c>
      <c r="E73" s="608"/>
      <c r="F73" s="780">
        <v>0</v>
      </c>
      <c r="G73" s="780">
        <v>125</v>
      </c>
      <c r="H73" s="780">
        <v>70</v>
      </c>
      <c r="I73" s="780">
        <v>127</v>
      </c>
      <c r="J73" s="780">
        <v>141</v>
      </c>
      <c r="K73" s="780">
        <v>176</v>
      </c>
      <c r="L73" s="780">
        <v>54</v>
      </c>
      <c r="M73" s="780">
        <v>164</v>
      </c>
      <c r="N73" s="780">
        <v>91</v>
      </c>
      <c r="O73" s="780">
        <v>160</v>
      </c>
      <c r="P73" s="780">
        <v>148</v>
      </c>
      <c r="Q73" s="780">
        <v>163</v>
      </c>
      <c r="R73" s="780">
        <v>155</v>
      </c>
      <c r="S73" s="780">
        <v>150</v>
      </c>
      <c r="T73" s="780">
        <v>120</v>
      </c>
      <c r="U73" s="780">
        <v>132</v>
      </c>
      <c r="V73" s="780">
        <v>130</v>
      </c>
      <c r="W73" s="780">
        <v>161</v>
      </c>
      <c r="X73" s="780">
        <v>105</v>
      </c>
      <c r="Y73" s="780">
        <v>119</v>
      </c>
      <c r="Z73" s="780">
        <v>149</v>
      </c>
      <c r="AA73" s="780">
        <v>148</v>
      </c>
      <c r="AB73" s="780">
        <v>116</v>
      </c>
      <c r="AC73" s="780">
        <v>108</v>
      </c>
      <c r="AD73" s="780">
        <v>147</v>
      </c>
      <c r="AE73" s="780">
        <v>130</v>
      </c>
      <c r="AF73" s="780">
        <v>108</v>
      </c>
      <c r="AG73" s="780">
        <v>160</v>
      </c>
      <c r="AH73" s="780">
        <v>161</v>
      </c>
      <c r="AI73" s="780">
        <v>142</v>
      </c>
      <c r="AJ73" s="780">
        <v>146</v>
      </c>
      <c r="AK73" s="781">
        <f t="shared" si="3"/>
        <v>4006</v>
      </c>
      <c r="AL73" s="1111">
        <v>44.143705731944095</v>
      </c>
      <c r="AM73" s="1112">
        <f t="shared" si="4"/>
        <v>1768.3968516216805</v>
      </c>
      <c r="AN73" s="1112">
        <v>3734</v>
      </c>
      <c r="AO73" s="1180">
        <v>3.3942045124915401</v>
      </c>
      <c r="AP73" s="1112">
        <f t="shared" si="7"/>
        <v>126.73959649643412</v>
      </c>
      <c r="AQ73" s="1114">
        <f t="shared" si="6"/>
        <v>1895.1364481181147</v>
      </c>
      <c r="AR73" s="1157" t="s">
        <v>36</v>
      </c>
      <c r="AS73" s="388"/>
      <c r="AT73" s="388"/>
    </row>
    <row r="74" spans="1:46" ht="54" customHeight="1">
      <c r="A74" s="604">
        <v>58</v>
      </c>
      <c r="B74" s="604">
        <v>58</v>
      </c>
      <c r="C74" s="604" t="str">
        <f>'Chấm công KT'!C70</f>
        <v>04065</v>
      </c>
      <c r="D74" s="608" t="str">
        <f>'Chấm công KT'!D70</f>
        <v>N. Phết 2</v>
      </c>
      <c r="E74" s="608"/>
      <c r="F74" s="780">
        <v>0</v>
      </c>
      <c r="G74" s="780">
        <v>0</v>
      </c>
      <c r="H74" s="780">
        <v>71</v>
      </c>
      <c r="I74" s="780">
        <v>0</v>
      </c>
      <c r="J74" s="780">
        <v>234</v>
      </c>
      <c r="K74" s="780">
        <v>157</v>
      </c>
      <c r="L74" s="780">
        <v>0</v>
      </c>
      <c r="M74" s="780">
        <v>165</v>
      </c>
      <c r="N74" s="780">
        <v>0</v>
      </c>
      <c r="O74" s="780">
        <v>154</v>
      </c>
      <c r="P74" s="780">
        <v>0</v>
      </c>
      <c r="Q74" s="780">
        <v>120</v>
      </c>
      <c r="R74" s="780">
        <v>185</v>
      </c>
      <c r="S74" s="780">
        <v>251</v>
      </c>
      <c r="T74" s="780">
        <v>185</v>
      </c>
      <c r="U74" s="780">
        <v>0</v>
      </c>
      <c r="V74" s="780">
        <v>130</v>
      </c>
      <c r="W74" s="780">
        <v>123</v>
      </c>
      <c r="X74" s="780">
        <v>0</v>
      </c>
      <c r="Y74" s="780">
        <v>196</v>
      </c>
      <c r="Z74" s="780">
        <v>139</v>
      </c>
      <c r="AA74" s="780">
        <v>0</v>
      </c>
      <c r="AB74" s="780">
        <v>134</v>
      </c>
      <c r="AC74" s="780">
        <v>127</v>
      </c>
      <c r="AD74" s="780">
        <v>0</v>
      </c>
      <c r="AE74" s="780">
        <v>218</v>
      </c>
      <c r="AF74" s="780">
        <v>91</v>
      </c>
      <c r="AG74" s="780">
        <v>158</v>
      </c>
      <c r="AH74" s="780">
        <v>202</v>
      </c>
      <c r="AI74" s="780">
        <v>229</v>
      </c>
      <c r="AJ74" s="780">
        <v>171</v>
      </c>
      <c r="AK74" s="781">
        <f t="shared" si="3"/>
        <v>3440</v>
      </c>
      <c r="AL74" s="1111">
        <v>44.143705731944095</v>
      </c>
      <c r="AM74" s="1112">
        <f t="shared" si="4"/>
        <v>1518.5434771788769</v>
      </c>
      <c r="AN74" s="1112">
        <v>4028</v>
      </c>
      <c r="AO74" s="1180">
        <v>3.3942045124915401</v>
      </c>
      <c r="AP74" s="1112">
        <f t="shared" si="7"/>
        <v>136.71855776315925</v>
      </c>
      <c r="AQ74" s="1114">
        <f t="shared" si="6"/>
        <v>1655.2620349420361</v>
      </c>
      <c r="AR74" s="1157" t="s">
        <v>36</v>
      </c>
      <c r="AS74" s="388"/>
      <c r="AT74" s="388"/>
    </row>
    <row r="75" spans="1:46" ht="54" customHeight="1">
      <c r="A75" s="604">
        <v>59</v>
      </c>
      <c r="B75" s="604">
        <v>59</v>
      </c>
      <c r="C75" s="604" t="str">
        <f>'Chấm công KT'!C71</f>
        <v>03504</v>
      </c>
      <c r="D75" s="608" t="str">
        <f>'Chấm công KT'!D71</f>
        <v>T. Cạp</v>
      </c>
      <c r="E75" s="608"/>
      <c r="F75" s="780">
        <v>0</v>
      </c>
      <c r="G75" s="780">
        <v>0</v>
      </c>
      <c r="H75" s="780">
        <v>84</v>
      </c>
      <c r="I75" s="780">
        <v>134</v>
      </c>
      <c r="J75" s="780">
        <v>155</v>
      </c>
      <c r="K75" s="780">
        <v>181</v>
      </c>
      <c r="L75" s="780">
        <v>91</v>
      </c>
      <c r="M75" s="780">
        <v>177</v>
      </c>
      <c r="N75" s="780">
        <v>82</v>
      </c>
      <c r="O75" s="780">
        <v>147</v>
      </c>
      <c r="P75" s="780">
        <v>158</v>
      </c>
      <c r="Q75" s="780">
        <v>151</v>
      </c>
      <c r="R75" s="780">
        <v>154</v>
      </c>
      <c r="S75" s="780">
        <v>159</v>
      </c>
      <c r="T75" s="780">
        <v>157</v>
      </c>
      <c r="U75" s="780">
        <v>140</v>
      </c>
      <c r="V75" s="780">
        <v>125</v>
      </c>
      <c r="W75" s="780">
        <v>125</v>
      </c>
      <c r="X75" s="780">
        <v>0</v>
      </c>
      <c r="Y75" s="780">
        <v>125</v>
      </c>
      <c r="Z75" s="780">
        <v>117</v>
      </c>
      <c r="AA75" s="780">
        <v>0</v>
      </c>
      <c r="AB75" s="780">
        <v>142</v>
      </c>
      <c r="AC75" s="780">
        <v>135</v>
      </c>
      <c r="AD75" s="780">
        <v>121</v>
      </c>
      <c r="AE75" s="780">
        <v>193</v>
      </c>
      <c r="AF75" s="780">
        <v>114</v>
      </c>
      <c r="AG75" s="780">
        <v>159</v>
      </c>
      <c r="AH75" s="780">
        <v>149</v>
      </c>
      <c r="AI75" s="780">
        <v>126</v>
      </c>
      <c r="AJ75" s="780">
        <v>197</v>
      </c>
      <c r="AK75" s="781">
        <f t="shared" si="3"/>
        <v>3798</v>
      </c>
      <c r="AL75" s="1111">
        <v>44.143705731944095</v>
      </c>
      <c r="AM75" s="1112">
        <f t="shared" si="4"/>
        <v>1676.5779436992368</v>
      </c>
      <c r="AN75" s="1112">
        <v>3592</v>
      </c>
      <c r="AO75" s="1180">
        <v>3.3942045124915401</v>
      </c>
      <c r="AP75" s="1112">
        <f t="shared" si="7"/>
        <v>121.91982608869611</v>
      </c>
      <c r="AQ75" s="1114">
        <f t="shared" si="6"/>
        <v>1798.4977697879328</v>
      </c>
      <c r="AR75" s="1157" t="s">
        <v>43</v>
      </c>
      <c r="AS75" s="388"/>
      <c r="AT75" s="388"/>
    </row>
    <row r="76" spans="1:46" ht="54" customHeight="1">
      <c r="A76" s="604">
        <v>60</v>
      </c>
      <c r="B76" s="604">
        <v>60</v>
      </c>
      <c r="C76" s="604">
        <f>'Chấm công KT'!C72</f>
        <v>0</v>
      </c>
      <c r="D76" s="608" t="str">
        <f>'Chấm công KT'!D72</f>
        <v>N. Ních</v>
      </c>
      <c r="E76" s="608"/>
      <c r="F76" s="780">
        <v>0</v>
      </c>
      <c r="G76" s="780">
        <v>0</v>
      </c>
      <c r="H76" s="780">
        <v>130</v>
      </c>
      <c r="I76" s="780">
        <v>150</v>
      </c>
      <c r="J76" s="780">
        <v>180</v>
      </c>
      <c r="K76" s="780">
        <v>102</v>
      </c>
      <c r="L76" s="780">
        <v>108</v>
      </c>
      <c r="M76" s="780">
        <v>185</v>
      </c>
      <c r="N76" s="780">
        <v>102</v>
      </c>
      <c r="O76" s="780">
        <v>120</v>
      </c>
      <c r="P76" s="780">
        <v>135</v>
      </c>
      <c r="Q76" s="780">
        <v>167</v>
      </c>
      <c r="R76" s="780">
        <v>128</v>
      </c>
      <c r="S76" s="780">
        <v>161</v>
      </c>
      <c r="T76" s="780">
        <v>122</v>
      </c>
      <c r="U76" s="780">
        <v>177</v>
      </c>
      <c r="V76" s="780">
        <v>130</v>
      </c>
      <c r="W76" s="780">
        <v>160</v>
      </c>
      <c r="X76" s="780">
        <v>110</v>
      </c>
      <c r="Y76" s="780">
        <v>115</v>
      </c>
      <c r="Z76" s="780">
        <v>158</v>
      </c>
      <c r="AA76" s="780">
        <v>101</v>
      </c>
      <c r="AB76" s="780">
        <v>0</v>
      </c>
      <c r="AC76" s="780">
        <v>150</v>
      </c>
      <c r="AD76" s="780">
        <v>100</v>
      </c>
      <c r="AE76" s="780">
        <v>120</v>
      </c>
      <c r="AF76" s="780">
        <v>147</v>
      </c>
      <c r="AG76" s="780">
        <v>188</v>
      </c>
      <c r="AH76" s="780">
        <v>152</v>
      </c>
      <c r="AI76" s="780">
        <v>124</v>
      </c>
      <c r="AJ76" s="780">
        <v>139</v>
      </c>
      <c r="AK76" s="781">
        <f t="shared" si="3"/>
        <v>3861</v>
      </c>
      <c r="AL76" s="1111">
        <v>44.143705731944095</v>
      </c>
      <c r="AM76" s="1112">
        <f t="shared" si="4"/>
        <v>1704.3884783103613</v>
      </c>
      <c r="AN76" s="1112">
        <v>3688</v>
      </c>
      <c r="AO76" s="1180">
        <v>3.3942045124915401</v>
      </c>
      <c r="AP76" s="1112">
        <f t="shared" si="7"/>
        <v>125.178262420688</v>
      </c>
      <c r="AQ76" s="1114">
        <f t="shared" si="6"/>
        <v>1829.5667407310493</v>
      </c>
      <c r="AR76" s="1157" t="s">
        <v>43</v>
      </c>
      <c r="AS76" s="388"/>
      <c r="AT76" s="388"/>
    </row>
    <row r="77" spans="1:46" ht="54" customHeight="1">
      <c r="A77" s="604">
        <v>61</v>
      </c>
      <c r="B77" s="604">
        <v>61</v>
      </c>
      <c r="C77" s="604" t="str">
        <f>'Chấm công KT'!C73</f>
        <v>03506</v>
      </c>
      <c r="D77" s="608" t="str">
        <f>'Chấm công KT'!D73</f>
        <v>N. Bua Hom</v>
      </c>
      <c r="E77" s="608"/>
      <c r="F77" s="780">
        <v>0</v>
      </c>
      <c r="G77" s="780">
        <v>150</v>
      </c>
      <c r="H77" s="780">
        <v>170</v>
      </c>
      <c r="I77" s="780">
        <v>163</v>
      </c>
      <c r="J77" s="780">
        <v>240</v>
      </c>
      <c r="K77" s="780">
        <v>100</v>
      </c>
      <c r="L77" s="780">
        <v>81</v>
      </c>
      <c r="M77" s="780">
        <v>193</v>
      </c>
      <c r="N77" s="780">
        <v>160</v>
      </c>
      <c r="O77" s="780">
        <v>164</v>
      </c>
      <c r="P77" s="780">
        <v>149</v>
      </c>
      <c r="Q77" s="780">
        <v>189</v>
      </c>
      <c r="R77" s="780">
        <v>169</v>
      </c>
      <c r="S77" s="780">
        <v>128</v>
      </c>
      <c r="T77" s="780">
        <v>124</v>
      </c>
      <c r="U77" s="780">
        <v>176</v>
      </c>
      <c r="V77" s="780">
        <v>177</v>
      </c>
      <c r="W77" s="780">
        <v>150</v>
      </c>
      <c r="X77" s="780">
        <v>133</v>
      </c>
      <c r="Y77" s="780">
        <v>142</v>
      </c>
      <c r="Z77" s="780">
        <v>207</v>
      </c>
      <c r="AA77" s="780">
        <v>110</v>
      </c>
      <c r="AB77" s="780">
        <v>105</v>
      </c>
      <c r="AC77" s="780">
        <v>136</v>
      </c>
      <c r="AD77" s="780">
        <v>120</v>
      </c>
      <c r="AE77" s="780">
        <v>111</v>
      </c>
      <c r="AF77" s="780">
        <v>90</v>
      </c>
      <c r="AG77" s="780">
        <v>184</v>
      </c>
      <c r="AH77" s="780">
        <v>205</v>
      </c>
      <c r="AI77" s="780">
        <v>162</v>
      </c>
      <c r="AJ77" s="780">
        <v>144</v>
      </c>
      <c r="AK77" s="781">
        <f t="shared" si="3"/>
        <v>4532</v>
      </c>
      <c r="AL77" s="1111">
        <v>44.143705731944095</v>
      </c>
      <c r="AM77" s="1112">
        <f t="shared" si="4"/>
        <v>2000.5927437717064</v>
      </c>
      <c r="AN77" s="1112">
        <v>4840</v>
      </c>
      <c r="AO77" s="1180">
        <v>3.3942045124915401</v>
      </c>
      <c r="AP77" s="1112">
        <f t="shared" si="7"/>
        <v>164.27949840459056</v>
      </c>
      <c r="AQ77" s="1114">
        <f t="shared" si="6"/>
        <v>2164.8722421762968</v>
      </c>
      <c r="AR77" s="1157" t="s">
        <v>36</v>
      </c>
      <c r="AS77" s="388"/>
      <c r="AT77" s="388"/>
    </row>
    <row r="78" spans="1:46" ht="54" customHeight="1">
      <c r="A78" s="604">
        <v>62</v>
      </c>
      <c r="B78" s="604">
        <v>62</v>
      </c>
      <c r="C78" s="604" t="str">
        <f>'Chấm công KT'!C74</f>
        <v>04067</v>
      </c>
      <c r="D78" s="608" t="str">
        <f>'Chấm công KT'!D74</f>
        <v>N. Lăm Phay (2)</v>
      </c>
      <c r="E78" s="608"/>
      <c r="F78" s="780">
        <v>0</v>
      </c>
      <c r="G78" s="780">
        <v>0</v>
      </c>
      <c r="H78" s="780">
        <v>0</v>
      </c>
      <c r="I78" s="780">
        <v>70</v>
      </c>
      <c r="J78" s="780">
        <v>228</v>
      </c>
      <c r="K78" s="780">
        <v>161</v>
      </c>
      <c r="L78" s="780">
        <v>100</v>
      </c>
      <c r="M78" s="780">
        <v>136</v>
      </c>
      <c r="N78" s="780">
        <v>0</v>
      </c>
      <c r="O78" s="780">
        <v>114</v>
      </c>
      <c r="P78" s="780">
        <v>110</v>
      </c>
      <c r="Q78" s="780">
        <v>127</v>
      </c>
      <c r="R78" s="780">
        <v>199</v>
      </c>
      <c r="S78" s="780">
        <v>0</v>
      </c>
      <c r="T78" s="780">
        <v>0</v>
      </c>
      <c r="U78" s="780">
        <v>120</v>
      </c>
      <c r="V78" s="780">
        <v>0</v>
      </c>
      <c r="W78" s="780">
        <v>120</v>
      </c>
      <c r="X78" s="780">
        <v>161</v>
      </c>
      <c r="Y78" s="780">
        <v>142</v>
      </c>
      <c r="Z78" s="780">
        <v>132</v>
      </c>
      <c r="AA78" s="780">
        <v>141</v>
      </c>
      <c r="AB78" s="780">
        <v>111</v>
      </c>
      <c r="AC78" s="780">
        <v>102</v>
      </c>
      <c r="AD78" s="780">
        <v>182</v>
      </c>
      <c r="AE78" s="780">
        <v>83</v>
      </c>
      <c r="AF78" s="780">
        <v>62</v>
      </c>
      <c r="AG78" s="780">
        <v>160</v>
      </c>
      <c r="AH78" s="780">
        <v>188</v>
      </c>
      <c r="AI78" s="780">
        <v>96</v>
      </c>
      <c r="AJ78" s="780">
        <v>124</v>
      </c>
      <c r="AK78" s="781">
        <f t="shared" si="3"/>
        <v>3169</v>
      </c>
      <c r="AL78" s="1111">
        <v>44.143705731944095</v>
      </c>
      <c r="AM78" s="1112">
        <f t="shared" si="4"/>
        <v>1398.9140346453082</v>
      </c>
      <c r="AN78" s="1112">
        <v>4031</v>
      </c>
      <c r="AO78" s="1180">
        <v>3.3942045124915401</v>
      </c>
      <c r="AP78" s="1112">
        <f t="shared" si="7"/>
        <v>136.82038389853398</v>
      </c>
      <c r="AQ78" s="1114">
        <f t="shared" si="6"/>
        <v>1535.7344185438421</v>
      </c>
      <c r="AR78" s="1157" t="s">
        <v>36</v>
      </c>
      <c r="AS78" s="388"/>
      <c r="AT78" s="388"/>
    </row>
    <row r="79" spans="1:46" ht="54" customHeight="1">
      <c r="A79" s="604">
        <v>63</v>
      </c>
      <c r="B79" s="604">
        <v>63</v>
      </c>
      <c r="C79" s="604" t="str">
        <f>'Chấm công KT'!C75</f>
        <v>03508</v>
      </c>
      <c r="D79" s="608" t="str">
        <f>'Chấm công KT'!D75</f>
        <v>T. Đèng</v>
      </c>
      <c r="E79" s="608"/>
      <c r="F79" s="780">
        <v>0</v>
      </c>
      <c r="G79" s="780">
        <v>98</v>
      </c>
      <c r="H79" s="780">
        <v>46</v>
      </c>
      <c r="I79" s="780">
        <v>76</v>
      </c>
      <c r="J79" s="780">
        <v>161</v>
      </c>
      <c r="K79" s="780">
        <v>94</v>
      </c>
      <c r="L79" s="780">
        <v>46</v>
      </c>
      <c r="M79" s="780">
        <v>154</v>
      </c>
      <c r="N79" s="780">
        <v>113</v>
      </c>
      <c r="O79" s="780">
        <v>163</v>
      </c>
      <c r="P79" s="780">
        <v>0</v>
      </c>
      <c r="Q79" s="780">
        <v>169</v>
      </c>
      <c r="R79" s="780">
        <v>167</v>
      </c>
      <c r="S79" s="780">
        <v>0</v>
      </c>
      <c r="T79" s="780">
        <v>0</v>
      </c>
      <c r="U79" s="780">
        <v>0</v>
      </c>
      <c r="V79" s="780">
        <v>0</v>
      </c>
      <c r="W79" s="780">
        <v>0</v>
      </c>
      <c r="X79" s="780">
        <v>0</v>
      </c>
      <c r="Y79" s="780">
        <v>0</v>
      </c>
      <c r="Z79" s="780">
        <v>122</v>
      </c>
      <c r="AA79" s="780">
        <v>187</v>
      </c>
      <c r="AB79" s="780">
        <v>203</v>
      </c>
      <c r="AC79" s="780">
        <v>213</v>
      </c>
      <c r="AD79" s="780">
        <v>97</v>
      </c>
      <c r="AE79" s="780">
        <v>65</v>
      </c>
      <c r="AF79" s="780">
        <v>0</v>
      </c>
      <c r="AG79" s="780">
        <v>132</v>
      </c>
      <c r="AH79" s="780">
        <v>121</v>
      </c>
      <c r="AI79" s="780">
        <v>75</v>
      </c>
      <c r="AJ79" s="780">
        <v>165</v>
      </c>
      <c r="AK79" s="781">
        <f t="shared" si="3"/>
        <v>2667</v>
      </c>
      <c r="AL79" s="1111">
        <v>44.143705731944095</v>
      </c>
      <c r="AM79" s="1112">
        <f t="shared" si="4"/>
        <v>1177.312631870949</v>
      </c>
      <c r="AN79" s="1112">
        <v>2921</v>
      </c>
      <c r="AO79" s="1180">
        <v>3.3942045124915401</v>
      </c>
      <c r="AP79" s="1112">
        <f t="shared" si="7"/>
        <v>99.144713809877885</v>
      </c>
      <c r="AQ79" s="1114">
        <f t="shared" si="6"/>
        <v>1276.4573456808268</v>
      </c>
      <c r="AR79" s="1157" t="s">
        <v>43</v>
      </c>
      <c r="AS79" s="388"/>
      <c r="AT79" s="388"/>
    </row>
    <row r="80" spans="1:46" ht="54" customHeight="1">
      <c r="A80" s="604">
        <v>64</v>
      </c>
      <c r="B80" s="604">
        <v>64</v>
      </c>
      <c r="C80" s="604" t="str">
        <f>'Chấm công KT'!C76</f>
        <v>03512</v>
      </c>
      <c r="D80" s="608" t="str">
        <f>'Chấm công KT'!D76</f>
        <v>N. Đon</v>
      </c>
      <c r="E80" s="608"/>
      <c r="F80" s="780">
        <v>0</v>
      </c>
      <c r="G80" s="780">
        <v>87</v>
      </c>
      <c r="H80" s="780">
        <v>63</v>
      </c>
      <c r="I80" s="780">
        <v>74</v>
      </c>
      <c r="J80" s="780">
        <v>173</v>
      </c>
      <c r="K80" s="780">
        <v>55</v>
      </c>
      <c r="L80" s="780">
        <v>59</v>
      </c>
      <c r="M80" s="780">
        <v>152</v>
      </c>
      <c r="N80" s="780">
        <v>110</v>
      </c>
      <c r="O80" s="780">
        <v>118</v>
      </c>
      <c r="P80" s="780">
        <v>93</v>
      </c>
      <c r="Q80" s="780">
        <v>174</v>
      </c>
      <c r="R80" s="780">
        <v>154</v>
      </c>
      <c r="S80" s="780">
        <v>107</v>
      </c>
      <c r="T80" s="780">
        <v>87</v>
      </c>
      <c r="U80" s="780">
        <v>162</v>
      </c>
      <c r="V80" s="780">
        <v>148</v>
      </c>
      <c r="W80" s="780">
        <v>124</v>
      </c>
      <c r="X80" s="780">
        <v>0</v>
      </c>
      <c r="Y80" s="780">
        <v>167</v>
      </c>
      <c r="Z80" s="780">
        <v>180</v>
      </c>
      <c r="AA80" s="780">
        <v>112</v>
      </c>
      <c r="AB80" s="780">
        <v>78</v>
      </c>
      <c r="AC80" s="780">
        <v>126</v>
      </c>
      <c r="AD80" s="780">
        <v>175</v>
      </c>
      <c r="AE80" s="780">
        <v>145</v>
      </c>
      <c r="AF80" s="780">
        <v>84</v>
      </c>
      <c r="AG80" s="780">
        <v>200</v>
      </c>
      <c r="AH80" s="780">
        <v>180</v>
      </c>
      <c r="AI80" s="780">
        <v>171</v>
      </c>
      <c r="AJ80" s="780">
        <v>281</v>
      </c>
      <c r="AK80" s="781">
        <f t="shared" si="3"/>
        <v>3839</v>
      </c>
      <c r="AL80" s="1111">
        <v>44.143705731944095</v>
      </c>
      <c r="AM80" s="1112">
        <f t="shared" si="4"/>
        <v>1694.6768630493339</v>
      </c>
      <c r="AN80" s="1112">
        <v>3404</v>
      </c>
      <c r="AO80" s="1180">
        <v>3.3942045124915401</v>
      </c>
      <c r="AP80" s="1112">
        <f t="shared" si="7"/>
        <v>115.53872160521203</v>
      </c>
      <c r="AQ80" s="1114">
        <f t="shared" si="6"/>
        <v>1810.2155846545459</v>
      </c>
      <c r="AR80" s="1157" t="s">
        <v>43</v>
      </c>
      <c r="AS80" s="388"/>
      <c r="AT80" s="388"/>
    </row>
    <row r="81" spans="1:46" ht="54" customHeight="1">
      <c r="A81" s="604">
        <v>65</v>
      </c>
      <c r="B81" s="604">
        <v>65</v>
      </c>
      <c r="C81" s="604" t="str">
        <f>'Chấm công KT'!C77</f>
        <v>04068</v>
      </c>
      <c r="D81" s="608" t="str">
        <f>'Chấm công KT'!D77</f>
        <v xml:space="preserve">T. La </v>
      </c>
      <c r="E81" s="608"/>
      <c r="F81" s="780">
        <v>0</v>
      </c>
      <c r="G81" s="780">
        <v>158</v>
      </c>
      <c r="H81" s="780">
        <v>103</v>
      </c>
      <c r="I81" s="780">
        <v>0</v>
      </c>
      <c r="J81" s="780">
        <v>185</v>
      </c>
      <c r="K81" s="780">
        <v>60</v>
      </c>
      <c r="L81" s="780">
        <v>104</v>
      </c>
      <c r="M81" s="780">
        <v>265</v>
      </c>
      <c r="N81" s="780">
        <v>0</v>
      </c>
      <c r="O81" s="780">
        <v>0</v>
      </c>
      <c r="P81" s="780">
        <v>194</v>
      </c>
      <c r="Q81" s="780">
        <v>146</v>
      </c>
      <c r="R81" s="780">
        <v>186</v>
      </c>
      <c r="S81" s="780">
        <v>118</v>
      </c>
      <c r="T81" s="780">
        <v>146</v>
      </c>
      <c r="U81" s="780">
        <v>114</v>
      </c>
      <c r="V81" s="780">
        <v>144</v>
      </c>
      <c r="W81" s="780">
        <v>172</v>
      </c>
      <c r="X81" s="780">
        <v>115</v>
      </c>
      <c r="Y81" s="780">
        <v>152</v>
      </c>
      <c r="Z81" s="780">
        <v>145</v>
      </c>
      <c r="AA81" s="780">
        <v>125</v>
      </c>
      <c r="AB81" s="780">
        <v>0</v>
      </c>
      <c r="AC81" s="780">
        <v>184</v>
      </c>
      <c r="AD81" s="780">
        <v>156</v>
      </c>
      <c r="AE81" s="780">
        <v>107</v>
      </c>
      <c r="AF81" s="780">
        <v>190</v>
      </c>
      <c r="AG81" s="780">
        <v>184</v>
      </c>
      <c r="AH81" s="780">
        <v>190</v>
      </c>
      <c r="AI81" s="780">
        <v>131</v>
      </c>
      <c r="AJ81" s="780">
        <v>171</v>
      </c>
      <c r="AK81" s="781">
        <f t="shared" si="3"/>
        <v>3945</v>
      </c>
      <c r="AL81" s="1111">
        <v>44.143705731944095</v>
      </c>
      <c r="AM81" s="1112">
        <f t="shared" si="4"/>
        <v>1741.4691911251946</v>
      </c>
      <c r="AN81" s="1112">
        <v>3302</v>
      </c>
      <c r="AO81" s="1180">
        <v>3.3942045124915401</v>
      </c>
      <c r="AP81" s="1112">
        <f t="shared" si="7"/>
        <v>112.07663300247066</v>
      </c>
      <c r="AQ81" s="1114">
        <f t="shared" si="6"/>
        <v>1853.5458241276651</v>
      </c>
      <c r="AR81" s="1157" t="s">
        <v>43</v>
      </c>
      <c r="AS81" s="388"/>
      <c r="AT81" s="388"/>
    </row>
    <row r="82" spans="1:46" ht="54" customHeight="1">
      <c r="A82" s="604">
        <v>66</v>
      </c>
      <c r="B82" s="604">
        <v>66</v>
      </c>
      <c r="C82" s="604" t="str">
        <f>'Chấm công KT'!C78</f>
        <v>04069</v>
      </c>
      <c r="D82" s="608" t="str">
        <f>'Chấm công KT'!D78</f>
        <v>T. Bờm</v>
      </c>
      <c r="E82" s="608"/>
      <c r="F82" s="780">
        <v>0</v>
      </c>
      <c r="G82" s="780">
        <v>103</v>
      </c>
      <c r="H82" s="780">
        <v>0</v>
      </c>
      <c r="I82" s="780">
        <v>78</v>
      </c>
      <c r="J82" s="780">
        <v>171</v>
      </c>
      <c r="K82" s="780">
        <v>100</v>
      </c>
      <c r="L82" s="780">
        <v>57</v>
      </c>
      <c r="M82" s="780">
        <v>182</v>
      </c>
      <c r="N82" s="780">
        <v>110</v>
      </c>
      <c r="O82" s="780">
        <v>168</v>
      </c>
      <c r="P82" s="780">
        <v>94</v>
      </c>
      <c r="Q82" s="780">
        <v>181</v>
      </c>
      <c r="R82" s="780">
        <v>207</v>
      </c>
      <c r="S82" s="780">
        <v>120</v>
      </c>
      <c r="T82" s="780">
        <v>89</v>
      </c>
      <c r="U82" s="780">
        <v>166</v>
      </c>
      <c r="V82" s="780">
        <v>141</v>
      </c>
      <c r="W82" s="780">
        <v>124</v>
      </c>
      <c r="X82" s="780">
        <v>0</v>
      </c>
      <c r="Y82" s="780">
        <v>148</v>
      </c>
      <c r="Z82" s="780">
        <v>184</v>
      </c>
      <c r="AA82" s="780">
        <v>121</v>
      </c>
      <c r="AB82" s="780">
        <v>90</v>
      </c>
      <c r="AC82" s="780">
        <v>188</v>
      </c>
      <c r="AD82" s="780">
        <v>166</v>
      </c>
      <c r="AE82" s="780">
        <v>125</v>
      </c>
      <c r="AF82" s="780">
        <v>84</v>
      </c>
      <c r="AG82" s="780">
        <v>201</v>
      </c>
      <c r="AH82" s="780">
        <v>204</v>
      </c>
      <c r="AI82" s="780">
        <v>167</v>
      </c>
      <c r="AJ82" s="780">
        <v>316</v>
      </c>
      <c r="AK82" s="781">
        <f t="shared" ref="AK82:AK91" si="8">SUM(F82:AJ82)</f>
        <v>4085</v>
      </c>
      <c r="AL82" s="1111">
        <v>44.143705731944095</v>
      </c>
      <c r="AM82" s="1112">
        <f t="shared" ref="AM82:AM96" si="9">AK82*AL82/100</f>
        <v>1803.2703791499164</v>
      </c>
      <c r="AN82" s="1112">
        <v>3281</v>
      </c>
      <c r="AO82" s="1180">
        <v>3.3942045124915401</v>
      </c>
      <c r="AP82" s="1112">
        <f t="shared" si="7"/>
        <v>111.36385005484743</v>
      </c>
      <c r="AQ82" s="1114">
        <f t="shared" ref="AQ82:AQ96" si="10">AM82+AP82</f>
        <v>1914.6342292047639</v>
      </c>
      <c r="AR82" s="1157" t="s">
        <v>36</v>
      </c>
      <c r="AS82" s="388"/>
      <c r="AT82" s="388"/>
    </row>
    <row r="83" spans="1:46" ht="54" customHeight="1">
      <c r="A83" s="604">
        <v>67</v>
      </c>
      <c r="B83" s="604">
        <v>67</v>
      </c>
      <c r="C83" s="604" t="str">
        <f>'Chấm công KT'!C79</f>
        <v>03546</v>
      </c>
      <c r="D83" s="608" t="str">
        <f>'Chấm công KT'!D79</f>
        <v>T. Nọi</v>
      </c>
      <c r="E83" s="608"/>
      <c r="F83" s="780">
        <v>0</v>
      </c>
      <c r="G83" s="780">
        <v>120</v>
      </c>
      <c r="H83" s="780">
        <v>0</v>
      </c>
      <c r="I83" s="780">
        <v>99</v>
      </c>
      <c r="J83" s="780">
        <v>180</v>
      </c>
      <c r="K83" s="780">
        <v>93</v>
      </c>
      <c r="L83" s="780">
        <v>119</v>
      </c>
      <c r="M83" s="780">
        <v>190</v>
      </c>
      <c r="N83" s="780">
        <v>94</v>
      </c>
      <c r="O83" s="780">
        <v>125</v>
      </c>
      <c r="P83" s="780">
        <v>60</v>
      </c>
      <c r="Q83" s="780">
        <v>199</v>
      </c>
      <c r="R83" s="780">
        <v>155</v>
      </c>
      <c r="S83" s="780">
        <v>167</v>
      </c>
      <c r="T83" s="780">
        <v>0</v>
      </c>
      <c r="U83" s="780">
        <v>194</v>
      </c>
      <c r="V83" s="780">
        <v>144</v>
      </c>
      <c r="W83" s="780">
        <v>0</v>
      </c>
      <c r="X83" s="780">
        <v>90</v>
      </c>
      <c r="Y83" s="780">
        <v>0</v>
      </c>
      <c r="Z83" s="780">
        <v>0</v>
      </c>
      <c r="AA83" s="780">
        <v>191</v>
      </c>
      <c r="AB83" s="780">
        <v>0</v>
      </c>
      <c r="AC83" s="780">
        <v>179</v>
      </c>
      <c r="AD83" s="780">
        <v>172</v>
      </c>
      <c r="AE83" s="780">
        <v>115</v>
      </c>
      <c r="AF83" s="780">
        <v>65</v>
      </c>
      <c r="AG83" s="780">
        <v>163</v>
      </c>
      <c r="AH83" s="780">
        <v>82</v>
      </c>
      <c r="AI83" s="780">
        <v>80</v>
      </c>
      <c r="AJ83" s="780">
        <v>0</v>
      </c>
      <c r="AK83" s="781">
        <f t="shared" si="8"/>
        <v>3076</v>
      </c>
      <c r="AL83" s="1111">
        <v>44.143705731944095</v>
      </c>
      <c r="AM83" s="1112">
        <f t="shared" si="9"/>
        <v>1357.8603883146002</v>
      </c>
      <c r="AN83" s="1112">
        <v>3627</v>
      </c>
      <c r="AO83" s="1180">
        <v>3.3942045124915401</v>
      </c>
      <c r="AP83" s="1112">
        <f t="shared" si="7"/>
        <v>123.10779766806816</v>
      </c>
      <c r="AQ83" s="1114">
        <f t="shared" si="10"/>
        <v>1480.9681859826683</v>
      </c>
      <c r="AR83" s="1157" t="s">
        <v>43</v>
      </c>
      <c r="AS83" s="388"/>
      <c r="AT83" s="388"/>
    </row>
    <row r="84" spans="1:46" ht="54" customHeight="1">
      <c r="A84" s="604">
        <v>68</v>
      </c>
      <c r="B84" s="604">
        <v>68</v>
      </c>
      <c r="C84" s="604">
        <f>'Chấm công KT'!C80</f>
        <v>0</v>
      </c>
      <c r="D84" s="608" t="str">
        <f>'Chấm công KT'!D80</f>
        <v>T. Kong Ma Ny</v>
      </c>
      <c r="E84" s="608"/>
      <c r="F84" s="780">
        <v>0</v>
      </c>
      <c r="G84" s="780">
        <v>72</v>
      </c>
      <c r="H84" s="780">
        <v>77</v>
      </c>
      <c r="I84" s="780">
        <v>131</v>
      </c>
      <c r="J84" s="780">
        <v>154</v>
      </c>
      <c r="K84" s="780">
        <v>84</v>
      </c>
      <c r="L84" s="780">
        <v>77</v>
      </c>
      <c r="M84" s="780">
        <v>144</v>
      </c>
      <c r="N84" s="780">
        <v>99</v>
      </c>
      <c r="O84" s="780">
        <v>69</v>
      </c>
      <c r="P84" s="780">
        <v>55</v>
      </c>
      <c r="Q84" s="780">
        <v>165</v>
      </c>
      <c r="R84" s="780">
        <v>147</v>
      </c>
      <c r="S84" s="780">
        <v>98</v>
      </c>
      <c r="T84" s="780">
        <v>0</v>
      </c>
      <c r="U84" s="780">
        <v>155</v>
      </c>
      <c r="V84" s="780">
        <v>115</v>
      </c>
      <c r="W84" s="780">
        <v>114</v>
      </c>
      <c r="X84" s="780">
        <v>137</v>
      </c>
      <c r="Y84" s="780">
        <v>184</v>
      </c>
      <c r="Z84" s="780">
        <v>150</v>
      </c>
      <c r="AA84" s="780">
        <v>128</v>
      </c>
      <c r="AB84" s="780">
        <v>84</v>
      </c>
      <c r="AC84" s="780">
        <v>140</v>
      </c>
      <c r="AD84" s="780">
        <v>158</v>
      </c>
      <c r="AE84" s="780">
        <v>150</v>
      </c>
      <c r="AF84" s="780">
        <v>0</v>
      </c>
      <c r="AG84" s="780">
        <v>132</v>
      </c>
      <c r="AH84" s="780">
        <v>143</v>
      </c>
      <c r="AI84" s="780">
        <v>148</v>
      </c>
      <c r="AJ84" s="780">
        <v>159</v>
      </c>
      <c r="AK84" s="781">
        <f t="shared" si="8"/>
        <v>3469</v>
      </c>
      <c r="AL84" s="1111">
        <v>44.143705731944095</v>
      </c>
      <c r="AM84" s="1112">
        <f t="shared" si="9"/>
        <v>1531.3451518411407</v>
      </c>
      <c r="AN84" s="1112">
        <v>2977</v>
      </c>
      <c r="AO84" s="1180">
        <v>3.3942045124915401</v>
      </c>
      <c r="AP84" s="1112">
        <f t="shared" ref="AP84:AP94" si="11">AN84*AO84/100</f>
        <v>101.04546833687314</v>
      </c>
      <c r="AQ84" s="1114">
        <f t="shared" si="10"/>
        <v>1632.3906201780139</v>
      </c>
      <c r="AR84" s="1157" t="s">
        <v>43</v>
      </c>
      <c r="AS84" s="388"/>
      <c r="AT84" s="388"/>
    </row>
    <row r="85" spans="1:46" s="942" customFormat="1" ht="54" customHeight="1">
      <c r="A85" s="604">
        <v>69</v>
      </c>
      <c r="B85" s="604">
        <v>69</v>
      </c>
      <c r="C85" s="603">
        <f>'Chấm công KT'!C81</f>
        <v>0</v>
      </c>
      <c r="D85" s="922" t="str">
        <f>'Chấm công KT'!D81</f>
        <v>T. Hô Lông</v>
      </c>
      <c r="E85" s="922"/>
      <c r="F85" s="940">
        <v>0</v>
      </c>
      <c r="G85" s="940">
        <v>134</v>
      </c>
      <c r="H85" s="940">
        <v>118</v>
      </c>
      <c r="I85" s="940">
        <v>110</v>
      </c>
      <c r="J85" s="940">
        <v>237</v>
      </c>
      <c r="K85" s="940">
        <v>114</v>
      </c>
      <c r="L85" s="940">
        <v>107</v>
      </c>
      <c r="M85" s="940">
        <v>189</v>
      </c>
      <c r="N85" s="940">
        <v>153</v>
      </c>
      <c r="O85" s="940">
        <v>127</v>
      </c>
      <c r="P85" s="940">
        <v>149</v>
      </c>
      <c r="Q85" s="940">
        <v>209</v>
      </c>
      <c r="R85" s="940">
        <v>217</v>
      </c>
      <c r="S85" s="940">
        <v>94</v>
      </c>
      <c r="T85" s="940">
        <v>113</v>
      </c>
      <c r="U85" s="940">
        <v>216</v>
      </c>
      <c r="V85" s="940">
        <v>180</v>
      </c>
      <c r="W85" s="940">
        <v>124</v>
      </c>
      <c r="X85" s="940">
        <v>150</v>
      </c>
      <c r="Y85" s="940">
        <v>138</v>
      </c>
      <c r="Z85" s="940">
        <v>231</v>
      </c>
      <c r="AA85" s="940">
        <v>85</v>
      </c>
      <c r="AB85" s="940">
        <v>115</v>
      </c>
      <c r="AC85" s="940">
        <v>192</v>
      </c>
      <c r="AD85" s="940">
        <v>147</v>
      </c>
      <c r="AE85" s="940">
        <v>109</v>
      </c>
      <c r="AF85" s="940">
        <v>110</v>
      </c>
      <c r="AG85" s="940">
        <v>192</v>
      </c>
      <c r="AH85" s="940">
        <v>226</v>
      </c>
      <c r="AI85" s="940">
        <v>137</v>
      </c>
      <c r="AJ85" s="940">
        <v>160</v>
      </c>
      <c r="AK85" s="941">
        <f t="shared" si="8"/>
        <v>4583</v>
      </c>
      <c r="AL85" s="1111">
        <v>44.143705731944095</v>
      </c>
      <c r="AM85" s="1112">
        <f t="shared" si="9"/>
        <v>2023.1060336949979</v>
      </c>
      <c r="AN85" s="1112">
        <v>3455</v>
      </c>
      <c r="AO85" s="1180">
        <v>3.3942045124915401</v>
      </c>
      <c r="AP85" s="1112">
        <f t="shared" si="11"/>
        <v>117.26976590658271</v>
      </c>
      <c r="AQ85" s="1114">
        <f t="shared" si="10"/>
        <v>2140.3757996015806</v>
      </c>
      <c r="AR85" s="1157" t="s">
        <v>43</v>
      </c>
    </row>
    <row r="86" spans="1:46" ht="54" customHeight="1">
      <c r="A86" s="604">
        <v>70</v>
      </c>
      <c r="B86" s="604">
        <v>70</v>
      </c>
      <c r="C86" s="604" t="str">
        <f>'Chấm công KT'!C82</f>
        <v>03515</v>
      </c>
      <c r="D86" s="608" t="str">
        <f>'Chấm công KT'!D82</f>
        <v>N. Xi</v>
      </c>
      <c r="E86" s="608"/>
      <c r="F86" s="780">
        <v>0</v>
      </c>
      <c r="G86" s="780">
        <v>144</v>
      </c>
      <c r="H86" s="780">
        <v>56</v>
      </c>
      <c r="I86" s="780">
        <v>114</v>
      </c>
      <c r="J86" s="780">
        <v>150</v>
      </c>
      <c r="K86" s="780">
        <v>172</v>
      </c>
      <c r="L86" s="780">
        <v>67</v>
      </c>
      <c r="M86" s="780">
        <v>170</v>
      </c>
      <c r="N86" s="780">
        <v>94</v>
      </c>
      <c r="O86" s="780">
        <v>170</v>
      </c>
      <c r="P86" s="780">
        <v>141</v>
      </c>
      <c r="Q86" s="780">
        <v>171</v>
      </c>
      <c r="R86" s="780">
        <v>162</v>
      </c>
      <c r="S86" s="780">
        <v>154</v>
      </c>
      <c r="T86" s="780">
        <v>125</v>
      </c>
      <c r="U86" s="780">
        <v>195</v>
      </c>
      <c r="V86" s="780">
        <v>145</v>
      </c>
      <c r="W86" s="780">
        <v>120</v>
      </c>
      <c r="X86" s="780">
        <v>130</v>
      </c>
      <c r="Y86" s="780">
        <v>114</v>
      </c>
      <c r="Z86" s="780">
        <v>140</v>
      </c>
      <c r="AA86" s="780">
        <v>149</v>
      </c>
      <c r="AB86" s="780">
        <v>100</v>
      </c>
      <c r="AC86" s="780">
        <v>120</v>
      </c>
      <c r="AD86" s="780">
        <v>130</v>
      </c>
      <c r="AE86" s="780">
        <v>117</v>
      </c>
      <c r="AF86" s="780">
        <v>100</v>
      </c>
      <c r="AG86" s="780">
        <v>160</v>
      </c>
      <c r="AH86" s="780">
        <v>172</v>
      </c>
      <c r="AI86" s="780">
        <v>128</v>
      </c>
      <c r="AJ86" s="780">
        <v>144</v>
      </c>
      <c r="AK86" s="781">
        <f t="shared" si="8"/>
        <v>4054</v>
      </c>
      <c r="AL86" s="1111">
        <v>44.143705731944095</v>
      </c>
      <c r="AM86" s="1112">
        <f t="shared" si="9"/>
        <v>1789.5858303730138</v>
      </c>
      <c r="AN86" s="1112">
        <v>3934</v>
      </c>
      <c r="AO86" s="1180">
        <v>3.3942045124915401</v>
      </c>
      <c r="AP86" s="1112">
        <f t="shared" si="11"/>
        <v>133.52800552141719</v>
      </c>
      <c r="AQ86" s="1114">
        <f t="shared" si="10"/>
        <v>1923.1138358944308</v>
      </c>
      <c r="AR86" s="1157" t="s">
        <v>36</v>
      </c>
      <c r="AS86" s="388"/>
      <c r="AT86" s="388"/>
    </row>
    <row r="87" spans="1:46" ht="54" customHeight="1">
      <c r="A87" s="604">
        <v>71</v>
      </c>
      <c r="B87" s="604">
        <v>71</v>
      </c>
      <c r="C87" s="604" t="str">
        <f>'Chấm công KT'!C83</f>
        <v>03516</v>
      </c>
      <c r="D87" s="608" t="str">
        <f>'Chấm công KT'!D83</f>
        <v>N. Chay</v>
      </c>
      <c r="E87" s="608"/>
      <c r="F87" s="780">
        <v>0</v>
      </c>
      <c r="G87" s="780">
        <v>105</v>
      </c>
      <c r="H87" s="780">
        <v>54</v>
      </c>
      <c r="I87" s="780">
        <v>110</v>
      </c>
      <c r="J87" s="780">
        <v>285</v>
      </c>
      <c r="K87" s="780">
        <v>93</v>
      </c>
      <c r="L87" s="780">
        <v>0</v>
      </c>
      <c r="M87" s="780">
        <v>157</v>
      </c>
      <c r="N87" s="780">
        <v>118</v>
      </c>
      <c r="O87" s="780">
        <v>143</v>
      </c>
      <c r="P87" s="780">
        <v>171</v>
      </c>
      <c r="Q87" s="780">
        <v>172</v>
      </c>
      <c r="R87" s="780">
        <v>175</v>
      </c>
      <c r="S87" s="780">
        <v>137</v>
      </c>
      <c r="T87" s="780">
        <v>0</v>
      </c>
      <c r="U87" s="780">
        <v>121</v>
      </c>
      <c r="V87" s="780">
        <v>154</v>
      </c>
      <c r="W87" s="780">
        <v>0</v>
      </c>
      <c r="X87" s="780">
        <v>70</v>
      </c>
      <c r="Y87" s="780">
        <v>109</v>
      </c>
      <c r="Z87" s="780">
        <v>141</v>
      </c>
      <c r="AA87" s="780">
        <v>173</v>
      </c>
      <c r="AB87" s="780">
        <v>94</v>
      </c>
      <c r="AC87" s="780">
        <v>109</v>
      </c>
      <c r="AD87" s="780">
        <v>111</v>
      </c>
      <c r="AE87" s="780">
        <v>150</v>
      </c>
      <c r="AF87" s="780">
        <v>83</v>
      </c>
      <c r="AG87" s="780">
        <v>126</v>
      </c>
      <c r="AH87" s="780">
        <v>120</v>
      </c>
      <c r="AI87" s="780">
        <v>128</v>
      </c>
      <c r="AJ87" s="780">
        <v>132</v>
      </c>
      <c r="AK87" s="781">
        <f t="shared" si="8"/>
        <v>3541</v>
      </c>
      <c r="AL87" s="1111">
        <v>44.143705731944095</v>
      </c>
      <c r="AM87" s="1112">
        <f t="shared" si="9"/>
        <v>1563.1286199681406</v>
      </c>
      <c r="AN87" s="1112">
        <v>3858</v>
      </c>
      <c r="AO87" s="1180">
        <v>3.3942045124915401</v>
      </c>
      <c r="AP87" s="1112">
        <f t="shared" si="11"/>
        <v>130.94841009192362</v>
      </c>
      <c r="AQ87" s="1114">
        <f t="shared" si="10"/>
        <v>1694.0770300600643</v>
      </c>
      <c r="AR87" s="1157" t="s">
        <v>36</v>
      </c>
      <c r="AS87" s="388"/>
      <c r="AT87" s="388"/>
    </row>
    <row r="88" spans="1:46" ht="54" customHeight="1">
      <c r="A88" s="604">
        <v>72</v>
      </c>
      <c r="B88" s="604">
        <v>72</v>
      </c>
      <c r="C88" s="604" t="str">
        <f>'Chấm công KT'!C84</f>
        <v>03544</v>
      </c>
      <c r="D88" s="608" t="str">
        <f>'Chấm công KT'!D84</f>
        <v>T. Ta</v>
      </c>
      <c r="E88" s="608"/>
      <c r="F88" s="780">
        <v>0</v>
      </c>
      <c r="G88" s="780">
        <v>131</v>
      </c>
      <c r="H88" s="780">
        <v>0</v>
      </c>
      <c r="I88" s="780">
        <v>122</v>
      </c>
      <c r="J88" s="780">
        <v>0</v>
      </c>
      <c r="K88" s="780">
        <v>0</v>
      </c>
      <c r="L88" s="780">
        <v>0</v>
      </c>
      <c r="M88" s="780">
        <v>146</v>
      </c>
      <c r="N88" s="780">
        <v>0</v>
      </c>
      <c r="O88" s="780">
        <v>0</v>
      </c>
      <c r="P88" s="780">
        <v>0</v>
      </c>
      <c r="Q88" s="780">
        <v>0</v>
      </c>
      <c r="R88" s="780">
        <v>165</v>
      </c>
      <c r="S88" s="780">
        <v>0</v>
      </c>
      <c r="T88" s="780">
        <v>110</v>
      </c>
      <c r="U88" s="780">
        <v>122</v>
      </c>
      <c r="V88" s="780">
        <v>58</v>
      </c>
      <c r="W88" s="780">
        <v>51</v>
      </c>
      <c r="X88" s="780">
        <v>77</v>
      </c>
      <c r="Y88" s="780">
        <v>73</v>
      </c>
      <c r="Z88" s="780">
        <v>73</v>
      </c>
      <c r="AA88" s="780">
        <v>76</v>
      </c>
      <c r="AB88" s="780">
        <v>77</v>
      </c>
      <c r="AC88" s="780">
        <v>77</v>
      </c>
      <c r="AD88" s="780">
        <v>70</v>
      </c>
      <c r="AE88" s="780">
        <v>70</v>
      </c>
      <c r="AF88" s="780">
        <v>75</v>
      </c>
      <c r="AG88" s="780">
        <v>75</v>
      </c>
      <c r="AH88" s="780">
        <v>120</v>
      </c>
      <c r="AI88" s="780">
        <v>143</v>
      </c>
      <c r="AJ88" s="780">
        <v>150</v>
      </c>
      <c r="AK88" s="781">
        <f t="shared" si="8"/>
        <v>2061</v>
      </c>
      <c r="AL88" s="1111">
        <v>44.143705731944095</v>
      </c>
      <c r="AM88" s="1112">
        <f t="shared" si="9"/>
        <v>909.80177513536773</v>
      </c>
      <c r="AN88" s="1112">
        <v>2714</v>
      </c>
      <c r="AO88" s="1180">
        <v>3.3942045124915401</v>
      </c>
      <c r="AP88" s="1112">
        <f t="shared" si="11"/>
        <v>92.118710469020414</v>
      </c>
      <c r="AQ88" s="1114">
        <f t="shared" si="10"/>
        <v>1001.9204856043882</v>
      </c>
      <c r="AR88" s="1157" t="s">
        <v>36</v>
      </c>
      <c r="AS88" s="388"/>
      <c r="AT88" s="388"/>
    </row>
    <row r="89" spans="1:46" ht="54" customHeight="1">
      <c r="A89" s="604">
        <v>73</v>
      </c>
      <c r="B89" s="604">
        <v>73</v>
      </c>
      <c r="C89" s="604" t="str">
        <f>'Chấm công KT'!C85</f>
        <v>04071</v>
      </c>
      <c r="D89" s="608" t="str">
        <f>'Chấm công KT'!D85</f>
        <v>T. Ne</v>
      </c>
      <c r="E89" s="608"/>
      <c r="F89" s="780">
        <v>0</v>
      </c>
      <c r="G89" s="780">
        <v>131</v>
      </c>
      <c r="H89" s="780">
        <v>0</v>
      </c>
      <c r="I89" s="780">
        <v>122</v>
      </c>
      <c r="J89" s="780">
        <v>0</v>
      </c>
      <c r="K89" s="780">
        <v>0</v>
      </c>
      <c r="L89" s="780">
        <v>0</v>
      </c>
      <c r="M89" s="780">
        <v>146</v>
      </c>
      <c r="N89" s="780">
        <v>0</v>
      </c>
      <c r="O89" s="780">
        <v>0</v>
      </c>
      <c r="P89" s="780">
        <v>0</v>
      </c>
      <c r="Q89" s="780">
        <v>0</v>
      </c>
      <c r="R89" s="780">
        <v>165</v>
      </c>
      <c r="S89" s="780">
        <v>0</v>
      </c>
      <c r="T89" s="780">
        <v>110</v>
      </c>
      <c r="U89" s="780">
        <v>122</v>
      </c>
      <c r="V89" s="780">
        <v>58</v>
      </c>
      <c r="W89" s="780">
        <v>52</v>
      </c>
      <c r="X89" s="780">
        <v>78</v>
      </c>
      <c r="Y89" s="780">
        <v>73</v>
      </c>
      <c r="Z89" s="780">
        <v>73</v>
      </c>
      <c r="AA89" s="780">
        <v>76</v>
      </c>
      <c r="AB89" s="780">
        <v>77</v>
      </c>
      <c r="AC89" s="780">
        <v>77</v>
      </c>
      <c r="AD89" s="780">
        <v>70</v>
      </c>
      <c r="AE89" s="780">
        <v>70</v>
      </c>
      <c r="AF89" s="780">
        <v>75</v>
      </c>
      <c r="AG89" s="780">
        <v>75</v>
      </c>
      <c r="AH89" s="780">
        <v>120</v>
      </c>
      <c r="AI89" s="780">
        <v>143</v>
      </c>
      <c r="AJ89" s="780">
        <v>150</v>
      </c>
      <c r="AK89" s="781">
        <f t="shared" si="8"/>
        <v>2063</v>
      </c>
      <c r="AL89" s="1111">
        <v>44.143705731944095</v>
      </c>
      <c r="AM89" s="1112">
        <f t="shared" si="9"/>
        <v>910.6846492500066</v>
      </c>
      <c r="AN89" s="1112">
        <v>2721</v>
      </c>
      <c r="AO89" s="1180">
        <v>3.3942045124915401</v>
      </c>
      <c r="AP89" s="1112">
        <f t="shared" si="11"/>
        <v>92.356304784894803</v>
      </c>
      <c r="AQ89" s="1114">
        <f t="shared" si="10"/>
        <v>1003.0409540349015</v>
      </c>
      <c r="AR89" s="1157" t="s">
        <v>36</v>
      </c>
      <c r="AS89" s="388"/>
      <c r="AT89" s="388"/>
    </row>
    <row r="90" spans="1:46" ht="54" customHeight="1">
      <c r="A90" s="604">
        <v>74</v>
      </c>
      <c r="B90" s="604">
        <v>74</v>
      </c>
      <c r="C90" s="604"/>
      <c r="D90" s="608" t="str">
        <f>'Chấm công KT'!D86</f>
        <v>N. Khăn</v>
      </c>
      <c r="E90" s="608"/>
      <c r="F90" s="780">
        <v>0</v>
      </c>
      <c r="G90" s="780">
        <v>87</v>
      </c>
      <c r="H90" s="780">
        <v>12</v>
      </c>
      <c r="I90" s="780">
        <v>0</v>
      </c>
      <c r="J90" s="780">
        <v>0</v>
      </c>
      <c r="K90" s="780">
        <v>0</v>
      </c>
      <c r="L90" s="780">
        <v>0</v>
      </c>
      <c r="M90" s="780">
        <v>0</v>
      </c>
      <c r="N90" s="780">
        <v>0</v>
      </c>
      <c r="O90" s="780">
        <v>93</v>
      </c>
      <c r="P90" s="780">
        <v>56</v>
      </c>
      <c r="Q90" s="780">
        <v>0</v>
      </c>
      <c r="R90" s="780">
        <v>0</v>
      </c>
      <c r="S90" s="780">
        <v>0</v>
      </c>
      <c r="T90" s="780">
        <v>0</v>
      </c>
      <c r="U90" s="780">
        <v>0</v>
      </c>
      <c r="V90" s="780">
        <v>0</v>
      </c>
      <c r="W90" s="780">
        <v>59</v>
      </c>
      <c r="X90" s="780">
        <v>59</v>
      </c>
      <c r="Y90" s="780">
        <v>0</v>
      </c>
      <c r="Z90" s="780">
        <v>0</v>
      </c>
      <c r="AA90" s="780">
        <v>0</v>
      </c>
      <c r="AB90" s="780">
        <v>0</v>
      </c>
      <c r="AC90" s="780">
        <v>0</v>
      </c>
      <c r="AD90" s="780">
        <v>0</v>
      </c>
      <c r="AE90" s="780">
        <v>105</v>
      </c>
      <c r="AF90" s="780">
        <v>93</v>
      </c>
      <c r="AG90" s="780">
        <v>0</v>
      </c>
      <c r="AH90" s="780">
        <v>0</v>
      </c>
      <c r="AI90" s="780">
        <v>0</v>
      </c>
      <c r="AJ90" s="780">
        <v>0</v>
      </c>
      <c r="AK90" s="781">
        <f t="shared" si="8"/>
        <v>564</v>
      </c>
      <c r="AL90" s="1111">
        <v>44.143705731944095</v>
      </c>
      <c r="AM90" s="1112">
        <f t="shared" si="9"/>
        <v>248.97050032816472</v>
      </c>
      <c r="AN90" s="1112">
        <v>2466</v>
      </c>
      <c r="AO90" s="1180">
        <v>3.3942045124915401</v>
      </c>
      <c r="AP90" s="1112">
        <f t="shared" si="11"/>
        <v>83.701083278041381</v>
      </c>
      <c r="AQ90" s="1114">
        <f t="shared" si="10"/>
        <v>332.67158360620613</v>
      </c>
      <c r="AR90" s="1115" t="s">
        <v>351</v>
      </c>
      <c r="AS90" s="388"/>
      <c r="AT90" s="388"/>
    </row>
    <row r="91" spans="1:46" ht="54" customHeight="1">
      <c r="A91" s="604">
        <v>75</v>
      </c>
      <c r="B91" s="604">
        <v>75</v>
      </c>
      <c r="C91" s="604"/>
      <c r="D91" s="608" t="str">
        <f>'Chấm công KT'!D87</f>
        <v>T. Lã</v>
      </c>
      <c r="E91" s="608"/>
      <c r="F91" s="780">
        <v>0</v>
      </c>
      <c r="G91" s="780">
        <v>0</v>
      </c>
      <c r="H91" s="780">
        <v>0</v>
      </c>
      <c r="I91" s="780">
        <v>0</v>
      </c>
      <c r="J91" s="780">
        <v>161</v>
      </c>
      <c r="K91" s="780">
        <v>184</v>
      </c>
      <c r="L91" s="780">
        <v>80</v>
      </c>
      <c r="M91" s="780">
        <v>0</v>
      </c>
      <c r="N91" s="780">
        <v>0</v>
      </c>
      <c r="O91" s="780">
        <v>151</v>
      </c>
      <c r="P91" s="780">
        <v>0</v>
      </c>
      <c r="Q91" s="780">
        <v>126</v>
      </c>
      <c r="R91" s="780">
        <v>0</v>
      </c>
      <c r="S91" s="780">
        <v>128</v>
      </c>
      <c r="T91" s="780">
        <v>121</v>
      </c>
      <c r="U91" s="780">
        <v>229</v>
      </c>
      <c r="V91" s="780">
        <v>0</v>
      </c>
      <c r="W91" s="780">
        <v>70</v>
      </c>
      <c r="X91" s="780">
        <v>0</v>
      </c>
      <c r="Y91" s="780">
        <v>70</v>
      </c>
      <c r="Z91" s="780">
        <v>0</v>
      </c>
      <c r="AA91" s="780">
        <v>67</v>
      </c>
      <c r="AB91" s="780">
        <v>150</v>
      </c>
      <c r="AC91" s="780">
        <v>140</v>
      </c>
      <c r="AD91" s="780">
        <v>138</v>
      </c>
      <c r="AE91" s="780">
        <v>155</v>
      </c>
      <c r="AF91" s="780">
        <v>163</v>
      </c>
      <c r="AG91" s="780">
        <v>110</v>
      </c>
      <c r="AH91" s="780">
        <v>132</v>
      </c>
      <c r="AI91" s="780">
        <v>72</v>
      </c>
      <c r="AJ91" s="780">
        <v>0</v>
      </c>
      <c r="AK91" s="781">
        <f t="shared" si="8"/>
        <v>2447</v>
      </c>
      <c r="AL91" s="1111">
        <v>44.143705731944095</v>
      </c>
      <c r="AM91" s="1112">
        <f t="shared" si="9"/>
        <v>1080.196479260672</v>
      </c>
      <c r="AN91" s="1112">
        <v>1079</v>
      </c>
      <c r="AO91" s="1180">
        <v>3.3942045124915401</v>
      </c>
      <c r="AP91" s="1112">
        <f t="shared" si="11"/>
        <v>36.623466689783719</v>
      </c>
      <c r="AQ91" s="1114">
        <f t="shared" si="10"/>
        <v>1116.8199459504558</v>
      </c>
      <c r="AR91" s="1115" t="s">
        <v>351</v>
      </c>
      <c r="AS91" s="388"/>
      <c r="AT91" s="388"/>
    </row>
    <row r="92" spans="1:46" ht="54" customHeight="1">
      <c r="A92" s="604">
        <v>76</v>
      </c>
      <c r="B92" s="604">
        <v>76</v>
      </c>
      <c r="C92" s="604"/>
      <c r="D92" s="608" t="str">
        <f>'Chấm công KT'!D88</f>
        <v>N. Veo</v>
      </c>
      <c r="E92" s="608"/>
      <c r="F92" s="780">
        <v>0</v>
      </c>
      <c r="G92" s="780">
        <v>0</v>
      </c>
      <c r="H92" s="780">
        <v>0</v>
      </c>
      <c r="I92" s="780">
        <v>0</v>
      </c>
      <c r="J92" s="780">
        <v>161</v>
      </c>
      <c r="K92" s="780">
        <v>184</v>
      </c>
      <c r="L92" s="780">
        <v>73</v>
      </c>
      <c r="M92" s="780">
        <v>0</v>
      </c>
      <c r="N92" s="780">
        <v>0</v>
      </c>
      <c r="O92" s="780">
        <v>0</v>
      </c>
      <c r="P92" s="780">
        <v>0</v>
      </c>
      <c r="Q92" s="780">
        <v>0</v>
      </c>
      <c r="R92" s="780">
        <v>0</v>
      </c>
      <c r="S92" s="780">
        <v>134</v>
      </c>
      <c r="T92" s="780">
        <v>117</v>
      </c>
      <c r="U92" s="780">
        <v>80</v>
      </c>
      <c r="V92" s="780">
        <v>0</v>
      </c>
      <c r="W92" s="780">
        <v>68</v>
      </c>
      <c r="X92" s="780">
        <v>0</v>
      </c>
      <c r="Y92" s="780">
        <v>102</v>
      </c>
      <c r="Z92" s="780">
        <v>0</v>
      </c>
      <c r="AA92" s="780">
        <v>63</v>
      </c>
      <c r="AB92" s="780">
        <v>156</v>
      </c>
      <c r="AC92" s="780">
        <v>154</v>
      </c>
      <c r="AD92" s="780">
        <v>129</v>
      </c>
      <c r="AE92" s="780">
        <v>102</v>
      </c>
      <c r="AF92" s="780">
        <v>180</v>
      </c>
      <c r="AG92" s="780">
        <v>108</v>
      </c>
      <c r="AH92" s="780">
        <v>133</v>
      </c>
      <c r="AI92" s="780">
        <v>78</v>
      </c>
      <c r="AJ92" s="780">
        <v>0</v>
      </c>
      <c r="AK92" s="781">
        <f t="shared" ref="AK92:AK93" si="12">SUM(F92:AJ92)</f>
        <v>2022</v>
      </c>
      <c r="AL92" s="1111">
        <v>44.143705731944095</v>
      </c>
      <c r="AM92" s="1112">
        <f t="shared" si="9"/>
        <v>892.58572989990967</v>
      </c>
      <c r="AN92" s="1112">
        <v>456</v>
      </c>
      <c r="AO92" s="1180">
        <v>3.3942045124915401</v>
      </c>
      <c r="AP92" s="1112">
        <f t="shared" si="11"/>
        <v>15.477572576961423</v>
      </c>
      <c r="AQ92" s="1114">
        <f t="shared" si="10"/>
        <v>908.06330247687106</v>
      </c>
      <c r="AR92" s="1115" t="s">
        <v>351</v>
      </c>
      <c r="AS92" s="388"/>
      <c r="AT92" s="388"/>
    </row>
    <row r="93" spans="1:46" ht="54" customHeight="1">
      <c r="A93" s="604">
        <v>77</v>
      </c>
      <c r="B93" s="604">
        <v>77</v>
      </c>
      <c r="C93" s="604"/>
      <c r="D93" s="608" t="str">
        <f>'Chấm công KT'!D89</f>
        <v>T. Pu</v>
      </c>
      <c r="E93" s="608"/>
      <c r="F93" s="780">
        <v>0</v>
      </c>
      <c r="G93" s="780">
        <v>0</v>
      </c>
      <c r="H93" s="780">
        <v>0</v>
      </c>
      <c r="I93" s="780">
        <v>0</v>
      </c>
      <c r="J93" s="780">
        <v>0</v>
      </c>
      <c r="K93" s="780">
        <v>0</v>
      </c>
      <c r="L93" s="780">
        <v>70</v>
      </c>
      <c r="M93" s="780">
        <v>0</v>
      </c>
      <c r="N93" s="780">
        <v>0</v>
      </c>
      <c r="O93" s="780">
        <v>0</v>
      </c>
      <c r="P93" s="780">
        <v>0</v>
      </c>
      <c r="Q93" s="780">
        <v>0</v>
      </c>
      <c r="R93" s="780">
        <v>0</v>
      </c>
      <c r="S93" s="780">
        <v>132</v>
      </c>
      <c r="T93" s="780">
        <v>122</v>
      </c>
      <c r="U93" s="780">
        <v>0</v>
      </c>
      <c r="V93" s="780">
        <v>0</v>
      </c>
      <c r="W93" s="780">
        <v>66</v>
      </c>
      <c r="X93" s="780">
        <v>0</v>
      </c>
      <c r="Y93" s="780">
        <v>125</v>
      </c>
      <c r="Z93" s="780">
        <v>0</v>
      </c>
      <c r="AA93" s="780">
        <v>98</v>
      </c>
      <c r="AB93" s="780">
        <v>105</v>
      </c>
      <c r="AC93" s="780">
        <v>141</v>
      </c>
      <c r="AD93" s="780">
        <v>0</v>
      </c>
      <c r="AE93" s="780">
        <v>112</v>
      </c>
      <c r="AF93" s="780">
        <v>126</v>
      </c>
      <c r="AG93" s="780">
        <v>0</v>
      </c>
      <c r="AH93" s="780">
        <v>0</v>
      </c>
      <c r="AI93" s="780">
        <v>78</v>
      </c>
      <c r="AJ93" s="780">
        <v>109</v>
      </c>
      <c r="AK93" s="781">
        <f t="shared" si="12"/>
        <v>1284</v>
      </c>
      <c r="AL93" s="1111">
        <v>44.143705731944095</v>
      </c>
      <c r="AM93" s="1112">
        <f t="shared" si="9"/>
        <v>566.80518159816211</v>
      </c>
      <c r="AN93" s="1112">
        <v>397</v>
      </c>
      <c r="AO93" s="1180">
        <v>3.3942045124915401</v>
      </c>
      <c r="AP93" s="1112">
        <f t="shared" si="11"/>
        <v>13.474991914591415</v>
      </c>
      <c r="AQ93" s="1114">
        <f t="shared" si="10"/>
        <v>580.28017351275355</v>
      </c>
      <c r="AR93" s="1115" t="s">
        <v>351</v>
      </c>
      <c r="AS93" s="388"/>
      <c r="AT93" s="388"/>
    </row>
    <row r="94" spans="1:46" ht="54" customHeight="1">
      <c r="A94" s="604">
        <v>78</v>
      </c>
      <c r="B94" s="604">
        <v>78</v>
      </c>
      <c r="C94" s="604"/>
      <c r="D94" s="608" t="str">
        <f>'Chấm công KT'!D90</f>
        <v>T. Ta.</v>
      </c>
      <c r="E94" s="608"/>
      <c r="F94" s="780">
        <v>0</v>
      </c>
      <c r="G94" s="780">
        <v>0</v>
      </c>
      <c r="H94" s="780">
        <v>0</v>
      </c>
      <c r="I94" s="780">
        <v>0</v>
      </c>
      <c r="J94" s="780">
        <v>0</v>
      </c>
      <c r="K94" s="780">
        <v>0</v>
      </c>
      <c r="L94" s="780">
        <v>0</v>
      </c>
      <c r="M94" s="780">
        <v>0</v>
      </c>
      <c r="N94" s="780">
        <v>0</v>
      </c>
      <c r="O94" s="780">
        <v>0</v>
      </c>
      <c r="P94" s="780">
        <v>0</v>
      </c>
      <c r="Q94" s="780">
        <v>0</v>
      </c>
      <c r="R94" s="780">
        <v>0</v>
      </c>
      <c r="S94" s="780">
        <v>0</v>
      </c>
      <c r="T94" s="780">
        <v>0</v>
      </c>
      <c r="U94" s="780">
        <v>0</v>
      </c>
      <c r="V94" s="780">
        <v>0</v>
      </c>
      <c r="W94" s="780">
        <v>0</v>
      </c>
      <c r="X94" s="780">
        <v>0</v>
      </c>
      <c r="Y94" s="780">
        <v>103</v>
      </c>
      <c r="Z94" s="780">
        <v>0</v>
      </c>
      <c r="AA94" s="780">
        <v>102</v>
      </c>
      <c r="AB94" s="780">
        <v>102</v>
      </c>
      <c r="AC94" s="780">
        <v>0</v>
      </c>
      <c r="AD94" s="780">
        <v>0</v>
      </c>
      <c r="AE94" s="780">
        <v>0</v>
      </c>
      <c r="AF94" s="780">
        <v>128</v>
      </c>
      <c r="AG94" s="780">
        <v>0</v>
      </c>
      <c r="AH94" s="780">
        <v>0</v>
      </c>
      <c r="AI94" s="780">
        <v>75</v>
      </c>
      <c r="AJ94" s="780">
        <v>127</v>
      </c>
      <c r="AK94" s="781">
        <f>SUM(F94:AJ94)</f>
        <v>637</v>
      </c>
      <c r="AL94" s="1111">
        <v>44.143705731944095</v>
      </c>
      <c r="AM94" s="1112">
        <f t="shared" si="9"/>
        <v>281.19540551248389</v>
      </c>
      <c r="AN94" s="1112">
        <v>325</v>
      </c>
      <c r="AO94" s="1180">
        <v>3.3942045124915401</v>
      </c>
      <c r="AP94" s="1112">
        <f t="shared" si="11"/>
        <v>11.031164665597505</v>
      </c>
      <c r="AQ94" s="1114">
        <f t="shared" si="10"/>
        <v>292.22657017808137</v>
      </c>
      <c r="AR94" s="1115" t="s">
        <v>351</v>
      </c>
      <c r="AS94" s="388"/>
      <c r="AT94" s="388"/>
    </row>
    <row r="95" spans="1:46" ht="54" customHeight="1">
      <c r="A95" s="604">
        <v>79</v>
      </c>
      <c r="B95" s="604">
        <v>79</v>
      </c>
      <c r="C95" s="604"/>
      <c r="D95" s="608" t="str">
        <f>'Chấm công KT'!D91</f>
        <v>N. Nang</v>
      </c>
      <c r="E95" s="608"/>
      <c r="F95" s="780">
        <v>0</v>
      </c>
      <c r="G95" s="780">
        <v>0</v>
      </c>
      <c r="H95" s="780">
        <v>0</v>
      </c>
      <c r="I95" s="780">
        <v>0</v>
      </c>
      <c r="J95" s="780">
        <v>0</v>
      </c>
      <c r="K95" s="780">
        <v>0</v>
      </c>
      <c r="L95" s="780">
        <v>0</v>
      </c>
      <c r="M95" s="780">
        <v>0</v>
      </c>
      <c r="N95" s="780">
        <v>0</v>
      </c>
      <c r="O95" s="780">
        <v>0</v>
      </c>
      <c r="P95" s="780">
        <v>0</v>
      </c>
      <c r="Q95" s="780">
        <v>0</v>
      </c>
      <c r="R95" s="780">
        <v>0</v>
      </c>
      <c r="S95" s="780">
        <v>0</v>
      </c>
      <c r="T95" s="780">
        <v>0</v>
      </c>
      <c r="U95" s="780">
        <v>0</v>
      </c>
      <c r="V95" s="780">
        <v>0</v>
      </c>
      <c r="W95" s="780">
        <v>0</v>
      </c>
      <c r="X95" s="780">
        <v>0</v>
      </c>
      <c r="Y95" s="780">
        <v>0</v>
      </c>
      <c r="Z95" s="780">
        <v>101</v>
      </c>
      <c r="AA95" s="780">
        <v>104</v>
      </c>
      <c r="AB95" s="780">
        <v>0</v>
      </c>
      <c r="AC95" s="780">
        <v>0</v>
      </c>
      <c r="AD95" s="780">
        <v>0</v>
      </c>
      <c r="AE95" s="780">
        <v>0</v>
      </c>
      <c r="AF95" s="780">
        <v>112</v>
      </c>
      <c r="AG95" s="780">
        <v>0</v>
      </c>
      <c r="AH95" s="780">
        <v>0</v>
      </c>
      <c r="AI95" s="780">
        <v>0</v>
      </c>
      <c r="AJ95" s="780">
        <v>110</v>
      </c>
      <c r="AK95" s="781">
        <f>SUM(F95:AJ95)</f>
        <v>427</v>
      </c>
      <c r="AL95" s="1111">
        <v>44.143705731944095</v>
      </c>
      <c r="AM95" s="1112">
        <f t="shared" si="9"/>
        <v>188.49362347540128</v>
      </c>
      <c r="AN95" s="1111"/>
      <c r="AO95" s="1111"/>
      <c r="AP95" s="1112"/>
      <c r="AQ95" s="1114">
        <f t="shared" si="10"/>
        <v>188.49362347540128</v>
      </c>
      <c r="AR95" s="1115" t="s">
        <v>351</v>
      </c>
      <c r="AS95" s="388"/>
      <c r="AT95" s="388"/>
    </row>
    <row r="96" spans="1:46" ht="54" customHeight="1">
      <c r="A96" s="604">
        <v>80</v>
      </c>
      <c r="B96" s="604">
        <v>80</v>
      </c>
      <c r="C96" s="604"/>
      <c r="D96" s="608" t="str">
        <f>'Chấm công KT'!D92</f>
        <v>T. Tan</v>
      </c>
      <c r="E96" s="608"/>
      <c r="F96" s="780">
        <v>0</v>
      </c>
      <c r="G96" s="780">
        <v>0</v>
      </c>
      <c r="H96" s="780">
        <v>0</v>
      </c>
      <c r="I96" s="780">
        <v>0</v>
      </c>
      <c r="J96" s="780">
        <v>0</v>
      </c>
      <c r="K96" s="780">
        <v>0</v>
      </c>
      <c r="L96" s="780">
        <v>0</v>
      </c>
      <c r="M96" s="780">
        <v>0</v>
      </c>
      <c r="N96" s="780">
        <v>0</v>
      </c>
      <c r="O96" s="780">
        <v>0</v>
      </c>
      <c r="P96" s="780">
        <v>0</v>
      </c>
      <c r="Q96" s="780">
        <v>0</v>
      </c>
      <c r="R96" s="780">
        <v>0</v>
      </c>
      <c r="S96" s="780">
        <v>0</v>
      </c>
      <c r="T96" s="780">
        <v>0</v>
      </c>
      <c r="U96" s="780">
        <v>0</v>
      </c>
      <c r="V96" s="780">
        <v>0</v>
      </c>
      <c r="W96" s="780">
        <v>0</v>
      </c>
      <c r="X96" s="780">
        <v>0</v>
      </c>
      <c r="Y96" s="780">
        <v>0</v>
      </c>
      <c r="Z96" s="780">
        <v>104</v>
      </c>
      <c r="AA96" s="780">
        <v>0</v>
      </c>
      <c r="AB96" s="780">
        <v>0</v>
      </c>
      <c r="AC96" s="780">
        <v>0</v>
      </c>
      <c r="AD96" s="780">
        <v>0</v>
      </c>
      <c r="AE96" s="780">
        <v>0</v>
      </c>
      <c r="AF96" s="780">
        <v>109</v>
      </c>
      <c r="AG96" s="780">
        <v>0</v>
      </c>
      <c r="AH96" s="780">
        <v>0</v>
      </c>
      <c r="AI96" s="780">
        <v>0</v>
      </c>
      <c r="AJ96" s="780">
        <v>118</v>
      </c>
      <c r="AK96" s="781">
        <f t="shared" ref="AK96:AK97" si="13">SUM(F96:AJ96)</f>
        <v>331</v>
      </c>
      <c r="AL96" s="1111">
        <v>44.143705731944095</v>
      </c>
      <c r="AM96" s="1112">
        <f t="shared" si="9"/>
        <v>146.11566597273494</v>
      </c>
      <c r="AN96" s="1111"/>
      <c r="AO96" s="1111"/>
      <c r="AP96" s="1112"/>
      <c r="AQ96" s="1114">
        <f t="shared" si="10"/>
        <v>146.11566597273494</v>
      </c>
      <c r="AR96" s="1115" t="s">
        <v>351</v>
      </c>
      <c r="AS96" s="388"/>
      <c r="AT96" s="388"/>
    </row>
    <row r="97" spans="1:49" ht="54" hidden="1" customHeight="1">
      <c r="A97" s="604">
        <v>81</v>
      </c>
      <c r="B97" s="604">
        <v>81</v>
      </c>
      <c r="C97" s="604"/>
      <c r="D97" s="608">
        <f>'Chấm công KT'!D93</f>
        <v>0</v>
      </c>
      <c r="E97" s="608"/>
      <c r="F97" s="780"/>
      <c r="G97" s="780"/>
      <c r="H97" s="780"/>
      <c r="I97" s="780"/>
      <c r="J97" s="780"/>
      <c r="K97" s="780"/>
      <c r="L97" s="780"/>
      <c r="M97" s="780"/>
      <c r="N97" s="780"/>
      <c r="O97" s="780"/>
      <c r="P97" s="780"/>
      <c r="Q97" s="780"/>
      <c r="R97" s="780"/>
      <c r="S97" s="780"/>
      <c r="T97" s="780"/>
      <c r="U97" s="780"/>
      <c r="V97" s="780"/>
      <c r="W97" s="780"/>
      <c r="X97" s="780"/>
      <c r="Y97" s="780"/>
      <c r="Z97" s="780"/>
      <c r="AA97" s="780"/>
      <c r="AB97" s="780"/>
      <c r="AC97" s="780"/>
      <c r="AD97" s="780"/>
      <c r="AE97" s="780"/>
      <c r="AF97" s="780"/>
      <c r="AG97" s="780"/>
      <c r="AH97" s="780"/>
      <c r="AI97" s="780">
        <v>0</v>
      </c>
      <c r="AJ97" s="780"/>
      <c r="AK97" s="781">
        <f t="shared" si="13"/>
        <v>0</v>
      </c>
      <c r="AL97" s="1111"/>
      <c r="AM97" s="1111"/>
      <c r="AN97" s="1111"/>
      <c r="AO97" s="1111"/>
      <c r="AP97" s="1112"/>
      <c r="AQ97" s="1112">
        <f>AK97*AL97/100</f>
        <v>0</v>
      </c>
      <c r="AR97" s="1115" t="s">
        <v>351</v>
      </c>
      <c r="AS97" s="388"/>
      <c r="AT97" s="388"/>
    </row>
    <row r="98" spans="1:49" s="942" customFormat="1" ht="54" customHeight="1">
      <c r="A98" s="1388" t="s">
        <v>707</v>
      </c>
      <c r="B98" s="1388"/>
      <c r="C98" s="1388"/>
      <c r="D98" s="1388"/>
      <c r="E98" s="602"/>
      <c r="F98" s="1116">
        <f t="shared" ref="F98:AP98" si="14">SUM(F99:F160)</f>
        <v>3877</v>
      </c>
      <c r="G98" s="1116">
        <f t="shared" si="14"/>
        <v>7788</v>
      </c>
      <c r="H98" s="1116">
        <f t="shared" si="14"/>
        <v>3635</v>
      </c>
      <c r="I98" s="1116">
        <f t="shared" si="14"/>
        <v>12542</v>
      </c>
      <c r="J98" s="1116">
        <f t="shared" si="14"/>
        <v>8504</v>
      </c>
      <c r="K98" s="1116">
        <f t="shared" si="14"/>
        <v>5220</v>
      </c>
      <c r="L98" s="1116">
        <f t="shared" si="14"/>
        <v>6372</v>
      </c>
      <c r="M98" s="1116">
        <f t="shared" si="14"/>
        <v>7388</v>
      </c>
      <c r="N98" s="1116">
        <f t="shared" si="14"/>
        <v>7030</v>
      </c>
      <c r="O98" s="1116">
        <f t="shared" si="14"/>
        <v>4136</v>
      </c>
      <c r="P98" s="1116">
        <f t="shared" si="14"/>
        <v>16074</v>
      </c>
      <c r="Q98" s="1116">
        <f t="shared" si="14"/>
        <v>10077</v>
      </c>
      <c r="R98" s="1116">
        <f t="shared" si="14"/>
        <v>3967</v>
      </c>
      <c r="S98" s="1116">
        <f t="shared" si="14"/>
        <v>6142</v>
      </c>
      <c r="T98" s="1116">
        <f t="shared" si="14"/>
        <v>10639</v>
      </c>
      <c r="U98" s="1116">
        <f t="shared" si="14"/>
        <v>6541</v>
      </c>
      <c r="V98" s="1116">
        <f t="shared" si="14"/>
        <v>4654</v>
      </c>
      <c r="W98" s="1116">
        <f t="shared" si="14"/>
        <v>12473</v>
      </c>
      <c r="X98" s="1116">
        <f t="shared" si="14"/>
        <v>8874</v>
      </c>
      <c r="Y98" s="1116">
        <f t="shared" si="14"/>
        <v>3980</v>
      </c>
      <c r="Z98" s="1116">
        <f t="shared" si="14"/>
        <v>5197</v>
      </c>
      <c r="AA98" s="1116">
        <f t="shared" si="14"/>
        <v>8269</v>
      </c>
      <c r="AB98" s="1116">
        <f t="shared" si="14"/>
        <v>8664</v>
      </c>
      <c r="AC98" s="1116">
        <f t="shared" si="14"/>
        <v>5453</v>
      </c>
      <c r="AD98" s="1116">
        <f t="shared" si="14"/>
        <v>5816</v>
      </c>
      <c r="AE98" s="1116">
        <f t="shared" si="14"/>
        <v>8397</v>
      </c>
      <c r="AF98" s="1116">
        <f t="shared" si="14"/>
        <v>9490</v>
      </c>
      <c r="AG98" s="1116">
        <f t="shared" si="14"/>
        <v>5295</v>
      </c>
      <c r="AH98" s="1116">
        <f t="shared" si="14"/>
        <v>7918</v>
      </c>
      <c r="AI98" s="1116">
        <f t="shared" si="14"/>
        <v>8378</v>
      </c>
      <c r="AJ98" s="1116">
        <f t="shared" si="14"/>
        <v>8956</v>
      </c>
      <c r="AK98" s="1155">
        <f t="shared" si="14"/>
        <v>231746</v>
      </c>
      <c r="AL98" s="1155">
        <f t="shared" si="14"/>
        <v>2712.0372191968795</v>
      </c>
      <c r="AM98" s="1155">
        <f t="shared" si="14"/>
        <v>101371.57699999999</v>
      </c>
      <c r="AN98" s="1155">
        <f>SUM(AN99:AN160)</f>
        <v>237754</v>
      </c>
      <c r="AO98" s="1155"/>
      <c r="AP98" s="1181">
        <f t="shared" si="14"/>
        <v>8081.0000000000018</v>
      </c>
      <c r="AQ98" s="1155">
        <f>SUM(AQ99:AQ160)</f>
        <v>109452.57700000005</v>
      </c>
      <c r="AR98" s="922"/>
    </row>
    <row r="99" spans="1:49" ht="54" customHeight="1">
      <c r="A99" s="604">
        <v>81</v>
      </c>
      <c r="B99" s="604">
        <v>1</v>
      </c>
      <c r="C99" s="604" t="str">
        <f>'Chấm công KT'!C95</f>
        <v>04072</v>
      </c>
      <c r="D99" s="608" t="str">
        <f>'Chấm công KT'!D95</f>
        <v xml:space="preserve">T. Lun </v>
      </c>
      <c r="E99" s="608"/>
      <c r="F99" s="1117">
        <v>105</v>
      </c>
      <c r="G99" s="1117">
        <v>160</v>
      </c>
      <c r="H99" s="1117">
        <v>123</v>
      </c>
      <c r="I99" s="1117">
        <v>139</v>
      </c>
      <c r="J99" s="1117">
        <v>107</v>
      </c>
      <c r="K99" s="1117">
        <v>142</v>
      </c>
      <c r="L99" s="1117">
        <v>156</v>
      </c>
      <c r="M99" s="1117">
        <v>79</v>
      </c>
      <c r="N99" s="1117">
        <v>102</v>
      </c>
      <c r="O99" s="1117">
        <v>160</v>
      </c>
      <c r="P99" s="1117">
        <v>273</v>
      </c>
      <c r="Q99" s="1117">
        <v>0</v>
      </c>
      <c r="R99" s="1117">
        <v>118</v>
      </c>
      <c r="S99" s="1117">
        <v>104</v>
      </c>
      <c r="T99" s="1117">
        <v>146</v>
      </c>
      <c r="U99" s="1117">
        <v>164</v>
      </c>
      <c r="V99" s="1117">
        <v>99</v>
      </c>
      <c r="W99" s="1117">
        <v>192</v>
      </c>
      <c r="X99" s="1117">
        <v>128</v>
      </c>
      <c r="Y99" s="1117">
        <v>116</v>
      </c>
      <c r="Z99" s="1118">
        <v>60</v>
      </c>
      <c r="AA99" s="1118">
        <v>82</v>
      </c>
      <c r="AB99" s="1119">
        <v>103</v>
      </c>
      <c r="AC99" s="1119">
        <v>135</v>
      </c>
      <c r="AD99" s="1119">
        <v>82</v>
      </c>
      <c r="AE99" s="1119">
        <v>85</v>
      </c>
      <c r="AF99" s="1119">
        <v>119</v>
      </c>
      <c r="AG99" s="1119">
        <v>142</v>
      </c>
      <c r="AH99" s="1119">
        <v>135</v>
      </c>
      <c r="AI99" s="1119">
        <v>70</v>
      </c>
      <c r="AJ99" s="1119">
        <v>116</v>
      </c>
      <c r="AK99" s="781">
        <f t="shared" ref="AK99:AK156" si="15">SUM(F99:AJ99)</f>
        <v>3742</v>
      </c>
      <c r="AL99" s="1120">
        <v>43.742535793498057</v>
      </c>
      <c r="AM99" s="1112">
        <f t="shared" ref="AM99:AM160" si="16">AK99*AL99/100</f>
        <v>1636.8456893926973</v>
      </c>
      <c r="AN99" s="781">
        <v>4099</v>
      </c>
      <c r="AO99" s="1120">
        <v>3.3988912909982587</v>
      </c>
      <c r="AP99" s="1112">
        <f t="shared" ref="AP99:AP100" si="17">AN99*AO99/100</f>
        <v>139.32055401801864</v>
      </c>
      <c r="AQ99" s="1114">
        <f t="shared" ref="AQ99:AQ159" si="18">AM99+AP99</f>
        <v>1776.1662434107159</v>
      </c>
      <c r="AR99" s="1156" t="s">
        <v>36</v>
      </c>
      <c r="AS99" s="388"/>
      <c r="AT99" s="388"/>
    </row>
    <row r="100" spans="1:49" ht="54" customHeight="1">
      <c r="A100" s="604">
        <v>82</v>
      </c>
      <c r="B100" s="604">
        <v>2</v>
      </c>
      <c r="C100" s="604" t="str">
        <f>'Chấm công KT'!C96</f>
        <v>03466</v>
      </c>
      <c r="D100" s="608" t="str">
        <f>'Chấm công KT'!D96</f>
        <v>N. Keo</v>
      </c>
      <c r="E100" s="608"/>
      <c r="F100" s="1117">
        <v>376</v>
      </c>
      <c r="G100" s="1117">
        <v>0</v>
      </c>
      <c r="H100" s="1117">
        <v>43</v>
      </c>
      <c r="I100" s="1117">
        <v>242</v>
      </c>
      <c r="J100" s="1117">
        <v>173</v>
      </c>
      <c r="K100" s="1117">
        <v>71</v>
      </c>
      <c r="L100" s="1117">
        <v>198</v>
      </c>
      <c r="M100" s="1117">
        <v>103</v>
      </c>
      <c r="N100" s="1117">
        <v>88</v>
      </c>
      <c r="O100" s="1117">
        <v>0</v>
      </c>
      <c r="P100" s="1117">
        <v>377</v>
      </c>
      <c r="Q100" s="1117">
        <v>184</v>
      </c>
      <c r="R100" s="1117">
        <v>81</v>
      </c>
      <c r="S100" s="1117">
        <v>179</v>
      </c>
      <c r="T100" s="1117">
        <v>181</v>
      </c>
      <c r="U100" s="1117">
        <v>0</v>
      </c>
      <c r="V100" s="1117">
        <v>119</v>
      </c>
      <c r="W100" s="1117">
        <v>124</v>
      </c>
      <c r="X100" s="1117">
        <v>131</v>
      </c>
      <c r="Y100" s="1117">
        <v>0</v>
      </c>
      <c r="Z100" s="1118">
        <v>0</v>
      </c>
      <c r="AA100" s="1118">
        <v>0</v>
      </c>
      <c r="AB100" s="1119">
        <v>0</v>
      </c>
      <c r="AC100" s="1119">
        <v>72</v>
      </c>
      <c r="AD100" s="1119">
        <v>125</v>
      </c>
      <c r="AE100" s="1119">
        <v>281</v>
      </c>
      <c r="AF100" s="1119">
        <v>177</v>
      </c>
      <c r="AG100" s="1119">
        <v>55</v>
      </c>
      <c r="AH100" s="1119">
        <v>112</v>
      </c>
      <c r="AI100" s="1119">
        <v>0</v>
      </c>
      <c r="AJ100" s="1119">
        <v>88</v>
      </c>
      <c r="AK100" s="781">
        <f t="shared" si="15"/>
        <v>3580</v>
      </c>
      <c r="AL100" s="1120">
        <v>43.742535793498057</v>
      </c>
      <c r="AM100" s="1112">
        <f t="shared" si="16"/>
        <v>1565.9827814072303</v>
      </c>
      <c r="AN100" s="781">
        <v>4332</v>
      </c>
      <c r="AO100" s="1120">
        <v>3.3988912909982587</v>
      </c>
      <c r="AP100" s="1112">
        <f t="shared" si="17"/>
        <v>147.23997072604459</v>
      </c>
      <c r="AQ100" s="1114">
        <f t="shared" si="18"/>
        <v>1713.2227521332748</v>
      </c>
      <c r="AR100" s="1156" t="s">
        <v>36</v>
      </c>
      <c r="AS100" s="388"/>
      <c r="AT100" s="388"/>
      <c r="AV100" s="413"/>
      <c r="AW100" s="1179">
        <f>8081/AN98*100</f>
        <v>3.3988912909982587</v>
      </c>
    </row>
    <row r="101" spans="1:49" ht="54" customHeight="1">
      <c r="A101" s="604">
        <v>83</v>
      </c>
      <c r="B101" s="604">
        <v>3</v>
      </c>
      <c r="C101" s="604" t="str">
        <f>'Chấm công KT'!C97</f>
        <v>03590</v>
      </c>
      <c r="D101" s="608" t="str">
        <f>'Chấm công KT'!D97</f>
        <v>T .Nhum</v>
      </c>
      <c r="E101" s="608"/>
      <c r="F101" s="1117">
        <v>93</v>
      </c>
      <c r="G101" s="1117">
        <v>139</v>
      </c>
      <c r="H101" s="1117">
        <v>106</v>
      </c>
      <c r="I101" s="1117">
        <v>177</v>
      </c>
      <c r="J101" s="1117">
        <v>169</v>
      </c>
      <c r="K101" s="1117">
        <v>92</v>
      </c>
      <c r="L101" s="1117">
        <v>0</v>
      </c>
      <c r="M101" s="1117">
        <v>95</v>
      </c>
      <c r="N101" s="1117">
        <v>168</v>
      </c>
      <c r="O101" s="1117">
        <v>105</v>
      </c>
      <c r="P101" s="1117">
        <v>324</v>
      </c>
      <c r="Q101" s="1117">
        <v>236</v>
      </c>
      <c r="R101" s="1117">
        <v>86</v>
      </c>
      <c r="S101" s="1117">
        <v>78</v>
      </c>
      <c r="T101" s="1117">
        <v>101</v>
      </c>
      <c r="U101" s="1117">
        <v>206</v>
      </c>
      <c r="V101" s="1117">
        <v>70</v>
      </c>
      <c r="W101" s="1117">
        <v>173</v>
      </c>
      <c r="X101" s="1117">
        <v>224</v>
      </c>
      <c r="Y101" s="1117">
        <v>85</v>
      </c>
      <c r="Z101" s="1118">
        <v>94</v>
      </c>
      <c r="AA101" s="1118">
        <v>75</v>
      </c>
      <c r="AB101" s="1119">
        <v>0</v>
      </c>
      <c r="AC101" s="1119">
        <v>73</v>
      </c>
      <c r="AD101" s="1119">
        <v>92</v>
      </c>
      <c r="AE101" s="1119">
        <v>80</v>
      </c>
      <c r="AF101" s="1119">
        <v>188</v>
      </c>
      <c r="AG101" s="1119">
        <v>84</v>
      </c>
      <c r="AH101" s="1119">
        <v>68</v>
      </c>
      <c r="AI101" s="1119">
        <v>83</v>
      </c>
      <c r="AJ101" s="1119">
        <v>174</v>
      </c>
      <c r="AK101" s="781">
        <f t="shared" si="15"/>
        <v>3738</v>
      </c>
      <c r="AL101" s="1120">
        <v>43.742535793498057</v>
      </c>
      <c r="AM101" s="1112">
        <f t="shared" si="16"/>
        <v>1635.0959879609572</v>
      </c>
      <c r="AN101" s="781">
        <v>3851</v>
      </c>
      <c r="AO101" s="1120">
        <v>3.39889129099826</v>
      </c>
      <c r="AP101" s="1112">
        <f t="shared" ref="AP101:AP160" si="19">AN101*AO101/100</f>
        <v>130.89130361634298</v>
      </c>
      <c r="AQ101" s="1114">
        <f t="shared" si="18"/>
        <v>1765.9872915773003</v>
      </c>
      <c r="AR101" s="1156" t="s">
        <v>36</v>
      </c>
      <c r="AS101" s="388"/>
      <c r="AT101" s="388"/>
      <c r="AV101" s="413"/>
      <c r="AW101" s="413"/>
    </row>
    <row r="102" spans="1:49" ht="54" customHeight="1">
      <c r="A102" s="604">
        <v>84</v>
      </c>
      <c r="B102" s="604">
        <v>4</v>
      </c>
      <c r="C102" s="604" t="str">
        <f>'Chấm công KT'!C98</f>
        <v>03591</v>
      </c>
      <c r="D102" s="608" t="str">
        <f>'Chấm công KT'!D98</f>
        <v>N.Vông Ma Ni</v>
      </c>
      <c r="E102" s="608"/>
      <c r="F102" s="1117">
        <v>0</v>
      </c>
      <c r="G102" s="1117">
        <v>125</v>
      </c>
      <c r="H102" s="1117">
        <v>140</v>
      </c>
      <c r="I102" s="1117">
        <v>252</v>
      </c>
      <c r="J102" s="1117">
        <v>119</v>
      </c>
      <c r="K102" s="1117">
        <v>130</v>
      </c>
      <c r="L102" s="1117">
        <v>0</v>
      </c>
      <c r="M102" s="1117">
        <v>103</v>
      </c>
      <c r="N102" s="1117">
        <v>113</v>
      </c>
      <c r="O102" s="1117">
        <v>137</v>
      </c>
      <c r="P102" s="1117">
        <v>465</v>
      </c>
      <c r="Q102" s="1117">
        <v>223</v>
      </c>
      <c r="R102" s="1117">
        <v>0</v>
      </c>
      <c r="S102" s="1117">
        <v>124</v>
      </c>
      <c r="T102" s="1117">
        <v>113</v>
      </c>
      <c r="U102" s="1117">
        <v>143</v>
      </c>
      <c r="V102" s="1117">
        <v>199</v>
      </c>
      <c r="W102" s="1117">
        <v>167</v>
      </c>
      <c r="X102" s="1117">
        <v>127</v>
      </c>
      <c r="Y102" s="1117">
        <v>0</v>
      </c>
      <c r="Z102" s="1118">
        <v>96</v>
      </c>
      <c r="AA102" s="1118">
        <v>0</v>
      </c>
      <c r="AB102" s="1119">
        <v>0</v>
      </c>
      <c r="AC102" s="1119">
        <v>218</v>
      </c>
      <c r="AD102" s="1119">
        <v>61</v>
      </c>
      <c r="AE102" s="1119">
        <v>140</v>
      </c>
      <c r="AF102" s="1119">
        <v>191</v>
      </c>
      <c r="AG102" s="1119">
        <v>131</v>
      </c>
      <c r="AH102" s="1119">
        <v>105</v>
      </c>
      <c r="AI102" s="1119">
        <v>113</v>
      </c>
      <c r="AJ102" s="1119">
        <v>114</v>
      </c>
      <c r="AK102" s="781">
        <f t="shared" si="15"/>
        <v>3849</v>
      </c>
      <c r="AL102" s="1120">
        <v>43.742535793498057</v>
      </c>
      <c r="AM102" s="1112">
        <f t="shared" si="16"/>
        <v>1683.6502026917401</v>
      </c>
      <c r="AN102" s="781">
        <v>3696</v>
      </c>
      <c r="AO102" s="1120">
        <v>3.39889129099826</v>
      </c>
      <c r="AP102" s="1112">
        <f t="shared" si="19"/>
        <v>125.6230221152957</v>
      </c>
      <c r="AQ102" s="1114">
        <f t="shared" si="18"/>
        <v>1809.2732248070358</v>
      </c>
      <c r="AR102" s="1156" t="s">
        <v>36</v>
      </c>
      <c r="AS102" s="388"/>
      <c r="AT102" s="388"/>
      <c r="AV102" s="413"/>
      <c r="AW102" s="413"/>
    </row>
    <row r="103" spans="1:49" ht="54" customHeight="1">
      <c r="A103" s="604">
        <v>85</v>
      </c>
      <c r="B103" s="604">
        <v>5</v>
      </c>
      <c r="C103" s="604" t="str">
        <f>'Chấm công KT'!C99</f>
        <v>03592</v>
      </c>
      <c r="D103" s="608" t="str">
        <f>'Chấm công KT'!D99</f>
        <v>Đao Hương</v>
      </c>
      <c r="E103" s="608"/>
      <c r="F103" s="1117">
        <v>0</v>
      </c>
      <c r="G103" s="1117">
        <v>129</v>
      </c>
      <c r="H103" s="1117">
        <v>117</v>
      </c>
      <c r="I103" s="1117">
        <v>259</v>
      </c>
      <c r="J103" s="1117">
        <v>107</v>
      </c>
      <c r="K103" s="1117">
        <v>112</v>
      </c>
      <c r="L103" s="1117">
        <v>0</v>
      </c>
      <c r="M103" s="1117">
        <v>94</v>
      </c>
      <c r="N103" s="1117">
        <v>110</v>
      </c>
      <c r="O103" s="1117">
        <v>133</v>
      </c>
      <c r="P103" s="1117">
        <v>416</v>
      </c>
      <c r="Q103" s="1117">
        <v>179</v>
      </c>
      <c r="R103" s="1117">
        <v>0</v>
      </c>
      <c r="S103" s="1117">
        <v>100</v>
      </c>
      <c r="T103" s="1117">
        <v>128</v>
      </c>
      <c r="U103" s="1117">
        <v>161</v>
      </c>
      <c r="V103" s="1117">
        <v>159</v>
      </c>
      <c r="W103" s="1117">
        <v>198</v>
      </c>
      <c r="X103" s="1117">
        <v>147</v>
      </c>
      <c r="Y103" s="1117">
        <v>0</v>
      </c>
      <c r="Z103" s="1118">
        <v>90</v>
      </c>
      <c r="AA103" s="1118">
        <v>0</v>
      </c>
      <c r="AB103" s="1119">
        <v>0</v>
      </c>
      <c r="AC103" s="1119">
        <v>197</v>
      </c>
      <c r="AD103" s="1119">
        <v>81</v>
      </c>
      <c r="AE103" s="1119">
        <v>135</v>
      </c>
      <c r="AF103" s="1119">
        <v>170</v>
      </c>
      <c r="AG103" s="1119">
        <v>118</v>
      </c>
      <c r="AH103" s="1119">
        <v>87</v>
      </c>
      <c r="AI103" s="1119">
        <v>108</v>
      </c>
      <c r="AJ103" s="1119">
        <v>119</v>
      </c>
      <c r="AK103" s="781">
        <f t="shared" si="15"/>
        <v>3654</v>
      </c>
      <c r="AL103" s="1120">
        <v>43.742535793498057</v>
      </c>
      <c r="AM103" s="1112">
        <f t="shared" si="16"/>
        <v>1598.3522578944189</v>
      </c>
      <c r="AN103" s="781">
        <v>3659</v>
      </c>
      <c r="AO103" s="1120">
        <v>3.39889129099826</v>
      </c>
      <c r="AP103" s="1112">
        <f t="shared" si="19"/>
        <v>124.36543233762633</v>
      </c>
      <c r="AQ103" s="1114">
        <f t="shared" si="18"/>
        <v>1722.7176902320452</v>
      </c>
      <c r="AR103" s="1156" t="s">
        <v>36</v>
      </c>
      <c r="AS103" s="388"/>
      <c r="AT103" s="388"/>
      <c r="AV103" s="413"/>
      <c r="AW103" s="413"/>
    </row>
    <row r="104" spans="1:49" ht="54" customHeight="1">
      <c r="A104" s="604">
        <v>86</v>
      </c>
      <c r="B104" s="604">
        <v>6</v>
      </c>
      <c r="C104" s="604" t="str">
        <f>'Chấm công KT'!C100</f>
        <v>03593</v>
      </c>
      <c r="D104" s="608" t="str">
        <f>'Chấm công KT'!D100</f>
        <v>T. Xi Nun</v>
      </c>
      <c r="E104" s="608"/>
      <c r="F104" s="1117">
        <v>0</v>
      </c>
      <c r="G104" s="1117">
        <v>0</v>
      </c>
      <c r="H104" s="1117">
        <v>0</v>
      </c>
      <c r="I104" s="1117">
        <v>0</v>
      </c>
      <c r="J104" s="1117">
        <v>0</v>
      </c>
      <c r="K104" s="1117">
        <v>0</v>
      </c>
      <c r="L104" s="1117">
        <v>0</v>
      </c>
      <c r="M104" s="1117">
        <v>60</v>
      </c>
      <c r="N104" s="1117">
        <v>56</v>
      </c>
      <c r="O104" s="1117">
        <v>51</v>
      </c>
      <c r="P104" s="1117">
        <v>317</v>
      </c>
      <c r="Q104" s="1117">
        <v>238</v>
      </c>
      <c r="R104" s="1117">
        <v>182</v>
      </c>
      <c r="S104" s="1117">
        <v>224</v>
      </c>
      <c r="T104" s="1117">
        <v>258</v>
      </c>
      <c r="U104" s="1117">
        <v>169</v>
      </c>
      <c r="V104" s="1117">
        <v>109</v>
      </c>
      <c r="W104" s="1117">
        <v>368</v>
      </c>
      <c r="X104" s="1117">
        <v>167</v>
      </c>
      <c r="Y104" s="1117">
        <v>108</v>
      </c>
      <c r="Z104" s="1118">
        <v>137</v>
      </c>
      <c r="AA104" s="1118">
        <v>184</v>
      </c>
      <c r="AB104" s="1119">
        <v>160</v>
      </c>
      <c r="AC104" s="1119">
        <v>99</v>
      </c>
      <c r="AD104" s="1119">
        <v>90</v>
      </c>
      <c r="AE104" s="1119">
        <v>0</v>
      </c>
      <c r="AF104" s="1119">
        <v>103</v>
      </c>
      <c r="AG104" s="1119">
        <v>114</v>
      </c>
      <c r="AH104" s="1119">
        <v>139</v>
      </c>
      <c r="AI104" s="1119">
        <v>108</v>
      </c>
      <c r="AJ104" s="1119">
        <v>0</v>
      </c>
      <c r="AK104" s="781">
        <f t="shared" si="15"/>
        <v>3441</v>
      </c>
      <c r="AL104" s="1120">
        <v>43.742535793498057</v>
      </c>
      <c r="AM104" s="1112">
        <f t="shared" si="16"/>
        <v>1505.1806566542682</v>
      </c>
      <c r="AN104" s="781">
        <v>4836</v>
      </c>
      <c r="AO104" s="1120">
        <v>3.39889129099826</v>
      </c>
      <c r="AP104" s="1112">
        <f t="shared" si="19"/>
        <v>164.37038283267586</v>
      </c>
      <c r="AQ104" s="1114">
        <f t="shared" si="18"/>
        <v>1669.5510394869441</v>
      </c>
      <c r="AR104" s="1156" t="s">
        <v>43</v>
      </c>
      <c r="AS104" s="388"/>
      <c r="AT104" s="388"/>
    </row>
    <row r="105" spans="1:49" ht="54" customHeight="1">
      <c r="A105" s="604">
        <v>87</v>
      </c>
      <c r="B105" s="604">
        <v>7</v>
      </c>
      <c r="C105" s="604" t="str">
        <f>'Chấm công KT'!C101</f>
        <v>03594</v>
      </c>
      <c r="D105" s="608" t="str">
        <f>'Chấm công KT'!D101</f>
        <v>T. Bun Hinh</v>
      </c>
      <c r="E105" s="608"/>
      <c r="F105" s="1117">
        <v>0</v>
      </c>
      <c r="G105" s="1117">
        <v>0</v>
      </c>
      <c r="H105" s="1117">
        <v>0</v>
      </c>
      <c r="I105" s="1117">
        <v>173</v>
      </c>
      <c r="J105" s="1117">
        <v>179</v>
      </c>
      <c r="K105" s="1117">
        <v>0</v>
      </c>
      <c r="L105" s="1117">
        <v>59</v>
      </c>
      <c r="M105" s="1117">
        <v>104</v>
      </c>
      <c r="N105" s="1117">
        <v>181</v>
      </c>
      <c r="O105" s="1117">
        <v>70</v>
      </c>
      <c r="P105" s="1117">
        <v>210</v>
      </c>
      <c r="Q105" s="1117">
        <v>150</v>
      </c>
      <c r="R105" s="1117">
        <v>77</v>
      </c>
      <c r="S105" s="1117">
        <v>72</v>
      </c>
      <c r="T105" s="1117">
        <v>190</v>
      </c>
      <c r="U105" s="1117">
        <v>140</v>
      </c>
      <c r="V105" s="1117">
        <v>64</v>
      </c>
      <c r="W105" s="1117">
        <v>115</v>
      </c>
      <c r="X105" s="1117">
        <v>172</v>
      </c>
      <c r="Y105" s="1117">
        <v>0</v>
      </c>
      <c r="Z105" s="1118">
        <v>98</v>
      </c>
      <c r="AA105" s="1118">
        <v>124</v>
      </c>
      <c r="AB105" s="1119">
        <v>70</v>
      </c>
      <c r="AC105" s="1119">
        <v>70</v>
      </c>
      <c r="AD105" s="1119">
        <v>79</v>
      </c>
      <c r="AE105" s="1119">
        <v>0</v>
      </c>
      <c r="AF105" s="1119">
        <v>101</v>
      </c>
      <c r="AG105" s="1119">
        <v>85</v>
      </c>
      <c r="AH105" s="1119">
        <v>80</v>
      </c>
      <c r="AI105" s="1119">
        <v>100</v>
      </c>
      <c r="AJ105" s="1119">
        <v>126</v>
      </c>
      <c r="AK105" s="781">
        <f t="shared" si="15"/>
        <v>2889</v>
      </c>
      <c r="AL105" s="1120">
        <v>43.742535793498057</v>
      </c>
      <c r="AM105" s="1112">
        <f t="shared" si="16"/>
        <v>1263.7218590741588</v>
      </c>
      <c r="AN105" s="781">
        <v>3280</v>
      </c>
      <c r="AO105" s="1120">
        <v>3.39889129099826</v>
      </c>
      <c r="AP105" s="1112">
        <f t="shared" si="19"/>
        <v>111.48363434474294</v>
      </c>
      <c r="AQ105" s="1114">
        <f t="shared" si="18"/>
        <v>1375.2054934189018</v>
      </c>
      <c r="AR105" s="1156" t="s">
        <v>36</v>
      </c>
      <c r="AS105" s="388"/>
      <c r="AT105" s="388"/>
    </row>
    <row r="106" spans="1:49" ht="54" customHeight="1">
      <c r="A106" s="604">
        <v>88</v>
      </c>
      <c r="B106" s="604">
        <v>8</v>
      </c>
      <c r="C106" s="604" t="str">
        <f>'Chấm công KT'!C102</f>
        <v>04073</v>
      </c>
      <c r="D106" s="608" t="str">
        <f>'Chấm công KT'!D102</f>
        <v>T. Miềng</v>
      </c>
      <c r="E106" s="608"/>
      <c r="F106" s="1117">
        <v>97</v>
      </c>
      <c r="G106" s="1117">
        <v>181</v>
      </c>
      <c r="H106" s="1117">
        <v>69</v>
      </c>
      <c r="I106" s="1117">
        <v>227</v>
      </c>
      <c r="J106" s="1117">
        <v>158</v>
      </c>
      <c r="K106" s="1117">
        <v>75</v>
      </c>
      <c r="L106" s="1117">
        <v>51</v>
      </c>
      <c r="M106" s="1117">
        <v>136</v>
      </c>
      <c r="N106" s="1117">
        <v>172</v>
      </c>
      <c r="O106" s="1117">
        <v>0</v>
      </c>
      <c r="P106" s="1117">
        <v>0</v>
      </c>
      <c r="Q106" s="1117">
        <v>0</v>
      </c>
      <c r="R106" s="1117">
        <v>68</v>
      </c>
      <c r="S106" s="1117">
        <v>54</v>
      </c>
      <c r="T106" s="1117">
        <v>187</v>
      </c>
      <c r="U106" s="1117">
        <v>74</v>
      </c>
      <c r="V106" s="1117">
        <v>0</v>
      </c>
      <c r="W106" s="1117">
        <v>143</v>
      </c>
      <c r="X106" s="1117">
        <v>0</v>
      </c>
      <c r="Y106" s="1117">
        <v>61</v>
      </c>
      <c r="Z106" s="1118">
        <v>40</v>
      </c>
      <c r="AA106" s="1118">
        <v>111</v>
      </c>
      <c r="AB106" s="1119">
        <v>175</v>
      </c>
      <c r="AC106" s="1119">
        <v>0</v>
      </c>
      <c r="AD106" s="1119">
        <v>0</v>
      </c>
      <c r="AE106" s="1119">
        <v>0</v>
      </c>
      <c r="AF106" s="1119">
        <v>0</v>
      </c>
      <c r="AG106" s="1119">
        <v>65</v>
      </c>
      <c r="AH106" s="1119">
        <v>51</v>
      </c>
      <c r="AI106" s="1119">
        <v>159</v>
      </c>
      <c r="AJ106" s="1119">
        <v>40</v>
      </c>
      <c r="AK106" s="781">
        <f t="shared" si="15"/>
        <v>2394</v>
      </c>
      <c r="AL106" s="1120">
        <v>43.742535793498057</v>
      </c>
      <c r="AM106" s="1112">
        <f t="shared" si="16"/>
        <v>1047.1963068963435</v>
      </c>
      <c r="AN106" s="781">
        <v>3374</v>
      </c>
      <c r="AO106" s="1120">
        <v>3.39889129099826</v>
      </c>
      <c r="AP106" s="1112">
        <f t="shared" si="19"/>
        <v>114.6785921582813</v>
      </c>
      <c r="AQ106" s="1114">
        <f t="shared" si="18"/>
        <v>1161.8748990546248</v>
      </c>
      <c r="AR106" s="1156" t="s">
        <v>36</v>
      </c>
      <c r="AS106" s="388"/>
      <c r="AT106" s="388"/>
    </row>
    <row r="107" spans="1:49" ht="54" customHeight="1">
      <c r="A107" s="604">
        <v>89</v>
      </c>
      <c r="B107" s="604">
        <v>9</v>
      </c>
      <c r="C107" s="604" t="str">
        <f>'Chấm công KT'!C103</f>
        <v>03596</v>
      </c>
      <c r="D107" s="608" t="str">
        <f>'Chấm công KT'!D103</f>
        <v>N. Xúc</v>
      </c>
      <c r="E107" s="608"/>
      <c r="F107" s="1117">
        <v>0</v>
      </c>
      <c r="G107" s="1117">
        <v>157</v>
      </c>
      <c r="H107" s="1117">
        <v>84</v>
      </c>
      <c r="I107" s="1117">
        <v>243</v>
      </c>
      <c r="J107" s="1117">
        <v>95</v>
      </c>
      <c r="K107" s="1117">
        <v>85</v>
      </c>
      <c r="L107" s="1117">
        <v>122</v>
      </c>
      <c r="M107" s="1117">
        <v>108</v>
      </c>
      <c r="N107" s="1117">
        <v>101</v>
      </c>
      <c r="O107" s="1117">
        <v>82</v>
      </c>
      <c r="P107" s="1117">
        <v>321</v>
      </c>
      <c r="Q107" s="1117">
        <v>161</v>
      </c>
      <c r="R107" s="1117">
        <v>71</v>
      </c>
      <c r="S107" s="1117">
        <v>116</v>
      </c>
      <c r="T107" s="1117">
        <v>188</v>
      </c>
      <c r="U107" s="1117">
        <v>0</v>
      </c>
      <c r="V107" s="1117">
        <v>56</v>
      </c>
      <c r="W107" s="1117">
        <v>255</v>
      </c>
      <c r="X107" s="1117">
        <v>200</v>
      </c>
      <c r="Y107" s="1117">
        <v>0</v>
      </c>
      <c r="Z107" s="1118">
        <v>106</v>
      </c>
      <c r="AA107" s="1118">
        <v>107</v>
      </c>
      <c r="AB107" s="1119">
        <v>90</v>
      </c>
      <c r="AC107" s="1119">
        <v>135</v>
      </c>
      <c r="AD107" s="1119">
        <v>80</v>
      </c>
      <c r="AE107" s="1119">
        <v>158</v>
      </c>
      <c r="AF107" s="1119">
        <v>122</v>
      </c>
      <c r="AG107" s="1119">
        <v>0</v>
      </c>
      <c r="AH107" s="1119">
        <v>64</v>
      </c>
      <c r="AI107" s="1119">
        <v>94</v>
      </c>
      <c r="AJ107" s="1119">
        <v>80</v>
      </c>
      <c r="AK107" s="781">
        <f t="shared" si="15"/>
        <v>3481</v>
      </c>
      <c r="AL107" s="1120">
        <v>43.742535793498057</v>
      </c>
      <c r="AM107" s="1112">
        <f t="shared" si="16"/>
        <v>1522.6776709716673</v>
      </c>
      <c r="AN107" s="781">
        <v>3360</v>
      </c>
      <c r="AO107" s="1120">
        <v>3.39889129099826</v>
      </c>
      <c r="AP107" s="1112">
        <f t="shared" si="19"/>
        <v>114.20274737754154</v>
      </c>
      <c r="AQ107" s="1114">
        <f t="shared" si="18"/>
        <v>1636.8804183492089</v>
      </c>
      <c r="AR107" s="1156" t="s">
        <v>36</v>
      </c>
      <c r="AS107" s="388"/>
      <c r="AT107" s="388"/>
    </row>
    <row r="108" spans="1:49" ht="54" customHeight="1">
      <c r="A108" s="604">
        <v>90</v>
      </c>
      <c r="B108" s="604">
        <v>10</v>
      </c>
      <c r="C108" s="604" t="str">
        <f>'Chấm công KT'!C104</f>
        <v>03597</v>
      </c>
      <c r="D108" s="608" t="str">
        <f>'Chấm công KT'!D104</f>
        <v>N. Lẹ</v>
      </c>
      <c r="E108" s="608"/>
      <c r="F108" s="1117">
        <v>90</v>
      </c>
      <c r="G108" s="1117">
        <v>207</v>
      </c>
      <c r="H108" s="1117">
        <v>113</v>
      </c>
      <c r="I108" s="1117">
        <v>166</v>
      </c>
      <c r="J108" s="1117">
        <v>182</v>
      </c>
      <c r="K108" s="1117">
        <v>106</v>
      </c>
      <c r="L108" s="1117">
        <v>0</v>
      </c>
      <c r="M108" s="1117">
        <v>98</v>
      </c>
      <c r="N108" s="1117">
        <v>130</v>
      </c>
      <c r="O108" s="1117">
        <v>102</v>
      </c>
      <c r="P108" s="1117">
        <v>293</v>
      </c>
      <c r="Q108" s="1117">
        <v>286</v>
      </c>
      <c r="R108" s="1117">
        <v>93</v>
      </c>
      <c r="S108" s="1117">
        <v>86</v>
      </c>
      <c r="T108" s="1117">
        <v>127</v>
      </c>
      <c r="U108" s="1117">
        <v>207</v>
      </c>
      <c r="V108" s="1117">
        <v>61</v>
      </c>
      <c r="W108" s="1117">
        <v>175</v>
      </c>
      <c r="X108" s="1117">
        <v>208</v>
      </c>
      <c r="Y108" s="1117">
        <v>83</v>
      </c>
      <c r="Z108" s="1118">
        <v>91</v>
      </c>
      <c r="AA108" s="1118">
        <v>122</v>
      </c>
      <c r="AB108" s="1119">
        <v>0</v>
      </c>
      <c r="AC108" s="1119">
        <v>87</v>
      </c>
      <c r="AD108" s="1119">
        <v>85</v>
      </c>
      <c r="AE108" s="1119">
        <v>70</v>
      </c>
      <c r="AF108" s="1119">
        <v>157</v>
      </c>
      <c r="AG108" s="1119">
        <v>98</v>
      </c>
      <c r="AH108" s="1119">
        <v>91</v>
      </c>
      <c r="AI108" s="1119">
        <v>75</v>
      </c>
      <c r="AJ108" s="1119">
        <v>179</v>
      </c>
      <c r="AK108" s="781">
        <f t="shared" si="15"/>
        <v>3868</v>
      </c>
      <c r="AL108" s="1120">
        <v>43.742535793498057</v>
      </c>
      <c r="AM108" s="1112">
        <f t="shared" si="16"/>
        <v>1691.9612844925048</v>
      </c>
      <c r="AN108" s="781">
        <v>3684</v>
      </c>
      <c r="AO108" s="1120">
        <v>3.39889129099826</v>
      </c>
      <c r="AP108" s="1112">
        <f t="shared" si="19"/>
        <v>125.2151551603759</v>
      </c>
      <c r="AQ108" s="1114">
        <f t="shared" si="18"/>
        <v>1817.1764396528806</v>
      </c>
      <c r="AR108" s="1156" t="s">
        <v>36</v>
      </c>
      <c r="AS108" s="388"/>
      <c r="AT108" s="388"/>
    </row>
    <row r="109" spans="1:49" ht="54" customHeight="1">
      <c r="A109" s="604">
        <v>91</v>
      </c>
      <c r="B109" s="604">
        <v>11</v>
      </c>
      <c r="C109" s="604" t="str">
        <f>'Chấm công KT'!C105</f>
        <v>03598</v>
      </c>
      <c r="D109" s="608" t="str">
        <f>'Chấm công KT'!D105</f>
        <v>N . Thích</v>
      </c>
      <c r="E109" s="608"/>
      <c r="F109" s="1117">
        <v>0</v>
      </c>
      <c r="G109" s="1117">
        <v>156</v>
      </c>
      <c r="H109" s="1117">
        <v>50</v>
      </c>
      <c r="I109" s="1117">
        <v>195</v>
      </c>
      <c r="J109" s="1117">
        <v>179</v>
      </c>
      <c r="K109" s="1117">
        <v>99</v>
      </c>
      <c r="L109" s="1117">
        <v>112</v>
      </c>
      <c r="M109" s="1117">
        <v>0</v>
      </c>
      <c r="N109" s="1117">
        <v>102</v>
      </c>
      <c r="O109" s="1117">
        <v>94</v>
      </c>
      <c r="P109" s="1117">
        <v>349</v>
      </c>
      <c r="Q109" s="1117">
        <v>128</v>
      </c>
      <c r="R109" s="1117">
        <v>88</v>
      </c>
      <c r="S109" s="1117">
        <v>86</v>
      </c>
      <c r="T109" s="1117">
        <v>163</v>
      </c>
      <c r="U109" s="1117">
        <v>90</v>
      </c>
      <c r="V109" s="1117">
        <v>58</v>
      </c>
      <c r="W109" s="1117">
        <v>223</v>
      </c>
      <c r="X109" s="1117">
        <v>140</v>
      </c>
      <c r="Y109" s="1117">
        <v>80</v>
      </c>
      <c r="Z109" s="1118">
        <v>91</v>
      </c>
      <c r="AA109" s="1118">
        <v>146</v>
      </c>
      <c r="AB109" s="1119">
        <v>0</v>
      </c>
      <c r="AC109" s="1119">
        <v>85</v>
      </c>
      <c r="AD109" s="1119">
        <v>70</v>
      </c>
      <c r="AE109" s="1119">
        <v>149</v>
      </c>
      <c r="AF109" s="1119">
        <v>264</v>
      </c>
      <c r="AG109" s="1119">
        <v>84</v>
      </c>
      <c r="AH109" s="1119">
        <v>116</v>
      </c>
      <c r="AI109" s="1119">
        <v>217</v>
      </c>
      <c r="AJ109" s="1119">
        <v>141</v>
      </c>
      <c r="AK109" s="781">
        <f t="shared" si="15"/>
        <v>3755</v>
      </c>
      <c r="AL109" s="1120">
        <v>43.742535793498057</v>
      </c>
      <c r="AM109" s="1112">
        <f t="shared" si="16"/>
        <v>1642.5322190458519</v>
      </c>
      <c r="AN109" s="781">
        <v>3611</v>
      </c>
      <c r="AO109" s="1120">
        <v>3.39889129099826</v>
      </c>
      <c r="AP109" s="1112">
        <f t="shared" si="19"/>
        <v>122.73396451794717</v>
      </c>
      <c r="AQ109" s="1114">
        <f t="shared" si="18"/>
        <v>1765.2661835637991</v>
      </c>
      <c r="AR109" s="1156" t="s">
        <v>36</v>
      </c>
      <c r="AS109" s="388"/>
      <c r="AT109" s="388"/>
    </row>
    <row r="110" spans="1:49" ht="54" customHeight="1">
      <c r="A110" s="604">
        <v>92</v>
      </c>
      <c r="B110" s="604">
        <v>12</v>
      </c>
      <c r="C110" s="604" t="str">
        <f>'Chấm công KT'!C106</f>
        <v>03599</v>
      </c>
      <c r="D110" s="608" t="str">
        <f>'Chấm công KT'!D106</f>
        <v>N. Cong Mi</v>
      </c>
      <c r="E110" s="608"/>
      <c r="F110" s="1117">
        <v>0</v>
      </c>
      <c r="G110" s="1117">
        <v>0</v>
      </c>
      <c r="H110" s="1117">
        <v>0</v>
      </c>
      <c r="I110" s="1117">
        <v>233</v>
      </c>
      <c r="J110" s="1117">
        <v>117</v>
      </c>
      <c r="K110" s="1117">
        <v>0</v>
      </c>
      <c r="L110" s="1117">
        <v>45</v>
      </c>
      <c r="M110" s="1117">
        <v>91</v>
      </c>
      <c r="N110" s="1117">
        <v>111</v>
      </c>
      <c r="O110" s="1117">
        <v>61</v>
      </c>
      <c r="P110" s="1117">
        <v>210</v>
      </c>
      <c r="Q110" s="1117">
        <v>158</v>
      </c>
      <c r="R110" s="1117">
        <v>74</v>
      </c>
      <c r="S110" s="1117">
        <v>66</v>
      </c>
      <c r="T110" s="1117">
        <v>156</v>
      </c>
      <c r="U110" s="1117">
        <v>140</v>
      </c>
      <c r="V110" s="1117">
        <v>60</v>
      </c>
      <c r="W110" s="1117">
        <v>102</v>
      </c>
      <c r="X110" s="1117">
        <v>170</v>
      </c>
      <c r="Y110" s="1117">
        <v>0</v>
      </c>
      <c r="Z110" s="1118">
        <v>80</v>
      </c>
      <c r="AA110" s="1118">
        <v>125</v>
      </c>
      <c r="AB110" s="1119">
        <v>89</v>
      </c>
      <c r="AC110" s="1119">
        <v>80</v>
      </c>
      <c r="AD110" s="1119">
        <v>50</v>
      </c>
      <c r="AE110" s="1119">
        <v>0</v>
      </c>
      <c r="AF110" s="1119">
        <v>107</v>
      </c>
      <c r="AG110" s="1119">
        <v>56</v>
      </c>
      <c r="AH110" s="1119">
        <v>83</v>
      </c>
      <c r="AI110" s="1119">
        <v>100</v>
      </c>
      <c r="AJ110" s="1119">
        <v>140</v>
      </c>
      <c r="AK110" s="781">
        <f t="shared" si="15"/>
        <v>2704</v>
      </c>
      <c r="AL110" s="1120">
        <v>43.742535793498057</v>
      </c>
      <c r="AM110" s="1112">
        <f t="shared" si="16"/>
        <v>1182.7981678561875</v>
      </c>
      <c r="AN110" s="781">
        <v>3380</v>
      </c>
      <c r="AO110" s="1120">
        <v>3.39889129099826</v>
      </c>
      <c r="AP110" s="1112">
        <f t="shared" si="19"/>
        <v>114.88252563574119</v>
      </c>
      <c r="AQ110" s="1114">
        <f t="shared" si="18"/>
        <v>1297.6806934919287</v>
      </c>
      <c r="AR110" s="1156" t="s">
        <v>36</v>
      </c>
      <c r="AS110" s="388"/>
      <c r="AT110" s="388"/>
    </row>
    <row r="111" spans="1:49" ht="54" customHeight="1">
      <c r="A111" s="604">
        <v>93</v>
      </c>
      <c r="B111" s="604">
        <v>13</v>
      </c>
      <c r="C111" s="604" t="str">
        <f>'Chấm công KT'!C107</f>
        <v>04074</v>
      </c>
      <c r="D111" s="608" t="str">
        <f>'Chấm công KT'!D107</f>
        <v>T. Na</v>
      </c>
      <c r="E111" s="608"/>
      <c r="F111" s="1117">
        <v>86</v>
      </c>
      <c r="G111" s="1117">
        <v>152</v>
      </c>
      <c r="H111" s="1117">
        <v>69</v>
      </c>
      <c r="I111" s="1117">
        <v>0</v>
      </c>
      <c r="J111" s="1117">
        <v>0</v>
      </c>
      <c r="K111" s="1117">
        <v>0</v>
      </c>
      <c r="L111" s="1117">
        <v>40</v>
      </c>
      <c r="M111" s="1117">
        <v>56</v>
      </c>
      <c r="N111" s="1117">
        <v>73</v>
      </c>
      <c r="O111" s="1117">
        <v>0</v>
      </c>
      <c r="P111" s="1117">
        <v>0</v>
      </c>
      <c r="Q111" s="1117">
        <v>0</v>
      </c>
      <c r="R111" s="1117">
        <v>62</v>
      </c>
      <c r="S111" s="1117">
        <v>41</v>
      </c>
      <c r="T111" s="1117">
        <v>136</v>
      </c>
      <c r="U111" s="1117">
        <v>104</v>
      </c>
      <c r="V111" s="1117">
        <v>0</v>
      </c>
      <c r="W111" s="1117">
        <v>159</v>
      </c>
      <c r="X111" s="1117">
        <v>0</v>
      </c>
      <c r="Y111" s="1117">
        <v>72</v>
      </c>
      <c r="Z111" s="1118">
        <v>37</v>
      </c>
      <c r="AA111" s="1118">
        <v>107</v>
      </c>
      <c r="AB111" s="1119">
        <v>171</v>
      </c>
      <c r="AC111" s="1119">
        <v>0</v>
      </c>
      <c r="AD111" s="1119">
        <v>0</v>
      </c>
      <c r="AE111" s="1119">
        <v>0</v>
      </c>
      <c r="AF111" s="1119">
        <v>94</v>
      </c>
      <c r="AG111" s="1119">
        <v>61</v>
      </c>
      <c r="AH111" s="1119">
        <v>47</v>
      </c>
      <c r="AI111" s="1119">
        <v>156</v>
      </c>
      <c r="AJ111" s="1119">
        <v>40</v>
      </c>
      <c r="AK111" s="781">
        <f t="shared" si="15"/>
        <v>1763</v>
      </c>
      <c r="AL111" s="1120">
        <v>43.742535793498057</v>
      </c>
      <c r="AM111" s="1112">
        <f t="shared" si="16"/>
        <v>771.18090603937071</v>
      </c>
      <c r="AN111" s="781">
        <v>3343</v>
      </c>
      <c r="AO111" s="1120">
        <v>3.39889129099826</v>
      </c>
      <c r="AP111" s="1112">
        <f t="shared" si="19"/>
        <v>113.62493585807184</v>
      </c>
      <c r="AQ111" s="1114">
        <f t="shared" si="18"/>
        <v>884.80584189744252</v>
      </c>
      <c r="AR111" s="1156" t="s">
        <v>43</v>
      </c>
      <c r="AS111" s="388"/>
      <c r="AT111" s="388"/>
    </row>
    <row r="112" spans="1:49" ht="54" customHeight="1">
      <c r="A112" s="604">
        <v>94</v>
      </c>
      <c r="B112" s="604">
        <v>14</v>
      </c>
      <c r="C112" s="604" t="str">
        <f>'Chấm công KT'!C108</f>
        <v>03601</v>
      </c>
      <c r="D112" s="608" t="str">
        <f>'Chấm công KT'!D108</f>
        <v>T. Khăm Mặn</v>
      </c>
      <c r="E112" s="608"/>
      <c r="F112" s="1117">
        <v>169</v>
      </c>
      <c r="G112" s="1117">
        <v>218</v>
      </c>
      <c r="H112" s="1117">
        <v>60</v>
      </c>
      <c r="I112" s="1117">
        <v>218</v>
      </c>
      <c r="J112" s="1117">
        <v>214</v>
      </c>
      <c r="K112" s="1117">
        <v>119</v>
      </c>
      <c r="L112" s="1117">
        <v>175</v>
      </c>
      <c r="M112" s="1117">
        <v>103</v>
      </c>
      <c r="N112" s="1117">
        <v>212</v>
      </c>
      <c r="O112" s="1117">
        <v>0</v>
      </c>
      <c r="P112" s="1117">
        <v>321</v>
      </c>
      <c r="Q112" s="1117">
        <v>337</v>
      </c>
      <c r="R112" s="1117">
        <v>183</v>
      </c>
      <c r="S112" s="1117">
        <v>141</v>
      </c>
      <c r="T112" s="1117">
        <v>184</v>
      </c>
      <c r="U112" s="1117">
        <v>195</v>
      </c>
      <c r="V112" s="1117">
        <v>97</v>
      </c>
      <c r="W112" s="1117">
        <v>277</v>
      </c>
      <c r="X112" s="1117">
        <v>279</v>
      </c>
      <c r="Y112" s="1117">
        <v>123</v>
      </c>
      <c r="Z112" s="1118">
        <v>139</v>
      </c>
      <c r="AA112" s="1118">
        <v>130</v>
      </c>
      <c r="AB112" s="1119">
        <v>199</v>
      </c>
      <c r="AC112" s="1119">
        <v>78</v>
      </c>
      <c r="AD112" s="1119">
        <v>126</v>
      </c>
      <c r="AE112" s="1119">
        <v>164</v>
      </c>
      <c r="AF112" s="1119">
        <v>209</v>
      </c>
      <c r="AG112" s="1119">
        <v>134</v>
      </c>
      <c r="AH112" s="1119">
        <v>160</v>
      </c>
      <c r="AI112" s="1119">
        <v>152</v>
      </c>
      <c r="AJ112" s="1119">
        <v>206</v>
      </c>
      <c r="AK112" s="781">
        <f t="shared" si="15"/>
        <v>5322</v>
      </c>
      <c r="AL112" s="1120">
        <v>43.742535793498057</v>
      </c>
      <c r="AM112" s="1112">
        <f t="shared" si="16"/>
        <v>2327.9777549299665</v>
      </c>
      <c r="AN112" s="781">
        <v>5122</v>
      </c>
      <c r="AO112" s="1120">
        <v>3.39889129099826</v>
      </c>
      <c r="AP112" s="1112">
        <f t="shared" si="19"/>
        <v>174.09121192493086</v>
      </c>
      <c r="AQ112" s="1114">
        <f t="shared" si="18"/>
        <v>2502.0689668548976</v>
      </c>
      <c r="AR112" s="1156" t="s">
        <v>36</v>
      </c>
      <c r="AS112" s="388"/>
      <c r="AT112" s="388"/>
    </row>
    <row r="113" spans="1:46" ht="54" customHeight="1">
      <c r="A113" s="604">
        <v>95</v>
      </c>
      <c r="B113" s="604">
        <v>15</v>
      </c>
      <c r="C113" s="604" t="str">
        <f>'Chấm công KT'!C109</f>
        <v>03602</v>
      </c>
      <c r="D113" s="608" t="str">
        <f>'Chấm công KT'!D109</f>
        <v>T . In Tong</v>
      </c>
      <c r="E113" s="608"/>
      <c r="F113" s="1117">
        <v>0</v>
      </c>
      <c r="G113" s="1117">
        <v>171</v>
      </c>
      <c r="H113" s="1117">
        <v>64</v>
      </c>
      <c r="I113" s="1117">
        <v>238</v>
      </c>
      <c r="J113" s="1117">
        <v>122</v>
      </c>
      <c r="K113" s="1117">
        <v>102</v>
      </c>
      <c r="L113" s="1117">
        <v>121</v>
      </c>
      <c r="M113" s="1117">
        <v>0</v>
      </c>
      <c r="N113" s="1117">
        <v>100</v>
      </c>
      <c r="O113" s="1117">
        <v>103</v>
      </c>
      <c r="P113" s="1117">
        <v>357</v>
      </c>
      <c r="Q113" s="1117">
        <v>133</v>
      </c>
      <c r="R113" s="1117">
        <v>121</v>
      </c>
      <c r="S113" s="1117">
        <v>84</v>
      </c>
      <c r="T113" s="1117">
        <v>165</v>
      </c>
      <c r="U113" s="1117">
        <v>108</v>
      </c>
      <c r="V113" s="1117">
        <v>66</v>
      </c>
      <c r="W113" s="1117">
        <v>275</v>
      </c>
      <c r="X113" s="1117">
        <v>217</v>
      </c>
      <c r="Y113" s="1117">
        <v>98</v>
      </c>
      <c r="Z113" s="1118">
        <v>100</v>
      </c>
      <c r="AA113" s="1118">
        <v>156</v>
      </c>
      <c r="AB113" s="1119">
        <v>0</v>
      </c>
      <c r="AC113" s="1119">
        <v>81</v>
      </c>
      <c r="AD113" s="1119">
        <v>104</v>
      </c>
      <c r="AE113" s="1119">
        <v>171</v>
      </c>
      <c r="AF113" s="1119">
        <v>214</v>
      </c>
      <c r="AG113" s="1119">
        <v>106</v>
      </c>
      <c r="AH113" s="1119">
        <v>117</v>
      </c>
      <c r="AI113" s="1119">
        <v>244</v>
      </c>
      <c r="AJ113" s="1119">
        <v>168</v>
      </c>
      <c r="AK113" s="781">
        <f t="shared" si="15"/>
        <v>4106</v>
      </c>
      <c r="AL113" s="1120">
        <v>43.742535793498057</v>
      </c>
      <c r="AM113" s="1112">
        <f t="shared" si="16"/>
        <v>1796.0685196810302</v>
      </c>
      <c r="AN113" s="781">
        <v>3751</v>
      </c>
      <c r="AO113" s="1120">
        <v>3.39889129099826</v>
      </c>
      <c r="AP113" s="1112">
        <f t="shared" si="19"/>
        <v>127.49241232534474</v>
      </c>
      <c r="AQ113" s="1114">
        <f t="shared" si="18"/>
        <v>1923.560932006375</v>
      </c>
      <c r="AR113" s="1156" t="s">
        <v>36</v>
      </c>
      <c r="AS113" s="388"/>
      <c r="AT113" s="388"/>
    </row>
    <row r="114" spans="1:46" ht="54" customHeight="1">
      <c r="A114" s="604">
        <v>96</v>
      </c>
      <c r="B114" s="604">
        <v>16</v>
      </c>
      <c r="C114" s="604" t="str">
        <f>'Chấm công KT'!C110</f>
        <v>03496</v>
      </c>
      <c r="D114" s="608" t="str">
        <f>'Chấm công KT'!D110</f>
        <v>T. Lốp</v>
      </c>
      <c r="E114" s="608"/>
      <c r="F114" s="1117">
        <v>0</v>
      </c>
      <c r="G114" s="1117">
        <v>162</v>
      </c>
      <c r="H114" s="1117">
        <v>44</v>
      </c>
      <c r="I114" s="1117">
        <v>193</v>
      </c>
      <c r="J114" s="1117">
        <v>130</v>
      </c>
      <c r="K114" s="1117">
        <v>64</v>
      </c>
      <c r="L114" s="1117">
        <v>134</v>
      </c>
      <c r="M114" s="1117">
        <v>192</v>
      </c>
      <c r="N114" s="1117">
        <v>115</v>
      </c>
      <c r="O114" s="1117">
        <v>74</v>
      </c>
      <c r="P114" s="1117">
        <v>284</v>
      </c>
      <c r="Q114" s="1117">
        <v>161</v>
      </c>
      <c r="R114" s="1117">
        <v>64</v>
      </c>
      <c r="S114" s="1117">
        <v>73</v>
      </c>
      <c r="T114" s="1117">
        <v>137</v>
      </c>
      <c r="U114" s="1117">
        <v>125</v>
      </c>
      <c r="V114" s="1117">
        <v>34</v>
      </c>
      <c r="W114" s="1117">
        <v>225</v>
      </c>
      <c r="X114" s="1117">
        <v>158</v>
      </c>
      <c r="Y114" s="1117">
        <v>51</v>
      </c>
      <c r="Z114" s="1118">
        <v>70</v>
      </c>
      <c r="AA114" s="1118">
        <v>153</v>
      </c>
      <c r="AB114" s="1119">
        <v>178</v>
      </c>
      <c r="AC114" s="1119">
        <v>50</v>
      </c>
      <c r="AD114" s="1119">
        <v>89</v>
      </c>
      <c r="AE114" s="1119">
        <v>119</v>
      </c>
      <c r="AF114" s="1119">
        <v>167</v>
      </c>
      <c r="AG114" s="1119">
        <v>69</v>
      </c>
      <c r="AH114" s="1119">
        <v>108</v>
      </c>
      <c r="AI114" s="1119">
        <v>117</v>
      </c>
      <c r="AJ114" s="1119">
        <v>53</v>
      </c>
      <c r="AK114" s="781">
        <f t="shared" si="15"/>
        <v>3593</v>
      </c>
      <c r="AL114" s="1120">
        <v>43.742535793498057</v>
      </c>
      <c r="AM114" s="1112">
        <f t="shared" si="16"/>
        <v>1571.6693110603851</v>
      </c>
      <c r="AN114" s="781">
        <v>1936</v>
      </c>
      <c r="AO114" s="1120">
        <v>3.39889129099826</v>
      </c>
      <c r="AP114" s="1112">
        <f t="shared" si="19"/>
        <v>65.802535393726316</v>
      </c>
      <c r="AQ114" s="1114">
        <f t="shared" si="18"/>
        <v>1637.4718464541115</v>
      </c>
      <c r="AR114" s="1156" t="s">
        <v>36</v>
      </c>
      <c r="AS114" s="388"/>
      <c r="AT114" s="388"/>
    </row>
    <row r="115" spans="1:46" ht="54" customHeight="1">
      <c r="A115" s="604">
        <v>97</v>
      </c>
      <c r="B115" s="604">
        <v>17</v>
      </c>
      <c r="C115" s="604" t="str">
        <f>'Chấm công KT'!C111</f>
        <v>03604</v>
      </c>
      <c r="D115" s="608" t="str">
        <f>'Chấm công KT'!D111</f>
        <v>T. Lăm Phêng</v>
      </c>
      <c r="E115" s="608"/>
      <c r="F115" s="1117">
        <v>104</v>
      </c>
      <c r="G115" s="1117">
        <v>204</v>
      </c>
      <c r="H115" s="1117">
        <v>50</v>
      </c>
      <c r="I115" s="1117">
        <v>491</v>
      </c>
      <c r="J115" s="1117">
        <v>176</v>
      </c>
      <c r="K115" s="1117">
        <v>117</v>
      </c>
      <c r="L115" s="1117">
        <v>146</v>
      </c>
      <c r="M115" s="1117">
        <v>250</v>
      </c>
      <c r="N115" s="1117">
        <v>135</v>
      </c>
      <c r="O115" s="1117">
        <v>127</v>
      </c>
      <c r="P115" s="1117">
        <v>561</v>
      </c>
      <c r="Q115" s="1117">
        <v>137</v>
      </c>
      <c r="R115" s="1117">
        <v>0</v>
      </c>
      <c r="S115" s="1117">
        <v>116</v>
      </c>
      <c r="T115" s="1117">
        <v>338</v>
      </c>
      <c r="U115" s="1117">
        <v>165</v>
      </c>
      <c r="V115" s="1117">
        <v>102</v>
      </c>
      <c r="W115" s="1117">
        <v>416</v>
      </c>
      <c r="X115" s="1117">
        <v>223</v>
      </c>
      <c r="Y115" s="1117">
        <v>102</v>
      </c>
      <c r="Z115" s="1118">
        <v>93</v>
      </c>
      <c r="AA115" s="1118">
        <v>224</v>
      </c>
      <c r="AB115" s="1119">
        <v>202</v>
      </c>
      <c r="AC115" s="1119">
        <v>87</v>
      </c>
      <c r="AD115" s="1119">
        <v>117</v>
      </c>
      <c r="AE115" s="1119">
        <v>424</v>
      </c>
      <c r="AF115" s="1119">
        <v>276</v>
      </c>
      <c r="AG115" s="1119">
        <v>124</v>
      </c>
      <c r="AH115" s="1119">
        <v>171</v>
      </c>
      <c r="AI115" s="1119">
        <v>329</v>
      </c>
      <c r="AJ115" s="1119">
        <v>223</v>
      </c>
      <c r="AK115" s="781">
        <f t="shared" si="15"/>
        <v>6230</v>
      </c>
      <c r="AL115" s="1120">
        <v>43.742535793498057</v>
      </c>
      <c r="AM115" s="1112">
        <f t="shared" si="16"/>
        <v>2725.1599799349287</v>
      </c>
      <c r="AN115" s="781">
        <v>5990</v>
      </c>
      <c r="AO115" s="1120">
        <v>3.39889129099826</v>
      </c>
      <c r="AP115" s="1112">
        <f t="shared" si="19"/>
        <v>203.5935883307958</v>
      </c>
      <c r="AQ115" s="1114">
        <f t="shared" si="18"/>
        <v>2928.7535682657244</v>
      </c>
      <c r="AR115" s="1156" t="s">
        <v>36</v>
      </c>
      <c r="AS115" s="388"/>
      <c r="AT115" s="388"/>
    </row>
    <row r="116" spans="1:46" ht="54" customHeight="1">
      <c r="A116" s="604">
        <v>98</v>
      </c>
      <c r="B116" s="604">
        <v>18</v>
      </c>
      <c r="C116" s="604" t="str">
        <f>'Chấm công KT'!C112</f>
        <v>04075</v>
      </c>
      <c r="D116" s="608" t="str">
        <f>'Chấm công KT'!D112</f>
        <v>T Xèng</v>
      </c>
      <c r="E116" s="608"/>
      <c r="F116" s="1117">
        <v>0</v>
      </c>
      <c r="G116" s="1117">
        <v>142</v>
      </c>
      <c r="H116" s="1117">
        <v>40</v>
      </c>
      <c r="I116" s="1117">
        <v>169</v>
      </c>
      <c r="J116" s="1117">
        <v>138</v>
      </c>
      <c r="K116" s="1117">
        <v>77</v>
      </c>
      <c r="L116" s="1117">
        <v>185</v>
      </c>
      <c r="M116" s="1117">
        <v>100</v>
      </c>
      <c r="N116" s="1117">
        <v>0</v>
      </c>
      <c r="O116" s="1117">
        <v>79</v>
      </c>
      <c r="P116" s="1117">
        <v>339</v>
      </c>
      <c r="Q116" s="1117">
        <v>300</v>
      </c>
      <c r="R116" s="1117">
        <v>55</v>
      </c>
      <c r="S116" s="1117">
        <v>137</v>
      </c>
      <c r="T116" s="1117">
        <v>166</v>
      </c>
      <c r="U116" s="1117">
        <v>186</v>
      </c>
      <c r="V116" s="1117">
        <v>53</v>
      </c>
      <c r="W116" s="1117">
        <v>261</v>
      </c>
      <c r="X116" s="1117">
        <v>244</v>
      </c>
      <c r="Y116" s="1117">
        <v>71</v>
      </c>
      <c r="Z116" s="1118">
        <v>125</v>
      </c>
      <c r="AA116" s="1118">
        <v>130</v>
      </c>
      <c r="AB116" s="1119">
        <v>222</v>
      </c>
      <c r="AC116" s="1119">
        <v>56</v>
      </c>
      <c r="AD116" s="1119">
        <v>108</v>
      </c>
      <c r="AE116" s="1119">
        <v>142</v>
      </c>
      <c r="AF116" s="1119">
        <v>214</v>
      </c>
      <c r="AG116" s="1119">
        <v>78</v>
      </c>
      <c r="AH116" s="1119">
        <v>192</v>
      </c>
      <c r="AI116" s="1119">
        <v>152</v>
      </c>
      <c r="AJ116" s="1119">
        <v>209</v>
      </c>
      <c r="AK116" s="781">
        <f t="shared" si="15"/>
        <v>4370</v>
      </c>
      <c r="AL116" s="1120">
        <v>43.742535793498057</v>
      </c>
      <c r="AM116" s="1112">
        <f t="shared" si="16"/>
        <v>1911.5488141758649</v>
      </c>
      <c r="AN116" s="781">
        <v>4489</v>
      </c>
      <c r="AO116" s="1120">
        <v>3.39889129099826</v>
      </c>
      <c r="AP116" s="1112">
        <f t="shared" si="19"/>
        <v>152.57623005291188</v>
      </c>
      <c r="AQ116" s="1114">
        <f t="shared" si="18"/>
        <v>2064.1250442287769</v>
      </c>
      <c r="AR116" s="1156" t="s">
        <v>36</v>
      </c>
      <c r="AS116" s="388"/>
      <c r="AT116" s="388"/>
    </row>
    <row r="117" spans="1:46" ht="54" customHeight="1">
      <c r="A117" s="604">
        <v>99</v>
      </c>
      <c r="B117" s="604">
        <v>19</v>
      </c>
      <c r="C117" s="604" t="str">
        <f>'Chấm công KT'!C113</f>
        <v>03509</v>
      </c>
      <c r="D117" s="608" t="str">
        <f>'Chấm công KT'!D113</f>
        <v>T. May</v>
      </c>
      <c r="E117" s="608"/>
      <c r="F117" s="1117">
        <v>0</v>
      </c>
      <c r="G117" s="1117">
        <v>96</v>
      </c>
      <c r="H117" s="1117">
        <v>128</v>
      </c>
      <c r="I117" s="1117">
        <v>271</v>
      </c>
      <c r="J117" s="1117">
        <v>189</v>
      </c>
      <c r="K117" s="1117">
        <v>93</v>
      </c>
      <c r="L117" s="1117">
        <v>146</v>
      </c>
      <c r="M117" s="1117">
        <v>160</v>
      </c>
      <c r="N117" s="1117">
        <v>187</v>
      </c>
      <c r="O117" s="1117">
        <v>102</v>
      </c>
      <c r="P117" s="1117">
        <v>286</v>
      </c>
      <c r="Q117" s="1117">
        <v>290</v>
      </c>
      <c r="R117" s="1117">
        <v>0</v>
      </c>
      <c r="S117" s="1117">
        <v>120</v>
      </c>
      <c r="T117" s="1117">
        <v>179</v>
      </c>
      <c r="U117" s="1117">
        <v>213</v>
      </c>
      <c r="V117" s="1117">
        <v>91</v>
      </c>
      <c r="W117" s="1117">
        <v>129</v>
      </c>
      <c r="X117" s="1117">
        <v>0</v>
      </c>
      <c r="Y117" s="1117">
        <v>80</v>
      </c>
      <c r="Z117" s="1118">
        <v>105</v>
      </c>
      <c r="AA117" s="1118">
        <v>213</v>
      </c>
      <c r="AB117" s="1119">
        <v>257</v>
      </c>
      <c r="AC117" s="1119">
        <v>77</v>
      </c>
      <c r="AD117" s="1119">
        <v>124</v>
      </c>
      <c r="AE117" s="1119">
        <v>169</v>
      </c>
      <c r="AF117" s="1119">
        <v>0</v>
      </c>
      <c r="AG117" s="1119">
        <v>0</v>
      </c>
      <c r="AH117" s="1119">
        <v>36</v>
      </c>
      <c r="AI117" s="1119">
        <v>30</v>
      </c>
      <c r="AJ117" s="1119">
        <v>209</v>
      </c>
      <c r="AK117" s="781">
        <f t="shared" si="15"/>
        <v>3980</v>
      </c>
      <c r="AL117" s="1120">
        <v>43.742535793498057</v>
      </c>
      <c r="AM117" s="1112">
        <f t="shared" si="16"/>
        <v>1740.9529245812228</v>
      </c>
      <c r="AN117" s="781">
        <v>4071</v>
      </c>
      <c r="AO117" s="1120">
        <v>3.39889129099826</v>
      </c>
      <c r="AP117" s="1112">
        <f t="shared" si="19"/>
        <v>138.36886445653917</v>
      </c>
      <c r="AQ117" s="1114">
        <f t="shared" si="18"/>
        <v>1879.3217890377618</v>
      </c>
      <c r="AR117" s="1156" t="s">
        <v>36</v>
      </c>
      <c r="AS117" s="388"/>
      <c r="AT117" s="388"/>
    </row>
    <row r="118" spans="1:46" ht="54" customHeight="1">
      <c r="A118" s="604">
        <v>100</v>
      </c>
      <c r="B118" s="604">
        <v>20</v>
      </c>
      <c r="C118" s="604" t="str">
        <f>'Chấm công KT'!C114</f>
        <v>03607</v>
      </c>
      <c r="D118" s="608" t="str">
        <f>'Chấm công KT'!D114</f>
        <v>T. Huôn</v>
      </c>
      <c r="E118" s="608"/>
      <c r="F118" s="1117">
        <v>0</v>
      </c>
      <c r="G118" s="1117">
        <v>84</v>
      </c>
      <c r="H118" s="1117">
        <v>0</v>
      </c>
      <c r="I118" s="1117">
        <v>222</v>
      </c>
      <c r="J118" s="1117">
        <v>0</v>
      </c>
      <c r="K118" s="1117">
        <v>94</v>
      </c>
      <c r="L118" s="1117">
        <v>113</v>
      </c>
      <c r="M118" s="1117">
        <v>137</v>
      </c>
      <c r="N118" s="1117">
        <v>111</v>
      </c>
      <c r="O118" s="1117">
        <v>0</v>
      </c>
      <c r="P118" s="1117">
        <v>217</v>
      </c>
      <c r="Q118" s="1117">
        <v>114</v>
      </c>
      <c r="R118" s="1117">
        <v>80</v>
      </c>
      <c r="S118" s="1117">
        <v>81</v>
      </c>
      <c r="T118" s="1117">
        <v>213</v>
      </c>
      <c r="U118" s="1117">
        <v>120</v>
      </c>
      <c r="V118" s="1117">
        <v>57</v>
      </c>
      <c r="W118" s="1117">
        <v>0</v>
      </c>
      <c r="X118" s="1117">
        <v>0</v>
      </c>
      <c r="Y118" s="1117">
        <v>76</v>
      </c>
      <c r="Z118" s="1118">
        <v>61</v>
      </c>
      <c r="AA118" s="1118">
        <v>189</v>
      </c>
      <c r="AB118" s="1119">
        <v>176</v>
      </c>
      <c r="AC118" s="1119">
        <v>83</v>
      </c>
      <c r="AD118" s="1119">
        <v>116</v>
      </c>
      <c r="AE118" s="1119">
        <v>183</v>
      </c>
      <c r="AF118" s="1119">
        <v>101</v>
      </c>
      <c r="AG118" s="1119">
        <v>0</v>
      </c>
      <c r="AH118" s="1119">
        <v>60</v>
      </c>
      <c r="AI118" s="1119">
        <v>61</v>
      </c>
      <c r="AJ118" s="1119">
        <v>40</v>
      </c>
      <c r="AK118" s="781">
        <f t="shared" si="15"/>
        <v>2789</v>
      </c>
      <c r="AL118" s="1120">
        <v>43.742535793498057</v>
      </c>
      <c r="AM118" s="1112">
        <f t="shared" si="16"/>
        <v>1219.9793232806608</v>
      </c>
      <c r="AN118" s="781">
        <v>3307</v>
      </c>
      <c r="AO118" s="1120">
        <v>3.39889129099826</v>
      </c>
      <c r="AP118" s="1112">
        <f t="shared" si="19"/>
        <v>112.40133499331246</v>
      </c>
      <c r="AQ118" s="1114">
        <f t="shared" si="18"/>
        <v>1332.3806582739733</v>
      </c>
      <c r="AR118" s="1156" t="s">
        <v>36</v>
      </c>
      <c r="AS118" s="388"/>
      <c r="AT118" s="388"/>
    </row>
    <row r="119" spans="1:46" ht="54" customHeight="1">
      <c r="A119" s="604">
        <v>101</v>
      </c>
      <c r="B119" s="604">
        <v>21</v>
      </c>
      <c r="C119" s="604" t="str">
        <f>'Chấm công KT'!C115</f>
        <v>02729</v>
      </c>
      <c r="D119" s="608" t="str">
        <f>'Chấm công KT'!D115</f>
        <v>N. Lay</v>
      </c>
      <c r="E119" s="608"/>
      <c r="F119" s="1117">
        <v>0</v>
      </c>
      <c r="G119" s="1117">
        <v>91</v>
      </c>
      <c r="H119" s="1117">
        <v>94</v>
      </c>
      <c r="I119" s="1117">
        <v>229</v>
      </c>
      <c r="J119" s="1117">
        <v>0</v>
      </c>
      <c r="K119" s="1117">
        <v>96</v>
      </c>
      <c r="L119" s="1117">
        <v>130</v>
      </c>
      <c r="M119" s="1117">
        <v>142</v>
      </c>
      <c r="N119" s="1117">
        <v>0</v>
      </c>
      <c r="O119" s="1117">
        <v>128</v>
      </c>
      <c r="P119" s="1117">
        <v>261</v>
      </c>
      <c r="Q119" s="1117">
        <v>113</v>
      </c>
      <c r="R119" s="1117">
        <v>82</v>
      </c>
      <c r="S119" s="1117">
        <v>101</v>
      </c>
      <c r="T119" s="1117">
        <v>181</v>
      </c>
      <c r="U119" s="1117">
        <v>95</v>
      </c>
      <c r="V119" s="1117">
        <v>55</v>
      </c>
      <c r="W119" s="1117">
        <v>0</v>
      </c>
      <c r="X119" s="1117">
        <v>0</v>
      </c>
      <c r="Y119" s="1117">
        <v>80</v>
      </c>
      <c r="Z119" s="1118">
        <v>99</v>
      </c>
      <c r="AA119" s="1118">
        <v>172</v>
      </c>
      <c r="AB119" s="1119">
        <v>158</v>
      </c>
      <c r="AC119" s="1119">
        <v>64</v>
      </c>
      <c r="AD119" s="1119">
        <v>61</v>
      </c>
      <c r="AE119" s="1119">
        <v>124</v>
      </c>
      <c r="AF119" s="1119">
        <v>99</v>
      </c>
      <c r="AG119" s="1119">
        <v>0</v>
      </c>
      <c r="AH119" s="1119">
        <v>40</v>
      </c>
      <c r="AI119" s="1119">
        <v>40</v>
      </c>
      <c r="AJ119" s="1119">
        <v>40</v>
      </c>
      <c r="AK119" s="781">
        <f t="shared" si="15"/>
        <v>2775</v>
      </c>
      <c r="AL119" s="1120">
        <v>43.742535793498057</v>
      </c>
      <c r="AM119" s="1112">
        <f t="shared" si="16"/>
        <v>1213.855368269571</v>
      </c>
      <c r="AN119" s="781">
        <v>3221</v>
      </c>
      <c r="AO119" s="1120">
        <v>3.39889129099826</v>
      </c>
      <c r="AP119" s="1112">
        <f t="shared" si="19"/>
        <v>109.47828848305394</v>
      </c>
      <c r="AQ119" s="1114">
        <f t="shared" si="18"/>
        <v>1323.3336567526251</v>
      </c>
      <c r="AR119" s="1156" t="s">
        <v>36</v>
      </c>
      <c r="AS119" s="388"/>
      <c r="AT119" s="388"/>
    </row>
    <row r="120" spans="1:46" ht="54" customHeight="1">
      <c r="A120" s="604">
        <v>102</v>
      </c>
      <c r="B120" s="604">
        <v>22</v>
      </c>
      <c r="C120" s="604" t="str">
        <f>'Chấm công KT'!C116</f>
        <v>03608</v>
      </c>
      <c r="D120" s="608" t="str">
        <f>'Chấm công KT'!D116</f>
        <v>N. Pon</v>
      </c>
      <c r="E120" s="608"/>
      <c r="F120" s="1117">
        <v>79</v>
      </c>
      <c r="G120" s="1117">
        <v>159</v>
      </c>
      <c r="H120" s="1117">
        <v>47</v>
      </c>
      <c r="I120" s="1117">
        <v>0</v>
      </c>
      <c r="J120" s="1117">
        <v>181</v>
      </c>
      <c r="K120" s="1117">
        <v>59</v>
      </c>
      <c r="L120" s="1117">
        <v>104</v>
      </c>
      <c r="M120" s="1117">
        <v>157</v>
      </c>
      <c r="N120" s="1117">
        <v>204</v>
      </c>
      <c r="O120" s="1117">
        <v>0</v>
      </c>
      <c r="P120" s="1117">
        <v>80</v>
      </c>
      <c r="Q120" s="1117">
        <v>0</v>
      </c>
      <c r="R120" s="1117">
        <v>71</v>
      </c>
      <c r="S120" s="1117">
        <v>86</v>
      </c>
      <c r="T120" s="1117">
        <v>242</v>
      </c>
      <c r="U120" s="1117">
        <v>282</v>
      </c>
      <c r="V120" s="1117">
        <v>0</v>
      </c>
      <c r="W120" s="1117">
        <v>104</v>
      </c>
      <c r="X120" s="1117">
        <v>0</v>
      </c>
      <c r="Y120" s="1117">
        <v>53</v>
      </c>
      <c r="Z120" s="1118">
        <v>98</v>
      </c>
      <c r="AA120" s="1118">
        <v>170</v>
      </c>
      <c r="AB120" s="1119">
        <v>247</v>
      </c>
      <c r="AC120" s="1119">
        <v>69</v>
      </c>
      <c r="AD120" s="1119">
        <v>101</v>
      </c>
      <c r="AE120" s="1119">
        <v>144</v>
      </c>
      <c r="AF120" s="1119">
        <v>208</v>
      </c>
      <c r="AG120" s="1119">
        <v>92</v>
      </c>
      <c r="AH120" s="1119">
        <v>151</v>
      </c>
      <c r="AI120" s="1119">
        <v>147</v>
      </c>
      <c r="AJ120" s="1119">
        <v>222</v>
      </c>
      <c r="AK120" s="781">
        <f t="shared" si="15"/>
        <v>3557</v>
      </c>
      <c r="AL120" s="1120">
        <v>43.742535793498057</v>
      </c>
      <c r="AM120" s="1112">
        <f t="shared" si="16"/>
        <v>1555.9219981747258</v>
      </c>
      <c r="AN120" s="781">
        <v>4600</v>
      </c>
      <c r="AO120" s="1120">
        <v>3.39889129099826</v>
      </c>
      <c r="AP120" s="1112">
        <f t="shared" si="19"/>
        <v>156.34899938591997</v>
      </c>
      <c r="AQ120" s="1114">
        <f t="shared" si="18"/>
        <v>1712.2709975606458</v>
      </c>
      <c r="AR120" s="1156" t="s">
        <v>36</v>
      </c>
      <c r="AS120" s="388"/>
      <c r="AT120" s="388"/>
    </row>
    <row r="121" spans="1:46" ht="54" customHeight="1">
      <c r="A121" s="604">
        <v>103</v>
      </c>
      <c r="B121" s="604">
        <v>23</v>
      </c>
      <c r="C121" s="604" t="str">
        <f>'Chấm công KT'!C117</f>
        <v>03609</v>
      </c>
      <c r="D121" s="608" t="str">
        <f>'Chấm công KT'!D117</f>
        <v>N. Bun Đi</v>
      </c>
      <c r="E121" s="608"/>
      <c r="F121" s="1117">
        <v>132</v>
      </c>
      <c r="G121" s="1117">
        <v>119</v>
      </c>
      <c r="H121" s="1117">
        <v>44</v>
      </c>
      <c r="I121" s="1117">
        <v>185</v>
      </c>
      <c r="J121" s="1117">
        <v>120</v>
      </c>
      <c r="K121" s="1117">
        <v>68</v>
      </c>
      <c r="L121" s="1117">
        <v>107</v>
      </c>
      <c r="M121" s="1117">
        <v>106</v>
      </c>
      <c r="N121" s="1117">
        <v>131</v>
      </c>
      <c r="O121" s="1117">
        <v>64</v>
      </c>
      <c r="P121" s="1117">
        <v>286</v>
      </c>
      <c r="Q121" s="1117">
        <v>225</v>
      </c>
      <c r="R121" s="1117">
        <v>60</v>
      </c>
      <c r="S121" s="1117">
        <v>63</v>
      </c>
      <c r="T121" s="1117">
        <v>156</v>
      </c>
      <c r="U121" s="1117">
        <v>87</v>
      </c>
      <c r="V121" s="1117">
        <v>52</v>
      </c>
      <c r="W121" s="1117">
        <v>186</v>
      </c>
      <c r="X121" s="1117">
        <v>125</v>
      </c>
      <c r="Y121" s="1117">
        <v>55</v>
      </c>
      <c r="Z121" s="1118">
        <v>55</v>
      </c>
      <c r="AA121" s="1118">
        <v>102</v>
      </c>
      <c r="AB121" s="1119">
        <v>135</v>
      </c>
      <c r="AC121" s="1119">
        <v>55</v>
      </c>
      <c r="AD121" s="1119">
        <v>60</v>
      </c>
      <c r="AE121" s="1119">
        <v>108</v>
      </c>
      <c r="AF121" s="1119">
        <v>125</v>
      </c>
      <c r="AG121" s="1119">
        <v>61</v>
      </c>
      <c r="AH121" s="1119">
        <v>104</v>
      </c>
      <c r="AI121" s="1119">
        <v>129</v>
      </c>
      <c r="AJ121" s="1119">
        <v>131</v>
      </c>
      <c r="AK121" s="781">
        <f t="shared" si="15"/>
        <v>3436</v>
      </c>
      <c r="AL121" s="1120">
        <v>43.742535793498057</v>
      </c>
      <c r="AM121" s="1112">
        <f t="shared" si="16"/>
        <v>1502.9935298645933</v>
      </c>
      <c r="AN121" s="781">
        <v>3770</v>
      </c>
      <c r="AO121" s="1120">
        <v>3.39889129099826</v>
      </c>
      <c r="AP121" s="1112">
        <f t="shared" si="19"/>
        <v>128.1382016706344</v>
      </c>
      <c r="AQ121" s="1114">
        <f t="shared" si="18"/>
        <v>1631.1317315352276</v>
      </c>
      <c r="AR121" s="1156" t="s">
        <v>36</v>
      </c>
      <c r="AS121" s="388"/>
      <c r="AT121" s="388"/>
    </row>
    <row r="122" spans="1:46" ht="54" customHeight="1">
      <c r="A122" s="604">
        <v>104</v>
      </c>
      <c r="B122" s="604">
        <v>24</v>
      </c>
      <c r="C122" s="604" t="str">
        <f>'Chấm công KT'!C118</f>
        <v>03610</v>
      </c>
      <c r="D122" s="608" t="str">
        <f>'Chấm công KT'!D118</f>
        <v>N. Phon</v>
      </c>
      <c r="E122" s="608"/>
      <c r="F122" s="1117">
        <v>137</v>
      </c>
      <c r="G122" s="1117">
        <v>145</v>
      </c>
      <c r="H122" s="1117">
        <v>50</v>
      </c>
      <c r="I122" s="1117">
        <v>244</v>
      </c>
      <c r="J122" s="1117">
        <v>140</v>
      </c>
      <c r="K122" s="1117">
        <v>71</v>
      </c>
      <c r="L122" s="1117">
        <v>96</v>
      </c>
      <c r="M122" s="1117">
        <v>100</v>
      </c>
      <c r="N122" s="1117">
        <v>117</v>
      </c>
      <c r="O122" s="1117">
        <v>71</v>
      </c>
      <c r="P122" s="1117">
        <v>288</v>
      </c>
      <c r="Q122" s="1117">
        <v>163</v>
      </c>
      <c r="R122" s="1117">
        <v>62</v>
      </c>
      <c r="S122" s="1117">
        <v>81</v>
      </c>
      <c r="T122" s="1117">
        <v>163</v>
      </c>
      <c r="U122" s="1117">
        <v>80</v>
      </c>
      <c r="V122" s="1117">
        <v>47</v>
      </c>
      <c r="W122" s="1117">
        <v>181</v>
      </c>
      <c r="X122" s="1117">
        <v>169</v>
      </c>
      <c r="Y122" s="1117">
        <v>72</v>
      </c>
      <c r="Z122" s="1118">
        <v>51</v>
      </c>
      <c r="AA122" s="1118">
        <v>123</v>
      </c>
      <c r="AB122" s="1119">
        <v>120</v>
      </c>
      <c r="AC122" s="1119">
        <v>51</v>
      </c>
      <c r="AD122" s="1119">
        <v>44</v>
      </c>
      <c r="AE122" s="1119">
        <v>130</v>
      </c>
      <c r="AF122" s="1119">
        <v>132</v>
      </c>
      <c r="AG122" s="1119">
        <v>96</v>
      </c>
      <c r="AH122" s="1119">
        <v>117</v>
      </c>
      <c r="AI122" s="1119">
        <v>148</v>
      </c>
      <c r="AJ122" s="1119">
        <v>111</v>
      </c>
      <c r="AK122" s="781">
        <f t="shared" si="15"/>
        <v>3600</v>
      </c>
      <c r="AL122" s="1120">
        <v>43.742535793498057</v>
      </c>
      <c r="AM122" s="1112">
        <f t="shared" si="16"/>
        <v>1574.7312885659301</v>
      </c>
      <c r="AN122" s="781">
        <v>3706</v>
      </c>
      <c r="AO122" s="1120">
        <v>3.39889129099826</v>
      </c>
      <c r="AP122" s="1112">
        <f t="shared" si="19"/>
        <v>125.96291124439551</v>
      </c>
      <c r="AQ122" s="1114">
        <f t="shared" si="18"/>
        <v>1700.6941998103257</v>
      </c>
      <c r="AR122" s="1156" t="s">
        <v>43</v>
      </c>
      <c r="AS122" s="388"/>
      <c r="AT122" s="388"/>
    </row>
    <row r="123" spans="1:46" ht="54" customHeight="1">
      <c r="A123" s="604">
        <v>105</v>
      </c>
      <c r="B123" s="604">
        <v>25</v>
      </c>
      <c r="C123" s="604" t="str">
        <f>'Chấm công KT'!C119</f>
        <v>04076</v>
      </c>
      <c r="D123" s="608" t="str">
        <f>'Chấm công KT'!D119</f>
        <v xml:space="preserve">N. Bun </v>
      </c>
      <c r="E123" s="608"/>
      <c r="F123" s="1117">
        <v>161</v>
      </c>
      <c r="G123" s="1117">
        <v>191</v>
      </c>
      <c r="H123" s="1117">
        <v>48</v>
      </c>
      <c r="I123" s="1117">
        <v>203</v>
      </c>
      <c r="J123" s="1117">
        <v>166</v>
      </c>
      <c r="K123" s="1117">
        <v>82</v>
      </c>
      <c r="L123" s="1117">
        <v>122</v>
      </c>
      <c r="M123" s="1117">
        <v>128</v>
      </c>
      <c r="N123" s="1117">
        <v>177</v>
      </c>
      <c r="O123" s="1117">
        <v>66</v>
      </c>
      <c r="P123" s="1117">
        <v>328</v>
      </c>
      <c r="Q123" s="1117">
        <v>274</v>
      </c>
      <c r="R123" s="1117">
        <v>80</v>
      </c>
      <c r="S123" s="1117">
        <v>95</v>
      </c>
      <c r="T123" s="1117">
        <v>192</v>
      </c>
      <c r="U123" s="1117">
        <v>0</v>
      </c>
      <c r="V123" s="1117">
        <v>259</v>
      </c>
      <c r="W123" s="1117">
        <v>157</v>
      </c>
      <c r="X123" s="1117">
        <v>220</v>
      </c>
      <c r="Y123" s="1117">
        <v>63</v>
      </c>
      <c r="Z123" s="1118">
        <v>111</v>
      </c>
      <c r="AA123" s="1118">
        <v>71</v>
      </c>
      <c r="AB123" s="1119">
        <v>189</v>
      </c>
      <c r="AC123" s="1119">
        <v>65</v>
      </c>
      <c r="AD123" s="1119">
        <v>86</v>
      </c>
      <c r="AE123" s="1119">
        <v>163</v>
      </c>
      <c r="AF123" s="1119">
        <v>220</v>
      </c>
      <c r="AG123" s="1119">
        <v>92</v>
      </c>
      <c r="AH123" s="1119">
        <v>102</v>
      </c>
      <c r="AI123" s="1119">
        <v>54</v>
      </c>
      <c r="AJ123" s="1119">
        <v>95</v>
      </c>
      <c r="AK123" s="781">
        <f t="shared" si="15"/>
        <v>4260</v>
      </c>
      <c r="AL123" s="1120">
        <v>43.742535793498057</v>
      </c>
      <c r="AM123" s="1112">
        <f t="shared" si="16"/>
        <v>1863.4320248030172</v>
      </c>
      <c r="AN123" s="781">
        <v>4599</v>
      </c>
      <c r="AO123" s="1120">
        <v>3.39889129099826</v>
      </c>
      <c r="AP123" s="1112">
        <f t="shared" si="19"/>
        <v>156.31501047300998</v>
      </c>
      <c r="AQ123" s="1114">
        <f t="shared" si="18"/>
        <v>2019.7470352760272</v>
      </c>
      <c r="AR123" s="1156" t="s">
        <v>36</v>
      </c>
      <c r="AS123" s="388"/>
      <c r="AT123" s="388"/>
    </row>
    <row r="124" spans="1:46" ht="54" customHeight="1">
      <c r="A124" s="604">
        <v>106</v>
      </c>
      <c r="B124" s="604">
        <v>26</v>
      </c>
      <c r="C124" s="604" t="str">
        <f>'Chấm công KT'!C120</f>
        <v>03612</v>
      </c>
      <c r="D124" s="608" t="str">
        <f>'Chấm công KT'!D120</f>
        <v>N. Phu Văn</v>
      </c>
      <c r="E124" s="608"/>
      <c r="F124" s="1117">
        <v>117</v>
      </c>
      <c r="G124" s="1117">
        <v>124</v>
      </c>
      <c r="H124" s="1117">
        <v>45</v>
      </c>
      <c r="I124" s="1117">
        <v>203</v>
      </c>
      <c r="J124" s="1117">
        <v>127</v>
      </c>
      <c r="K124" s="1117">
        <v>89</v>
      </c>
      <c r="L124" s="1117">
        <v>172</v>
      </c>
      <c r="M124" s="1117">
        <v>102</v>
      </c>
      <c r="N124" s="1117">
        <v>0</v>
      </c>
      <c r="O124" s="1117">
        <v>79</v>
      </c>
      <c r="P124" s="1117">
        <v>381</v>
      </c>
      <c r="Q124" s="1117">
        <v>200</v>
      </c>
      <c r="R124" s="1117">
        <v>73</v>
      </c>
      <c r="S124" s="1117">
        <v>144</v>
      </c>
      <c r="T124" s="1117">
        <v>144</v>
      </c>
      <c r="U124" s="1117">
        <v>227</v>
      </c>
      <c r="V124" s="1117">
        <v>38</v>
      </c>
      <c r="W124" s="1117">
        <v>242</v>
      </c>
      <c r="X124" s="1117">
        <v>189</v>
      </c>
      <c r="Y124" s="1117">
        <v>69</v>
      </c>
      <c r="Z124" s="1118">
        <v>129</v>
      </c>
      <c r="AA124" s="1118">
        <v>134</v>
      </c>
      <c r="AB124" s="1119">
        <v>212</v>
      </c>
      <c r="AC124" s="1119">
        <v>76</v>
      </c>
      <c r="AD124" s="1119">
        <v>105</v>
      </c>
      <c r="AE124" s="1119">
        <v>153</v>
      </c>
      <c r="AF124" s="1119">
        <v>206</v>
      </c>
      <c r="AG124" s="1119">
        <v>105</v>
      </c>
      <c r="AH124" s="1119">
        <v>200</v>
      </c>
      <c r="AI124" s="1119">
        <v>148</v>
      </c>
      <c r="AJ124" s="1119">
        <v>220</v>
      </c>
      <c r="AK124" s="781">
        <f t="shared" si="15"/>
        <v>4453</v>
      </c>
      <c r="AL124" s="1120">
        <v>43.742535793498057</v>
      </c>
      <c r="AM124" s="1112">
        <f t="shared" si="16"/>
        <v>1947.8551188844683</v>
      </c>
      <c r="AN124" s="781">
        <v>4476</v>
      </c>
      <c r="AO124" s="1120">
        <v>3.39889129099826</v>
      </c>
      <c r="AP124" s="1112">
        <f t="shared" si="19"/>
        <v>152.13437418508212</v>
      </c>
      <c r="AQ124" s="1114">
        <f t="shared" si="18"/>
        <v>2099.9894930695505</v>
      </c>
      <c r="AR124" s="1156" t="s">
        <v>36</v>
      </c>
      <c r="AS124" s="388"/>
      <c r="AT124" s="388"/>
    </row>
    <row r="125" spans="1:46" ht="54" customHeight="1">
      <c r="A125" s="604">
        <v>107</v>
      </c>
      <c r="B125" s="604">
        <v>27</v>
      </c>
      <c r="C125" s="604" t="str">
        <f>'Chấm công KT'!C121</f>
        <v>03613</v>
      </c>
      <c r="D125" s="608" t="str">
        <f>'Chấm công KT'!D121</f>
        <v>N. Lỷ</v>
      </c>
      <c r="E125" s="608"/>
      <c r="F125" s="1117">
        <v>119</v>
      </c>
      <c r="G125" s="1117">
        <v>213</v>
      </c>
      <c r="H125" s="1117">
        <v>0</v>
      </c>
      <c r="I125" s="1117">
        <v>216</v>
      </c>
      <c r="J125" s="1117">
        <v>206</v>
      </c>
      <c r="K125" s="1117">
        <v>164</v>
      </c>
      <c r="L125" s="1117">
        <v>163</v>
      </c>
      <c r="M125" s="1117">
        <v>111</v>
      </c>
      <c r="N125" s="1117">
        <v>227</v>
      </c>
      <c r="O125" s="1117">
        <v>113</v>
      </c>
      <c r="P125" s="1117">
        <v>401</v>
      </c>
      <c r="Q125" s="1117">
        <v>299</v>
      </c>
      <c r="R125" s="1117">
        <v>108</v>
      </c>
      <c r="S125" s="1117">
        <v>125</v>
      </c>
      <c r="T125" s="1117">
        <v>134</v>
      </c>
      <c r="U125" s="1117">
        <v>195</v>
      </c>
      <c r="V125" s="1117">
        <v>53</v>
      </c>
      <c r="W125" s="1117">
        <v>249</v>
      </c>
      <c r="X125" s="1117">
        <v>249</v>
      </c>
      <c r="Y125" s="1117">
        <v>98</v>
      </c>
      <c r="Z125" s="1118">
        <v>100</v>
      </c>
      <c r="AA125" s="1118">
        <v>135</v>
      </c>
      <c r="AB125" s="1119">
        <v>223</v>
      </c>
      <c r="AC125" s="1119">
        <v>88</v>
      </c>
      <c r="AD125" s="1119">
        <v>124</v>
      </c>
      <c r="AE125" s="1119">
        <v>152</v>
      </c>
      <c r="AF125" s="1119">
        <v>256</v>
      </c>
      <c r="AG125" s="1119">
        <v>123</v>
      </c>
      <c r="AH125" s="1119">
        <v>135</v>
      </c>
      <c r="AI125" s="1119">
        <v>130</v>
      </c>
      <c r="AJ125" s="1119">
        <v>236</v>
      </c>
      <c r="AK125" s="781">
        <f t="shared" si="15"/>
        <v>5145</v>
      </c>
      <c r="AL125" s="1120">
        <v>43.742535793498057</v>
      </c>
      <c r="AM125" s="1112">
        <f t="shared" si="16"/>
        <v>2250.5534665754749</v>
      </c>
      <c r="AN125" s="781">
        <v>5498</v>
      </c>
      <c r="AO125" s="1120">
        <v>3.39889129099826</v>
      </c>
      <c r="AP125" s="1112">
        <f t="shared" si="19"/>
        <v>186.87104317908432</v>
      </c>
      <c r="AQ125" s="1114">
        <f t="shared" si="18"/>
        <v>2437.424509754559</v>
      </c>
      <c r="AR125" s="1156" t="s">
        <v>36</v>
      </c>
      <c r="AS125" s="388"/>
      <c r="AT125" s="388"/>
    </row>
    <row r="126" spans="1:46" ht="54" customHeight="1">
      <c r="A126" s="604">
        <v>108</v>
      </c>
      <c r="B126" s="604">
        <v>28</v>
      </c>
      <c r="C126" s="604" t="str">
        <f>'Chấm công KT'!C122</f>
        <v>04077</v>
      </c>
      <c r="D126" s="608" t="str">
        <f>'Chấm công KT'!D122</f>
        <v>N. Quen</v>
      </c>
      <c r="E126" s="608"/>
      <c r="F126" s="1117">
        <v>193</v>
      </c>
      <c r="G126" s="1117">
        <v>205</v>
      </c>
      <c r="H126" s="1117">
        <v>54</v>
      </c>
      <c r="I126" s="1117">
        <v>211</v>
      </c>
      <c r="J126" s="1117">
        <v>188</v>
      </c>
      <c r="K126" s="1117">
        <v>125</v>
      </c>
      <c r="L126" s="1117">
        <v>137</v>
      </c>
      <c r="M126" s="1117">
        <v>116</v>
      </c>
      <c r="N126" s="1117">
        <v>183</v>
      </c>
      <c r="O126" s="1117">
        <v>114</v>
      </c>
      <c r="P126" s="1117">
        <v>311</v>
      </c>
      <c r="Q126" s="1117">
        <v>171</v>
      </c>
      <c r="R126" s="1117">
        <v>0</v>
      </c>
      <c r="S126" s="1117">
        <v>86</v>
      </c>
      <c r="T126" s="1117">
        <v>138</v>
      </c>
      <c r="U126" s="1117">
        <v>152</v>
      </c>
      <c r="V126" s="1117">
        <v>111</v>
      </c>
      <c r="W126" s="1117">
        <v>219</v>
      </c>
      <c r="X126" s="1117">
        <v>242</v>
      </c>
      <c r="Y126" s="1117">
        <v>123</v>
      </c>
      <c r="Z126" s="1118">
        <v>85</v>
      </c>
      <c r="AA126" s="1118">
        <v>114</v>
      </c>
      <c r="AB126" s="1119">
        <v>196</v>
      </c>
      <c r="AC126" s="1119">
        <v>78</v>
      </c>
      <c r="AD126" s="1119">
        <v>107</v>
      </c>
      <c r="AE126" s="1119">
        <v>155</v>
      </c>
      <c r="AF126" s="1119">
        <v>212</v>
      </c>
      <c r="AG126" s="1119">
        <v>103</v>
      </c>
      <c r="AH126" s="1119">
        <v>169</v>
      </c>
      <c r="AI126" s="1119">
        <v>131</v>
      </c>
      <c r="AJ126" s="1119">
        <v>268</v>
      </c>
      <c r="AK126" s="781">
        <f t="shared" si="15"/>
        <v>4697</v>
      </c>
      <c r="AL126" s="1120">
        <v>43.742535793498057</v>
      </c>
      <c r="AM126" s="1112">
        <f t="shared" si="16"/>
        <v>2054.5869062206039</v>
      </c>
      <c r="AN126" s="781">
        <v>4337</v>
      </c>
      <c r="AO126" s="1120">
        <v>3.39889129099826</v>
      </c>
      <c r="AP126" s="1112">
        <f t="shared" si="19"/>
        <v>147.40991529059454</v>
      </c>
      <c r="AQ126" s="1114">
        <f t="shared" si="18"/>
        <v>2201.9968215111985</v>
      </c>
      <c r="AR126" s="1156" t="s">
        <v>36</v>
      </c>
      <c r="AS126" s="388"/>
      <c r="AT126" s="388"/>
    </row>
    <row r="127" spans="1:46" ht="54" customHeight="1">
      <c r="A127" s="604">
        <v>109</v>
      </c>
      <c r="B127" s="604">
        <v>29</v>
      </c>
      <c r="C127" s="604" t="str">
        <f>'Chấm công KT'!C123</f>
        <v>03615</v>
      </c>
      <c r="D127" s="608" t="str">
        <f>'Chấm công KT'!D123</f>
        <v>T. Xi Nuôn</v>
      </c>
      <c r="E127" s="608"/>
      <c r="F127" s="1117">
        <v>86</v>
      </c>
      <c r="G127" s="1117">
        <v>0</v>
      </c>
      <c r="H127" s="1117">
        <v>114</v>
      </c>
      <c r="I127" s="1117">
        <v>247</v>
      </c>
      <c r="J127" s="1117">
        <v>149</v>
      </c>
      <c r="K127" s="1117">
        <v>82</v>
      </c>
      <c r="L127" s="1117">
        <v>127</v>
      </c>
      <c r="M127" s="1117">
        <v>124</v>
      </c>
      <c r="N127" s="1117">
        <v>148</v>
      </c>
      <c r="O127" s="1117">
        <v>74</v>
      </c>
      <c r="P127" s="1117">
        <v>306</v>
      </c>
      <c r="Q127" s="1117">
        <v>210</v>
      </c>
      <c r="R127" s="1117">
        <v>70</v>
      </c>
      <c r="S127" s="1117">
        <v>0</v>
      </c>
      <c r="T127" s="1117">
        <v>0</v>
      </c>
      <c r="U127" s="1117">
        <v>0</v>
      </c>
      <c r="V127" s="1117">
        <v>0</v>
      </c>
      <c r="W127" s="1117">
        <v>306</v>
      </c>
      <c r="X127" s="1117">
        <v>130</v>
      </c>
      <c r="Y127" s="1117">
        <v>91</v>
      </c>
      <c r="Z127" s="1118">
        <v>98</v>
      </c>
      <c r="AA127" s="1118">
        <v>148</v>
      </c>
      <c r="AB127" s="1119">
        <v>168</v>
      </c>
      <c r="AC127" s="1119">
        <v>61</v>
      </c>
      <c r="AD127" s="1119">
        <v>111</v>
      </c>
      <c r="AE127" s="1119">
        <v>129</v>
      </c>
      <c r="AF127" s="1119">
        <v>152</v>
      </c>
      <c r="AG127" s="1119">
        <v>76</v>
      </c>
      <c r="AH127" s="1119">
        <v>149</v>
      </c>
      <c r="AI127" s="1119">
        <v>122</v>
      </c>
      <c r="AJ127" s="1119">
        <v>107</v>
      </c>
      <c r="AK127" s="781">
        <f t="shared" si="15"/>
        <v>3585</v>
      </c>
      <c r="AL127" s="1120">
        <v>43.742535793498057</v>
      </c>
      <c r="AM127" s="1112">
        <f t="shared" si="16"/>
        <v>1568.1699081969055</v>
      </c>
      <c r="AN127" s="781">
        <v>3743</v>
      </c>
      <c r="AO127" s="1120">
        <v>3.39889129099826</v>
      </c>
      <c r="AP127" s="1112">
        <f t="shared" si="19"/>
        <v>127.22050102206487</v>
      </c>
      <c r="AQ127" s="1114">
        <f t="shared" si="18"/>
        <v>1695.3904092189703</v>
      </c>
      <c r="AR127" s="1156" t="s">
        <v>36</v>
      </c>
      <c r="AS127" s="388"/>
      <c r="AT127" s="388"/>
    </row>
    <row r="128" spans="1:46" ht="54" customHeight="1">
      <c r="A128" s="604">
        <v>110</v>
      </c>
      <c r="B128" s="604">
        <v>30</v>
      </c>
      <c r="C128" s="604" t="str">
        <f>'Chấm công KT'!C124</f>
        <v>03616</v>
      </c>
      <c r="D128" s="608" t="str">
        <f>'Chấm công KT'!D124</f>
        <v>N. Ốc</v>
      </c>
      <c r="E128" s="608"/>
      <c r="F128" s="1117">
        <v>125</v>
      </c>
      <c r="G128" s="1117">
        <v>218</v>
      </c>
      <c r="H128" s="1117">
        <v>0</v>
      </c>
      <c r="I128" s="1117">
        <v>205</v>
      </c>
      <c r="J128" s="1117">
        <v>204</v>
      </c>
      <c r="K128" s="1117">
        <v>140</v>
      </c>
      <c r="L128" s="1117">
        <v>155</v>
      </c>
      <c r="M128" s="1117">
        <v>104</v>
      </c>
      <c r="N128" s="1117">
        <v>226</v>
      </c>
      <c r="O128" s="1117">
        <v>112</v>
      </c>
      <c r="P128" s="1117">
        <v>336</v>
      </c>
      <c r="Q128" s="1117">
        <v>315</v>
      </c>
      <c r="R128" s="1117">
        <v>104</v>
      </c>
      <c r="S128" s="1117">
        <v>111</v>
      </c>
      <c r="T128" s="1117">
        <v>170</v>
      </c>
      <c r="U128" s="1117">
        <v>206</v>
      </c>
      <c r="V128" s="1117">
        <v>54</v>
      </c>
      <c r="W128" s="1117">
        <v>252</v>
      </c>
      <c r="X128" s="1117">
        <v>239</v>
      </c>
      <c r="Y128" s="1117">
        <v>95</v>
      </c>
      <c r="Z128" s="1118">
        <v>107</v>
      </c>
      <c r="AA128" s="1118">
        <v>113</v>
      </c>
      <c r="AB128" s="1119">
        <v>221</v>
      </c>
      <c r="AC128" s="1119">
        <v>88</v>
      </c>
      <c r="AD128" s="1119">
        <v>124</v>
      </c>
      <c r="AE128" s="1119">
        <v>134</v>
      </c>
      <c r="AF128" s="1119">
        <v>269</v>
      </c>
      <c r="AG128" s="1119">
        <v>69</v>
      </c>
      <c r="AH128" s="1119">
        <v>116</v>
      </c>
      <c r="AI128" s="1119">
        <v>133</v>
      </c>
      <c r="AJ128" s="1119">
        <v>238</v>
      </c>
      <c r="AK128" s="781">
        <f t="shared" si="15"/>
        <v>4983</v>
      </c>
      <c r="AL128" s="1120">
        <v>43.742535793498057</v>
      </c>
      <c r="AM128" s="1112">
        <f t="shared" si="16"/>
        <v>2179.6905585900081</v>
      </c>
      <c r="AN128" s="781">
        <v>5520</v>
      </c>
      <c r="AO128" s="1120">
        <v>3.39889129099826</v>
      </c>
      <c r="AP128" s="1112">
        <f t="shared" si="19"/>
        <v>187.61879926310394</v>
      </c>
      <c r="AQ128" s="1114">
        <f t="shared" si="18"/>
        <v>2367.309357853112</v>
      </c>
      <c r="AR128" s="1156" t="s">
        <v>36</v>
      </c>
      <c r="AS128" s="388"/>
      <c r="AT128" s="388"/>
    </row>
    <row r="129" spans="1:46" ht="54" customHeight="1">
      <c r="A129" s="604">
        <v>111</v>
      </c>
      <c r="B129" s="604">
        <v>31</v>
      </c>
      <c r="C129" s="604" t="str">
        <f>'Chấm công KT'!C125</f>
        <v>03617</v>
      </c>
      <c r="D129" s="608" t="str">
        <f>'Chấm công KT'!D125</f>
        <v>T. Văn Nô</v>
      </c>
      <c r="E129" s="608"/>
      <c r="F129" s="1117">
        <v>147</v>
      </c>
      <c r="G129" s="1117">
        <v>186</v>
      </c>
      <c r="H129" s="1117">
        <v>51</v>
      </c>
      <c r="I129" s="1117">
        <v>235</v>
      </c>
      <c r="J129" s="1117">
        <v>167</v>
      </c>
      <c r="K129" s="1117">
        <v>84</v>
      </c>
      <c r="L129" s="1117">
        <v>207</v>
      </c>
      <c r="M129" s="1117">
        <v>100</v>
      </c>
      <c r="N129" s="1117">
        <v>128</v>
      </c>
      <c r="O129" s="1117">
        <v>85</v>
      </c>
      <c r="P129" s="1117">
        <v>378</v>
      </c>
      <c r="Q129" s="1117">
        <v>194</v>
      </c>
      <c r="R129" s="1117">
        <v>67</v>
      </c>
      <c r="S129" s="1117">
        <v>141</v>
      </c>
      <c r="T129" s="1117">
        <v>163</v>
      </c>
      <c r="U129" s="1117">
        <v>143</v>
      </c>
      <c r="V129" s="1117">
        <v>46</v>
      </c>
      <c r="W129" s="1117">
        <v>356</v>
      </c>
      <c r="X129" s="1117">
        <v>128</v>
      </c>
      <c r="Y129" s="1117">
        <v>71</v>
      </c>
      <c r="Z129" s="1118">
        <v>120</v>
      </c>
      <c r="AA129" s="1118">
        <v>74</v>
      </c>
      <c r="AB129" s="1119">
        <v>200</v>
      </c>
      <c r="AC129" s="1119">
        <v>67</v>
      </c>
      <c r="AD129" s="1119">
        <v>132</v>
      </c>
      <c r="AE129" s="1119">
        <v>141</v>
      </c>
      <c r="AF129" s="1119">
        <v>218</v>
      </c>
      <c r="AG129" s="1119">
        <v>80</v>
      </c>
      <c r="AH129" s="1119">
        <v>200</v>
      </c>
      <c r="AI129" s="1119">
        <v>101</v>
      </c>
      <c r="AJ129" s="1119">
        <v>120</v>
      </c>
      <c r="AK129" s="781">
        <f t="shared" si="15"/>
        <v>4530</v>
      </c>
      <c r="AL129" s="1120">
        <v>43.742535793498057</v>
      </c>
      <c r="AM129" s="1112">
        <f t="shared" si="16"/>
        <v>1981.5368714454619</v>
      </c>
      <c r="AN129" s="781">
        <v>4670</v>
      </c>
      <c r="AO129" s="1120">
        <v>3.39889129099826</v>
      </c>
      <c r="AP129" s="1112">
        <f t="shared" si="19"/>
        <v>158.72822328961874</v>
      </c>
      <c r="AQ129" s="1114">
        <f t="shared" si="18"/>
        <v>2140.2650947350808</v>
      </c>
      <c r="AR129" s="1156" t="s">
        <v>36</v>
      </c>
      <c r="AS129" s="388"/>
      <c r="AT129" s="388"/>
    </row>
    <row r="130" spans="1:46" ht="54" customHeight="1">
      <c r="A130" s="604">
        <v>112</v>
      </c>
      <c r="B130" s="604">
        <v>32</v>
      </c>
      <c r="C130" s="604" t="str">
        <f>'Chấm công KT'!C126</f>
        <v>03618</v>
      </c>
      <c r="D130" s="608" t="str">
        <f>'Chấm công KT'!D126</f>
        <v>N. Văn Ta</v>
      </c>
      <c r="E130" s="608"/>
      <c r="F130" s="1117">
        <v>129</v>
      </c>
      <c r="G130" s="1117">
        <v>300</v>
      </c>
      <c r="H130" s="1117">
        <v>175</v>
      </c>
      <c r="I130" s="1117">
        <v>150</v>
      </c>
      <c r="J130" s="1117">
        <v>243</v>
      </c>
      <c r="K130" s="1117">
        <v>79</v>
      </c>
      <c r="L130" s="1117">
        <v>0</v>
      </c>
      <c r="M130" s="1117">
        <v>117</v>
      </c>
      <c r="N130" s="1117">
        <v>276</v>
      </c>
      <c r="O130" s="1117">
        <v>87</v>
      </c>
      <c r="P130" s="1117">
        <v>369</v>
      </c>
      <c r="Q130" s="1117">
        <v>247</v>
      </c>
      <c r="R130" s="1117">
        <v>0</v>
      </c>
      <c r="S130" s="1117">
        <v>106</v>
      </c>
      <c r="T130" s="1117">
        <v>0</v>
      </c>
      <c r="U130" s="1117">
        <v>0</v>
      </c>
      <c r="V130" s="1117">
        <v>76</v>
      </c>
      <c r="W130" s="1117">
        <v>257</v>
      </c>
      <c r="X130" s="1117">
        <v>0</v>
      </c>
      <c r="Y130" s="1117">
        <v>94</v>
      </c>
      <c r="Z130" s="1118">
        <v>71</v>
      </c>
      <c r="AA130" s="1118">
        <v>106</v>
      </c>
      <c r="AB130" s="1119">
        <v>312</v>
      </c>
      <c r="AC130" s="1119">
        <v>77</v>
      </c>
      <c r="AD130" s="1119">
        <v>88</v>
      </c>
      <c r="AE130" s="1119">
        <v>104</v>
      </c>
      <c r="AF130" s="1119">
        <v>243</v>
      </c>
      <c r="AG130" s="1119">
        <v>0</v>
      </c>
      <c r="AH130" s="1119">
        <v>60</v>
      </c>
      <c r="AI130" s="1119">
        <v>64</v>
      </c>
      <c r="AJ130" s="1119">
        <v>128</v>
      </c>
      <c r="AK130" s="781">
        <f t="shared" si="15"/>
        <v>3958</v>
      </c>
      <c r="AL130" s="1120">
        <v>43.742535793498057</v>
      </c>
      <c r="AM130" s="1112">
        <f t="shared" si="16"/>
        <v>1731.3295667066529</v>
      </c>
      <c r="AN130" s="781">
        <v>4914</v>
      </c>
      <c r="AO130" s="1120">
        <v>3.39889129099826</v>
      </c>
      <c r="AP130" s="1112">
        <f t="shared" si="19"/>
        <v>167.02151803965452</v>
      </c>
      <c r="AQ130" s="1114">
        <f t="shared" si="18"/>
        <v>1898.3510847463074</v>
      </c>
      <c r="AR130" s="1156" t="s">
        <v>36</v>
      </c>
      <c r="AS130" s="388"/>
      <c r="AT130" s="388"/>
    </row>
    <row r="131" spans="1:46" ht="54" customHeight="1">
      <c r="A131" s="604">
        <v>113</v>
      </c>
      <c r="B131" s="604">
        <v>33</v>
      </c>
      <c r="C131" s="604" t="str">
        <f>'Chấm công KT'!C127</f>
        <v>03619</v>
      </c>
      <c r="D131" s="608" t="str">
        <f>'Chấm công KT'!D127</f>
        <v>T. Thon</v>
      </c>
      <c r="E131" s="608"/>
      <c r="F131" s="1117">
        <v>67</v>
      </c>
      <c r="G131" s="1117">
        <v>0</v>
      </c>
      <c r="H131" s="1117">
        <v>56</v>
      </c>
      <c r="I131" s="1117">
        <v>116</v>
      </c>
      <c r="J131" s="1117">
        <v>195</v>
      </c>
      <c r="K131" s="1117">
        <v>55</v>
      </c>
      <c r="L131" s="1117">
        <v>110</v>
      </c>
      <c r="M131" s="1117">
        <v>66</v>
      </c>
      <c r="N131" s="1117">
        <v>163</v>
      </c>
      <c r="O131" s="1117">
        <v>83</v>
      </c>
      <c r="P131" s="1117">
        <v>355</v>
      </c>
      <c r="Q131" s="1117">
        <v>248</v>
      </c>
      <c r="R131" s="1117">
        <v>83</v>
      </c>
      <c r="S131" s="1117">
        <v>120</v>
      </c>
      <c r="T131" s="1117">
        <v>145</v>
      </c>
      <c r="U131" s="1117">
        <v>105</v>
      </c>
      <c r="V131" s="1117">
        <v>50</v>
      </c>
      <c r="W131" s="1117">
        <v>179</v>
      </c>
      <c r="X131" s="1117">
        <v>205</v>
      </c>
      <c r="Y131" s="1117">
        <v>77</v>
      </c>
      <c r="Z131" s="1118">
        <v>109</v>
      </c>
      <c r="AA131" s="1118">
        <v>136</v>
      </c>
      <c r="AB131" s="1119">
        <v>204</v>
      </c>
      <c r="AC131" s="1119">
        <v>84</v>
      </c>
      <c r="AD131" s="1119">
        <v>100</v>
      </c>
      <c r="AE131" s="1119">
        <v>107</v>
      </c>
      <c r="AF131" s="1119">
        <v>183</v>
      </c>
      <c r="AG131" s="1119">
        <v>107</v>
      </c>
      <c r="AH131" s="1119">
        <v>152</v>
      </c>
      <c r="AI131" s="1119">
        <v>134</v>
      </c>
      <c r="AJ131" s="1119">
        <v>175</v>
      </c>
      <c r="AK131" s="781">
        <f t="shared" si="15"/>
        <v>3969</v>
      </c>
      <c r="AL131" s="1120">
        <v>43.742535793498057</v>
      </c>
      <c r="AM131" s="1112">
        <f t="shared" si="16"/>
        <v>1736.1412456439377</v>
      </c>
      <c r="AN131" s="781">
        <v>3610</v>
      </c>
      <c r="AO131" s="1120">
        <v>3.39889129099826</v>
      </c>
      <c r="AP131" s="1112">
        <f t="shared" si="19"/>
        <v>122.69997560503718</v>
      </c>
      <c r="AQ131" s="1114">
        <f t="shared" si="18"/>
        <v>1858.841221248975</v>
      </c>
      <c r="AR131" s="1156" t="s">
        <v>36</v>
      </c>
      <c r="AS131" s="388"/>
      <c r="AT131" s="388"/>
    </row>
    <row r="132" spans="1:46" ht="54" customHeight="1">
      <c r="A132" s="604">
        <v>114</v>
      </c>
      <c r="B132" s="604">
        <v>34</v>
      </c>
      <c r="C132" s="604" t="str">
        <f>'Chấm công KT'!C128</f>
        <v>03620</v>
      </c>
      <c r="D132" s="608" t="str">
        <f>'Chấm công KT'!D128</f>
        <v>Bun Thon</v>
      </c>
      <c r="E132" s="608"/>
      <c r="F132" s="1117">
        <v>141</v>
      </c>
      <c r="G132" s="1117">
        <v>0</v>
      </c>
      <c r="H132" s="1117">
        <v>63</v>
      </c>
      <c r="I132" s="1117">
        <v>63</v>
      </c>
      <c r="J132" s="1117">
        <v>184</v>
      </c>
      <c r="K132" s="1117">
        <v>57</v>
      </c>
      <c r="L132" s="1117">
        <v>63</v>
      </c>
      <c r="M132" s="1117">
        <v>234</v>
      </c>
      <c r="N132" s="1117">
        <v>0</v>
      </c>
      <c r="O132" s="1117">
        <v>0</v>
      </c>
      <c r="P132" s="1117">
        <v>0</v>
      </c>
      <c r="Q132" s="1117">
        <v>125</v>
      </c>
      <c r="R132" s="1117">
        <v>0</v>
      </c>
      <c r="S132" s="1117">
        <v>121</v>
      </c>
      <c r="T132" s="1117">
        <v>216</v>
      </c>
      <c r="U132" s="1117">
        <v>95</v>
      </c>
      <c r="V132" s="1117">
        <v>0</v>
      </c>
      <c r="W132" s="1117">
        <v>59</v>
      </c>
      <c r="X132" s="1117">
        <v>109</v>
      </c>
      <c r="Y132" s="1117">
        <v>95</v>
      </c>
      <c r="Z132" s="1118">
        <v>66</v>
      </c>
      <c r="AA132" s="1118">
        <v>193</v>
      </c>
      <c r="AB132" s="1119">
        <v>94</v>
      </c>
      <c r="AC132" s="1119">
        <v>63</v>
      </c>
      <c r="AD132" s="1119">
        <v>66</v>
      </c>
      <c r="AE132" s="1119">
        <v>0</v>
      </c>
      <c r="AF132" s="1119">
        <v>124</v>
      </c>
      <c r="AG132" s="1119">
        <v>95</v>
      </c>
      <c r="AH132" s="1119">
        <v>99</v>
      </c>
      <c r="AI132" s="1119">
        <v>225</v>
      </c>
      <c r="AJ132" s="1119">
        <v>150</v>
      </c>
      <c r="AK132" s="781">
        <f t="shared" si="15"/>
        <v>2800</v>
      </c>
      <c r="AL132" s="1120">
        <v>43.742535793498057</v>
      </c>
      <c r="AM132" s="1112">
        <f t="shared" si="16"/>
        <v>1224.7910022179456</v>
      </c>
      <c r="AN132" s="781">
        <v>3738</v>
      </c>
      <c r="AO132" s="1120">
        <v>3.39889129099826</v>
      </c>
      <c r="AP132" s="1112">
        <f t="shared" si="19"/>
        <v>127.05055645751496</v>
      </c>
      <c r="AQ132" s="1114">
        <f t="shared" si="18"/>
        <v>1351.8415586754604</v>
      </c>
      <c r="AR132" s="1156" t="s">
        <v>36</v>
      </c>
      <c r="AS132" s="388"/>
      <c r="AT132" s="388"/>
    </row>
    <row r="133" spans="1:46" ht="54" customHeight="1">
      <c r="A133" s="604">
        <v>115</v>
      </c>
      <c r="B133" s="604">
        <v>35</v>
      </c>
      <c r="C133" s="604" t="str">
        <f>'Chấm công KT'!C129</f>
        <v>04078</v>
      </c>
      <c r="D133" s="608" t="str">
        <f>'Chấm công KT'!D129</f>
        <v>Lăm Thong</v>
      </c>
      <c r="E133" s="608"/>
      <c r="F133" s="1117">
        <v>0</v>
      </c>
      <c r="G133" s="1117">
        <v>0</v>
      </c>
      <c r="H133" s="1117">
        <v>0</v>
      </c>
      <c r="I133" s="1117">
        <v>237</v>
      </c>
      <c r="J133" s="1117">
        <v>229</v>
      </c>
      <c r="K133" s="1117">
        <v>102</v>
      </c>
      <c r="L133" s="1117">
        <v>121</v>
      </c>
      <c r="M133" s="1117">
        <v>147</v>
      </c>
      <c r="N133" s="1117">
        <v>131</v>
      </c>
      <c r="O133" s="1117">
        <v>63</v>
      </c>
      <c r="P133" s="1117">
        <v>91</v>
      </c>
      <c r="Q133" s="1117">
        <v>141</v>
      </c>
      <c r="R133" s="1117">
        <v>64</v>
      </c>
      <c r="S133" s="1117">
        <v>116</v>
      </c>
      <c r="T133" s="1117">
        <v>265</v>
      </c>
      <c r="U133" s="1117">
        <v>168</v>
      </c>
      <c r="V133" s="1117">
        <v>63</v>
      </c>
      <c r="W133" s="1117">
        <v>259</v>
      </c>
      <c r="X133" s="1117">
        <v>224</v>
      </c>
      <c r="Y133" s="1117">
        <v>0</v>
      </c>
      <c r="Z133" s="1118">
        <v>94</v>
      </c>
      <c r="AA133" s="1118">
        <v>152</v>
      </c>
      <c r="AB133" s="1119">
        <v>191</v>
      </c>
      <c r="AC133" s="1119">
        <v>79</v>
      </c>
      <c r="AD133" s="1119">
        <v>100</v>
      </c>
      <c r="AE133" s="1119">
        <v>108</v>
      </c>
      <c r="AF133" s="1119">
        <v>123</v>
      </c>
      <c r="AG133" s="1119">
        <v>119</v>
      </c>
      <c r="AH133" s="1119">
        <v>148</v>
      </c>
      <c r="AI133" s="1119">
        <v>149</v>
      </c>
      <c r="AJ133" s="1119">
        <v>186</v>
      </c>
      <c r="AK133" s="781">
        <f t="shared" si="15"/>
        <v>3870</v>
      </c>
      <c r="AL133" s="1120">
        <v>43.742535793498057</v>
      </c>
      <c r="AM133" s="1112">
        <f t="shared" si="16"/>
        <v>1692.8361352083748</v>
      </c>
      <c r="AN133" s="781">
        <v>3820</v>
      </c>
      <c r="AO133" s="1120">
        <v>3.39889129099826</v>
      </c>
      <c r="AP133" s="1112">
        <f t="shared" si="19"/>
        <v>129.83764731613354</v>
      </c>
      <c r="AQ133" s="1114">
        <f t="shared" si="18"/>
        <v>1822.6737825245084</v>
      </c>
      <c r="AR133" s="1156" t="s">
        <v>36</v>
      </c>
      <c r="AS133" s="388"/>
      <c r="AT133" s="388"/>
    </row>
    <row r="134" spans="1:46" ht="54" customHeight="1">
      <c r="A134" s="604">
        <v>116</v>
      </c>
      <c r="B134" s="604">
        <v>36</v>
      </c>
      <c r="C134" s="604" t="str">
        <f>'Chấm công KT'!C130</f>
        <v>03622</v>
      </c>
      <c r="D134" s="608" t="str">
        <f>'Chấm công KT'!D130</f>
        <v>N. Xeo Khăm</v>
      </c>
      <c r="E134" s="608"/>
      <c r="F134" s="1117">
        <v>218</v>
      </c>
      <c r="G134" s="1117">
        <v>158</v>
      </c>
      <c r="H134" s="1117">
        <v>90</v>
      </c>
      <c r="I134" s="1117">
        <v>256</v>
      </c>
      <c r="J134" s="1117">
        <v>136</v>
      </c>
      <c r="K134" s="1117">
        <v>122</v>
      </c>
      <c r="L134" s="1117">
        <v>122</v>
      </c>
      <c r="M134" s="1117">
        <v>125</v>
      </c>
      <c r="N134" s="1117">
        <v>107</v>
      </c>
      <c r="O134" s="1117">
        <v>136</v>
      </c>
      <c r="P134" s="1117">
        <v>414</v>
      </c>
      <c r="Q134" s="1117">
        <v>200</v>
      </c>
      <c r="R134" s="1117">
        <v>104</v>
      </c>
      <c r="S134" s="1117">
        <v>120</v>
      </c>
      <c r="T134" s="1117">
        <v>209</v>
      </c>
      <c r="U134" s="1117">
        <v>142</v>
      </c>
      <c r="V134" s="1117">
        <v>100</v>
      </c>
      <c r="W134" s="1117">
        <v>0</v>
      </c>
      <c r="X134" s="1117">
        <v>300</v>
      </c>
      <c r="Y134" s="1117">
        <v>130</v>
      </c>
      <c r="Z134" s="1118">
        <v>130</v>
      </c>
      <c r="AA134" s="1118">
        <v>128</v>
      </c>
      <c r="AB134" s="1119">
        <v>179</v>
      </c>
      <c r="AC134" s="1119">
        <v>195</v>
      </c>
      <c r="AD134" s="1119">
        <v>106</v>
      </c>
      <c r="AE134" s="1119">
        <v>269</v>
      </c>
      <c r="AF134" s="1119">
        <v>122</v>
      </c>
      <c r="AG134" s="1119">
        <v>104</v>
      </c>
      <c r="AH134" s="1119">
        <v>211</v>
      </c>
      <c r="AI134" s="1119">
        <v>272</v>
      </c>
      <c r="AJ134" s="1119">
        <v>189</v>
      </c>
      <c r="AK134" s="781">
        <f t="shared" si="15"/>
        <v>5094</v>
      </c>
      <c r="AL134" s="1120">
        <v>43.742535793498057</v>
      </c>
      <c r="AM134" s="1112">
        <f t="shared" si="16"/>
        <v>2228.244773320791</v>
      </c>
      <c r="AN134" s="781">
        <v>4770</v>
      </c>
      <c r="AO134" s="1120">
        <v>3.39889129099826</v>
      </c>
      <c r="AP134" s="1112">
        <f t="shared" si="19"/>
        <v>162.12711458061699</v>
      </c>
      <c r="AQ134" s="1114">
        <f t="shared" si="18"/>
        <v>2390.3718879014077</v>
      </c>
      <c r="AR134" s="1156" t="s">
        <v>36</v>
      </c>
      <c r="AS134" s="388"/>
      <c r="AT134" s="388"/>
    </row>
    <row r="135" spans="1:46" ht="54" customHeight="1">
      <c r="A135" s="604">
        <v>117</v>
      </c>
      <c r="B135" s="604">
        <v>37</v>
      </c>
      <c r="C135" s="604" t="str">
        <f>'Chấm công KT'!C131</f>
        <v>03623</v>
      </c>
      <c r="D135" s="608" t="str">
        <f>'Chấm công KT'!D131</f>
        <v>T. Khăm...</v>
      </c>
      <c r="E135" s="608"/>
      <c r="F135" s="1117">
        <v>100</v>
      </c>
      <c r="G135" s="1117">
        <v>182</v>
      </c>
      <c r="H135" s="1117">
        <v>170</v>
      </c>
      <c r="I135" s="1117">
        <v>330</v>
      </c>
      <c r="J135" s="1117">
        <v>0</v>
      </c>
      <c r="K135" s="1117">
        <v>0</v>
      </c>
      <c r="L135" s="1117">
        <v>0</v>
      </c>
      <c r="M135" s="1117">
        <v>125</v>
      </c>
      <c r="N135" s="1117">
        <v>130</v>
      </c>
      <c r="O135" s="1117">
        <v>192</v>
      </c>
      <c r="P135" s="1117">
        <v>301</v>
      </c>
      <c r="Q135" s="1117">
        <v>141</v>
      </c>
      <c r="R135" s="1117">
        <v>144</v>
      </c>
      <c r="S135" s="1117">
        <v>98</v>
      </c>
      <c r="T135" s="1117">
        <v>211</v>
      </c>
      <c r="U135" s="1117">
        <v>0</v>
      </c>
      <c r="V135" s="1117">
        <v>132</v>
      </c>
      <c r="W135" s="1117">
        <v>145</v>
      </c>
      <c r="X135" s="1117">
        <v>97</v>
      </c>
      <c r="Y135" s="1117">
        <v>220</v>
      </c>
      <c r="Z135" s="1118">
        <v>194</v>
      </c>
      <c r="AA135" s="1118">
        <v>233</v>
      </c>
      <c r="AB135" s="1119">
        <v>148</v>
      </c>
      <c r="AC135" s="1119">
        <v>290</v>
      </c>
      <c r="AD135" s="1119">
        <v>90</v>
      </c>
      <c r="AE135" s="1119">
        <v>147</v>
      </c>
      <c r="AF135" s="1119">
        <v>181</v>
      </c>
      <c r="AG135" s="1119">
        <v>198</v>
      </c>
      <c r="AH135" s="1119">
        <v>148</v>
      </c>
      <c r="AI135" s="1119">
        <v>141</v>
      </c>
      <c r="AJ135" s="1119">
        <v>181</v>
      </c>
      <c r="AK135" s="781">
        <f t="shared" si="15"/>
        <v>4669</v>
      </c>
      <c r="AL135" s="1120">
        <v>43.742535793498057</v>
      </c>
      <c r="AM135" s="1112">
        <f t="shared" si="16"/>
        <v>2042.3389961984242</v>
      </c>
      <c r="AN135" s="781">
        <v>4945</v>
      </c>
      <c r="AO135" s="1120">
        <v>3.39889129099826</v>
      </c>
      <c r="AP135" s="1112">
        <f t="shared" si="19"/>
        <v>168.07517433986396</v>
      </c>
      <c r="AQ135" s="1114">
        <f t="shared" si="18"/>
        <v>2210.4141705382881</v>
      </c>
      <c r="AR135" s="1156" t="s">
        <v>36</v>
      </c>
      <c r="AS135" s="388"/>
      <c r="AT135" s="388"/>
    </row>
    <row r="136" spans="1:46" ht="54" customHeight="1">
      <c r="A136" s="604">
        <v>118</v>
      </c>
      <c r="B136" s="604">
        <v>38</v>
      </c>
      <c r="C136" s="604" t="str">
        <f>'Chấm công KT'!C132</f>
        <v>03532</v>
      </c>
      <c r="D136" s="608" t="str">
        <f>'Chấm công KT'!D132</f>
        <v>N. Túc</v>
      </c>
      <c r="E136" s="608"/>
      <c r="F136" s="1117">
        <v>0</v>
      </c>
      <c r="G136" s="1117">
        <v>225</v>
      </c>
      <c r="H136" s="1117">
        <v>59</v>
      </c>
      <c r="I136" s="1117">
        <v>309</v>
      </c>
      <c r="J136" s="1117">
        <v>164</v>
      </c>
      <c r="K136" s="1117">
        <v>0</v>
      </c>
      <c r="L136" s="1117">
        <v>86</v>
      </c>
      <c r="M136" s="1117">
        <v>144</v>
      </c>
      <c r="N136" s="1117">
        <v>150</v>
      </c>
      <c r="O136" s="1117">
        <v>115</v>
      </c>
      <c r="P136" s="1117">
        <v>341</v>
      </c>
      <c r="Q136" s="1117">
        <v>233</v>
      </c>
      <c r="R136" s="1117">
        <v>67</v>
      </c>
      <c r="S136" s="1117">
        <v>113</v>
      </c>
      <c r="T136" s="1117">
        <v>157</v>
      </c>
      <c r="U136" s="1117">
        <v>187</v>
      </c>
      <c r="V136" s="1117">
        <v>0</v>
      </c>
      <c r="W136" s="1117">
        <v>248</v>
      </c>
      <c r="X136" s="1117">
        <v>196</v>
      </c>
      <c r="Y136" s="1117">
        <v>67</v>
      </c>
      <c r="Z136" s="1118">
        <v>0</v>
      </c>
      <c r="AA136" s="1118">
        <v>139</v>
      </c>
      <c r="AB136" s="1119">
        <v>166</v>
      </c>
      <c r="AC136" s="1119">
        <v>58</v>
      </c>
      <c r="AD136" s="1119">
        <v>165</v>
      </c>
      <c r="AE136" s="1119">
        <v>179</v>
      </c>
      <c r="AF136" s="1119">
        <v>179</v>
      </c>
      <c r="AG136" s="1119">
        <v>108</v>
      </c>
      <c r="AH136" s="1119">
        <v>156</v>
      </c>
      <c r="AI136" s="1119">
        <v>151</v>
      </c>
      <c r="AJ136" s="1119">
        <v>154</v>
      </c>
      <c r="AK136" s="781">
        <f t="shared" si="15"/>
        <v>4316</v>
      </c>
      <c r="AL136" s="1120">
        <v>43.742535793498057</v>
      </c>
      <c r="AM136" s="1112">
        <f t="shared" si="16"/>
        <v>1887.927844847376</v>
      </c>
      <c r="AN136" s="781">
        <v>4410</v>
      </c>
      <c r="AO136" s="1120">
        <v>3.39889129099826</v>
      </c>
      <c r="AP136" s="1112">
        <f t="shared" si="19"/>
        <v>149.89110593302325</v>
      </c>
      <c r="AQ136" s="1114">
        <f t="shared" si="18"/>
        <v>2037.8189507803993</v>
      </c>
      <c r="AR136" s="1156" t="s">
        <v>36</v>
      </c>
      <c r="AS136" s="388"/>
      <c r="AT136" s="388"/>
    </row>
    <row r="137" spans="1:46" ht="54" customHeight="1">
      <c r="A137" s="604">
        <v>119</v>
      </c>
      <c r="B137" s="604">
        <v>39</v>
      </c>
      <c r="C137" s="604" t="str">
        <f>'Chấm công KT'!C133</f>
        <v>03625</v>
      </c>
      <c r="D137" s="608" t="str">
        <f>'Chấm công KT'!D133</f>
        <v>N. Pheng</v>
      </c>
      <c r="E137" s="608"/>
      <c r="F137" s="1117">
        <v>167</v>
      </c>
      <c r="G137" s="1117">
        <v>239</v>
      </c>
      <c r="H137" s="1117">
        <v>65</v>
      </c>
      <c r="I137" s="1117">
        <v>253</v>
      </c>
      <c r="J137" s="1117">
        <v>206</v>
      </c>
      <c r="K137" s="1117">
        <v>126</v>
      </c>
      <c r="L137" s="1117">
        <v>181</v>
      </c>
      <c r="M137" s="1117">
        <v>103</v>
      </c>
      <c r="N137" s="1117">
        <v>209</v>
      </c>
      <c r="O137" s="1117">
        <v>0</v>
      </c>
      <c r="P137" s="1117">
        <v>366</v>
      </c>
      <c r="Q137" s="1117">
        <v>266</v>
      </c>
      <c r="R137" s="1117">
        <v>179</v>
      </c>
      <c r="S137" s="1117">
        <v>161</v>
      </c>
      <c r="T137" s="1117">
        <v>187</v>
      </c>
      <c r="U137" s="1117">
        <v>193</v>
      </c>
      <c r="V137" s="1117">
        <v>61</v>
      </c>
      <c r="W137" s="1117">
        <v>351</v>
      </c>
      <c r="X137" s="1117">
        <v>214</v>
      </c>
      <c r="Y137" s="1117">
        <v>60</v>
      </c>
      <c r="Z137" s="1118">
        <v>146</v>
      </c>
      <c r="AA137" s="1118">
        <v>132</v>
      </c>
      <c r="AB137" s="1119">
        <v>217</v>
      </c>
      <c r="AC137" s="1119">
        <v>92</v>
      </c>
      <c r="AD137" s="1119">
        <v>139</v>
      </c>
      <c r="AE137" s="1119">
        <v>136</v>
      </c>
      <c r="AF137" s="1119">
        <v>204</v>
      </c>
      <c r="AG137" s="1119">
        <v>123</v>
      </c>
      <c r="AH137" s="1119">
        <v>232</v>
      </c>
      <c r="AI137" s="1119">
        <v>141</v>
      </c>
      <c r="AJ137" s="1119">
        <v>219</v>
      </c>
      <c r="AK137" s="781">
        <f t="shared" si="15"/>
        <v>5368</v>
      </c>
      <c r="AL137" s="1120">
        <v>43.742535793498057</v>
      </c>
      <c r="AM137" s="1112">
        <f t="shared" si="16"/>
        <v>2348.0993213949755</v>
      </c>
      <c r="AN137" s="781">
        <v>5011</v>
      </c>
      <c r="AO137" s="1120">
        <v>3.39889129099826</v>
      </c>
      <c r="AP137" s="1112">
        <f t="shared" si="19"/>
        <v>170.3184425919228</v>
      </c>
      <c r="AQ137" s="1114">
        <f t="shared" si="18"/>
        <v>2518.4177639868985</v>
      </c>
      <c r="AR137" s="1156" t="s">
        <v>36</v>
      </c>
      <c r="AS137" s="388"/>
      <c r="AT137" s="388"/>
    </row>
    <row r="138" spans="1:46" ht="54" customHeight="1">
      <c r="A138" s="604">
        <v>120</v>
      </c>
      <c r="B138" s="604">
        <v>40</v>
      </c>
      <c r="C138" s="604" t="str">
        <f>'Chấm công KT'!C134</f>
        <v>03587</v>
      </c>
      <c r="D138" s="608" t="str">
        <f>'Chấm công KT'!D134</f>
        <v>N. Mom</v>
      </c>
      <c r="E138" s="608"/>
      <c r="F138" s="1117">
        <v>150</v>
      </c>
      <c r="G138" s="1117">
        <v>196</v>
      </c>
      <c r="H138" s="1117">
        <v>46</v>
      </c>
      <c r="I138" s="1117">
        <v>224</v>
      </c>
      <c r="J138" s="1117">
        <v>166</v>
      </c>
      <c r="K138" s="1117">
        <v>88</v>
      </c>
      <c r="L138" s="1117">
        <v>205</v>
      </c>
      <c r="M138" s="1117">
        <v>100</v>
      </c>
      <c r="N138" s="1117">
        <v>127</v>
      </c>
      <c r="O138" s="1117">
        <v>67</v>
      </c>
      <c r="P138" s="1117">
        <v>370</v>
      </c>
      <c r="Q138" s="1117">
        <v>249</v>
      </c>
      <c r="R138" s="1117">
        <v>76</v>
      </c>
      <c r="S138" s="1117">
        <v>152</v>
      </c>
      <c r="T138" s="1117">
        <v>139</v>
      </c>
      <c r="U138" s="1117">
        <v>175</v>
      </c>
      <c r="V138" s="1117">
        <v>51</v>
      </c>
      <c r="W138" s="1117">
        <v>322</v>
      </c>
      <c r="X138" s="1117">
        <v>117</v>
      </c>
      <c r="Y138" s="1117">
        <v>78</v>
      </c>
      <c r="Z138" s="1118">
        <v>110</v>
      </c>
      <c r="AA138" s="1118">
        <v>104</v>
      </c>
      <c r="AB138" s="1119">
        <v>159</v>
      </c>
      <c r="AC138" s="1119">
        <v>67</v>
      </c>
      <c r="AD138" s="1119">
        <v>149</v>
      </c>
      <c r="AE138" s="1119">
        <v>141</v>
      </c>
      <c r="AF138" s="1119">
        <v>137</v>
      </c>
      <c r="AG138" s="1119">
        <v>68</v>
      </c>
      <c r="AH138" s="1119">
        <v>204</v>
      </c>
      <c r="AI138" s="1119">
        <v>106</v>
      </c>
      <c r="AJ138" s="1119">
        <v>128</v>
      </c>
      <c r="AK138" s="781">
        <f t="shared" si="15"/>
        <v>4471</v>
      </c>
      <c r="AL138" s="1120">
        <v>43.742535793498057</v>
      </c>
      <c r="AM138" s="1112">
        <f t="shared" si="16"/>
        <v>1955.7287753272983</v>
      </c>
      <c r="AN138" s="781">
        <v>4614</v>
      </c>
      <c r="AO138" s="1120">
        <v>3.39889129099826</v>
      </c>
      <c r="AP138" s="1112">
        <f t="shared" si="19"/>
        <v>156.82484416665972</v>
      </c>
      <c r="AQ138" s="1114">
        <f t="shared" si="18"/>
        <v>2112.5536194939582</v>
      </c>
      <c r="AR138" s="1156" t="s">
        <v>36</v>
      </c>
      <c r="AS138" s="388"/>
      <c r="AT138" s="388"/>
    </row>
    <row r="139" spans="1:46" ht="54" customHeight="1">
      <c r="A139" s="604">
        <v>121</v>
      </c>
      <c r="B139" s="604">
        <v>41</v>
      </c>
      <c r="C139" s="604" t="str">
        <f>'Chấm công KT'!C135</f>
        <v>04079</v>
      </c>
      <c r="D139" s="608" t="str">
        <f>'Chấm công KT'!D135</f>
        <v>T. Môn</v>
      </c>
      <c r="E139" s="608"/>
      <c r="F139" s="1117">
        <v>106</v>
      </c>
      <c r="G139" s="1117">
        <v>65</v>
      </c>
      <c r="H139" s="1117">
        <v>42</v>
      </c>
      <c r="I139" s="1117">
        <v>130</v>
      </c>
      <c r="J139" s="1117">
        <v>62</v>
      </c>
      <c r="K139" s="1117">
        <v>72</v>
      </c>
      <c r="L139" s="1117">
        <v>94</v>
      </c>
      <c r="M139" s="1117">
        <v>92</v>
      </c>
      <c r="N139" s="1117">
        <v>113</v>
      </c>
      <c r="O139" s="1117">
        <v>72</v>
      </c>
      <c r="P139" s="1117">
        <v>226</v>
      </c>
      <c r="Q139" s="1117">
        <v>130</v>
      </c>
      <c r="R139" s="1117">
        <v>59</v>
      </c>
      <c r="S139" s="1117">
        <v>69</v>
      </c>
      <c r="T139" s="1117">
        <v>149</v>
      </c>
      <c r="U139" s="1117">
        <v>54</v>
      </c>
      <c r="V139" s="1117">
        <v>50</v>
      </c>
      <c r="W139" s="1117">
        <v>147</v>
      </c>
      <c r="X139" s="1117">
        <v>87</v>
      </c>
      <c r="Y139" s="1117">
        <v>67</v>
      </c>
      <c r="Z139" s="1118">
        <v>66</v>
      </c>
      <c r="AA139" s="1118">
        <v>102</v>
      </c>
      <c r="AB139" s="1119">
        <v>80</v>
      </c>
      <c r="AC139" s="1119">
        <v>51</v>
      </c>
      <c r="AD139" s="1119">
        <v>61</v>
      </c>
      <c r="AE139" s="1119">
        <v>103</v>
      </c>
      <c r="AF139" s="1119">
        <v>85</v>
      </c>
      <c r="AG139" s="1119">
        <v>84</v>
      </c>
      <c r="AH139" s="1119">
        <v>100</v>
      </c>
      <c r="AI139" s="1119">
        <v>119</v>
      </c>
      <c r="AJ139" s="1119">
        <v>161</v>
      </c>
      <c r="AK139" s="781">
        <f t="shared" si="15"/>
        <v>2898</v>
      </c>
      <c r="AL139" s="1120">
        <v>43.742535793498057</v>
      </c>
      <c r="AM139" s="1112">
        <f t="shared" si="16"/>
        <v>1267.6586872955736</v>
      </c>
      <c r="AN139" s="781">
        <v>3222</v>
      </c>
      <c r="AO139" s="1120">
        <v>3.39889129099826</v>
      </c>
      <c r="AP139" s="1112">
        <f t="shared" si="19"/>
        <v>109.51227739596393</v>
      </c>
      <c r="AQ139" s="1114">
        <f t="shared" si="18"/>
        <v>1377.1709646915376</v>
      </c>
      <c r="AR139" s="1156" t="s">
        <v>43</v>
      </c>
      <c r="AS139" s="388"/>
      <c r="AT139" s="388"/>
    </row>
    <row r="140" spans="1:46" ht="54" customHeight="1">
      <c r="A140" s="604">
        <v>122</v>
      </c>
      <c r="B140" s="604">
        <v>42</v>
      </c>
      <c r="C140" s="604" t="str">
        <f>'Chấm công KT'!C136</f>
        <v>03628</v>
      </c>
      <c r="D140" s="608" t="str">
        <f>'Chấm công KT'!D136</f>
        <v>Khăn Hạ</v>
      </c>
      <c r="E140" s="608"/>
      <c r="F140" s="1117">
        <v>0</v>
      </c>
      <c r="G140" s="1117">
        <v>118</v>
      </c>
      <c r="H140" s="1117">
        <v>58</v>
      </c>
      <c r="I140" s="1117">
        <v>219</v>
      </c>
      <c r="J140" s="1117">
        <v>194</v>
      </c>
      <c r="K140" s="1117">
        <v>44</v>
      </c>
      <c r="L140" s="1117">
        <v>126</v>
      </c>
      <c r="M140" s="1117">
        <v>177</v>
      </c>
      <c r="N140" s="1117">
        <v>0</v>
      </c>
      <c r="O140" s="1117">
        <v>0</v>
      </c>
      <c r="P140" s="1117">
        <v>0</v>
      </c>
      <c r="Q140" s="1117">
        <v>0</v>
      </c>
      <c r="R140" s="1117">
        <v>0</v>
      </c>
      <c r="S140" s="1117">
        <v>0</v>
      </c>
      <c r="T140" s="1117">
        <v>148</v>
      </c>
      <c r="U140" s="1117">
        <v>0</v>
      </c>
      <c r="V140" s="1117">
        <v>114</v>
      </c>
      <c r="W140" s="1117">
        <v>278</v>
      </c>
      <c r="X140" s="1117">
        <v>100</v>
      </c>
      <c r="Y140" s="1117">
        <v>106</v>
      </c>
      <c r="Z140" s="1118">
        <v>108</v>
      </c>
      <c r="AA140" s="1118">
        <v>130</v>
      </c>
      <c r="AB140" s="1119">
        <v>121</v>
      </c>
      <c r="AC140" s="1119">
        <v>34</v>
      </c>
      <c r="AD140" s="1119">
        <v>111</v>
      </c>
      <c r="AE140" s="1119">
        <v>134</v>
      </c>
      <c r="AF140" s="1119">
        <v>121</v>
      </c>
      <c r="AG140" s="1119">
        <v>50</v>
      </c>
      <c r="AH140" s="1119">
        <v>159</v>
      </c>
      <c r="AI140" s="1119">
        <v>133</v>
      </c>
      <c r="AJ140" s="1119">
        <v>193</v>
      </c>
      <c r="AK140" s="781">
        <f t="shared" si="15"/>
        <v>2976</v>
      </c>
      <c r="AL140" s="1120">
        <v>43.742535793498057</v>
      </c>
      <c r="AM140" s="1112">
        <f t="shared" si="16"/>
        <v>1301.7778652145023</v>
      </c>
      <c r="AN140" s="781">
        <v>3869</v>
      </c>
      <c r="AO140" s="1120">
        <v>3.39889129099826</v>
      </c>
      <c r="AP140" s="1112">
        <f t="shared" si="19"/>
        <v>131.50310404872269</v>
      </c>
      <c r="AQ140" s="1114">
        <f t="shared" si="18"/>
        <v>1433.280969263225</v>
      </c>
      <c r="AR140" s="1156" t="s">
        <v>43</v>
      </c>
      <c r="AS140" s="388"/>
      <c r="AT140" s="388"/>
    </row>
    <row r="141" spans="1:46" ht="54" customHeight="1">
      <c r="A141" s="604">
        <v>123</v>
      </c>
      <c r="B141" s="604">
        <v>43</v>
      </c>
      <c r="C141" s="604" t="str">
        <f>'Chấm công KT'!C137</f>
        <v>03629</v>
      </c>
      <c r="D141" s="608" t="str">
        <f>'Chấm công KT'!D137</f>
        <v>T. Chăn La .</v>
      </c>
      <c r="E141" s="608"/>
      <c r="F141" s="1117">
        <v>0</v>
      </c>
      <c r="G141" s="1117">
        <v>0</v>
      </c>
      <c r="H141" s="1117">
        <v>40</v>
      </c>
      <c r="I141" s="1117">
        <v>272</v>
      </c>
      <c r="J141" s="1117">
        <v>234</v>
      </c>
      <c r="K141" s="1117">
        <v>118</v>
      </c>
      <c r="L141" s="1117">
        <v>84</v>
      </c>
      <c r="M141" s="1117">
        <v>181</v>
      </c>
      <c r="N141" s="1117">
        <v>0</v>
      </c>
      <c r="O141" s="1117">
        <v>80</v>
      </c>
      <c r="P141" s="1117">
        <v>242</v>
      </c>
      <c r="Q141" s="1117">
        <v>119</v>
      </c>
      <c r="R141" s="1117">
        <v>66</v>
      </c>
      <c r="S141" s="1117">
        <v>60</v>
      </c>
      <c r="T141" s="1117">
        <v>197</v>
      </c>
      <c r="U141" s="1117">
        <v>0</v>
      </c>
      <c r="V141" s="1117">
        <v>75</v>
      </c>
      <c r="W141" s="1117">
        <v>201</v>
      </c>
      <c r="X141" s="1117">
        <v>132</v>
      </c>
      <c r="Y141" s="1117">
        <v>90</v>
      </c>
      <c r="Z141" s="1118">
        <v>40</v>
      </c>
      <c r="AA141" s="1118">
        <v>205</v>
      </c>
      <c r="AB141" s="1119">
        <v>178</v>
      </c>
      <c r="AC141" s="1119">
        <v>72</v>
      </c>
      <c r="AD141" s="1119">
        <v>95</v>
      </c>
      <c r="AE141" s="1119">
        <v>189</v>
      </c>
      <c r="AF141" s="1119">
        <v>147</v>
      </c>
      <c r="AG141" s="1119">
        <v>126</v>
      </c>
      <c r="AH141" s="1119">
        <v>107</v>
      </c>
      <c r="AI141" s="1119">
        <v>101</v>
      </c>
      <c r="AJ141" s="1119">
        <v>196</v>
      </c>
      <c r="AK141" s="781">
        <f t="shared" si="15"/>
        <v>3647</v>
      </c>
      <c r="AL141" s="1120">
        <v>43.742535793498057</v>
      </c>
      <c r="AM141" s="1112">
        <f t="shared" si="16"/>
        <v>1595.2902803888742</v>
      </c>
      <c r="AN141" s="781">
        <v>3132</v>
      </c>
      <c r="AO141" s="1120">
        <v>3.39889129099826</v>
      </c>
      <c r="AP141" s="1112">
        <f t="shared" si="19"/>
        <v>106.45327523406552</v>
      </c>
      <c r="AQ141" s="1114">
        <f t="shared" si="18"/>
        <v>1701.7435556229398</v>
      </c>
      <c r="AR141" s="1156" t="s">
        <v>36</v>
      </c>
      <c r="AS141" s="388"/>
      <c r="AT141" s="388"/>
    </row>
    <row r="142" spans="1:46" ht="54" customHeight="1">
      <c r="A142" s="604">
        <v>124</v>
      </c>
      <c r="B142" s="604">
        <v>44</v>
      </c>
      <c r="C142" s="604" t="str">
        <f>'Chấm công KT'!C138</f>
        <v>03630</v>
      </c>
      <c r="D142" s="608" t="str">
        <f>'Chấm công KT'!D138</f>
        <v>T. Nú</v>
      </c>
      <c r="E142" s="608"/>
      <c r="F142" s="1117">
        <v>0</v>
      </c>
      <c r="G142" s="1117">
        <v>117</v>
      </c>
      <c r="H142" s="1117">
        <v>51</v>
      </c>
      <c r="I142" s="1117">
        <v>215</v>
      </c>
      <c r="J142" s="1117">
        <v>186</v>
      </c>
      <c r="K142" s="1117">
        <v>59</v>
      </c>
      <c r="L142" s="1117">
        <v>136</v>
      </c>
      <c r="M142" s="1117">
        <v>155</v>
      </c>
      <c r="N142" s="1117">
        <v>0</v>
      </c>
      <c r="O142" s="1117">
        <v>0</v>
      </c>
      <c r="P142" s="1117">
        <v>0</v>
      </c>
      <c r="Q142" s="1117">
        <v>0</v>
      </c>
      <c r="R142" s="1117">
        <v>0</v>
      </c>
      <c r="S142" s="1117">
        <v>0</v>
      </c>
      <c r="T142" s="1117">
        <v>151</v>
      </c>
      <c r="U142" s="1117">
        <v>0</v>
      </c>
      <c r="V142" s="1117">
        <v>152</v>
      </c>
      <c r="W142" s="1117">
        <v>214</v>
      </c>
      <c r="X142" s="1117">
        <v>80</v>
      </c>
      <c r="Y142" s="1117">
        <v>70</v>
      </c>
      <c r="Z142" s="1118">
        <v>99</v>
      </c>
      <c r="AA142" s="1118">
        <v>120</v>
      </c>
      <c r="AB142" s="1119">
        <v>151</v>
      </c>
      <c r="AC142" s="1119">
        <v>40</v>
      </c>
      <c r="AD142" s="1119">
        <v>112</v>
      </c>
      <c r="AE142" s="1119">
        <v>122</v>
      </c>
      <c r="AF142" s="1119">
        <v>121</v>
      </c>
      <c r="AG142" s="1119">
        <v>50</v>
      </c>
      <c r="AH142" s="1119">
        <v>156</v>
      </c>
      <c r="AI142" s="1119">
        <v>130</v>
      </c>
      <c r="AJ142" s="1119">
        <v>157</v>
      </c>
      <c r="AK142" s="781">
        <f t="shared" si="15"/>
        <v>2844</v>
      </c>
      <c r="AL142" s="1120">
        <v>43.742535793498057</v>
      </c>
      <c r="AM142" s="1112">
        <f t="shared" si="16"/>
        <v>1244.0377179670847</v>
      </c>
      <c r="AN142" s="781">
        <v>3828</v>
      </c>
      <c r="AO142" s="1120">
        <v>3.39889129099826</v>
      </c>
      <c r="AP142" s="1112">
        <f t="shared" si="19"/>
        <v>130.10955861941341</v>
      </c>
      <c r="AQ142" s="1114">
        <f t="shared" si="18"/>
        <v>1374.1472765864983</v>
      </c>
      <c r="AR142" s="1156" t="s">
        <v>43</v>
      </c>
      <c r="AS142" s="388"/>
      <c r="AT142" s="388"/>
    </row>
    <row r="143" spans="1:46" ht="54" customHeight="1">
      <c r="A143" s="604">
        <v>125</v>
      </c>
      <c r="B143" s="604">
        <v>45</v>
      </c>
      <c r="C143" s="604" t="str">
        <f>'Chấm công KT'!C139</f>
        <v>03631</v>
      </c>
      <c r="D143" s="608" t="str">
        <f>'Chấm công KT'!D139</f>
        <v>T. Xan Nha</v>
      </c>
      <c r="E143" s="608"/>
      <c r="F143" s="1117">
        <v>0</v>
      </c>
      <c r="G143" s="1117">
        <v>0</v>
      </c>
      <c r="H143" s="1117">
        <v>44</v>
      </c>
      <c r="I143" s="1117">
        <v>246</v>
      </c>
      <c r="J143" s="1117">
        <v>244</v>
      </c>
      <c r="K143" s="1117">
        <v>108</v>
      </c>
      <c r="L143" s="1117">
        <v>128</v>
      </c>
      <c r="M143" s="1117">
        <v>160</v>
      </c>
      <c r="N143" s="1117">
        <v>0</v>
      </c>
      <c r="O143" s="1117">
        <v>94</v>
      </c>
      <c r="P143" s="1117">
        <v>301</v>
      </c>
      <c r="Q143" s="1117">
        <v>153</v>
      </c>
      <c r="R143" s="1117">
        <v>50</v>
      </c>
      <c r="S143" s="1117">
        <v>122</v>
      </c>
      <c r="T143" s="1117">
        <v>190</v>
      </c>
      <c r="U143" s="1117">
        <v>0</v>
      </c>
      <c r="V143" s="1117">
        <v>56</v>
      </c>
      <c r="W143" s="1117">
        <v>288</v>
      </c>
      <c r="X143" s="1117">
        <v>163</v>
      </c>
      <c r="Y143" s="1117">
        <v>97</v>
      </c>
      <c r="Z143" s="1118">
        <v>133</v>
      </c>
      <c r="AA143" s="1118">
        <v>164</v>
      </c>
      <c r="AB143" s="1119">
        <v>169</v>
      </c>
      <c r="AC143" s="1119">
        <v>75</v>
      </c>
      <c r="AD143" s="1119">
        <v>118</v>
      </c>
      <c r="AE143" s="1119">
        <v>180</v>
      </c>
      <c r="AF143" s="1119">
        <v>185</v>
      </c>
      <c r="AG143" s="1119">
        <v>119</v>
      </c>
      <c r="AH143" s="1119">
        <v>128</v>
      </c>
      <c r="AI143" s="1119">
        <v>100</v>
      </c>
      <c r="AJ143" s="1119">
        <v>152</v>
      </c>
      <c r="AK143" s="781">
        <f t="shared" si="15"/>
        <v>3967</v>
      </c>
      <c r="AL143" s="1120">
        <v>43.742535793498057</v>
      </c>
      <c r="AM143" s="1112">
        <f t="shared" si="16"/>
        <v>1735.2663949280679</v>
      </c>
      <c r="AN143" s="781">
        <v>3602</v>
      </c>
      <c r="AO143" s="1120">
        <v>3.39889129099826</v>
      </c>
      <c r="AP143" s="1112">
        <f t="shared" si="19"/>
        <v>122.42806430175733</v>
      </c>
      <c r="AQ143" s="1114">
        <f t="shared" si="18"/>
        <v>1857.6944592298253</v>
      </c>
      <c r="AR143" s="1156" t="s">
        <v>43</v>
      </c>
      <c r="AS143" s="388"/>
      <c r="AT143" s="388"/>
    </row>
    <row r="144" spans="1:46" ht="54" customHeight="1">
      <c r="A144" s="604">
        <v>126</v>
      </c>
      <c r="B144" s="604">
        <v>46</v>
      </c>
      <c r="C144" s="604" t="str">
        <f>'Chấm công KT'!C140</f>
        <v>03632</v>
      </c>
      <c r="D144" s="608" t="str">
        <f>'Chấm công KT'!D140</f>
        <v>T. A lem</v>
      </c>
      <c r="E144" s="608"/>
      <c r="F144" s="1117">
        <v>0</v>
      </c>
      <c r="G144" s="1117">
        <v>222</v>
      </c>
      <c r="H144" s="1117">
        <v>104</v>
      </c>
      <c r="I144" s="1117">
        <v>253</v>
      </c>
      <c r="J144" s="1117">
        <v>144</v>
      </c>
      <c r="K144" s="1117">
        <v>251</v>
      </c>
      <c r="L144" s="1117">
        <v>160</v>
      </c>
      <c r="M144" s="1117">
        <v>177</v>
      </c>
      <c r="N144" s="1117">
        <v>161</v>
      </c>
      <c r="O144" s="1117">
        <v>0</v>
      </c>
      <c r="P144" s="1117">
        <v>233</v>
      </c>
      <c r="Q144" s="1117">
        <v>174</v>
      </c>
      <c r="R144" s="1117">
        <v>300</v>
      </c>
      <c r="S144" s="1117">
        <v>195</v>
      </c>
      <c r="T144" s="1117">
        <v>181</v>
      </c>
      <c r="U144" s="1117">
        <v>0</v>
      </c>
      <c r="V144" s="1117">
        <v>70</v>
      </c>
      <c r="W144" s="1117">
        <v>268</v>
      </c>
      <c r="X144" s="1117">
        <v>168</v>
      </c>
      <c r="Y144" s="1117">
        <v>121</v>
      </c>
      <c r="Z144" s="1118">
        <v>0</v>
      </c>
      <c r="AA144" s="1118">
        <v>233</v>
      </c>
      <c r="AB144" s="1119">
        <v>0</v>
      </c>
      <c r="AC144" s="1119">
        <v>188</v>
      </c>
      <c r="AD144" s="1119">
        <v>192</v>
      </c>
      <c r="AE144" s="1119">
        <v>150</v>
      </c>
      <c r="AF144" s="1119">
        <v>113</v>
      </c>
      <c r="AG144" s="1119">
        <v>0</v>
      </c>
      <c r="AH144" s="1119">
        <v>246</v>
      </c>
      <c r="AI144" s="1119">
        <v>217</v>
      </c>
      <c r="AJ144" s="1119">
        <v>86</v>
      </c>
      <c r="AK144" s="781">
        <f t="shared" si="15"/>
        <v>4607</v>
      </c>
      <c r="AL144" s="1120">
        <v>43.742535793498057</v>
      </c>
      <c r="AM144" s="1112">
        <f t="shared" si="16"/>
        <v>2015.2186240064555</v>
      </c>
      <c r="AN144" s="781">
        <v>3622</v>
      </c>
      <c r="AO144" s="1120">
        <v>3.39889129099826</v>
      </c>
      <c r="AP144" s="1112">
        <f t="shared" si="19"/>
        <v>123.10784255995696</v>
      </c>
      <c r="AQ144" s="1114">
        <f t="shared" si="18"/>
        <v>2138.3264665664124</v>
      </c>
      <c r="AR144" s="1156" t="s">
        <v>36</v>
      </c>
      <c r="AS144" s="388"/>
      <c r="AT144" s="388"/>
    </row>
    <row r="145" spans="1:46" ht="54" customHeight="1">
      <c r="A145" s="604">
        <v>127</v>
      </c>
      <c r="B145" s="604">
        <v>47</v>
      </c>
      <c r="C145" s="604" t="str">
        <f>'Chấm công KT'!C141</f>
        <v>04080</v>
      </c>
      <c r="D145" s="608" t="str">
        <f>'Chấm công KT'!D141</f>
        <v>T. Phan</v>
      </c>
      <c r="E145" s="608"/>
      <c r="F145" s="1117">
        <v>0</v>
      </c>
      <c r="G145" s="1117">
        <v>120</v>
      </c>
      <c r="H145" s="1117">
        <v>85</v>
      </c>
      <c r="I145" s="1117">
        <v>212</v>
      </c>
      <c r="J145" s="1117">
        <v>97</v>
      </c>
      <c r="K145" s="1117">
        <v>100</v>
      </c>
      <c r="L145" s="1117">
        <v>106</v>
      </c>
      <c r="M145" s="1117">
        <v>153</v>
      </c>
      <c r="N145" s="1117">
        <v>131</v>
      </c>
      <c r="O145" s="1117">
        <v>109</v>
      </c>
      <c r="P145" s="1117">
        <v>336</v>
      </c>
      <c r="Q145" s="1117">
        <v>142</v>
      </c>
      <c r="R145" s="1117">
        <v>0</v>
      </c>
      <c r="S145" s="1117">
        <v>85</v>
      </c>
      <c r="T145" s="1117">
        <v>161</v>
      </c>
      <c r="U145" s="1117">
        <v>108</v>
      </c>
      <c r="V145" s="1117">
        <v>70</v>
      </c>
      <c r="W145" s="1117">
        <v>343</v>
      </c>
      <c r="X145" s="1117">
        <v>130</v>
      </c>
      <c r="Y145" s="1117">
        <v>0</v>
      </c>
      <c r="Z145" s="1118">
        <v>0</v>
      </c>
      <c r="AA145" s="1118">
        <v>181</v>
      </c>
      <c r="AB145" s="1119">
        <v>141</v>
      </c>
      <c r="AC145" s="1119">
        <v>108</v>
      </c>
      <c r="AD145" s="1119">
        <v>162</v>
      </c>
      <c r="AE145" s="1119">
        <v>208</v>
      </c>
      <c r="AF145" s="1119">
        <v>100</v>
      </c>
      <c r="AG145" s="1119">
        <v>90</v>
      </c>
      <c r="AH145" s="1119">
        <v>130</v>
      </c>
      <c r="AI145" s="1119">
        <v>184</v>
      </c>
      <c r="AJ145" s="1119">
        <v>171</v>
      </c>
      <c r="AK145" s="781">
        <f t="shared" si="15"/>
        <v>3963</v>
      </c>
      <c r="AL145" s="1120">
        <v>43.742535793498057</v>
      </c>
      <c r="AM145" s="1112">
        <f t="shared" si="16"/>
        <v>1733.5166934963281</v>
      </c>
      <c r="AN145" s="781">
        <v>4178</v>
      </c>
      <c r="AO145" s="1120">
        <v>3.39889129099826</v>
      </c>
      <c r="AP145" s="1112">
        <f t="shared" si="19"/>
        <v>142.0056781379073</v>
      </c>
      <c r="AQ145" s="1114">
        <f t="shared" si="18"/>
        <v>1875.5223716342355</v>
      </c>
      <c r="AR145" s="1156" t="s">
        <v>43</v>
      </c>
      <c r="AS145" s="388"/>
      <c r="AT145" s="388"/>
    </row>
    <row r="146" spans="1:46" ht="54" customHeight="1">
      <c r="A146" s="604">
        <v>128</v>
      </c>
      <c r="B146" s="604">
        <v>48</v>
      </c>
      <c r="C146" s="604" t="str">
        <f>'Chấm công KT'!C142</f>
        <v>03634</v>
      </c>
      <c r="D146" s="608" t="str">
        <f>'Chấm công KT'!D142</f>
        <v>T . Cổ</v>
      </c>
      <c r="E146" s="608"/>
      <c r="F146" s="1117">
        <v>0</v>
      </c>
      <c r="G146" s="1117">
        <v>314</v>
      </c>
      <c r="H146" s="1117">
        <v>141</v>
      </c>
      <c r="I146" s="1117">
        <v>71</v>
      </c>
      <c r="J146" s="1117">
        <v>322</v>
      </c>
      <c r="K146" s="1117">
        <v>153</v>
      </c>
      <c r="L146" s="1117">
        <v>150</v>
      </c>
      <c r="M146" s="1117">
        <v>214</v>
      </c>
      <c r="N146" s="1117">
        <v>307</v>
      </c>
      <c r="O146" s="1117">
        <v>131</v>
      </c>
      <c r="P146" s="1117">
        <v>367</v>
      </c>
      <c r="Q146" s="1117">
        <v>318</v>
      </c>
      <c r="R146" s="1117">
        <v>92</v>
      </c>
      <c r="S146" s="1117">
        <v>115</v>
      </c>
      <c r="T146" s="1117">
        <v>209</v>
      </c>
      <c r="U146" s="1117">
        <v>278</v>
      </c>
      <c r="V146" s="1117">
        <v>90</v>
      </c>
      <c r="W146" s="1117">
        <v>334</v>
      </c>
      <c r="X146" s="1117">
        <v>346</v>
      </c>
      <c r="Y146" s="1117">
        <v>107</v>
      </c>
      <c r="Z146" s="1118">
        <v>114</v>
      </c>
      <c r="AA146" s="1118">
        <v>181</v>
      </c>
      <c r="AB146" s="1119">
        <v>326</v>
      </c>
      <c r="AC146" s="1119">
        <v>0</v>
      </c>
      <c r="AD146" s="1119">
        <v>99</v>
      </c>
      <c r="AE146" s="1119">
        <v>193</v>
      </c>
      <c r="AF146" s="1119">
        <v>269</v>
      </c>
      <c r="AG146" s="1119">
        <v>0</v>
      </c>
      <c r="AH146" s="1119">
        <v>103</v>
      </c>
      <c r="AI146" s="1119">
        <v>194</v>
      </c>
      <c r="AJ146" s="1119">
        <v>186</v>
      </c>
      <c r="AK146" s="781">
        <f t="shared" si="15"/>
        <v>5724</v>
      </c>
      <c r="AL146" s="1120">
        <v>43.742535793498057</v>
      </c>
      <c r="AM146" s="1112">
        <f t="shared" si="16"/>
        <v>2503.822748819829</v>
      </c>
      <c r="AN146" s="781">
        <v>5271</v>
      </c>
      <c r="AO146" s="1120">
        <v>3.39889129099826</v>
      </c>
      <c r="AP146" s="1112">
        <f t="shared" si="19"/>
        <v>179.15555994851829</v>
      </c>
      <c r="AQ146" s="1114">
        <f t="shared" si="18"/>
        <v>2682.9783087683472</v>
      </c>
      <c r="AR146" s="1156" t="s">
        <v>43</v>
      </c>
      <c r="AS146" s="388"/>
      <c r="AT146" s="388"/>
    </row>
    <row r="147" spans="1:46" ht="54" customHeight="1">
      <c r="A147" s="604">
        <v>129</v>
      </c>
      <c r="B147" s="604">
        <v>49</v>
      </c>
      <c r="C147" s="604" t="str">
        <f>'Chấm công KT'!C143</f>
        <v>03635</v>
      </c>
      <c r="D147" s="608" t="str">
        <f>'Chấm công KT'!D143</f>
        <v>N. Phim Pha</v>
      </c>
      <c r="E147" s="608"/>
      <c r="F147" s="1117">
        <v>0</v>
      </c>
      <c r="G147" s="1117">
        <v>0</v>
      </c>
      <c r="H147" s="1117">
        <v>0</v>
      </c>
      <c r="I147" s="1117">
        <v>75</v>
      </c>
      <c r="J147" s="1117">
        <v>190</v>
      </c>
      <c r="K147" s="1117">
        <v>52</v>
      </c>
      <c r="L147" s="1117">
        <v>166</v>
      </c>
      <c r="M147" s="1117">
        <v>249</v>
      </c>
      <c r="N147" s="1117">
        <v>162</v>
      </c>
      <c r="O147" s="1117">
        <v>0</v>
      </c>
      <c r="P147" s="1117">
        <v>407</v>
      </c>
      <c r="Q147" s="1117">
        <v>181</v>
      </c>
      <c r="R147" s="1117">
        <v>0</v>
      </c>
      <c r="S147" s="1117">
        <v>145</v>
      </c>
      <c r="T147" s="1117">
        <v>223</v>
      </c>
      <c r="U147" s="1117">
        <v>0</v>
      </c>
      <c r="V147" s="1117">
        <v>38</v>
      </c>
      <c r="W147" s="1117">
        <v>225</v>
      </c>
      <c r="X147" s="1117">
        <v>193</v>
      </c>
      <c r="Y147" s="1117">
        <v>48</v>
      </c>
      <c r="Z147" s="1118">
        <v>96</v>
      </c>
      <c r="AA147" s="1118">
        <v>170</v>
      </c>
      <c r="AB147" s="1119">
        <v>145</v>
      </c>
      <c r="AC147" s="1119">
        <v>0</v>
      </c>
      <c r="AD147" s="1119">
        <v>120</v>
      </c>
      <c r="AE147" s="1119">
        <v>170</v>
      </c>
      <c r="AF147" s="1119">
        <v>177</v>
      </c>
      <c r="AG147" s="1119">
        <v>92</v>
      </c>
      <c r="AH147" s="1119">
        <v>160</v>
      </c>
      <c r="AI147" s="1119">
        <v>166</v>
      </c>
      <c r="AJ147" s="1119">
        <v>237</v>
      </c>
      <c r="AK147" s="781">
        <f t="shared" si="15"/>
        <v>3887</v>
      </c>
      <c r="AL147" s="1120">
        <v>43.742535793498057</v>
      </c>
      <c r="AM147" s="1112">
        <f t="shared" si="16"/>
        <v>1700.2723662932694</v>
      </c>
      <c r="AN147" s="781">
        <v>3572</v>
      </c>
      <c r="AO147" s="1120">
        <v>3.39889129099826</v>
      </c>
      <c r="AP147" s="1112">
        <f t="shared" si="19"/>
        <v>121.40839691445784</v>
      </c>
      <c r="AQ147" s="1114">
        <f t="shared" si="18"/>
        <v>1821.6807632077273</v>
      </c>
      <c r="AR147" s="1156" t="s">
        <v>43</v>
      </c>
      <c r="AS147" s="388"/>
      <c r="AT147" s="388"/>
    </row>
    <row r="148" spans="1:46" ht="54" customHeight="1">
      <c r="A148" s="604">
        <v>130</v>
      </c>
      <c r="B148" s="604">
        <v>50</v>
      </c>
      <c r="C148" s="604" t="str">
        <f>'Chấm công KT'!C144</f>
        <v>03636</v>
      </c>
      <c r="D148" s="608" t="str">
        <f>'Chấm công KT'!D144</f>
        <v xml:space="preserve">T. Xeng </v>
      </c>
      <c r="E148" s="608"/>
      <c r="F148" s="1117">
        <v>0</v>
      </c>
      <c r="G148" s="1117">
        <v>194</v>
      </c>
      <c r="H148" s="1117">
        <v>75</v>
      </c>
      <c r="I148" s="1117">
        <v>261</v>
      </c>
      <c r="J148" s="1117">
        <v>140</v>
      </c>
      <c r="K148" s="1117">
        <v>130</v>
      </c>
      <c r="L148" s="1117">
        <v>121</v>
      </c>
      <c r="M148" s="1117">
        <v>156</v>
      </c>
      <c r="N148" s="1117">
        <v>162</v>
      </c>
      <c r="O148" s="1117">
        <v>130</v>
      </c>
      <c r="P148" s="1117">
        <v>362</v>
      </c>
      <c r="Q148" s="1117">
        <v>190</v>
      </c>
      <c r="R148" s="1117">
        <v>89</v>
      </c>
      <c r="S148" s="1117">
        <v>95</v>
      </c>
      <c r="T148" s="1117">
        <v>188</v>
      </c>
      <c r="U148" s="1117">
        <v>119</v>
      </c>
      <c r="V148" s="1117">
        <v>96</v>
      </c>
      <c r="W148" s="1117">
        <v>233</v>
      </c>
      <c r="X148" s="1117">
        <v>131</v>
      </c>
      <c r="Y148" s="1117">
        <v>104</v>
      </c>
      <c r="Z148" s="1118">
        <v>101</v>
      </c>
      <c r="AA148" s="1118">
        <v>171</v>
      </c>
      <c r="AB148" s="1119">
        <v>139</v>
      </c>
      <c r="AC148" s="1119">
        <v>80</v>
      </c>
      <c r="AD148" s="1119">
        <v>105</v>
      </c>
      <c r="AE148" s="1119">
        <v>172</v>
      </c>
      <c r="AF148" s="1119">
        <v>183</v>
      </c>
      <c r="AG148" s="1119">
        <v>145</v>
      </c>
      <c r="AH148" s="1119">
        <v>157</v>
      </c>
      <c r="AI148" s="1119">
        <v>174</v>
      </c>
      <c r="AJ148" s="1119">
        <v>168</v>
      </c>
      <c r="AK148" s="781">
        <f t="shared" si="15"/>
        <v>4571</v>
      </c>
      <c r="AL148" s="1120">
        <v>43.742535793498057</v>
      </c>
      <c r="AM148" s="1112">
        <f t="shared" si="16"/>
        <v>1999.4713111207964</v>
      </c>
      <c r="AN148" s="781">
        <v>4297</v>
      </c>
      <c r="AO148" s="1120">
        <v>3.39889129099826</v>
      </c>
      <c r="AP148" s="1112">
        <f t="shared" si="19"/>
        <v>146.05035877419522</v>
      </c>
      <c r="AQ148" s="1114">
        <f t="shared" si="18"/>
        <v>2145.5216698949916</v>
      </c>
      <c r="AR148" s="1156" t="s">
        <v>43</v>
      </c>
      <c r="AS148" s="388"/>
      <c r="AT148" s="388"/>
    </row>
    <row r="149" spans="1:46" ht="54" customHeight="1">
      <c r="A149" s="604">
        <v>131</v>
      </c>
      <c r="B149" s="604">
        <v>51</v>
      </c>
      <c r="C149" s="604" t="str">
        <f>'Chấm công KT'!C145</f>
        <v>03637</v>
      </c>
      <c r="D149" s="608" t="str">
        <f>'Chấm công KT'!D145</f>
        <v>T. Vạt</v>
      </c>
      <c r="E149" s="608"/>
      <c r="F149" s="1117">
        <v>0</v>
      </c>
      <c r="G149" s="1117">
        <v>107</v>
      </c>
      <c r="H149" s="1117">
        <v>73</v>
      </c>
      <c r="I149" s="1117">
        <v>270</v>
      </c>
      <c r="J149" s="1117">
        <v>169</v>
      </c>
      <c r="K149" s="1117">
        <v>101</v>
      </c>
      <c r="L149" s="1117">
        <v>144</v>
      </c>
      <c r="M149" s="1117">
        <v>196</v>
      </c>
      <c r="N149" s="1117">
        <v>169</v>
      </c>
      <c r="O149" s="1117">
        <v>135</v>
      </c>
      <c r="P149" s="1117">
        <v>420</v>
      </c>
      <c r="Q149" s="1117">
        <v>208</v>
      </c>
      <c r="R149" s="1117">
        <v>116</v>
      </c>
      <c r="S149" s="1117">
        <v>142</v>
      </c>
      <c r="T149" s="1117">
        <v>242</v>
      </c>
      <c r="U149" s="1117">
        <v>170</v>
      </c>
      <c r="V149" s="1117">
        <v>103</v>
      </c>
      <c r="W149" s="1117">
        <v>287</v>
      </c>
      <c r="X149" s="1117">
        <v>217</v>
      </c>
      <c r="Y149" s="1117">
        <v>126</v>
      </c>
      <c r="Z149" s="1118">
        <v>113</v>
      </c>
      <c r="AA149" s="1118">
        <v>0</v>
      </c>
      <c r="AB149" s="1119">
        <v>0</v>
      </c>
      <c r="AC149" s="1119">
        <v>90</v>
      </c>
      <c r="AD149" s="1119">
        <v>84</v>
      </c>
      <c r="AE149" s="1119">
        <v>224</v>
      </c>
      <c r="AF149" s="1119">
        <v>137</v>
      </c>
      <c r="AG149" s="1119">
        <v>112</v>
      </c>
      <c r="AH149" s="1119">
        <v>175</v>
      </c>
      <c r="AI149" s="1119">
        <v>237</v>
      </c>
      <c r="AJ149" s="1119">
        <v>168</v>
      </c>
      <c r="AK149" s="781">
        <f t="shared" si="15"/>
        <v>4735</v>
      </c>
      <c r="AL149" s="1120">
        <v>43.742535793498057</v>
      </c>
      <c r="AM149" s="1112">
        <f t="shared" si="16"/>
        <v>2071.2090698221327</v>
      </c>
      <c r="AN149" s="781">
        <v>4565</v>
      </c>
      <c r="AO149" s="1120">
        <v>3.39889129099826</v>
      </c>
      <c r="AP149" s="1112">
        <f t="shared" si="19"/>
        <v>155.15938743407057</v>
      </c>
      <c r="AQ149" s="1114">
        <f t="shared" si="18"/>
        <v>2226.3684572562033</v>
      </c>
      <c r="AR149" s="1156" t="s">
        <v>43</v>
      </c>
      <c r="AS149" s="388"/>
      <c r="AT149" s="388"/>
    </row>
    <row r="150" spans="1:46" ht="54" customHeight="1">
      <c r="A150" s="604">
        <v>132</v>
      </c>
      <c r="B150" s="604">
        <v>52</v>
      </c>
      <c r="C150" s="604" t="str">
        <f>'Chấm công KT'!C146</f>
        <v>03638</v>
      </c>
      <c r="D150" s="608" t="str">
        <f>'Chấm công KT'!D146</f>
        <v>T. Lay</v>
      </c>
      <c r="E150" s="608"/>
      <c r="F150" s="1117">
        <v>0</v>
      </c>
      <c r="G150" s="1117">
        <v>112</v>
      </c>
      <c r="H150" s="1117">
        <v>0</v>
      </c>
      <c r="I150" s="1117">
        <v>426</v>
      </c>
      <c r="J150" s="1117">
        <v>102</v>
      </c>
      <c r="K150" s="1117">
        <v>199</v>
      </c>
      <c r="L150" s="1117">
        <v>73</v>
      </c>
      <c r="M150" s="1117">
        <v>0</v>
      </c>
      <c r="N150" s="1117">
        <v>0</v>
      </c>
      <c r="O150" s="1117">
        <v>0</v>
      </c>
      <c r="P150" s="1117">
        <v>0</v>
      </c>
      <c r="Q150" s="1117">
        <v>137</v>
      </c>
      <c r="R150" s="1117">
        <v>0</v>
      </c>
      <c r="S150" s="1117">
        <v>126</v>
      </c>
      <c r="T150" s="1117">
        <v>522</v>
      </c>
      <c r="U150" s="1117">
        <v>0</v>
      </c>
      <c r="V150" s="1117">
        <v>124</v>
      </c>
      <c r="W150" s="1117">
        <v>75</v>
      </c>
      <c r="X150" s="1117">
        <v>167</v>
      </c>
      <c r="Y150" s="1117">
        <v>0</v>
      </c>
      <c r="Z150" s="1118">
        <v>60</v>
      </c>
      <c r="AA150" s="1118">
        <v>295</v>
      </c>
      <c r="AB150" s="1119">
        <v>113</v>
      </c>
      <c r="AC150" s="1119">
        <v>245</v>
      </c>
      <c r="AD150" s="1119">
        <v>0</v>
      </c>
      <c r="AE150" s="1119">
        <v>212</v>
      </c>
      <c r="AF150" s="1119">
        <v>161</v>
      </c>
      <c r="AG150" s="1119">
        <v>204</v>
      </c>
      <c r="AH150" s="1119">
        <v>241</v>
      </c>
      <c r="AI150" s="1119">
        <v>211</v>
      </c>
      <c r="AJ150" s="1119">
        <v>124</v>
      </c>
      <c r="AK150" s="781">
        <f t="shared" si="15"/>
        <v>3929</v>
      </c>
      <c r="AL150" s="1120">
        <v>43.742535793498057</v>
      </c>
      <c r="AM150" s="1112">
        <f t="shared" si="16"/>
        <v>1718.6442313265388</v>
      </c>
      <c r="AN150" s="781">
        <v>4269</v>
      </c>
      <c r="AO150" s="1120">
        <v>3.39889129099826</v>
      </c>
      <c r="AP150" s="1112">
        <f t="shared" si="19"/>
        <v>145.09866921271572</v>
      </c>
      <c r="AQ150" s="1114">
        <f t="shared" si="18"/>
        <v>1863.7429005392546</v>
      </c>
      <c r="AR150" s="1156" t="s">
        <v>36</v>
      </c>
      <c r="AS150" s="388"/>
      <c r="AT150" s="388"/>
    </row>
    <row r="151" spans="1:46" ht="54" customHeight="1">
      <c r="A151" s="604">
        <v>133</v>
      </c>
      <c r="B151" s="604">
        <v>53</v>
      </c>
      <c r="C151" s="604" t="str">
        <f>'Chấm công KT'!C147</f>
        <v>04081</v>
      </c>
      <c r="D151" s="608" t="str">
        <f>'Chấm công KT'!D147</f>
        <v>N. Nọi</v>
      </c>
      <c r="E151" s="608"/>
      <c r="F151" s="1117">
        <v>0</v>
      </c>
      <c r="G151" s="1117">
        <v>113</v>
      </c>
      <c r="H151" s="1117">
        <v>0</v>
      </c>
      <c r="I151" s="1117">
        <v>408</v>
      </c>
      <c r="J151" s="1117">
        <v>86</v>
      </c>
      <c r="K151" s="1117">
        <v>209</v>
      </c>
      <c r="L151" s="1117">
        <v>78</v>
      </c>
      <c r="M151" s="1117">
        <v>0</v>
      </c>
      <c r="N151" s="1117">
        <v>0</v>
      </c>
      <c r="O151" s="1117">
        <v>0</v>
      </c>
      <c r="P151" s="1117">
        <v>0</v>
      </c>
      <c r="Q151" s="1117">
        <v>107</v>
      </c>
      <c r="R151" s="1117">
        <v>0</v>
      </c>
      <c r="S151" s="1117">
        <v>139</v>
      </c>
      <c r="T151" s="1117">
        <v>504</v>
      </c>
      <c r="U151" s="1117">
        <v>0</v>
      </c>
      <c r="V151" s="1117">
        <v>134</v>
      </c>
      <c r="W151" s="1117">
        <v>90</v>
      </c>
      <c r="X151" s="1117">
        <v>214</v>
      </c>
      <c r="Y151" s="1117">
        <v>0</v>
      </c>
      <c r="Z151" s="1118">
        <v>56</v>
      </c>
      <c r="AA151" s="1118">
        <v>347</v>
      </c>
      <c r="AB151" s="1119">
        <v>105</v>
      </c>
      <c r="AC151" s="1119">
        <v>214</v>
      </c>
      <c r="AD151" s="1119">
        <v>0</v>
      </c>
      <c r="AE151" s="1119">
        <v>206</v>
      </c>
      <c r="AF151" s="1119">
        <v>145</v>
      </c>
      <c r="AG151" s="1119">
        <v>165</v>
      </c>
      <c r="AH151" s="1119">
        <v>312</v>
      </c>
      <c r="AI151" s="1119">
        <v>217</v>
      </c>
      <c r="AJ151" s="1119">
        <v>130</v>
      </c>
      <c r="AK151" s="781">
        <f t="shared" si="15"/>
        <v>3979</v>
      </c>
      <c r="AL151" s="1120">
        <v>43.742535793498057</v>
      </c>
      <c r="AM151" s="1112">
        <f t="shared" si="16"/>
        <v>1740.5154992232876</v>
      </c>
      <c r="AN151" s="781">
        <v>4356</v>
      </c>
      <c r="AO151" s="1120">
        <v>3.39889129099826</v>
      </c>
      <c r="AP151" s="1112">
        <f t="shared" si="19"/>
        <v>148.05570463588421</v>
      </c>
      <c r="AQ151" s="1114">
        <f t="shared" si="18"/>
        <v>1888.5712038591719</v>
      </c>
      <c r="AR151" s="1156" t="s">
        <v>36</v>
      </c>
      <c r="AS151" s="388"/>
      <c r="AT151" s="388"/>
    </row>
    <row r="152" spans="1:46" ht="54" customHeight="1">
      <c r="A152" s="604">
        <v>134</v>
      </c>
      <c r="B152" s="604">
        <v>54</v>
      </c>
      <c r="C152" s="604" t="str">
        <f>'Chấm công KT'!C148</f>
        <v>04082</v>
      </c>
      <c r="D152" s="608" t="str">
        <f>'Chấm công KT'!D148</f>
        <v>T Bun Xi</v>
      </c>
      <c r="E152" s="608"/>
      <c r="F152" s="1117">
        <v>0</v>
      </c>
      <c r="G152" s="1117">
        <v>179</v>
      </c>
      <c r="H152" s="1117">
        <v>96</v>
      </c>
      <c r="I152" s="1117">
        <v>314</v>
      </c>
      <c r="J152" s="1117">
        <v>80</v>
      </c>
      <c r="K152" s="1117">
        <v>85</v>
      </c>
      <c r="L152" s="1117">
        <v>95</v>
      </c>
      <c r="M152" s="1117">
        <v>144</v>
      </c>
      <c r="N152" s="1117">
        <v>0</v>
      </c>
      <c r="O152" s="1117">
        <v>0</v>
      </c>
      <c r="P152" s="1117">
        <v>238</v>
      </c>
      <c r="Q152" s="1117">
        <v>224</v>
      </c>
      <c r="R152" s="1117">
        <v>0</v>
      </c>
      <c r="S152" s="1117">
        <v>88</v>
      </c>
      <c r="T152" s="1117">
        <v>147</v>
      </c>
      <c r="U152" s="1117">
        <v>73</v>
      </c>
      <c r="V152" s="1117">
        <v>204</v>
      </c>
      <c r="W152" s="1117">
        <v>296</v>
      </c>
      <c r="X152" s="1117">
        <v>0</v>
      </c>
      <c r="Y152" s="1117">
        <v>0</v>
      </c>
      <c r="Z152" s="1118">
        <v>125</v>
      </c>
      <c r="AA152" s="1118">
        <v>180</v>
      </c>
      <c r="AB152" s="1119">
        <v>300</v>
      </c>
      <c r="AC152" s="1119">
        <v>133</v>
      </c>
      <c r="AD152" s="1119">
        <v>161</v>
      </c>
      <c r="AE152" s="1119">
        <v>221</v>
      </c>
      <c r="AF152" s="1119">
        <v>161</v>
      </c>
      <c r="AG152" s="1119">
        <v>99</v>
      </c>
      <c r="AH152" s="1119">
        <v>167</v>
      </c>
      <c r="AI152" s="1119">
        <v>221</v>
      </c>
      <c r="AJ152" s="1119">
        <v>151</v>
      </c>
      <c r="AK152" s="781">
        <f t="shared" si="15"/>
        <v>4182</v>
      </c>
      <c r="AL152" s="1120">
        <v>43.742535793498057</v>
      </c>
      <c r="AM152" s="1112">
        <f t="shared" si="16"/>
        <v>1829.3128468840887</v>
      </c>
      <c r="AN152" s="781">
        <v>4073</v>
      </c>
      <c r="AO152" s="1120">
        <v>3.39889129099826</v>
      </c>
      <c r="AP152" s="1112">
        <f t="shared" si="19"/>
        <v>138.43684228235915</v>
      </c>
      <c r="AQ152" s="1114">
        <f t="shared" si="18"/>
        <v>1967.7496891664478</v>
      </c>
      <c r="AR152" s="1156" t="s">
        <v>36</v>
      </c>
      <c r="AS152" s="388"/>
      <c r="AT152" s="388"/>
    </row>
    <row r="153" spans="1:46" ht="54" customHeight="1">
      <c r="A153" s="604">
        <v>135</v>
      </c>
      <c r="B153" s="604">
        <v>55</v>
      </c>
      <c r="C153" s="604" t="str">
        <f>'Chấm công KT'!C149</f>
        <v>04083</v>
      </c>
      <c r="D153" s="608" t="str">
        <f>'Chấm công KT'!D149</f>
        <v>N. Bù</v>
      </c>
      <c r="E153" s="608"/>
      <c r="F153" s="1117">
        <v>0</v>
      </c>
      <c r="G153" s="1117">
        <v>0</v>
      </c>
      <c r="H153" s="1117">
        <v>0</v>
      </c>
      <c r="I153" s="1117">
        <v>260</v>
      </c>
      <c r="J153" s="1117">
        <v>219</v>
      </c>
      <c r="K153" s="1117">
        <v>102</v>
      </c>
      <c r="L153" s="1117">
        <v>126</v>
      </c>
      <c r="M153" s="1117">
        <v>141</v>
      </c>
      <c r="N153" s="1117">
        <v>111</v>
      </c>
      <c r="O153" s="1117">
        <v>89</v>
      </c>
      <c r="P153" s="1117">
        <v>98</v>
      </c>
      <c r="Q153" s="1117">
        <v>132</v>
      </c>
      <c r="R153" s="1117">
        <v>85</v>
      </c>
      <c r="S153" s="1117">
        <v>117</v>
      </c>
      <c r="T153" s="1117">
        <v>218</v>
      </c>
      <c r="U153" s="1117">
        <v>175</v>
      </c>
      <c r="V153" s="1117">
        <v>50</v>
      </c>
      <c r="W153" s="1117">
        <v>263</v>
      </c>
      <c r="X153" s="1117">
        <v>199</v>
      </c>
      <c r="Y153" s="1117">
        <v>0</v>
      </c>
      <c r="Z153" s="1118">
        <v>90</v>
      </c>
      <c r="AA153" s="1118">
        <v>148</v>
      </c>
      <c r="AB153" s="1119">
        <v>165</v>
      </c>
      <c r="AC153" s="1119">
        <v>87</v>
      </c>
      <c r="AD153" s="1119">
        <v>104</v>
      </c>
      <c r="AE153" s="1119">
        <v>122</v>
      </c>
      <c r="AF153" s="1119">
        <v>130</v>
      </c>
      <c r="AG153" s="1119">
        <v>104</v>
      </c>
      <c r="AH153" s="1119">
        <v>165</v>
      </c>
      <c r="AI153" s="1119">
        <v>148</v>
      </c>
      <c r="AJ153" s="1119">
        <v>157</v>
      </c>
      <c r="AK153" s="781">
        <f t="shared" si="15"/>
        <v>3805</v>
      </c>
      <c r="AL153" s="1120">
        <v>43.742535793498057</v>
      </c>
      <c r="AM153" s="1112">
        <f t="shared" si="16"/>
        <v>1664.4034869426011</v>
      </c>
      <c r="AN153" s="781">
        <v>3767</v>
      </c>
      <c r="AO153" s="1120">
        <v>3.39889129099826</v>
      </c>
      <c r="AP153" s="1112">
        <f t="shared" si="19"/>
        <v>128.03623493190446</v>
      </c>
      <c r="AQ153" s="1114">
        <f t="shared" si="18"/>
        <v>1792.4397218745057</v>
      </c>
      <c r="AR153" s="1156" t="s">
        <v>36</v>
      </c>
      <c r="AS153" s="388"/>
      <c r="AT153" s="388"/>
    </row>
    <row r="154" spans="1:46" ht="54" customHeight="1">
      <c r="A154" s="604">
        <v>136</v>
      </c>
      <c r="B154" s="604">
        <v>56</v>
      </c>
      <c r="C154" s="604" t="str">
        <f>'Chấm công KT'!C150</f>
        <v>03642</v>
      </c>
      <c r="D154" s="608" t="str">
        <f>'Chấm công KT'!D150</f>
        <v>T. Xơn</v>
      </c>
      <c r="E154" s="608"/>
      <c r="F154" s="1117">
        <v>0</v>
      </c>
      <c r="G154" s="1117">
        <v>177</v>
      </c>
      <c r="H154" s="1117">
        <v>89</v>
      </c>
      <c r="I154" s="1117">
        <v>277</v>
      </c>
      <c r="J154" s="1117">
        <v>100</v>
      </c>
      <c r="K154" s="1117">
        <v>87</v>
      </c>
      <c r="L154" s="1117">
        <v>98</v>
      </c>
      <c r="M154" s="1117">
        <v>171</v>
      </c>
      <c r="N154" s="1117">
        <v>0</v>
      </c>
      <c r="O154" s="1117">
        <v>0</v>
      </c>
      <c r="P154" s="1117">
        <v>246</v>
      </c>
      <c r="Q154" s="1117">
        <v>229</v>
      </c>
      <c r="R154" s="1117">
        <v>0</v>
      </c>
      <c r="S154" s="1117">
        <v>90</v>
      </c>
      <c r="T154" s="1117">
        <v>146</v>
      </c>
      <c r="U154" s="1117">
        <v>73</v>
      </c>
      <c r="V154" s="1117">
        <v>186</v>
      </c>
      <c r="W154" s="1117">
        <v>303</v>
      </c>
      <c r="X154" s="1117">
        <v>0</v>
      </c>
      <c r="Y154" s="1117">
        <v>0</v>
      </c>
      <c r="Z154" s="1118">
        <v>126</v>
      </c>
      <c r="AA154" s="1118">
        <v>185</v>
      </c>
      <c r="AB154" s="1119">
        <v>295</v>
      </c>
      <c r="AC154" s="1119">
        <v>121</v>
      </c>
      <c r="AD154" s="1119">
        <v>102</v>
      </c>
      <c r="AE154" s="1119">
        <v>199</v>
      </c>
      <c r="AF154" s="1119">
        <v>179</v>
      </c>
      <c r="AG154" s="1119">
        <v>97</v>
      </c>
      <c r="AH154" s="1119">
        <v>180</v>
      </c>
      <c r="AI154" s="1119">
        <v>213</v>
      </c>
      <c r="AJ154" s="1119">
        <v>173</v>
      </c>
      <c r="AK154" s="781">
        <f t="shared" si="15"/>
        <v>4142</v>
      </c>
      <c r="AL154" s="1120">
        <v>43.742535793498057</v>
      </c>
      <c r="AM154" s="1112">
        <f t="shared" si="16"/>
        <v>1811.8158325666896</v>
      </c>
      <c r="AN154" s="781">
        <v>3943</v>
      </c>
      <c r="AO154" s="1120">
        <v>3.39889129099826</v>
      </c>
      <c r="AP154" s="1112">
        <f t="shared" si="19"/>
        <v>134.01828360406139</v>
      </c>
      <c r="AQ154" s="1114">
        <f t="shared" si="18"/>
        <v>1945.834116170751</v>
      </c>
      <c r="AR154" s="1156" t="s">
        <v>43</v>
      </c>
      <c r="AS154" s="388"/>
      <c r="AT154" s="388"/>
    </row>
    <row r="155" spans="1:46" ht="54" customHeight="1">
      <c r="A155" s="604">
        <v>137</v>
      </c>
      <c r="B155" s="604">
        <v>57</v>
      </c>
      <c r="C155" s="604" t="str">
        <f>'Chấm công KT'!C151</f>
        <v>04084</v>
      </c>
      <c r="D155" s="608" t="str">
        <f>'Chấm công KT'!D151</f>
        <v>T. Thi</v>
      </c>
      <c r="E155" s="608"/>
      <c r="F155" s="1117">
        <v>170</v>
      </c>
      <c r="G155" s="1117">
        <v>235</v>
      </c>
      <c r="H155" s="1117">
        <v>0</v>
      </c>
      <c r="I155" s="1117">
        <v>0</v>
      </c>
      <c r="J155" s="1117">
        <v>0</v>
      </c>
      <c r="K155" s="1117">
        <v>0</v>
      </c>
      <c r="L155" s="1117">
        <v>100</v>
      </c>
      <c r="M155" s="1117">
        <v>165</v>
      </c>
      <c r="N155" s="1117">
        <v>198</v>
      </c>
      <c r="O155" s="1117">
        <v>0</v>
      </c>
      <c r="P155" s="1117">
        <v>300</v>
      </c>
      <c r="Q155" s="1117">
        <v>204</v>
      </c>
      <c r="R155" s="1117">
        <v>0</v>
      </c>
      <c r="S155" s="1117">
        <v>230</v>
      </c>
      <c r="T155" s="1117">
        <v>148</v>
      </c>
      <c r="U155" s="1117">
        <v>175</v>
      </c>
      <c r="V155" s="1117">
        <v>162</v>
      </c>
      <c r="W155" s="1117">
        <v>328</v>
      </c>
      <c r="X155" s="1117">
        <v>351</v>
      </c>
      <c r="Y155" s="1117">
        <v>0</v>
      </c>
      <c r="Z155" s="1118">
        <v>130</v>
      </c>
      <c r="AA155" s="1118">
        <v>174</v>
      </c>
      <c r="AB155" s="1119">
        <v>317</v>
      </c>
      <c r="AC155" s="1119">
        <v>67</v>
      </c>
      <c r="AD155" s="1119">
        <v>144</v>
      </c>
      <c r="AE155" s="1119">
        <v>169</v>
      </c>
      <c r="AF155" s="1119">
        <v>289</v>
      </c>
      <c r="AG155" s="1119">
        <v>91</v>
      </c>
      <c r="AH155" s="1119">
        <v>137</v>
      </c>
      <c r="AI155" s="1119">
        <v>196</v>
      </c>
      <c r="AJ155" s="1119">
        <v>294</v>
      </c>
      <c r="AK155" s="781">
        <f t="shared" si="15"/>
        <v>4774</v>
      </c>
      <c r="AL155" s="1120">
        <v>43.742535793498057</v>
      </c>
      <c r="AM155" s="1112">
        <f t="shared" si="16"/>
        <v>2088.2686587815974</v>
      </c>
      <c r="AN155" s="781">
        <v>2583</v>
      </c>
      <c r="AO155" s="1120">
        <v>3.39889129099826</v>
      </c>
      <c r="AP155" s="1112">
        <f t="shared" si="19"/>
        <v>87.793362046485058</v>
      </c>
      <c r="AQ155" s="1114">
        <f t="shared" si="18"/>
        <v>2176.0620208280825</v>
      </c>
      <c r="AR155" s="1156" t="s">
        <v>36</v>
      </c>
      <c r="AS155" s="388"/>
      <c r="AT155" s="388"/>
    </row>
    <row r="156" spans="1:46" ht="54" customHeight="1">
      <c r="A156" s="604">
        <v>138</v>
      </c>
      <c r="B156" s="604">
        <v>58</v>
      </c>
      <c r="C156" s="604" t="str">
        <f>'Chấm công KT'!C152</f>
        <v>04085</v>
      </c>
      <c r="D156" s="608" t="str">
        <f>'Chấm công KT'!D152</f>
        <v>On chay</v>
      </c>
      <c r="E156" s="608"/>
      <c r="F156" s="1117">
        <v>131</v>
      </c>
      <c r="G156" s="1117">
        <v>189</v>
      </c>
      <c r="H156" s="1117">
        <v>95</v>
      </c>
      <c r="I156" s="1117">
        <v>236</v>
      </c>
      <c r="J156" s="1117">
        <v>109</v>
      </c>
      <c r="K156" s="1117">
        <v>0</v>
      </c>
      <c r="L156" s="1117">
        <v>0</v>
      </c>
      <c r="M156" s="1117">
        <v>114</v>
      </c>
      <c r="N156" s="1117">
        <v>124</v>
      </c>
      <c r="O156" s="1117">
        <v>81</v>
      </c>
      <c r="P156" s="1117">
        <v>183</v>
      </c>
      <c r="Q156" s="1117">
        <v>0</v>
      </c>
      <c r="R156" s="1117">
        <v>0</v>
      </c>
      <c r="S156" s="1117">
        <v>0</v>
      </c>
      <c r="T156" s="1117">
        <v>144</v>
      </c>
      <c r="U156" s="1117">
        <v>0</v>
      </c>
      <c r="V156" s="1117">
        <v>78</v>
      </c>
      <c r="W156" s="1117">
        <v>138</v>
      </c>
      <c r="X156" s="1117">
        <v>108</v>
      </c>
      <c r="Y156" s="1117">
        <v>99</v>
      </c>
      <c r="Z156" s="1118">
        <v>0</v>
      </c>
      <c r="AA156" s="1118">
        <v>145</v>
      </c>
      <c r="AB156" s="1119">
        <v>0</v>
      </c>
      <c r="AC156" s="1119">
        <v>106</v>
      </c>
      <c r="AD156" s="1119">
        <v>139</v>
      </c>
      <c r="AE156" s="1119">
        <v>145</v>
      </c>
      <c r="AF156" s="1119">
        <v>129</v>
      </c>
      <c r="AG156" s="1119">
        <v>94</v>
      </c>
      <c r="AH156" s="1119">
        <v>102</v>
      </c>
      <c r="AI156" s="1119">
        <v>163</v>
      </c>
      <c r="AJ156" s="1119">
        <v>139</v>
      </c>
      <c r="AK156" s="781">
        <f t="shared" si="15"/>
        <v>2991</v>
      </c>
      <c r="AL156" s="1120">
        <v>43.742535793498057</v>
      </c>
      <c r="AM156" s="1112">
        <f t="shared" si="16"/>
        <v>1308.3392455835269</v>
      </c>
      <c r="AN156" s="781">
        <v>3057</v>
      </c>
      <c r="AO156" s="1120">
        <v>3.39889129099826</v>
      </c>
      <c r="AP156" s="1112">
        <f t="shared" si="19"/>
        <v>103.90410676581682</v>
      </c>
      <c r="AQ156" s="1114">
        <f t="shared" si="18"/>
        <v>1412.2433523493437</v>
      </c>
      <c r="AR156" s="1156" t="s">
        <v>36</v>
      </c>
      <c r="AS156" s="388"/>
      <c r="AT156" s="388"/>
    </row>
    <row r="157" spans="1:46" ht="54" customHeight="1">
      <c r="A157" s="604">
        <v>139</v>
      </c>
      <c r="B157" s="604">
        <v>59</v>
      </c>
      <c r="C157" s="604"/>
      <c r="D157" s="608" t="str">
        <f>'Chấm công KT'!D153</f>
        <v>T. Thong</v>
      </c>
      <c r="E157" s="608"/>
      <c r="F157" s="1121">
        <v>82</v>
      </c>
      <c r="G157" s="1121">
        <v>92</v>
      </c>
      <c r="H157" s="1121">
        <v>71</v>
      </c>
      <c r="I157" s="1121">
        <v>0</v>
      </c>
      <c r="J157" s="1121">
        <v>0</v>
      </c>
      <c r="K157" s="1121">
        <v>41</v>
      </c>
      <c r="L157" s="1121">
        <v>51</v>
      </c>
      <c r="M157" s="1121">
        <v>48</v>
      </c>
      <c r="N157" s="1121">
        <v>50</v>
      </c>
      <c r="O157" s="1121">
        <v>38</v>
      </c>
      <c r="P157" s="1121">
        <v>52</v>
      </c>
      <c r="Q157" s="1121">
        <v>0</v>
      </c>
      <c r="R157" s="1122">
        <v>52</v>
      </c>
      <c r="S157" s="1122">
        <v>0</v>
      </c>
      <c r="T157" s="1122">
        <v>51</v>
      </c>
      <c r="U157" s="1122">
        <v>38</v>
      </c>
      <c r="V157" s="1122">
        <v>0</v>
      </c>
      <c r="W157" s="1122">
        <v>0</v>
      </c>
      <c r="X157" s="1122">
        <v>0</v>
      </c>
      <c r="Y157" s="1122">
        <v>48</v>
      </c>
      <c r="Z157" s="1122">
        <v>0</v>
      </c>
      <c r="AA157" s="1122">
        <v>81</v>
      </c>
      <c r="AB157" s="1122">
        <v>88</v>
      </c>
      <c r="AC157" s="1122">
        <v>62</v>
      </c>
      <c r="AD157" s="1122">
        <v>91</v>
      </c>
      <c r="AE157" s="1122">
        <v>84</v>
      </c>
      <c r="AF157" s="1122">
        <v>0</v>
      </c>
      <c r="AG157" s="1122">
        <v>76</v>
      </c>
      <c r="AH157" s="1122">
        <v>78</v>
      </c>
      <c r="AI157" s="1122">
        <v>120</v>
      </c>
      <c r="AJ157" s="1122">
        <v>150</v>
      </c>
      <c r="AK157" s="781">
        <f t="shared" ref="AK157:AK158" si="20">SUM(F157:AJ157)</f>
        <v>1544</v>
      </c>
      <c r="AL157" s="1120">
        <v>43.742535793498057</v>
      </c>
      <c r="AM157" s="1112">
        <f t="shared" si="16"/>
        <v>675.38475265161003</v>
      </c>
      <c r="AN157" s="781">
        <v>1567</v>
      </c>
      <c r="AO157" s="1120">
        <v>3.39889129099826</v>
      </c>
      <c r="AP157" s="1112">
        <f t="shared" si="19"/>
        <v>53.260626529942741</v>
      </c>
      <c r="AQ157" s="1114">
        <f t="shared" si="18"/>
        <v>728.64537918155281</v>
      </c>
      <c r="AR157" s="1123" t="s">
        <v>351</v>
      </c>
      <c r="AS157" s="388"/>
      <c r="AT157" s="388"/>
    </row>
    <row r="158" spans="1:46" ht="54" customHeight="1">
      <c r="A158" s="604">
        <v>140</v>
      </c>
      <c r="B158" s="604">
        <v>60</v>
      </c>
      <c r="C158" s="604"/>
      <c r="D158" s="608" t="str">
        <f>'Chấm công KT'!D154</f>
        <v>T. Khách</v>
      </c>
      <c r="E158" s="608"/>
      <c r="F158" s="1121">
        <v>0</v>
      </c>
      <c r="G158" s="1121">
        <v>0</v>
      </c>
      <c r="H158" s="1121">
        <v>0</v>
      </c>
      <c r="I158" s="1121">
        <v>50</v>
      </c>
      <c r="J158" s="1121">
        <v>101</v>
      </c>
      <c r="K158" s="1121">
        <v>42</v>
      </c>
      <c r="L158" s="1121">
        <v>45</v>
      </c>
      <c r="M158" s="1121">
        <v>56</v>
      </c>
      <c r="N158" s="1121">
        <v>70</v>
      </c>
      <c r="O158" s="1121">
        <v>48</v>
      </c>
      <c r="P158" s="1121">
        <v>116</v>
      </c>
      <c r="Q158" s="1121">
        <v>0</v>
      </c>
      <c r="R158" s="1122">
        <v>61</v>
      </c>
      <c r="S158" s="1122">
        <v>0</v>
      </c>
      <c r="T158" s="1122">
        <v>52</v>
      </c>
      <c r="U158" s="1122">
        <v>36</v>
      </c>
      <c r="V158" s="1122">
        <v>0</v>
      </c>
      <c r="W158" s="1122">
        <v>0</v>
      </c>
      <c r="X158" s="1122">
        <v>0</v>
      </c>
      <c r="Y158" s="1122">
        <v>0</v>
      </c>
      <c r="Z158" s="1122">
        <v>54</v>
      </c>
      <c r="AA158" s="1122">
        <v>0</v>
      </c>
      <c r="AB158" s="1122">
        <v>0</v>
      </c>
      <c r="AC158" s="1122">
        <v>49</v>
      </c>
      <c r="AD158" s="1122">
        <v>79</v>
      </c>
      <c r="AE158" s="1122">
        <v>0</v>
      </c>
      <c r="AF158" s="1122">
        <v>91</v>
      </c>
      <c r="AG158" s="1122">
        <v>74</v>
      </c>
      <c r="AH158" s="1122">
        <v>0</v>
      </c>
      <c r="AI158" s="1122">
        <v>0</v>
      </c>
      <c r="AJ158" s="1122">
        <v>0</v>
      </c>
      <c r="AK158" s="781">
        <f t="shared" si="20"/>
        <v>1024</v>
      </c>
      <c r="AL158" s="1120">
        <v>43.742535793498057</v>
      </c>
      <c r="AM158" s="1112">
        <f t="shared" si="16"/>
        <v>447.92356652542009</v>
      </c>
      <c r="AN158" s="781">
        <v>1023</v>
      </c>
      <c r="AO158" s="1120">
        <v>3.39889129099826</v>
      </c>
      <c r="AP158" s="1112">
        <f t="shared" si="19"/>
        <v>34.770657906912199</v>
      </c>
      <c r="AQ158" s="1114">
        <f t="shared" si="18"/>
        <v>482.69422443233231</v>
      </c>
      <c r="AR158" s="1123" t="s">
        <v>351</v>
      </c>
      <c r="AS158" s="388"/>
      <c r="AT158" s="388"/>
    </row>
    <row r="159" spans="1:46" ht="54" customHeight="1">
      <c r="A159" s="604">
        <v>141</v>
      </c>
      <c r="B159" s="604">
        <v>61</v>
      </c>
      <c r="C159" s="604"/>
      <c r="D159" s="608" t="str">
        <f>'Chấm công KT'!D155</f>
        <v>Nang On Xi</v>
      </c>
      <c r="E159" s="608"/>
      <c r="F159" s="1121">
        <v>0</v>
      </c>
      <c r="G159" s="1121">
        <v>0</v>
      </c>
      <c r="H159" s="1121">
        <v>0</v>
      </c>
      <c r="I159" s="1121">
        <v>62</v>
      </c>
      <c r="J159" s="1121">
        <v>0</v>
      </c>
      <c r="K159" s="1121">
        <v>0</v>
      </c>
      <c r="L159" s="1121">
        <v>38</v>
      </c>
      <c r="M159" s="1121">
        <v>45</v>
      </c>
      <c r="N159" s="1121">
        <v>71</v>
      </c>
      <c r="O159" s="1121">
        <v>0</v>
      </c>
      <c r="P159" s="1121">
        <v>64</v>
      </c>
      <c r="Q159" s="1121">
        <v>0</v>
      </c>
      <c r="R159" s="1122">
        <v>0</v>
      </c>
      <c r="S159" s="1122">
        <v>40</v>
      </c>
      <c r="T159" s="1122">
        <v>0</v>
      </c>
      <c r="U159" s="1122">
        <v>0</v>
      </c>
      <c r="V159" s="1122">
        <v>0</v>
      </c>
      <c r="W159" s="1122">
        <v>59</v>
      </c>
      <c r="X159" s="1122">
        <v>0</v>
      </c>
      <c r="Y159" s="1122">
        <v>0</v>
      </c>
      <c r="Z159" s="1122">
        <v>0</v>
      </c>
      <c r="AA159" s="1122">
        <v>0</v>
      </c>
      <c r="AB159" s="1122">
        <v>0</v>
      </c>
      <c r="AC159" s="1122">
        <v>50</v>
      </c>
      <c r="AD159" s="1122">
        <v>0</v>
      </c>
      <c r="AE159" s="1122">
        <v>0</v>
      </c>
      <c r="AF159" s="1122">
        <v>0</v>
      </c>
      <c r="AG159" s="1122">
        <v>0</v>
      </c>
      <c r="AH159" s="1122">
        <v>0</v>
      </c>
      <c r="AI159" s="1122">
        <v>0</v>
      </c>
      <c r="AJ159" s="1122">
        <v>0</v>
      </c>
      <c r="AK159" s="781">
        <f t="shared" ref="AK159" si="21">SUM(F159:AJ159)</f>
        <v>429</v>
      </c>
      <c r="AL159" s="1120">
        <v>43.742535793498057</v>
      </c>
      <c r="AM159" s="1112">
        <f t="shared" si="16"/>
        <v>187.65547855410668</v>
      </c>
      <c r="AN159" s="781">
        <v>517</v>
      </c>
      <c r="AO159" s="1120">
        <v>3.39889129099826</v>
      </c>
      <c r="AP159" s="1112">
        <f t="shared" si="19"/>
        <v>17.572267974461003</v>
      </c>
      <c r="AQ159" s="1114">
        <f t="shared" si="18"/>
        <v>205.22774652856768</v>
      </c>
      <c r="AR159" s="1123" t="s">
        <v>351</v>
      </c>
      <c r="AS159" s="388"/>
      <c r="AT159" s="388"/>
    </row>
    <row r="160" spans="1:46" ht="54" customHeight="1">
      <c r="A160" s="604">
        <v>142</v>
      </c>
      <c r="B160" s="604">
        <v>62</v>
      </c>
      <c r="C160" s="604"/>
      <c r="D160" s="608" t="str">
        <f>'Chấm công KT'!D156</f>
        <v>Thảo Túc</v>
      </c>
      <c r="E160" s="608"/>
      <c r="F160" s="1121">
        <v>0</v>
      </c>
      <c r="G160" s="1121">
        <v>0</v>
      </c>
      <c r="H160" s="1121">
        <v>0</v>
      </c>
      <c r="I160" s="1121">
        <v>61</v>
      </c>
      <c r="J160" s="1121">
        <v>0</v>
      </c>
      <c r="K160" s="1121">
        <v>0</v>
      </c>
      <c r="L160" s="1121">
        <v>42</v>
      </c>
      <c r="M160" s="1121">
        <v>74</v>
      </c>
      <c r="N160" s="1121">
        <v>0</v>
      </c>
      <c r="O160" s="1121">
        <v>0</v>
      </c>
      <c r="P160" s="1121">
        <v>0</v>
      </c>
      <c r="Q160" s="1121">
        <v>0</v>
      </c>
      <c r="R160" s="1122">
        <v>0</v>
      </c>
      <c r="S160" s="1122">
        <v>62</v>
      </c>
      <c r="T160" s="1122">
        <v>0</v>
      </c>
      <c r="U160" s="1122">
        <v>0</v>
      </c>
      <c r="V160" s="1122">
        <v>0</v>
      </c>
      <c r="W160" s="1122">
        <v>54</v>
      </c>
      <c r="X160" s="1122">
        <v>0</v>
      </c>
      <c r="Y160" s="1122">
        <v>0</v>
      </c>
      <c r="Z160" s="1122">
        <v>0</v>
      </c>
      <c r="AA160" s="1122">
        <v>0</v>
      </c>
      <c r="AB160" s="1122">
        <v>0</v>
      </c>
      <c r="AC160" s="1122">
        <v>51</v>
      </c>
      <c r="AD160" s="1122">
        <v>0</v>
      </c>
      <c r="AE160" s="1122">
        <v>0</v>
      </c>
      <c r="AF160" s="1122">
        <v>0</v>
      </c>
      <c r="AG160" s="1122">
        <v>0</v>
      </c>
      <c r="AH160" s="1122">
        <v>0</v>
      </c>
      <c r="AI160" s="1122">
        <v>0</v>
      </c>
      <c r="AJ160" s="1122">
        <v>0</v>
      </c>
      <c r="AK160" s="781">
        <f t="shared" ref="AK160" si="22">SUM(F160:AJ160)</f>
        <v>344</v>
      </c>
      <c r="AL160" s="1120">
        <v>43.742535793498057</v>
      </c>
      <c r="AM160" s="1112">
        <f t="shared" si="16"/>
        <v>150.47432312963332</v>
      </c>
      <c r="AN160" s="781">
        <v>298</v>
      </c>
      <c r="AO160" s="1120">
        <v>3.39889129099826</v>
      </c>
      <c r="AP160" s="1112">
        <f t="shared" si="19"/>
        <v>10.128696047174815</v>
      </c>
      <c r="AQ160" s="1114">
        <f>AM160+AP160</f>
        <v>160.60301917680815</v>
      </c>
      <c r="AR160" s="1123" t="s">
        <v>351</v>
      </c>
      <c r="AS160" s="388"/>
      <c r="AT160" s="388"/>
    </row>
    <row r="161" spans="1:46" ht="54" customHeight="1">
      <c r="A161" s="1387" t="s">
        <v>125</v>
      </c>
      <c r="B161" s="1387"/>
      <c r="C161" s="1387"/>
      <c r="D161" s="1387"/>
      <c r="E161" s="782"/>
      <c r="F161" s="783">
        <f t="shared" ref="F161:AP161" si="23">F16+F98</f>
        <v>4712</v>
      </c>
      <c r="G161" s="783">
        <f t="shared" si="23"/>
        <v>14501</v>
      </c>
      <c r="H161" s="783">
        <f t="shared" si="23"/>
        <v>9597</v>
      </c>
      <c r="I161" s="783">
        <f t="shared" si="23"/>
        <v>19061</v>
      </c>
      <c r="J161" s="783">
        <f t="shared" si="23"/>
        <v>22383</v>
      </c>
      <c r="K161" s="783">
        <f t="shared" si="23"/>
        <v>13867</v>
      </c>
      <c r="L161" s="783">
        <f t="shared" si="23"/>
        <v>13223</v>
      </c>
      <c r="M161" s="783">
        <f t="shared" si="23"/>
        <v>20416</v>
      </c>
      <c r="N161" s="783">
        <f t="shared" si="23"/>
        <v>13043</v>
      </c>
      <c r="O161" s="783">
        <f t="shared" si="23"/>
        <v>13974</v>
      </c>
      <c r="P161" s="783">
        <f t="shared" si="23"/>
        <v>27089</v>
      </c>
      <c r="Q161" s="783">
        <f t="shared" si="23"/>
        <v>20762</v>
      </c>
      <c r="R161" s="783">
        <f t="shared" si="23"/>
        <v>16586</v>
      </c>
      <c r="S161" s="783">
        <f t="shared" si="23"/>
        <v>15887</v>
      </c>
      <c r="T161" s="783">
        <f t="shared" si="23"/>
        <v>19574</v>
      </c>
      <c r="U161" s="783">
        <f t="shared" si="23"/>
        <v>15884</v>
      </c>
      <c r="V161" s="783">
        <f t="shared" si="23"/>
        <v>14296</v>
      </c>
      <c r="W161" s="783">
        <f t="shared" si="23"/>
        <v>21391</v>
      </c>
      <c r="X161" s="783">
        <f t="shared" si="23"/>
        <v>17583</v>
      </c>
      <c r="Y161" s="783">
        <f t="shared" si="23"/>
        <v>14635</v>
      </c>
      <c r="Z161" s="783">
        <f t="shared" si="23"/>
        <v>16149</v>
      </c>
      <c r="AA161" s="783">
        <f t="shared" si="23"/>
        <v>16657</v>
      </c>
      <c r="AB161" s="783">
        <f t="shared" si="23"/>
        <v>16881</v>
      </c>
      <c r="AC161" s="783">
        <f t="shared" si="23"/>
        <v>15887</v>
      </c>
      <c r="AD161" s="783">
        <f t="shared" si="23"/>
        <v>16865</v>
      </c>
      <c r="AE161" s="783">
        <f t="shared" si="23"/>
        <v>17602</v>
      </c>
      <c r="AF161" s="783">
        <f t="shared" si="23"/>
        <v>18790</v>
      </c>
      <c r="AG161" s="783">
        <f t="shared" si="23"/>
        <v>17757</v>
      </c>
      <c r="AH161" s="783">
        <f t="shared" si="23"/>
        <v>20348</v>
      </c>
      <c r="AI161" s="783">
        <f t="shared" si="23"/>
        <v>18480</v>
      </c>
      <c r="AJ161" s="783">
        <f t="shared" si="23"/>
        <v>20402</v>
      </c>
      <c r="AK161" s="783">
        <f t="shared" si="23"/>
        <v>524282</v>
      </c>
      <c r="AL161" s="783"/>
      <c r="AM161" s="783">
        <f>AM16+AM98</f>
        <v>230507.80799999996</v>
      </c>
      <c r="AN161" s="783">
        <f>AN16+AN98</f>
        <v>537677</v>
      </c>
      <c r="AO161" s="783"/>
      <c r="AP161" s="783">
        <f t="shared" si="23"/>
        <v>18261.000000000004</v>
      </c>
      <c r="AQ161" s="783">
        <f>AQ16+AQ98</f>
        <v>248768.80800000005</v>
      </c>
      <c r="AR161" s="608"/>
      <c r="AS161" s="388"/>
      <c r="AT161" s="404" t="e">
        <f>SUM(#REF!)</f>
        <v>#REF!</v>
      </c>
    </row>
    <row r="162" spans="1:46" ht="41.25" customHeight="1">
      <c r="A162" s="402"/>
      <c r="B162" s="403"/>
      <c r="C162" s="403"/>
      <c r="D162" s="403"/>
      <c r="E162" s="403"/>
      <c r="F162" s="403"/>
      <c r="G162" s="403"/>
      <c r="H162" s="403"/>
      <c r="I162" s="403"/>
      <c r="J162" s="403"/>
      <c r="K162" s="403"/>
      <c r="L162" s="403"/>
      <c r="M162" s="403"/>
      <c r="N162" s="403"/>
      <c r="O162" s="403"/>
      <c r="P162" s="403"/>
      <c r="Q162" s="403"/>
      <c r="R162" s="403"/>
      <c r="S162" s="403"/>
      <c r="T162" s="403"/>
      <c r="U162" s="403"/>
      <c r="V162" s="403"/>
      <c r="W162" s="403"/>
      <c r="X162" s="403"/>
      <c r="Y162" s="403"/>
      <c r="Z162" s="403"/>
      <c r="AA162" s="402"/>
      <c r="AB162" s="402"/>
      <c r="AC162" s="402"/>
      <c r="AD162" s="402"/>
      <c r="AE162" s="402"/>
      <c r="AF162" s="402"/>
      <c r="AG162" s="402"/>
      <c r="AH162" s="402"/>
      <c r="AI162" s="402"/>
      <c r="AJ162" s="402"/>
      <c r="AK162" s="402"/>
      <c r="AL162" s="402"/>
      <c r="AM162" s="402"/>
      <c r="AN162" s="402"/>
      <c r="AO162" s="402"/>
      <c r="AP162" s="402"/>
      <c r="AQ162" s="402"/>
      <c r="AR162" s="402"/>
      <c r="AS162" s="388"/>
      <c r="AT162" s="388"/>
    </row>
    <row r="163" spans="1:46" ht="41.25" hidden="1" customHeight="1">
      <c r="A163" s="1363" t="s">
        <v>4</v>
      </c>
      <c r="B163" s="1363"/>
      <c r="C163" s="1363"/>
      <c r="D163" s="1363"/>
      <c r="E163" s="717"/>
      <c r="F163" s="1356" t="s">
        <v>342</v>
      </c>
      <c r="G163" s="1357"/>
      <c r="H163" s="1358"/>
      <c r="I163" s="1363" t="s">
        <v>344</v>
      </c>
      <c r="J163" s="1363"/>
      <c r="K163" s="1363"/>
      <c r="L163" s="1363"/>
      <c r="M163" s="1356" t="s">
        <v>347</v>
      </c>
      <c r="N163" s="1357"/>
      <c r="O163" s="1357"/>
      <c r="P163" s="1357"/>
      <c r="Q163" s="1358"/>
      <c r="R163" s="1356" t="s">
        <v>348</v>
      </c>
      <c r="S163" s="1357"/>
      <c r="T163" s="1357"/>
      <c r="U163" s="1357"/>
      <c r="V163" s="1358"/>
      <c r="W163" s="1397" t="s">
        <v>408</v>
      </c>
      <c r="X163" s="1398"/>
      <c r="Y163" s="1398"/>
      <c r="Z163" s="1398"/>
      <c r="AA163" s="1398"/>
      <c r="AB163" s="1398"/>
      <c r="AC163" s="1398"/>
      <c r="AD163" s="1399"/>
      <c r="AE163" s="1397" t="s">
        <v>409</v>
      </c>
      <c r="AF163" s="1398"/>
      <c r="AG163" s="1399"/>
      <c r="AH163" s="396"/>
      <c r="AI163" s="396"/>
      <c r="AJ163" s="396"/>
      <c r="AK163" s="396"/>
      <c r="AL163" s="1362"/>
      <c r="AM163" s="1362"/>
      <c r="AN163" s="1362"/>
      <c r="AO163" s="1362"/>
      <c r="AP163" s="1362"/>
      <c r="AQ163" s="1362"/>
      <c r="AR163" s="402"/>
      <c r="AS163" s="388"/>
      <c r="AT163" s="404" t="e">
        <f>SUM(AT13:AT161)</f>
        <v>#REF!</v>
      </c>
    </row>
    <row r="164" spans="1:46" ht="41.25" hidden="1" customHeight="1">
      <c r="A164" s="591" t="s">
        <v>349</v>
      </c>
      <c r="B164" s="592"/>
      <c r="C164" s="592"/>
      <c r="D164" s="592"/>
      <c r="E164" s="592"/>
      <c r="F164" s="1357">
        <f>SUM(F165:H168)</f>
        <v>131</v>
      </c>
      <c r="G164" s="1357"/>
      <c r="H164" s="1358"/>
      <c r="I164" s="1356"/>
      <c r="J164" s="1357"/>
      <c r="K164" s="1357"/>
      <c r="L164" s="1358"/>
      <c r="M164" s="1353">
        <f>SUM(M165:Q168)</f>
        <v>513229</v>
      </c>
      <c r="N164" s="1354"/>
      <c r="O164" s="1354"/>
      <c r="P164" s="1354"/>
      <c r="Q164" s="1355"/>
      <c r="R164" s="1353">
        <f>SUM(R165:V168)</f>
        <v>243626.96676550814</v>
      </c>
      <c r="S164" s="1354"/>
      <c r="T164" s="1354"/>
      <c r="U164" s="1354"/>
      <c r="V164" s="1355"/>
      <c r="W164" s="1400">
        <f>SUM(W165:AD167)</f>
        <v>97.933084426528353</v>
      </c>
      <c r="X164" s="1401"/>
      <c r="Y164" s="1401"/>
      <c r="Z164" s="1401"/>
      <c r="AA164" s="1401"/>
      <c r="AB164" s="1401"/>
      <c r="AC164" s="1401"/>
      <c r="AD164" s="1401"/>
      <c r="AE164" s="1369"/>
      <c r="AF164" s="1370"/>
      <c r="AG164" s="1371"/>
      <c r="AH164" s="396"/>
      <c r="AI164" s="396"/>
      <c r="AJ164" s="396"/>
      <c r="AK164" s="396"/>
      <c r="AL164" s="396"/>
      <c r="AM164" s="396"/>
      <c r="AN164" s="396"/>
      <c r="AO164" s="396"/>
      <c r="AP164" s="396"/>
      <c r="AQ164" s="396"/>
      <c r="AR164" s="402"/>
      <c r="AS164" s="388"/>
      <c r="AT164" s="388"/>
    </row>
    <row r="165" spans="1:46" ht="41.25" hidden="1" customHeight="1">
      <c r="A165" s="1350">
        <v>1</v>
      </c>
      <c r="B165" s="1350"/>
      <c r="C165" s="1350"/>
      <c r="D165" s="1350"/>
      <c r="E165" s="714"/>
      <c r="F165" s="1350">
        <f>SUM(COUNTIF(AR16:AR160,"A"))</f>
        <v>92</v>
      </c>
      <c r="G165" s="1350"/>
      <c r="H165" s="1350"/>
      <c r="I165" s="1350" t="s">
        <v>36</v>
      </c>
      <c r="J165" s="1350"/>
      <c r="K165" s="1350"/>
      <c r="L165" s="1350"/>
      <c r="M165" s="1402">
        <f>SUMIF($AR$15:$AR$160,"A",$AK$15:$AK$160)</f>
        <v>362128</v>
      </c>
      <c r="N165" s="1403"/>
      <c r="O165" s="1403"/>
      <c r="P165" s="1403"/>
      <c r="Q165" s="1404"/>
      <c r="R165" s="1351">
        <f>SUMIF($AR$15:$AR$160,"A",$AQ$15:$AQ$160)</f>
        <v>171857.68655334561</v>
      </c>
      <c r="S165" s="1351"/>
      <c r="T165" s="1351"/>
      <c r="U165" s="1351"/>
      <c r="V165" s="1351"/>
      <c r="W165" s="1372">
        <f>R165/R171*100</f>
        <v>69.083293816058188</v>
      </c>
      <c r="X165" s="1372"/>
      <c r="Y165" s="1372"/>
      <c r="Z165" s="1372"/>
      <c r="AA165" s="1372"/>
      <c r="AB165" s="1372"/>
      <c r="AC165" s="1372"/>
      <c r="AD165" s="1372"/>
      <c r="AE165" s="1369"/>
      <c r="AF165" s="1370"/>
      <c r="AG165" s="1371"/>
      <c r="AH165" s="396"/>
      <c r="AI165" s="396"/>
      <c r="AJ165" s="396"/>
      <c r="AK165" s="396"/>
      <c r="AL165" s="396"/>
      <c r="AM165" s="396"/>
      <c r="AN165" s="396"/>
      <c r="AO165" s="396"/>
      <c r="AP165" s="396"/>
      <c r="AQ165" s="396"/>
      <c r="AR165" s="402"/>
      <c r="AS165" s="388"/>
      <c r="AT165" s="388"/>
    </row>
    <row r="166" spans="1:46" ht="41.25" hidden="1" customHeight="1">
      <c r="A166" s="1350">
        <v>2</v>
      </c>
      <c r="B166" s="1350"/>
      <c r="C166" s="1350"/>
      <c r="D166" s="1350"/>
      <c r="E166" s="714"/>
      <c r="F166" s="1350">
        <f>SUM(COUNTIF(AR16:AR160,"B"))</f>
        <v>39</v>
      </c>
      <c r="G166" s="1350"/>
      <c r="H166" s="1350"/>
      <c r="I166" s="1350" t="s">
        <v>43</v>
      </c>
      <c r="J166" s="1350"/>
      <c r="K166" s="1350"/>
      <c r="L166" s="1350"/>
      <c r="M166" s="1351">
        <f>SUMIF($AR$15:$AR$160,"B",$AK$15:$AK$160)</f>
        <v>151101</v>
      </c>
      <c r="N166" s="1351"/>
      <c r="O166" s="1351"/>
      <c r="P166" s="1351"/>
      <c r="Q166" s="1351"/>
      <c r="R166" s="1351">
        <f>SUMIF($AR$15:$AR$160,"B",$AQ$15:$AQ$160)</f>
        <v>71769.280212162528</v>
      </c>
      <c r="S166" s="1351"/>
      <c r="T166" s="1351"/>
      <c r="U166" s="1351"/>
      <c r="V166" s="1351"/>
      <c r="W166" s="1372">
        <f>R166/R171*100</f>
        <v>28.849790610470166</v>
      </c>
      <c r="X166" s="1372"/>
      <c r="Y166" s="1372"/>
      <c r="Z166" s="1372"/>
      <c r="AA166" s="1372"/>
      <c r="AB166" s="1372"/>
      <c r="AC166" s="1372"/>
      <c r="AD166" s="1372"/>
      <c r="AE166" s="1369"/>
      <c r="AF166" s="1370"/>
      <c r="AG166" s="1371"/>
      <c r="AH166" s="396"/>
      <c r="AI166" s="396"/>
      <c r="AJ166" s="396"/>
      <c r="AK166" s="396"/>
      <c r="AL166" s="396"/>
      <c r="AM166" s="396"/>
      <c r="AN166" s="396"/>
      <c r="AO166" s="396"/>
      <c r="AP166" s="396"/>
      <c r="AQ166" s="465">
        <f>AQ161+'MỦ SERUM'!AJ20</f>
        <v>249192.96000000005</v>
      </c>
      <c r="AR166" s="402"/>
      <c r="AS166" s="388"/>
      <c r="AT166" s="388"/>
    </row>
    <row r="167" spans="1:46" ht="41.25" hidden="1" customHeight="1">
      <c r="A167" s="1350">
        <v>3</v>
      </c>
      <c r="B167" s="1350"/>
      <c r="C167" s="1350"/>
      <c r="D167" s="1350"/>
      <c r="E167" s="714"/>
      <c r="F167" s="1350">
        <f>SUM(COUNTIF(AR16:AR160,"C"))</f>
        <v>0</v>
      </c>
      <c r="G167" s="1350"/>
      <c r="H167" s="1350"/>
      <c r="I167" s="1350" t="s">
        <v>343</v>
      </c>
      <c r="J167" s="1350"/>
      <c r="K167" s="1350"/>
      <c r="L167" s="1350"/>
      <c r="M167" s="1351">
        <f>SUMIF($AR$15:$AR$160,"C",$AK$15:$AK$160)</f>
        <v>0</v>
      </c>
      <c r="N167" s="1351"/>
      <c r="O167" s="1351"/>
      <c r="P167" s="1351"/>
      <c r="Q167" s="1351"/>
      <c r="R167" s="1351">
        <f>SUMIF($AR$15:$AR$160,"C",$AQ$15:$AQ$160)</f>
        <v>0</v>
      </c>
      <c r="S167" s="1351"/>
      <c r="T167" s="1351"/>
      <c r="U167" s="1351"/>
      <c r="V167" s="1351"/>
      <c r="W167" s="1372">
        <f>R167/R171*100</f>
        <v>0</v>
      </c>
      <c r="X167" s="1372"/>
      <c r="Y167" s="1372"/>
      <c r="Z167" s="1372"/>
      <c r="AA167" s="1372"/>
      <c r="AB167" s="1372"/>
      <c r="AC167" s="1372"/>
      <c r="AD167" s="1372"/>
      <c r="AE167" s="1369"/>
      <c r="AF167" s="1370"/>
      <c r="AG167" s="1371"/>
      <c r="AH167" s="396"/>
      <c r="AI167" s="396"/>
      <c r="AJ167" s="396"/>
      <c r="AK167" s="396"/>
      <c r="AL167" s="396"/>
      <c r="AM167" s="396"/>
      <c r="AN167" s="396"/>
      <c r="AO167" s="396"/>
      <c r="AP167" s="396"/>
      <c r="AQ167" s="396"/>
      <c r="AR167" s="402"/>
      <c r="AS167" s="388"/>
      <c r="AT167" s="388"/>
    </row>
    <row r="168" spans="1:46" ht="41.25" hidden="1" customHeight="1">
      <c r="A168" s="1350">
        <v>4</v>
      </c>
      <c r="B168" s="1350"/>
      <c r="C168" s="1350"/>
      <c r="D168" s="1350"/>
      <c r="E168" s="714"/>
      <c r="F168" s="1350">
        <f>SUM(COUNTIF(AR16:AR160,"D"))</f>
        <v>0</v>
      </c>
      <c r="G168" s="1350"/>
      <c r="H168" s="1350"/>
      <c r="I168" s="1350" t="s">
        <v>44</v>
      </c>
      <c r="J168" s="1350"/>
      <c r="K168" s="1350"/>
      <c r="L168" s="1350"/>
      <c r="M168" s="1351">
        <f>SUMIF($AR$15:$AR$160,"D",$AK$15:$AK$160)</f>
        <v>0</v>
      </c>
      <c r="N168" s="1351"/>
      <c r="O168" s="1351"/>
      <c r="P168" s="1351"/>
      <c r="Q168" s="1351"/>
      <c r="R168" s="1351">
        <f>SUMIF($AR$15:$AR$160,"D",$AQ$15:$AQ$160)</f>
        <v>0</v>
      </c>
      <c r="S168" s="1351"/>
      <c r="T168" s="1351"/>
      <c r="U168" s="1351"/>
      <c r="V168" s="1351"/>
      <c r="W168" s="1372">
        <f>R168/R171*100</f>
        <v>0</v>
      </c>
      <c r="X168" s="1372"/>
      <c r="Y168" s="1372"/>
      <c r="Z168" s="1372"/>
      <c r="AA168" s="1372"/>
      <c r="AB168" s="1372"/>
      <c r="AC168" s="1372"/>
      <c r="AD168" s="1372"/>
      <c r="AE168" s="1369"/>
      <c r="AF168" s="1370"/>
      <c r="AG168" s="1371"/>
      <c r="AH168" s="396"/>
      <c r="AI168" s="396"/>
      <c r="AJ168" s="396"/>
      <c r="AK168" s="396"/>
      <c r="AL168" s="396"/>
      <c r="AM168" s="396"/>
      <c r="AN168" s="396"/>
      <c r="AO168" s="396"/>
      <c r="AP168" s="396"/>
      <c r="AQ168" s="396"/>
      <c r="AR168" s="402"/>
      <c r="AS168" s="388"/>
      <c r="AT168" s="388"/>
    </row>
    <row r="169" spans="1:46" s="410" customFormat="1" ht="41.25" hidden="1" customHeight="1">
      <c r="A169" s="591" t="s">
        <v>350</v>
      </c>
      <c r="B169" s="592"/>
      <c r="C169" s="592"/>
      <c r="D169" s="592"/>
      <c r="E169" s="592"/>
      <c r="F169" s="1357">
        <f>F170</f>
        <v>12</v>
      </c>
      <c r="G169" s="1357"/>
      <c r="H169" s="1358"/>
      <c r="I169" s="1356"/>
      <c r="J169" s="1357"/>
      <c r="K169" s="1357"/>
      <c r="L169" s="1358"/>
      <c r="M169" s="1353">
        <f>M170</f>
        <v>11053</v>
      </c>
      <c r="N169" s="1354"/>
      <c r="O169" s="1354"/>
      <c r="P169" s="1354"/>
      <c r="Q169" s="1355"/>
      <c r="R169" s="1353">
        <f>R170</f>
        <v>5141.8412344917651</v>
      </c>
      <c r="S169" s="1354"/>
      <c r="T169" s="1354"/>
      <c r="U169" s="1354"/>
      <c r="V169" s="1355"/>
      <c r="W169" s="1390">
        <f>W170</f>
        <v>2.0669155734716416</v>
      </c>
      <c r="X169" s="1391"/>
      <c r="Y169" s="1391"/>
      <c r="Z169" s="1391"/>
      <c r="AA169" s="1391"/>
      <c r="AB169" s="1391"/>
      <c r="AC169" s="1391"/>
      <c r="AD169" s="1392"/>
      <c r="AE169" s="1369"/>
      <c r="AF169" s="1370"/>
      <c r="AG169" s="1371"/>
      <c r="AH169" s="408"/>
      <c r="AI169" s="408"/>
      <c r="AJ169" s="408"/>
      <c r="AK169" s="408"/>
      <c r="AL169" s="408"/>
      <c r="AM169" s="408"/>
      <c r="AN169" s="408"/>
      <c r="AO169" s="408"/>
      <c r="AP169" s="408"/>
      <c r="AQ169" s="408"/>
      <c r="AR169" s="409"/>
    </row>
    <row r="170" spans="1:46" ht="41.25" hidden="1" customHeight="1">
      <c r="A170" s="1364">
        <v>1</v>
      </c>
      <c r="B170" s="1365"/>
      <c r="C170" s="1365"/>
      <c r="D170" s="1366"/>
      <c r="E170" s="716"/>
      <c r="F170" s="1350">
        <f>SUM(COUNTIF(AR19:AR163,"C."))</f>
        <v>12</v>
      </c>
      <c r="G170" s="1350"/>
      <c r="H170" s="1350"/>
      <c r="I170" s="1364" t="s">
        <v>351</v>
      </c>
      <c r="J170" s="1365"/>
      <c r="K170" s="1365"/>
      <c r="L170" s="1366"/>
      <c r="M170" s="1351">
        <f>SUMIF($AR$15:$AR$160,"C.",$AK$15:$AK$160)</f>
        <v>11053</v>
      </c>
      <c r="N170" s="1351"/>
      <c r="O170" s="1351"/>
      <c r="P170" s="1351"/>
      <c r="Q170" s="1351"/>
      <c r="R170" s="1351">
        <f>SUMIF($AR$15:$AR$160,"C.",$AQ$15:$AQ$160)</f>
        <v>5141.8412344917651</v>
      </c>
      <c r="S170" s="1351"/>
      <c r="T170" s="1351"/>
      <c r="U170" s="1351"/>
      <c r="V170" s="1351"/>
      <c r="W170" s="1372">
        <f>R170/R171*100</f>
        <v>2.0669155734716416</v>
      </c>
      <c r="X170" s="1372"/>
      <c r="Y170" s="1372"/>
      <c r="Z170" s="1372"/>
      <c r="AA170" s="1372"/>
      <c r="AB170" s="1372"/>
      <c r="AC170" s="1372"/>
      <c r="AD170" s="1372"/>
      <c r="AE170" s="1369"/>
      <c r="AF170" s="1370"/>
      <c r="AG170" s="1371"/>
      <c r="AH170" s="396"/>
      <c r="AI170" s="396"/>
      <c r="AJ170" s="396"/>
      <c r="AK170" s="396"/>
      <c r="AL170" s="396"/>
      <c r="AM170" s="396"/>
      <c r="AN170" s="396"/>
      <c r="AO170" s="396"/>
      <c r="AP170" s="396"/>
      <c r="AQ170" s="396"/>
      <c r="AR170" s="402"/>
      <c r="AS170" s="388"/>
      <c r="AT170" s="388"/>
    </row>
    <row r="171" spans="1:46" ht="41.25" hidden="1" customHeight="1">
      <c r="A171" s="1363" t="s">
        <v>125</v>
      </c>
      <c r="B171" s="1363"/>
      <c r="C171" s="1363"/>
      <c r="D171" s="1363"/>
      <c r="E171" s="715"/>
      <c r="F171" s="1363">
        <f>F164+F169</f>
        <v>143</v>
      </c>
      <c r="G171" s="1363"/>
      <c r="H171" s="1363"/>
      <c r="I171" s="1356"/>
      <c r="J171" s="1357"/>
      <c r="K171" s="1357"/>
      <c r="L171" s="1358"/>
      <c r="M171" s="1359">
        <f>M164+M169</f>
        <v>524282</v>
      </c>
      <c r="N171" s="1360"/>
      <c r="O171" s="1360"/>
      <c r="P171" s="1360"/>
      <c r="Q171" s="1361"/>
      <c r="R171" s="1359">
        <f>R164+R169</f>
        <v>248768.8079999999</v>
      </c>
      <c r="S171" s="1360"/>
      <c r="T171" s="1360"/>
      <c r="U171" s="1360"/>
      <c r="V171" s="1361"/>
      <c r="W171" s="1373">
        <f>W164+W169</f>
        <v>100</v>
      </c>
      <c r="X171" s="1373"/>
      <c r="Y171" s="1373"/>
      <c r="Z171" s="1373"/>
      <c r="AA171" s="1373"/>
      <c r="AB171" s="1373"/>
      <c r="AC171" s="1373"/>
      <c r="AD171" s="1373"/>
      <c r="AE171" s="1374"/>
      <c r="AF171" s="1375"/>
      <c r="AG171" s="1376"/>
      <c r="AH171" s="396"/>
      <c r="AI171" s="396"/>
      <c r="AJ171" s="396"/>
      <c r="AK171" s="396"/>
      <c r="AL171" s="396"/>
      <c r="AM171" s="396"/>
      <c r="AN171" s="396"/>
      <c r="AO171" s="396"/>
      <c r="AP171" s="396"/>
      <c r="AQ171" s="396"/>
      <c r="AR171" s="402"/>
      <c r="AS171" s="388"/>
      <c r="AT171" s="388"/>
    </row>
    <row r="172" spans="1:46" ht="41.25" hidden="1" customHeight="1">
      <c r="A172" s="772"/>
      <c r="B172" s="772"/>
      <c r="C172" s="772"/>
      <c r="D172" s="772"/>
      <c r="E172" s="772"/>
      <c r="F172" s="772"/>
      <c r="G172" s="772"/>
      <c r="H172" s="772"/>
      <c r="I172" s="772"/>
      <c r="J172" s="772"/>
      <c r="K172" s="772"/>
      <c r="L172" s="772"/>
      <c r="M172" s="772"/>
      <c r="N172" s="772"/>
      <c r="O172" s="772"/>
      <c r="P172" s="772"/>
      <c r="Q172" s="772"/>
      <c r="R172" s="772"/>
      <c r="S172" s="772"/>
      <c r="T172" s="772"/>
      <c r="U172" s="772"/>
      <c r="V172" s="772"/>
      <c r="W172" s="772"/>
      <c r="X172" s="772"/>
      <c r="Y172" s="772"/>
      <c r="Z172" s="772"/>
      <c r="AA172" s="772"/>
      <c r="AB172" s="772"/>
      <c r="AC172" s="772"/>
      <c r="AD172" s="772"/>
      <c r="AE172" s="772"/>
      <c r="AF172" s="772"/>
      <c r="AG172" s="772"/>
      <c r="AH172" s="772"/>
      <c r="AI172" s="772"/>
      <c r="AJ172" s="772"/>
      <c r="AK172" s="772"/>
      <c r="AL172" s="772"/>
      <c r="AM172" s="772"/>
      <c r="AN172" s="772"/>
      <c r="AO172" s="772"/>
      <c r="AP172" s="772"/>
      <c r="AQ172" s="772"/>
      <c r="AR172" s="772"/>
      <c r="AS172" s="388"/>
      <c r="AT172" s="388"/>
    </row>
    <row r="173" spans="1:46" ht="52.9" customHeight="1">
      <c r="A173" s="1124"/>
      <c r="B173" s="1124"/>
      <c r="C173" s="1124"/>
      <c r="D173" s="1381" t="s">
        <v>4</v>
      </c>
      <c r="E173" s="1381"/>
      <c r="F173" s="1382" t="s">
        <v>673</v>
      </c>
      <c r="G173" s="1382"/>
      <c r="H173" s="1382"/>
      <c r="I173" s="1382"/>
      <c r="J173" s="1382"/>
      <c r="K173" s="1382"/>
      <c r="L173" s="1382"/>
      <c r="M173" s="1382" t="s">
        <v>354</v>
      </c>
      <c r="N173" s="1382"/>
      <c r="O173" s="1382"/>
      <c r="P173" s="1382"/>
      <c r="Q173" s="1382"/>
      <c r="R173" s="1382"/>
      <c r="S173" s="1382"/>
      <c r="T173" s="1383" t="s">
        <v>674</v>
      </c>
      <c r="U173" s="1384"/>
      <c r="V173" s="1384"/>
      <c r="W173" s="1384"/>
      <c r="X173" s="1384"/>
      <c r="Y173" s="1384"/>
      <c r="Z173" s="1384"/>
      <c r="AA173" s="1384"/>
      <c r="AB173" s="1384"/>
      <c r="AC173" s="1384"/>
      <c r="AD173" s="1384"/>
      <c r="AE173" s="1384"/>
      <c r="AF173" s="1384"/>
      <c r="AG173" s="1384"/>
      <c r="AH173" s="1384"/>
      <c r="AI173" s="1384"/>
      <c r="AJ173" s="1384"/>
      <c r="AK173" s="1385"/>
      <c r="AL173" s="1411" t="s">
        <v>62</v>
      </c>
      <c r="AM173" s="1411"/>
      <c r="AN173" s="1411"/>
      <c r="AO173" s="1411"/>
      <c r="AP173" s="1411"/>
      <c r="AQ173" s="1411"/>
      <c r="AR173" s="923"/>
      <c r="AS173" s="388"/>
      <c r="AT173" s="388"/>
    </row>
    <row r="174" spans="1:46" ht="52.9" customHeight="1">
      <c r="A174" s="1124"/>
      <c r="B174" s="1124"/>
      <c r="C174" s="1124"/>
      <c r="D174" s="1381"/>
      <c r="E174" s="1381"/>
      <c r="F174" s="1382"/>
      <c r="G174" s="1382"/>
      <c r="H174" s="1382"/>
      <c r="I174" s="1382"/>
      <c r="J174" s="1382"/>
      <c r="K174" s="1382"/>
      <c r="L174" s="1382"/>
      <c r="M174" s="1382" t="s">
        <v>675</v>
      </c>
      <c r="N174" s="1382"/>
      <c r="O174" s="1382"/>
      <c r="P174" s="1382"/>
      <c r="Q174" s="1382" t="s">
        <v>676</v>
      </c>
      <c r="R174" s="1382"/>
      <c r="S174" s="1382"/>
      <c r="T174" s="1383" t="s">
        <v>677</v>
      </c>
      <c r="U174" s="1384"/>
      <c r="V174" s="1384"/>
      <c r="W174" s="1384"/>
      <c r="X174" s="1384"/>
      <c r="Y174" s="1384"/>
      <c r="Z174" s="1385"/>
      <c r="AA174" s="1383" t="s">
        <v>678</v>
      </c>
      <c r="AB174" s="1384"/>
      <c r="AC174" s="1384"/>
      <c r="AD174" s="1384"/>
      <c r="AE174" s="1384"/>
      <c r="AF174" s="1384"/>
      <c r="AG174" s="1385"/>
      <c r="AH174" s="1412" t="s">
        <v>679</v>
      </c>
      <c r="AI174" s="1413"/>
      <c r="AJ174" s="1413"/>
      <c r="AK174" s="1414"/>
      <c r="AL174" s="1411"/>
      <c r="AM174" s="1411"/>
      <c r="AN174" s="1411"/>
      <c r="AO174" s="1411"/>
      <c r="AP174" s="1411"/>
      <c r="AQ174" s="1411"/>
      <c r="AR174" s="923"/>
      <c r="AS174" s="388"/>
      <c r="AT174" s="388"/>
    </row>
    <row r="175" spans="1:46" ht="52.9" customHeight="1">
      <c r="A175" s="1125"/>
      <c r="B175" s="1125"/>
      <c r="C175" s="1125"/>
      <c r="D175" s="1381" t="s">
        <v>680</v>
      </c>
      <c r="E175" s="1381"/>
      <c r="F175" s="1382">
        <f>SUM(F176:L179)</f>
        <v>73</v>
      </c>
      <c r="G175" s="1382"/>
      <c r="H175" s="1382"/>
      <c r="I175" s="1382"/>
      <c r="J175" s="1382"/>
      <c r="K175" s="1382"/>
      <c r="L175" s="1382"/>
      <c r="M175" s="1382"/>
      <c r="N175" s="1382"/>
      <c r="O175" s="1382"/>
      <c r="P175" s="1382"/>
      <c r="Q175" s="1367">
        <f>SUM(Q176:S179)</f>
        <v>100</v>
      </c>
      <c r="R175" s="1367"/>
      <c r="S175" s="1367"/>
      <c r="T175" s="1367">
        <f>SUM(T176:Z179)</f>
        <v>284824</v>
      </c>
      <c r="U175" s="1367"/>
      <c r="V175" s="1367"/>
      <c r="W175" s="1367"/>
      <c r="X175" s="1367"/>
      <c r="Y175" s="1367"/>
      <c r="Z175" s="1367"/>
      <c r="AA175" s="1367">
        <f>SUM(AA176:AG179)</f>
        <v>135751.56013482745</v>
      </c>
      <c r="AB175" s="1367"/>
      <c r="AC175" s="1367"/>
      <c r="AD175" s="1367"/>
      <c r="AE175" s="1367"/>
      <c r="AF175" s="1367"/>
      <c r="AG175" s="1367"/>
      <c r="AH175" s="1367">
        <f>SUM(AH176:AK179)</f>
        <v>100.00000000000001</v>
      </c>
      <c r="AI175" s="1367"/>
      <c r="AJ175" s="1367"/>
      <c r="AK175" s="1367"/>
      <c r="AL175" s="1411"/>
      <c r="AM175" s="1411"/>
      <c r="AN175" s="1411"/>
      <c r="AO175" s="1411"/>
      <c r="AP175" s="1411"/>
      <c r="AQ175" s="1411"/>
      <c r="AR175" s="924"/>
      <c r="AS175" s="388"/>
      <c r="AT175" s="388"/>
    </row>
    <row r="176" spans="1:46" ht="52.9" customHeight="1">
      <c r="A176" s="1126"/>
      <c r="B176" s="1126"/>
      <c r="C176" s="1126"/>
      <c r="D176" s="1405"/>
      <c r="E176" s="1405"/>
      <c r="F176" s="1406">
        <f>COUNTIF($AR$17:$AR$97,"A")</f>
        <v>47</v>
      </c>
      <c r="G176" s="1406"/>
      <c r="H176" s="1406"/>
      <c r="I176" s="1406"/>
      <c r="J176" s="1406"/>
      <c r="K176" s="1406"/>
      <c r="L176" s="1406"/>
      <c r="M176" s="1406" t="s">
        <v>36</v>
      </c>
      <c r="N176" s="1406"/>
      <c r="O176" s="1406"/>
      <c r="P176" s="1406"/>
      <c r="Q176" s="1407">
        <f>+F176/$F$175*100</f>
        <v>64.38356164383562</v>
      </c>
      <c r="R176" s="1407"/>
      <c r="S176" s="1407"/>
      <c r="T176" s="1408">
        <f>SUMIF($AR$17:$AR$97,"A",$AK$17:$AK$97)</f>
        <v>182234</v>
      </c>
      <c r="U176" s="1408"/>
      <c r="V176" s="1408"/>
      <c r="W176" s="1408"/>
      <c r="X176" s="1408"/>
      <c r="Y176" s="1408"/>
      <c r="Z176" s="1408"/>
      <c r="AA176" s="1409">
        <f>SUMIF($AR$17:$AR$97,"A",$AQ$17:$AQ$97)</f>
        <v>86977.530360562974</v>
      </c>
      <c r="AB176" s="1409"/>
      <c r="AC176" s="1409"/>
      <c r="AD176" s="1409"/>
      <c r="AE176" s="1409"/>
      <c r="AF176" s="1409"/>
      <c r="AG176" s="1409"/>
      <c r="AH176" s="1407">
        <f>+AA176/$AA$175*100</f>
        <v>64.071109219059835</v>
      </c>
      <c r="AI176" s="1407"/>
      <c r="AJ176" s="1407"/>
      <c r="AK176" s="1407"/>
      <c r="AL176" s="1410"/>
      <c r="AM176" s="1410"/>
      <c r="AN176" s="1410"/>
      <c r="AO176" s="1410"/>
      <c r="AP176" s="1410"/>
      <c r="AQ176" s="1410"/>
      <c r="AR176" s="925"/>
      <c r="AS176" s="388"/>
      <c r="AT176" s="388"/>
    </row>
    <row r="177" spans="1:46" ht="52.9" customHeight="1">
      <c r="A177" s="1126"/>
      <c r="B177" s="1126"/>
      <c r="C177" s="1126"/>
      <c r="D177" s="1405"/>
      <c r="E177" s="1405"/>
      <c r="F177" s="1406">
        <f>COUNTIF($AR$17:$AR$96,"B")</f>
        <v>26</v>
      </c>
      <c r="G177" s="1406"/>
      <c r="H177" s="1406"/>
      <c r="I177" s="1406"/>
      <c r="J177" s="1406"/>
      <c r="K177" s="1406"/>
      <c r="L177" s="1406"/>
      <c r="M177" s="1406" t="s">
        <v>43</v>
      </c>
      <c r="N177" s="1406"/>
      <c r="O177" s="1406"/>
      <c r="P177" s="1406"/>
      <c r="Q177" s="1407">
        <f>+F177/$F$175*100</f>
        <v>35.61643835616438</v>
      </c>
      <c r="R177" s="1407"/>
      <c r="S177" s="1407"/>
      <c r="T177" s="1408">
        <f>SUMIF($AR$17:$AR$97,"B",$AK$17:$AK$97)</f>
        <v>102590</v>
      </c>
      <c r="U177" s="1408"/>
      <c r="V177" s="1408"/>
      <c r="W177" s="1408"/>
      <c r="X177" s="1408"/>
      <c r="Y177" s="1408"/>
      <c r="Z177" s="1408"/>
      <c r="AA177" s="1409">
        <f>SUMIF($AR$17:$AR$97,"B",$AQ$17:$AQ$97)</f>
        <v>48774.029774264483</v>
      </c>
      <c r="AB177" s="1409"/>
      <c r="AC177" s="1409"/>
      <c r="AD177" s="1409"/>
      <c r="AE177" s="1409"/>
      <c r="AF177" s="1409"/>
      <c r="AG177" s="1409"/>
      <c r="AH177" s="1407">
        <f>+AA177/$AA$175*100</f>
        <v>35.928890780940179</v>
      </c>
      <c r="AI177" s="1407"/>
      <c r="AJ177" s="1407"/>
      <c r="AK177" s="1407"/>
      <c r="AL177" s="1410"/>
      <c r="AM177" s="1410"/>
      <c r="AN177" s="1410"/>
      <c r="AO177" s="1410"/>
      <c r="AP177" s="1410"/>
      <c r="AQ177" s="1410"/>
      <c r="AR177" s="925"/>
      <c r="AS177" s="388"/>
      <c r="AT177" s="388"/>
    </row>
    <row r="178" spans="1:46" ht="52.9" hidden="1" customHeight="1">
      <c r="A178" s="1126"/>
      <c r="B178" s="1126"/>
      <c r="C178" s="1126"/>
      <c r="D178" s="1405"/>
      <c r="E178" s="1405"/>
      <c r="F178" s="1406">
        <f>COUNTIF($AR$17:$AR$96,"C")</f>
        <v>0</v>
      </c>
      <c r="G178" s="1406"/>
      <c r="H178" s="1406"/>
      <c r="I178" s="1406"/>
      <c r="J178" s="1406"/>
      <c r="K178" s="1406"/>
      <c r="L178" s="1406"/>
      <c r="M178" s="1406" t="s">
        <v>392</v>
      </c>
      <c r="N178" s="1406"/>
      <c r="O178" s="1406"/>
      <c r="P178" s="1406"/>
      <c r="Q178" s="1407">
        <f>+F178/$F$175*100</f>
        <v>0</v>
      </c>
      <c r="R178" s="1407"/>
      <c r="S178" s="1407"/>
      <c r="T178" s="1408">
        <f>SUMIF($AR$17:$AR$97,"C",$AK$17:$AK$97)</f>
        <v>0</v>
      </c>
      <c r="U178" s="1408"/>
      <c r="V178" s="1408"/>
      <c r="W178" s="1408"/>
      <c r="X178" s="1408"/>
      <c r="Y178" s="1408"/>
      <c r="Z178" s="1408"/>
      <c r="AA178" s="1409">
        <f>SUMIF($AR$17:$AR$97,"C",$AQ$17:$AQ$97)</f>
        <v>0</v>
      </c>
      <c r="AB178" s="1409"/>
      <c r="AC178" s="1409"/>
      <c r="AD178" s="1409"/>
      <c r="AE178" s="1409"/>
      <c r="AF178" s="1409"/>
      <c r="AG178" s="1409"/>
      <c r="AH178" s="1407">
        <f>+AA178/$AA$175*100</f>
        <v>0</v>
      </c>
      <c r="AI178" s="1407"/>
      <c r="AJ178" s="1407"/>
      <c r="AK178" s="1407"/>
      <c r="AL178" s="1410"/>
      <c r="AM178" s="1410"/>
      <c r="AN178" s="1410"/>
      <c r="AO178" s="1410"/>
      <c r="AP178" s="1410"/>
      <c r="AQ178" s="1410"/>
      <c r="AR178" s="925"/>
      <c r="AS178" s="388"/>
      <c r="AT178" s="388"/>
    </row>
    <row r="179" spans="1:46" ht="52.9" hidden="1" customHeight="1">
      <c r="A179" s="1126"/>
      <c r="B179" s="1126"/>
      <c r="C179" s="1126"/>
      <c r="D179" s="1405"/>
      <c r="E179" s="1405"/>
      <c r="F179" s="1406">
        <f>COUNTIF($AR$17:$AR$97,"D")</f>
        <v>0</v>
      </c>
      <c r="G179" s="1406"/>
      <c r="H179" s="1406"/>
      <c r="I179" s="1406"/>
      <c r="J179" s="1406"/>
      <c r="K179" s="1406"/>
      <c r="L179" s="1406"/>
      <c r="M179" s="1406" t="s">
        <v>44</v>
      </c>
      <c r="N179" s="1406"/>
      <c r="O179" s="1406"/>
      <c r="P179" s="1406"/>
      <c r="Q179" s="1407">
        <f>+F179/$F$175*100</f>
        <v>0</v>
      </c>
      <c r="R179" s="1407"/>
      <c r="S179" s="1407"/>
      <c r="T179" s="1408">
        <f>SUMIF($AR$17:$AR$97,"D",$AK$17:$AK$97)</f>
        <v>0</v>
      </c>
      <c r="U179" s="1408"/>
      <c r="V179" s="1408"/>
      <c r="W179" s="1408"/>
      <c r="X179" s="1408"/>
      <c r="Y179" s="1408"/>
      <c r="Z179" s="1408"/>
      <c r="AA179" s="1409">
        <f>SUMIF($AR$17:$AR$97,"D",$AQ$17:$AQ$97)</f>
        <v>0</v>
      </c>
      <c r="AB179" s="1409"/>
      <c r="AC179" s="1409"/>
      <c r="AD179" s="1409"/>
      <c r="AE179" s="1409"/>
      <c r="AF179" s="1409"/>
      <c r="AG179" s="1409"/>
      <c r="AH179" s="1407">
        <f>+AA179/$AA$175*100</f>
        <v>0</v>
      </c>
      <c r="AI179" s="1407"/>
      <c r="AJ179" s="1407"/>
      <c r="AK179" s="1407"/>
      <c r="AL179" s="1410"/>
      <c r="AM179" s="1410"/>
      <c r="AN179" s="1410"/>
      <c r="AO179" s="1410"/>
      <c r="AP179" s="1410"/>
      <c r="AQ179" s="1410"/>
      <c r="AR179" s="925"/>
      <c r="AS179" s="388"/>
      <c r="AT179" s="388"/>
    </row>
    <row r="180" spans="1:46" ht="52.9" customHeight="1">
      <c r="A180" s="1126"/>
      <c r="B180" s="1126"/>
      <c r="C180" s="1126"/>
      <c r="D180" s="1415" t="s">
        <v>681</v>
      </c>
      <c r="E180" s="1416"/>
      <c r="F180" s="1406">
        <f>COUNTIF($AR$17:$AR$97,"C.")</f>
        <v>8</v>
      </c>
      <c r="G180" s="1406"/>
      <c r="H180" s="1406"/>
      <c r="I180" s="1406"/>
      <c r="J180" s="1406"/>
      <c r="K180" s="1406"/>
      <c r="L180" s="1406"/>
      <c r="M180" s="1406" t="s">
        <v>351</v>
      </c>
      <c r="N180" s="1406"/>
      <c r="O180" s="1406"/>
      <c r="P180" s="1406"/>
      <c r="Q180" s="1417"/>
      <c r="R180" s="1417"/>
      <c r="S180" s="1417"/>
      <c r="T180" s="1408">
        <f>SUMIF($AR$17:$AR$97,"C.",$AK$17:$AK$97)</f>
        <v>7712</v>
      </c>
      <c r="U180" s="1408"/>
      <c r="V180" s="1408"/>
      <c r="W180" s="1408"/>
      <c r="X180" s="1408"/>
      <c r="Y180" s="1408"/>
      <c r="Z180" s="1408"/>
      <c r="AA180" s="1409">
        <f>SUMIF($AR$17:$AR$97,"C.",$AQ$17:$AQ$97)</f>
        <v>3564.6708651725039</v>
      </c>
      <c r="AB180" s="1409"/>
      <c r="AC180" s="1409"/>
      <c r="AD180" s="1409"/>
      <c r="AE180" s="1409"/>
      <c r="AF180" s="1409"/>
      <c r="AG180" s="1409"/>
      <c r="AH180" s="1417"/>
      <c r="AI180" s="1417"/>
      <c r="AJ180" s="1417"/>
      <c r="AK180" s="1417"/>
      <c r="AL180" s="1411"/>
      <c r="AM180" s="1411"/>
      <c r="AN180" s="1411"/>
      <c r="AO180" s="1411"/>
      <c r="AP180" s="1411"/>
      <c r="AQ180" s="1411"/>
      <c r="AR180" s="925"/>
      <c r="AS180" s="388"/>
      <c r="AT180" s="388"/>
    </row>
    <row r="181" spans="1:46" ht="52.9" customHeight="1">
      <c r="A181" s="1127"/>
      <c r="B181" s="1127"/>
      <c r="C181" s="1127"/>
      <c r="D181" s="1418" t="s">
        <v>682</v>
      </c>
      <c r="E181" s="1418"/>
      <c r="F181" s="1419">
        <f>+F175+F180</f>
        <v>81</v>
      </c>
      <c r="G181" s="1419"/>
      <c r="H181" s="1419"/>
      <c r="I181" s="1419"/>
      <c r="J181" s="1419"/>
      <c r="K181" s="1419"/>
      <c r="L181" s="1419"/>
      <c r="M181" s="1419"/>
      <c r="N181" s="1419"/>
      <c r="O181" s="1419"/>
      <c r="P181" s="1419"/>
      <c r="Q181" s="1420"/>
      <c r="R181" s="1421"/>
      <c r="S181" s="1422"/>
      <c r="T181" s="1423">
        <f>+T175+T180</f>
        <v>292536</v>
      </c>
      <c r="U181" s="1423"/>
      <c r="V181" s="1423"/>
      <c r="W181" s="1423"/>
      <c r="X181" s="1423"/>
      <c r="Y181" s="1423"/>
      <c r="Z181" s="1423"/>
      <c r="AA181" s="1423">
        <f>AA175+AA180</f>
        <v>139316.23099999994</v>
      </c>
      <c r="AB181" s="1423"/>
      <c r="AC181" s="1423"/>
      <c r="AD181" s="1423"/>
      <c r="AE181" s="1423"/>
      <c r="AF181" s="1423"/>
      <c r="AG181" s="1423"/>
      <c r="AH181" s="1417"/>
      <c r="AI181" s="1417"/>
      <c r="AJ181" s="1417"/>
      <c r="AK181" s="1417"/>
      <c r="AL181" s="1424"/>
      <c r="AM181" s="1425"/>
      <c r="AN181" s="1425"/>
      <c r="AO181" s="1425"/>
      <c r="AP181" s="1425"/>
      <c r="AQ181" s="1426"/>
      <c r="AR181" s="926"/>
      <c r="AS181" s="388"/>
      <c r="AT181" s="388"/>
    </row>
    <row r="182" spans="1:46" ht="52.9" customHeight="1">
      <c r="A182" s="1125"/>
      <c r="B182" s="1125"/>
      <c r="C182" s="1125"/>
      <c r="D182" s="1381" t="s">
        <v>680</v>
      </c>
      <c r="E182" s="1381"/>
      <c r="F182" s="1382">
        <f>SUM(F183:L186)</f>
        <v>58</v>
      </c>
      <c r="G182" s="1382"/>
      <c r="H182" s="1382"/>
      <c r="I182" s="1382"/>
      <c r="J182" s="1382"/>
      <c r="K182" s="1382"/>
      <c r="L182" s="1382"/>
      <c r="M182" s="1382"/>
      <c r="N182" s="1382"/>
      <c r="O182" s="1382"/>
      <c r="P182" s="1382"/>
      <c r="Q182" s="1427">
        <f>SUM(Q183:S186)</f>
        <v>100</v>
      </c>
      <c r="R182" s="1427"/>
      <c r="S182" s="1427"/>
      <c r="T182" s="1367">
        <f>SUM(T183:Z186)</f>
        <v>228405</v>
      </c>
      <c r="U182" s="1367"/>
      <c r="V182" s="1367"/>
      <c r="W182" s="1367"/>
      <c r="X182" s="1367"/>
      <c r="Y182" s="1367"/>
      <c r="Z182" s="1367"/>
      <c r="AA182" s="1367">
        <f>SUM(AA183:AG186)</f>
        <v>107875.40663068075</v>
      </c>
      <c r="AB182" s="1367"/>
      <c r="AC182" s="1367"/>
      <c r="AD182" s="1367"/>
      <c r="AE182" s="1367"/>
      <c r="AF182" s="1367"/>
      <c r="AG182" s="1367"/>
      <c r="AH182" s="1427">
        <f>SUM(AH183:AK186)</f>
        <v>100.00000000000001</v>
      </c>
      <c r="AI182" s="1427"/>
      <c r="AJ182" s="1427"/>
      <c r="AK182" s="1427"/>
      <c r="AL182" s="1411"/>
      <c r="AM182" s="1411"/>
      <c r="AN182" s="1411"/>
      <c r="AO182" s="1411"/>
      <c r="AP182" s="1411"/>
      <c r="AQ182" s="1411"/>
      <c r="AR182" s="924"/>
      <c r="AS182" s="388"/>
      <c r="AT182" s="388"/>
    </row>
    <row r="183" spans="1:46" ht="52.9" customHeight="1">
      <c r="A183" s="1126"/>
      <c r="B183" s="1126"/>
      <c r="C183" s="1126"/>
      <c r="D183" s="1405"/>
      <c r="E183" s="1405"/>
      <c r="F183" s="1406">
        <f>COUNTIF($AR$99:$AR$160,"A")</f>
        <v>45</v>
      </c>
      <c r="G183" s="1406"/>
      <c r="H183" s="1406"/>
      <c r="I183" s="1406"/>
      <c r="J183" s="1406"/>
      <c r="K183" s="1406"/>
      <c r="L183" s="1406"/>
      <c r="M183" s="1406" t="s">
        <v>36</v>
      </c>
      <c r="N183" s="1406"/>
      <c r="O183" s="1406"/>
      <c r="P183" s="1406"/>
      <c r="Q183" s="1407">
        <f>+F183/$F$182*100</f>
        <v>77.58620689655173</v>
      </c>
      <c r="R183" s="1407"/>
      <c r="S183" s="1407"/>
      <c r="T183" s="1408">
        <f>SUMIF($AR$99:$AR$160,"A",$AK$99:$AK$160)</f>
        <v>179894</v>
      </c>
      <c r="U183" s="1408"/>
      <c r="V183" s="1408"/>
      <c r="W183" s="1408"/>
      <c r="X183" s="1408"/>
      <c r="Y183" s="1408"/>
      <c r="Z183" s="1408"/>
      <c r="AA183" s="1408">
        <f>SUMIF($AR$99:$AR$160,"A",$AQ$99:$AQ$160)</f>
        <v>84880.156192782699</v>
      </c>
      <c r="AB183" s="1408"/>
      <c r="AC183" s="1408"/>
      <c r="AD183" s="1408"/>
      <c r="AE183" s="1408"/>
      <c r="AF183" s="1408"/>
      <c r="AG183" s="1408"/>
      <c r="AH183" s="1407">
        <f>+AA183/$AA$182*100</f>
        <v>78.683509841474859</v>
      </c>
      <c r="AI183" s="1407"/>
      <c r="AJ183" s="1407"/>
      <c r="AK183" s="1407"/>
      <c r="AL183" s="1410"/>
      <c r="AM183" s="1410"/>
      <c r="AN183" s="1410"/>
      <c r="AO183" s="1410"/>
      <c r="AP183" s="1410"/>
      <c r="AQ183" s="1410"/>
      <c r="AR183" s="925"/>
      <c r="AS183" s="388"/>
      <c r="AT183" s="388"/>
    </row>
    <row r="184" spans="1:46" ht="52.9" customHeight="1">
      <c r="A184" s="1126"/>
      <c r="B184" s="1126"/>
      <c r="C184" s="1126"/>
      <c r="D184" s="1405"/>
      <c r="E184" s="1405"/>
      <c r="F184" s="1406">
        <f>COUNTIF($AR$99:$AR$160,"B")</f>
        <v>13</v>
      </c>
      <c r="G184" s="1406"/>
      <c r="H184" s="1406"/>
      <c r="I184" s="1406"/>
      <c r="J184" s="1406"/>
      <c r="K184" s="1406"/>
      <c r="L184" s="1406"/>
      <c r="M184" s="1406" t="s">
        <v>43</v>
      </c>
      <c r="N184" s="1406"/>
      <c r="O184" s="1406"/>
      <c r="P184" s="1406"/>
      <c r="Q184" s="1407">
        <f>+F184/$F$182*100</f>
        <v>22.413793103448278</v>
      </c>
      <c r="R184" s="1407"/>
      <c r="S184" s="1407"/>
      <c r="T184" s="1408">
        <f>SUMIF($AR$99:$AR$160,"B",$AK$99:$AK$160)</f>
        <v>48511</v>
      </c>
      <c r="U184" s="1408"/>
      <c r="V184" s="1408"/>
      <c r="W184" s="1408"/>
      <c r="X184" s="1408"/>
      <c r="Y184" s="1408"/>
      <c r="Z184" s="1408"/>
      <c r="AA184" s="1408">
        <f>SUMIF($AR$99:$AR$160,"B",$AQ$99:$AQ$160)</f>
        <v>22995.250437898059</v>
      </c>
      <c r="AB184" s="1408"/>
      <c r="AC184" s="1408"/>
      <c r="AD184" s="1408"/>
      <c r="AE184" s="1408"/>
      <c r="AF184" s="1408"/>
      <c r="AG184" s="1408"/>
      <c r="AH184" s="1407">
        <f>+AA184/$AA$182*100</f>
        <v>21.316490158525159</v>
      </c>
      <c r="AI184" s="1407"/>
      <c r="AJ184" s="1407"/>
      <c r="AK184" s="1407"/>
      <c r="AL184" s="1410"/>
      <c r="AM184" s="1410"/>
      <c r="AN184" s="1410"/>
      <c r="AO184" s="1410"/>
      <c r="AP184" s="1410"/>
      <c r="AQ184" s="1410"/>
      <c r="AR184" s="925"/>
      <c r="AS184" s="388"/>
      <c r="AT184" s="388"/>
    </row>
    <row r="185" spans="1:46" ht="52.9" hidden="1" customHeight="1">
      <c r="A185" s="1126"/>
      <c r="B185" s="1126"/>
      <c r="C185" s="1126"/>
      <c r="D185" s="1405"/>
      <c r="E185" s="1405"/>
      <c r="F185" s="1406">
        <f>COUNTIF($AR$99:$AR$160,"C")</f>
        <v>0</v>
      </c>
      <c r="G185" s="1406"/>
      <c r="H185" s="1406"/>
      <c r="I185" s="1406"/>
      <c r="J185" s="1406"/>
      <c r="K185" s="1406"/>
      <c r="L185" s="1406"/>
      <c r="M185" s="1406" t="s">
        <v>392</v>
      </c>
      <c r="N185" s="1406"/>
      <c r="O185" s="1406"/>
      <c r="P185" s="1406"/>
      <c r="Q185" s="1407">
        <f t="shared" ref="Q185:Q186" si="24">+F185/$F$195*100</f>
        <v>0</v>
      </c>
      <c r="R185" s="1407"/>
      <c r="S185" s="1407"/>
      <c r="T185" s="1408">
        <f>SUMIF($AR$99:$AR$160,"C",$AK$99:$AK$160)</f>
        <v>0</v>
      </c>
      <c r="U185" s="1408"/>
      <c r="V185" s="1408"/>
      <c r="W185" s="1408"/>
      <c r="X185" s="1408"/>
      <c r="Y185" s="1408"/>
      <c r="Z185" s="1408"/>
      <c r="AA185" s="1408">
        <f>SUMIF($AR$99:$AR$160,"C",$AQ$99:$AQ$160)</f>
        <v>0</v>
      </c>
      <c r="AB185" s="1408"/>
      <c r="AC185" s="1408"/>
      <c r="AD185" s="1408"/>
      <c r="AE185" s="1408"/>
      <c r="AF185" s="1408"/>
      <c r="AG185" s="1408"/>
      <c r="AH185" s="1407">
        <f>+AA185/$AA$181*100</f>
        <v>0</v>
      </c>
      <c r="AI185" s="1407"/>
      <c r="AJ185" s="1407"/>
      <c r="AK185" s="1407"/>
      <c r="AL185" s="1410"/>
      <c r="AM185" s="1410"/>
      <c r="AN185" s="1410"/>
      <c r="AO185" s="1410"/>
      <c r="AP185" s="1410"/>
      <c r="AQ185" s="1410"/>
      <c r="AR185" s="925"/>
      <c r="AS185" s="388"/>
      <c r="AT185" s="388"/>
    </row>
    <row r="186" spans="1:46" ht="52.9" hidden="1" customHeight="1">
      <c r="A186" s="1126"/>
      <c r="B186" s="1126"/>
      <c r="C186" s="1126"/>
      <c r="D186" s="1405"/>
      <c r="E186" s="1405"/>
      <c r="F186" s="1406">
        <f>COUNTIF($AR$99:$AR$160,"D")</f>
        <v>0</v>
      </c>
      <c r="G186" s="1406"/>
      <c r="H186" s="1406"/>
      <c r="I186" s="1406"/>
      <c r="J186" s="1406"/>
      <c r="K186" s="1406"/>
      <c r="L186" s="1406"/>
      <c r="M186" s="1406" t="s">
        <v>44</v>
      </c>
      <c r="N186" s="1406"/>
      <c r="O186" s="1406"/>
      <c r="P186" s="1406"/>
      <c r="Q186" s="1407">
        <f t="shared" si="24"/>
        <v>0</v>
      </c>
      <c r="R186" s="1407"/>
      <c r="S186" s="1407"/>
      <c r="T186" s="1408">
        <f>SUMIF($AR$99:$AR$160,"D",$AK$99:$AK$160)</f>
        <v>0</v>
      </c>
      <c r="U186" s="1408"/>
      <c r="V186" s="1408"/>
      <c r="W186" s="1408"/>
      <c r="X186" s="1408"/>
      <c r="Y186" s="1408"/>
      <c r="Z186" s="1408"/>
      <c r="AA186" s="1408">
        <f>SUMIF($AR$99:$AR$160,"D",$AQ$99:$AQ$160)</f>
        <v>0</v>
      </c>
      <c r="AB186" s="1408"/>
      <c r="AC186" s="1408"/>
      <c r="AD186" s="1408"/>
      <c r="AE186" s="1408"/>
      <c r="AF186" s="1408"/>
      <c r="AG186" s="1408"/>
      <c r="AH186" s="1407">
        <f>+AA186/$AA$181*100</f>
        <v>0</v>
      </c>
      <c r="AI186" s="1407"/>
      <c r="AJ186" s="1407"/>
      <c r="AK186" s="1407"/>
      <c r="AL186" s="1410"/>
      <c r="AM186" s="1410"/>
      <c r="AN186" s="1410"/>
      <c r="AO186" s="1410"/>
      <c r="AP186" s="1410"/>
      <c r="AQ186" s="1410"/>
      <c r="AR186" s="925"/>
      <c r="AS186" s="388"/>
      <c r="AT186" s="388"/>
    </row>
    <row r="187" spans="1:46" ht="52.9" customHeight="1">
      <c r="A187" s="1126"/>
      <c r="B187" s="1126"/>
      <c r="C187" s="1126"/>
      <c r="D187" s="1381" t="s">
        <v>681</v>
      </c>
      <c r="E187" s="1381"/>
      <c r="F187" s="1406">
        <f>COUNTIF($AR$99:$AR$160,"C.")</f>
        <v>4</v>
      </c>
      <c r="G187" s="1406"/>
      <c r="H187" s="1406"/>
      <c r="I187" s="1406"/>
      <c r="J187" s="1406"/>
      <c r="K187" s="1406"/>
      <c r="L187" s="1406"/>
      <c r="M187" s="1406" t="s">
        <v>351</v>
      </c>
      <c r="N187" s="1406"/>
      <c r="O187" s="1406"/>
      <c r="P187" s="1406"/>
      <c r="Q187" s="1407"/>
      <c r="R187" s="1407"/>
      <c r="S187" s="1407"/>
      <c r="T187" s="1408">
        <f>SUMIF($AR$99:$AR$160,"C.",$AK$99:$AK$160)</f>
        <v>3341</v>
      </c>
      <c r="U187" s="1408"/>
      <c r="V187" s="1408"/>
      <c r="W187" s="1408"/>
      <c r="X187" s="1408"/>
      <c r="Y187" s="1408"/>
      <c r="Z187" s="1408"/>
      <c r="AA187" s="1408">
        <f>SUMIF($AR$99:$AR$160,"C.",$AQ$99:$AQ$160)</f>
        <v>1577.170369319261</v>
      </c>
      <c r="AB187" s="1408"/>
      <c r="AC187" s="1408"/>
      <c r="AD187" s="1408"/>
      <c r="AE187" s="1408"/>
      <c r="AF187" s="1408"/>
      <c r="AG187" s="1408"/>
      <c r="AH187" s="1407"/>
      <c r="AI187" s="1407"/>
      <c r="AJ187" s="1407"/>
      <c r="AK187" s="1407"/>
      <c r="AL187" s="1410"/>
      <c r="AM187" s="1410"/>
      <c r="AN187" s="1410"/>
      <c r="AO187" s="1410"/>
      <c r="AP187" s="1410"/>
      <c r="AQ187" s="1410"/>
      <c r="AR187" s="925"/>
      <c r="AS187" s="388"/>
      <c r="AT187" s="388"/>
    </row>
    <row r="188" spans="1:46" ht="52.9" customHeight="1">
      <c r="A188" s="1129"/>
      <c r="B188" s="1129"/>
      <c r="C188" s="1129"/>
      <c r="D188" s="1418" t="s">
        <v>683</v>
      </c>
      <c r="E188" s="1418"/>
      <c r="F188" s="1419">
        <f>+F182+F187</f>
        <v>62</v>
      </c>
      <c r="G188" s="1419"/>
      <c r="H188" s="1419"/>
      <c r="I188" s="1419"/>
      <c r="J188" s="1419"/>
      <c r="K188" s="1419"/>
      <c r="L188" s="1419"/>
      <c r="M188" s="1428"/>
      <c r="N188" s="1429"/>
      <c r="O188" s="1429"/>
      <c r="P188" s="1430"/>
      <c r="Q188" s="1420"/>
      <c r="R188" s="1421"/>
      <c r="S188" s="1422"/>
      <c r="T188" s="1423">
        <f>+T182+T187</f>
        <v>231746</v>
      </c>
      <c r="U188" s="1423"/>
      <c r="V188" s="1423"/>
      <c r="W188" s="1423"/>
      <c r="X188" s="1423"/>
      <c r="Y188" s="1423"/>
      <c r="Z188" s="1423"/>
      <c r="AA188" s="1423">
        <f>AA182+AA187</f>
        <v>109452.577</v>
      </c>
      <c r="AB188" s="1423"/>
      <c r="AC188" s="1423"/>
      <c r="AD188" s="1423"/>
      <c r="AE188" s="1423"/>
      <c r="AF188" s="1423"/>
      <c r="AG188" s="1423"/>
      <c r="AH188" s="1420"/>
      <c r="AI188" s="1421"/>
      <c r="AJ188" s="1421"/>
      <c r="AK188" s="1422"/>
      <c r="AL188" s="1424"/>
      <c r="AM188" s="1425"/>
      <c r="AN188" s="1425"/>
      <c r="AO188" s="1425"/>
      <c r="AP188" s="1425"/>
      <c r="AQ188" s="1426"/>
      <c r="AR188" s="927"/>
      <c r="AS188" s="388"/>
      <c r="AT188" s="388"/>
    </row>
    <row r="189" spans="1:46" ht="52.9" customHeight="1">
      <c r="A189" s="1126"/>
      <c r="B189" s="1126"/>
      <c r="C189" s="1126"/>
      <c r="D189" s="1381" t="s">
        <v>680</v>
      </c>
      <c r="E189" s="1381"/>
      <c r="F189" s="1382">
        <f>SUM(F190:L193)</f>
        <v>131</v>
      </c>
      <c r="G189" s="1382"/>
      <c r="H189" s="1382"/>
      <c r="I189" s="1382"/>
      <c r="J189" s="1382"/>
      <c r="K189" s="1382"/>
      <c r="L189" s="1382"/>
      <c r="M189" s="1382"/>
      <c r="N189" s="1382"/>
      <c r="O189" s="1382"/>
      <c r="P189" s="1382"/>
      <c r="Q189" s="1427">
        <f>SUM(Q190:S193)</f>
        <v>100</v>
      </c>
      <c r="R189" s="1427"/>
      <c r="S189" s="1427"/>
      <c r="T189" s="1427">
        <f>SUM(T190:Z193)</f>
        <v>513229</v>
      </c>
      <c r="U189" s="1427"/>
      <c r="V189" s="1427"/>
      <c r="W189" s="1427"/>
      <c r="X189" s="1427"/>
      <c r="Y189" s="1427"/>
      <c r="Z189" s="1427"/>
      <c r="AA189" s="1427">
        <f>SUM(AA190:AG193)</f>
        <v>243626.96676550823</v>
      </c>
      <c r="AB189" s="1427"/>
      <c r="AC189" s="1427"/>
      <c r="AD189" s="1427"/>
      <c r="AE189" s="1427"/>
      <c r="AF189" s="1427"/>
      <c r="AG189" s="1427"/>
      <c r="AH189" s="1427">
        <f>SUM(AH190:AK193)</f>
        <v>99.999999999999986</v>
      </c>
      <c r="AI189" s="1427"/>
      <c r="AJ189" s="1427"/>
      <c r="AK189" s="1427"/>
      <c r="AL189" s="1411"/>
      <c r="AM189" s="1411"/>
      <c r="AN189" s="1411"/>
      <c r="AO189" s="1411"/>
      <c r="AP189" s="1411"/>
      <c r="AQ189" s="1411"/>
      <c r="AR189" s="925"/>
      <c r="AS189" s="388"/>
      <c r="AT189" s="388"/>
    </row>
    <row r="190" spans="1:46" ht="52.9" customHeight="1">
      <c r="A190" s="1126"/>
      <c r="B190" s="1126"/>
      <c r="C190" s="1126"/>
      <c r="D190" s="1405"/>
      <c r="E190" s="1405"/>
      <c r="F190" s="1406">
        <f>F176+F183</f>
        <v>92</v>
      </c>
      <c r="G190" s="1406"/>
      <c r="H190" s="1406"/>
      <c r="I190" s="1406"/>
      <c r="J190" s="1406"/>
      <c r="K190" s="1406"/>
      <c r="L190" s="1406"/>
      <c r="M190" s="1406" t="s">
        <v>36</v>
      </c>
      <c r="N190" s="1406"/>
      <c r="O190" s="1406"/>
      <c r="P190" s="1406"/>
      <c r="Q190" s="1407">
        <f>+F190/$F$189*100</f>
        <v>70.229007633587784</v>
      </c>
      <c r="R190" s="1407"/>
      <c r="S190" s="1407"/>
      <c r="T190" s="1409">
        <f>T183+T176</f>
        <v>362128</v>
      </c>
      <c r="U190" s="1409"/>
      <c r="V190" s="1409"/>
      <c r="W190" s="1409"/>
      <c r="X190" s="1409"/>
      <c r="Y190" s="1409"/>
      <c r="Z190" s="1409"/>
      <c r="AA190" s="1409">
        <f>AA176+AA183</f>
        <v>171857.68655334567</v>
      </c>
      <c r="AB190" s="1409"/>
      <c r="AC190" s="1409"/>
      <c r="AD190" s="1409"/>
      <c r="AE190" s="1409"/>
      <c r="AF190" s="1409"/>
      <c r="AG190" s="1409"/>
      <c r="AH190" s="1407">
        <f>+AA190/$AA$189*100</f>
        <v>70.541323415465442</v>
      </c>
      <c r="AI190" s="1407"/>
      <c r="AJ190" s="1407"/>
      <c r="AK190" s="1407"/>
      <c r="AL190" s="1410"/>
      <c r="AM190" s="1410"/>
      <c r="AN190" s="1410"/>
      <c r="AO190" s="1410"/>
      <c r="AP190" s="1410"/>
      <c r="AQ190" s="1410"/>
      <c r="AR190" s="925"/>
      <c r="AS190" s="388"/>
      <c r="AT190" s="388"/>
    </row>
    <row r="191" spans="1:46" ht="52.9" customHeight="1">
      <c r="A191" s="1126"/>
      <c r="B191" s="1126"/>
      <c r="C191" s="1126"/>
      <c r="D191" s="1405"/>
      <c r="E191" s="1405"/>
      <c r="F191" s="1406">
        <f>F177+F184</f>
        <v>39</v>
      </c>
      <c r="G191" s="1406"/>
      <c r="H191" s="1406"/>
      <c r="I191" s="1406"/>
      <c r="J191" s="1406"/>
      <c r="K191" s="1406"/>
      <c r="L191" s="1406"/>
      <c r="M191" s="1406" t="s">
        <v>43</v>
      </c>
      <c r="N191" s="1406"/>
      <c r="O191" s="1406"/>
      <c r="P191" s="1406"/>
      <c r="Q191" s="1407">
        <f>+F191/$F$189*100</f>
        <v>29.770992366412212</v>
      </c>
      <c r="R191" s="1407"/>
      <c r="S191" s="1407"/>
      <c r="T191" s="1409">
        <f>T184+T177</f>
        <v>151101</v>
      </c>
      <c r="U191" s="1409"/>
      <c r="V191" s="1409"/>
      <c r="W191" s="1409"/>
      <c r="X191" s="1409"/>
      <c r="Y191" s="1409"/>
      <c r="Z191" s="1409"/>
      <c r="AA191" s="1409">
        <f>AA177+AA184</f>
        <v>71769.280212162543</v>
      </c>
      <c r="AB191" s="1409"/>
      <c r="AC191" s="1409"/>
      <c r="AD191" s="1409"/>
      <c r="AE191" s="1409"/>
      <c r="AF191" s="1409"/>
      <c r="AG191" s="1409"/>
      <c r="AH191" s="1407">
        <f>+AA191/$AA$189*100</f>
        <v>29.458676584534548</v>
      </c>
      <c r="AI191" s="1407"/>
      <c r="AJ191" s="1407"/>
      <c r="AK191" s="1407"/>
      <c r="AL191" s="1410"/>
      <c r="AM191" s="1410"/>
      <c r="AN191" s="1410"/>
      <c r="AO191" s="1410"/>
      <c r="AP191" s="1410"/>
      <c r="AQ191" s="1410"/>
      <c r="AR191" s="925"/>
      <c r="AS191" s="388"/>
      <c r="AT191" s="388"/>
    </row>
    <row r="192" spans="1:46" ht="52.9" hidden="1" customHeight="1">
      <c r="A192" s="1126"/>
      <c r="B192" s="1126"/>
      <c r="C192" s="1126"/>
      <c r="D192" s="1405"/>
      <c r="E192" s="1405"/>
      <c r="F192" s="1406">
        <f>F178+F185</f>
        <v>0</v>
      </c>
      <c r="G192" s="1406"/>
      <c r="H192" s="1406"/>
      <c r="I192" s="1406"/>
      <c r="J192" s="1406"/>
      <c r="K192" s="1406"/>
      <c r="L192" s="1406"/>
      <c r="M192" s="1406" t="s">
        <v>392</v>
      </c>
      <c r="N192" s="1406"/>
      <c r="O192" s="1406"/>
      <c r="P192" s="1406"/>
      <c r="Q192" s="1407">
        <f>+F192/$F$189*100</f>
        <v>0</v>
      </c>
      <c r="R192" s="1407"/>
      <c r="S192" s="1407"/>
      <c r="T192" s="1409">
        <f>T185+T178</f>
        <v>0</v>
      </c>
      <c r="U192" s="1409"/>
      <c r="V192" s="1409"/>
      <c r="W192" s="1409"/>
      <c r="X192" s="1409"/>
      <c r="Y192" s="1409"/>
      <c r="Z192" s="1409"/>
      <c r="AA192" s="1409">
        <f>AA178+AA185</f>
        <v>0</v>
      </c>
      <c r="AB192" s="1409"/>
      <c r="AC192" s="1409"/>
      <c r="AD192" s="1409"/>
      <c r="AE192" s="1409"/>
      <c r="AF192" s="1409"/>
      <c r="AG192" s="1409"/>
      <c r="AH192" s="1407">
        <f>+AA192/$AA$189*100</f>
        <v>0</v>
      </c>
      <c r="AI192" s="1407"/>
      <c r="AJ192" s="1407"/>
      <c r="AK192" s="1407"/>
      <c r="AL192" s="1410"/>
      <c r="AM192" s="1410"/>
      <c r="AN192" s="1410"/>
      <c r="AO192" s="1410"/>
      <c r="AP192" s="1410"/>
      <c r="AQ192" s="1410"/>
      <c r="AR192" s="925"/>
      <c r="AS192" s="1130"/>
      <c r="AT192" s="388"/>
    </row>
    <row r="193" spans="1:46" ht="52.9" hidden="1" customHeight="1">
      <c r="A193" s="1126"/>
      <c r="B193" s="1126"/>
      <c r="C193" s="1126"/>
      <c r="D193" s="1405"/>
      <c r="E193" s="1405"/>
      <c r="F193" s="1406">
        <f>F179+F186</f>
        <v>0</v>
      </c>
      <c r="G193" s="1406"/>
      <c r="H193" s="1406"/>
      <c r="I193" s="1406"/>
      <c r="J193" s="1406"/>
      <c r="K193" s="1406"/>
      <c r="L193" s="1406"/>
      <c r="M193" s="1406" t="s">
        <v>44</v>
      </c>
      <c r="N193" s="1406"/>
      <c r="O193" s="1406"/>
      <c r="P193" s="1406"/>
      <c r="Q193" s="1407">
        <f>+F193/$F$195*100</f>
        <v>0</v>
      </c>
      <c r="R193" s="1407"/>
      <c r="S193" s="1407"/>
      <c r="T193" s="1407">
        <f>T186+T179</f>
        <v>0</v>
      </c>
      <c r="U193" s="1407"/>
      <c r="V193" s="1407"/>
      <c r="W193" s="1407"/>
      <c r="X193" s="1407"/>
      <c r="Y193" s="1407"/>
      <c r="Z193" s="1407"/>
      <c r="AA193" s="1409">
        <f>AA179+AA186</f>
        <v>0</v>
      </c>
      <c r="AB193" s="1409"/>
      <c r="AC193" s="1409"/>
      <c r="AD193" s="1409"/>
      <c r="AE193" s="1409"/>
      <c r="AF193" s="1409"/>
      <c r="AG193" s="1409"/>
      <c r="AH193" s="1407">
        <f>+AA193/$AA$189*100</f>
        <v>0</v>
      </c>
      <c r="AI193" s="1407"/>
      <c r="AJ193" s="1407"/>
      <c r="AK193" s="1407"/>
      <c r="AL193" s="1410"/>
      <c r="AM193" s="1410"/>
      <c r="AN193" s="1410"/>
      <c r="AO193" s="1410"/>
      <c r="AP193" s="1410"/>
      <c r="AQ193" s="1410"/>
      <c r="AR193" s="925"/>
      <c r="AS193" s="388"/>
      <c r="AT193" s="388"/>
    </row>
    <row r="194" spans="1:46" ht="52.9" customHeight="1">
      <c r="A194" s="1126"/>
      <c r="B194" s="1126"/>
      <c r="C194" s="1126"/>
      <c r="D194" s="1381" t="s">
        <v>681</v>
      </c>
      <c r="E194" s="1381"/>
      <c r="F194" s="1406">
        <f>F187+F180</f>
        <v>12</v>
      </c>
      <c r="G194" s="1406"/>
      <c r="H194" s="1406"/>
      <c r="I194" s="1406"/>
      <c r="J194" s="1406"/>
      <c r="K194" s="1406"/>
      <c r="L194" s="1406"/>
      <c r="M194" s="1406" t="s">
        <v>351</v>
      </c>
      <c r="N194" s="1406"/>
      <c r="O194" s="1406"/>
      <c r="P194" s="1406"/>
      <c r="Q194" s="1406"/>
      <c r="R194" s="1406"/>
      <c r="S194" s="1406"/>
      <c r="T194" s="1408">
        <f>T187+T180</f>
        <v>11053</v>
      </c>
      <c r="U194" s="1408"/>
      <c r="V194" s="1408"/>
      <c r="W194" s="1408"/>
      <c r="X194" s="1408"/>
      <c r="Y194" s="1408"/>
      <c r="Z194" s="1408"/>
      <c r="AA194" s="1409">
        <f>AA180+AA187</f>
        <v>5141.8412344917651</v>
      </c>
      <c r="AB194" s="1409"/>
      <c r="AC194" s="1409"/>
      <c r="AD194" s="1409"/>
      <c r="AE194" s="1409"/>
      <c r="AF194" s="1409"/>
      <c r="AG194" s="1409"/>
      <c r="AH194" s="1410"/>
      <c r="AI194" s="1410"/>
      <c r="AJ194" s="1410"/>
      <c r="AK194" s="1410"/>
      <c r="AL194" s="1410"/>
      <c r="AM194" s="1410"/>
      <c r="AN194" s="1410"/>
      <c r="AO194" s="1410"/>
      <c r="AP194" s="1410"/>
      <c r="AQ194" s="1410"/>
      <c r="AR194" s="925"/>
      <c r="AS194" s="388"/>
      <c r="AT194" s="388"/>
    </row>
    <row r="195" spans="1:46" ht="52.9" customHeight="1">
      <c r="A195" s="1125"/>
      <c r="B195" s="1125"/>
      <c r="C195" s="1125"/>
      <c r="D195" s="1418" t="s">
        <v>684</v>
      </c>
      <c r="E195" s="1418"/>
      <c r="F195" s="1419">
        <f>+F189+F194</f>
        <v>143</v>
      </c>
      <c r="G195" s="1419"/>
      <c r="H195" s="1419"/>
      <c r="I195" s="1419"/>
      <c r="J195" s="1419"/>
      <c r="K195" s="1419"/>
      <c r="L195" s="1419"/>
      <c r="M195" s="1428"/>
      <c r="N195" s="1429"/>
      <c r="O195" s="1429"/>
      <c r="P195" s="1430"/>
      <c r="Q195" s="1428"/>
      <c r="R195" s="1429"/>
      <c r="S195" s="1430"/>
      <c r="T195" s="1423">
        <f>+T189+T194</f>
        <v>524282</v>
      </c>
      <c r="U195" s="1423"/>
      <c r="V195" s="1423"/>
      <c r="W195" s="1423"/>
      <c r="X195" s="1423"/>
      <c r="Y195" s="1423"/>
      <c r="Z195" s="1423"/>
      <c r="AA195" s="1423">
        <f>+AA189+AA194</f>
        <v>248768.80799999999</v>
      </c>
      <c r="AB195" s="1423"/>
      <c r="AC195" s="1423"/>
      <c r="AD195" s="1423"/>
      <c r="AE195" s="1423"/>
      <c r="AF195" s="1423"/>
      <c r="AG195" s="1423"/>
      <c r="AH195" s="1424"/>
      <c r="AI195" s="1425"/>
      <c r="AJ195" s="1425"/>
      <c r="AK195" s="1426"/>
      <c r="AL195" s="1424"/>
      <c r="AM195" s="1425"/>
      <c r="AN195" s="1425"/>
      <c r="AO195" s="1425"/>
      <c r="AP195" s="1425"/>
      <c r="AQ195" s="1426"/>
      <c r="AR195" s="1131"/>
      <c r="AS195" s="388"/>
      <c r="AT195" s="388"/>
    </row>
    <row r="196" spans="1:46" ht="28.5" customHeight="1">
      <c r="A196" s="1125"/>
      <c r="B196" s="1125"/>
      <c r="C196" s="1125"/>
      <c r="D196" s="1125"/>
      <c r="E196" s="928"/>
      <c r="F196" s="928"/>
      <c r="G196" s="928"/>
      <c r="H196" s="928"/>
      <c r="I196" s="928"/>
      <c r="J196" s="928"/>
      <c r="K196" s="928"/>
      <c r="L196" s="928"/>
      <c r="M196" s="928"/>
      <c r="N196" s="928"/>
      <c r="O196" s="928"/>
      <c r="P196" s="928"/>
      <c r="Q196" s="928"/>
      <c r="R196" s="928"/>
      <c r="S196" s="928"/>
      <c r="T196" s="928"/>
      <c r="U196" s="928"/>
      <c r="V196" s="928"/>
      <c r="W196" s="928"/>
      <c r="X196" s="928"/>
      <c r="Y196" s="928"/>
      <c r="Z196" s="928"/>
      <c r="AA196" s="928"/>
      <c r="AB196" s="928"/>
      <c r="AC196" s="928"/>
      <c r="AD196" s="928"/>
      <c r="AE196" s="928"/>
      <c r="AF196" s="928"/>
      <c r="AG196" s="928"/>
      <c r="AH196" s="928"/>
      <c r="AI196" s="928"/>
      <c r="AJ196" s="928"/>
      <c r="AK196" s="1132"/>
      <c r="AL196" s="1132"/>
      <c r="AM196" s="1132"/>
      <c r="AN196" s="1132"/>
      <c r="AO196" s="1132"/>
      <c r="AP196" s="1132"/>
      <c r="AQ196" s="928"/>
      <c r="AR196" s="928"/>
      <c r="AS196" s="388"/>
      <c r="AT196" s="388"/>
    </row>
    <row r="197" spans="1:46" ht="69" customHeight="1">
      <c r="A197" s="1133"/>
      <c r="B197" s="1133"/>
      <c r="C197" s="1133"/>
      <c r="D197" s="1133"/>
      <c r="E197" s="1134"/>
      <c r="F197" s="1134"/>
      <c r="G197" s="1126"/>
      <c r="H197" s="1126"/>
      <c r="I197" s="1126"/>
      <c r="J197" s="1126"/>
      <c r="K197" s="1126"/>
      <c r="L197" s="1126"/>
      <c r="M197" s="1126"/>
      <c r="N197" s="1126"/>
      <c r="O197" s="1126"/>
      <c r="P197" s="1135"/>
      <c r="Q197" s="1135"/>
      <c r="R197" s="1135"/>
      <c r="S197" s="1135"/>
      <c r="T197" s="1126"/>
      <c r="U197" s="1126"/>
      <c r="V197" s="1126"/>
      <c r="W197" s="1126"/>
      <c r="X197" s="1126"/>
      <c r="Y197" s="1136"/>
      <c r="Z197" s="1136"/>
      <c r="AA197" s="1131"/>
      <c r="AB197" s="1136"/>
      <c r="AC197" s="1136"/>
      <c r="AD197" s="1433" t="s">
        <v>803</v>
      </c>
      <c r="AE197" s="1433"/>
      <c r="AF197" s="1433"/>
      <c r="AG197" s="1433"/>
      <c r="AH197" s="1433"/>
      <c r="AI197" s="1433"/>
      <c r="AJ197" s="1433"/>
      <c r="AK197" s="1433"/>
      <c r="AL197" s="1433"/>
      <c r="AM197" s="1433"/>
      <c r="AN197" s="1433"/>
      <c r="AO197" s="1433"/>
      <c r="AP197" s="1433"/>
      <c r="AQ197" s="1433"/>
      <c r="AR197" s="1433"/>
      <c r="AS197" s="388"/>
      <c r="AT197" s="388"/>
    </row>
    <row r="198" spans="1:46" ht="81" customHeight="1">
      <c r="A198" s="1431" t="s">
        <v>29</v>
      </c>
      <c r="B198" s="1431"/>
      <c r="C198" s="1431"/>
      <c r="D198" s="1431"/>
      <c r="E198" s="1137"/>
      <c r="F198" s="1432" t="s">
        <v>727</v>
      </c>
      <c r="G198" s="1432"/>
      <c r="H198" s="1432"/>
      <c r="I198" s="1432"/>
      <c r="J198" s="1432"/>
      <c r="K198" s="1432"/>
      <c r="L198" s="1432"/>
      <c r="M198" s="1137"/>
      <c r="N198" s="1137"/>
      <c r="O198" s="1431" t="s">
        <v>27</v>
      </c>
      <c r="P198" s="1431"/>
      <c r="Q198" s="1431"/>
      <c r="R198" s="1431"/>
      <c r="S198" s="1431"/>
      <c r="T198" s="1431"/>
      <c r="U198" s="1138"/>
      <c r="V198" s="1137"/>
      <c r="W198" s="1431" t="s">
        <v>685</v>
      </c>
      <c r="X198" s="1431"/>
      <c r="Y198" s="1431"/>
      <c r="Z198" s="1431"/>
      <c r="AA198" s="1431"/>
      <c r="AB198" s="1431"/>
      <c r="AC198" s="1431"/>
      <c r="AD198" s="1137"/>
      <c r="AE198" s="1431" t="s">
        <v>686</v>
      </c>
      <c r="AF198" s="1431"/>
      <c r="AG198" s="1431"/>
      <c r="AH198" s="1431"/>
      <c r="AI198" s="1431"/>
      <c r="AJ198" s="1431"/>
      <c r="AK198" s="1432" t="s">
        <v>104</v>
      </c>
      <c r="AL198" s="1432"/>
      <c r="AM198" s="1432"/>
      <c r="AN198" s="1432"/>
      <c r="AO198" s="1432"/>
      <c r="AP198" s="1432"/>
      <c r="AQ198" s="1432"/>
      <c r="AR198" s="1432"/>
      <c r="AS198" s="388"/>
      <c r="AT198" s="388"/>
    </row>
    <row r="199" spans="1:46" ht="28.5" customHeight="1">
      <c r="A199" s="413"/>
      <c r="B199" s="411"/>
      <c r="C199" s="411"/>
      <c r="D199" s="411"/>
      <c r="E199" s="411"/>
      <c r="F199" s="411"/>
      <c r="G199" s="411"/>
      <c r="H199" s="411"/>
      <c r="I199" s="411"/>
      <c r="J199" s="411"/>
      <c r="K199" s="411"/>
      <c r="L199" s="411"/>
      <c r="M199" s="411"/>
      <c r="N199" s="411"/>
      <c r="O199" s="411"/>
      <c r="P199" s="411"/>
      <c r="Q199" s="411"/>
      <c r="R199" s="411"/>
      <c r="S199" s="411"/>
      <c r="T199" s="411"/>
      <c r="U199" s="411"/>
      <c r="V199" s="411"/>
      <c r="W199" s="411"/>
      <c r="X199" s="411"/>
      <c r="Y199" s="411"/>
      <c r="Z199" s="411"/>
      <c r="AA199" s="589"/>
      <c r="AB199" s="589"/>
      <c r="AC199" s="589"/>
      <c r="AD199" s="589"/>
      <c r="AE199" s="589"/>
      <c r="AF199" s="589"/>
      <c r="AG199" s="589"/>
      <c r="AH199" s="589"/>
      <c r="AI199" s="589"/>
      <c r="AJ199" s="589"/>
      <c r="AK199" s="589"/>
      <c r="AL199" s="589"/>
      <c r="AM199" s="589"/>
      <c r="AN199" s="589"/>
      <c r="AO199" s="589"/>
      <c r="AP199" s="589"/>
      <c r="AQ199" s="589"/>
      <c r="AR199" s="413"/>
      <c r="AS199" s="388"/>
      <c r="AT199" s="388"/>
    </row>
    <row r="200" spans="1:46" ht="85.5" customHeight="1">
      <c r="A200" s="413"/>
      <c r="B200" s="411"/>
      <c r="C200" s="411"/>
      <c r="D200" s="411"/>
      <c r="E200" s="411"/>
      <c r="F200" s="411"/>
      <c r="G200" s="411"/>
      <c r="H200" s="411"/>
      <c r="I200" s="411"/>
      <c r="J200" s="411"/>
      <c r="K200" s="411"/>
      <c r="L200" s="411"/>
      <c r="M200" s="411"/>
      <c r="N200" s="411"/>
      <c r="O200" s="411"/>
      <c r="P200" s="411"/>
      <c r="Q200" s="411"/>
      <c r="R200" s="411"/>
      <c r="S200" s="411"/>
      <c r="T200" s="411"/>
      <c r="U200" s="411"/>
      <c r="V200" s="411"/>
      <c r="W200" s="411"/>
      <c r="X200" s="411"/>
      <c r="Y200" s="411"/>
      <c r="Z200" s="411"/>
      <c r="AA200" s="589"/>
      <c r="AB200" s="589"/>
      <c r="AC200" s="589"/>
      <c r="AD200" s="589"/>
      <c r="AE200" s="589"/>
      <c r="AF200" s="589"/>
      <c r="AG200" s="413"/>
      <c r="AH200" s="413"/>
      <c r="AI200" s="413"/>
      <c r="AJ200" s="413"/>
      <c r="AK200" s="1352"/>
      <c r="AL200" s="1352"/>
      <c r="AM200" s="1352"/>
      <c r="AN200" s="1352"/>
      <c r="AO200" s="1352"/>
      <c r="AP200" s="1352"/>
      <c r="AQ200" s="1352"/>
      <c r="AR200" s="1352"/>
      <c r="AS200" s="388"/>
      <c r="AT200" s="388"/>
    </row>
    <row r="201" spans="1:46" ht="28.5" customHeight="1">
      <c r="A201" s="402"/>
      <c r="B201" s="403"/>
      <c r="C201" s="403"/>
      <c r="D201" s="411"/>
      <c r="E201" s="411"/>
      <c r="F201" s="411"/>
      <c r="G201" s="411"/>
      <c r="H201" s="411"/>
      <c r="I201" s="411"/>
      <c r="J201" s="411"/>
      <c r="K201" s="411"/>
      <c r="L201" s="411"/>
      <c r="M201" s="411"/>
      <c r="N201" s="411"/>
      <c r="O201" s="411"/>
      <c r="P201" s="411"/>
      <c r="Q201" s="411"/>
      <c r="R201" s="411"/>
      <c r="S201" s="411"/>
      <c r="T201" s="411"/>
      <c r="U201" s="411"/>
      <c r="V201" s="411"/>
      <c r="W201" s="411"/>
      <c r="X201" s="411"/>
      <c r="Y201" s="411"/>
      <c r="Z201" s="411"/>
      <c r="AA201" s="589"/>
      <c r="AB201" s="589"/>
      <c r="AC201" s="589"/>
      <c r="AD201" s="589"/>
      <c r="AE201" s="589"/>
      <c r="AF201" s="589"/>
      <c r="AG201" s="589"/>
      <c r="AH201" s="589"/>
      <c r="AI201" s="589"/>
      <c r="AJ201" s="589"/>
      <c r="AK201" s="589"/>
      <c r="AL201" s="589"/>
      <c r="AM201" s="589"/>
      <c r="AN201" s="589"/>
      <c r="AO201" s="589"/>
      <c r="AP201" s="589"/>
      <c r="AQ201" s="589"/>
      <c r="AR201" s="413"/>
      <c r="AS201" s="388"/>
      <c r="AT201" s="388"/>
    </row>
    <row r="202" spans="1:46" ht="28.5" customHeight="1">
      <c r="A202" s="394"/>
      <c r="B202" s="395"/>
      <c r="C202" s="395"/>
      <c r="D202" s="411"/>
      <c r="E202" s="411"/>
      <c r="F202" s="411"/>
      <c r="G202" s="411"/>
      <c r="H202" s="411"/>
      <c r="I202" s="411"/>
      <c r="J202" s="411"/>
      <c r="K202" s="411"/>
      <c r="L202" s="411"/>
      <c r="M202" s="411"/>
      <c r="N202" s="411"/>
      <c r="O202" s="411"/>
      <c r="P202" s="411"/>
      <c r="Q202" s="411"/>
      <c r="R202" s="411"/>
      <c r="S202" s="411"/>
      <c r="T202" s="411"/>
      <c r="U202" s="411"/>
      <c r="V202" s="411"/>
      <c r="W202" s="411"/>
      <c r="X202" s="411"/>
      <c r="Y202" s="411"/>
      <c r="Z202" s="411"/>
      <c r="AA202" s="589"/>
      <c r="AB202" s="589"/>
      <c r="AC202" s="589"/>
      <c r="AD202" s="589"/>
      <c r="AE202" s="589"/>
      <c r="AF202" s="589"/>
      <c r="AG202" s="589"/>
      <c r="AH202" s="589"/>
      <c r="AI202" s="589"/>
      <c r="AJ202" s="589"/>
      <c r="AK202" s="589"/>
      <c r="AL202" s="589"/>
      <c r="AM202" s="589"/>
      <c r="AN202" s="589"/>
      <c r="AO202" s="589"/>
      <c r="AP202" s="589"/>
      <c r="AQ202" s="589"/>
      <c r="AR202" s="413"/>
      <c r="AS202" s="388"/>
      <c r="AT202" s="388"/>
    </row>
    <row r="203" spans="1:46" ht="28.5" customHeight="1">
      <c r="A203" s="394"/>
      <c r="B203" s="395"/>
      <c r="C203" s="395"/>
      <c r="D203" s="411"/>
      <c r="E203" s="411"/>
      <c r="F203" s="411"/>
      <c r="G203" s="411"/>
      <c r="H203" s="411"/>
      <c r="I203" s="411"/>
      <c r="J203" s="411"/>
      <c r="K203" s="411"/>
      <c r="L203" s="411"/>
      <c r="M203" s="411"/>
      <c r="N203" s="411"/>
      <c r="O203" s="411"/>
      <c r="P203" s="411"/>
      <c r="Q203" s="411"/>
      <c r="R203" s="411"/>
      <c r="S203" s="411"/>
      <c r="T203" s="411"/>
      <c r="U203" s="411"/>
      <c r="V203" s="411"/>
      <c r="W203" s="411"/>
      <c r="X203" s="411"/>
      <c r="Y203" s="411"/>
      <c r="Z203" s="411"/>
      <c r="AA203" s="589"/>
      <c r="AB203" s="589"/>
      <c r="AC203" s="589"/>
      <c r="AD203" s="589"/>
      <c r="AE203" s="1380"/>
      <c r="AF203" s="1380"/>
      <c r="AG203" s="589"/>
      <c r="AH203" s="589"/>
      <c r="AI203" s="589"/>
      <c r="AJ203" s="589"/>
      <c r="AK203" s="589"/>
      <c r="AL203" s="589"/>
      <c r="AM203" s="589"/>
      <c r="AN203" s="589"/>
      <c r="AO203" s="589"/>
      <c r="AP203" s="589"/>
      <c r="AQ203" s="589"/>
      <c r="AR203" s="413"/>
      <c r="AS203" s="388"/>
      <c r="AT203" s="388"/>
    </row>
    <row r="204" spans="1:46" ht="28.5" customHeight="1">
      <c r="A204" s="394"/>
      <c r="B204" s="395"/>
      <c r="C204" s="395"/>
      <c r="D204" s="411"/>
      <c r="E204" s="411"/>
      <c r="F204" s="411"/>
      <c r="G204" s="411"/>
      <c r="H204" s="411"/>
      <c r="I204" s="411"/>
      <c r="J204" s="411"/>
      <c r="K204" s="411"/>
      <c r="L204" s="411"/>
      <c r="M204" s="411"/>
      <c r="N204" s="411"/>
      <c r="O204" s="411"/>
      <c r="P204" s="411"/>
      <c r="Q204" s="411"/>
      <c r="R204" s="411"/>
      <c r="S204" s="411"/>
      <c r="T204" s="411"/>
      <c r="U204" s="411"/>
      <c r="V204" s="411"/>
      <c r="W204" s="411"/>
      <c r="X204" s="411"/>
      <c r="Y204" s="411"/>
      <c r="Z204" s="411"/>
      <c r="AA204" s="589"/>
      <c r="AB204" s="589"/>
      <c r="AC204" s="589"/>
      <c r="AD204" s="589"/>
      <c r="AE204" s="589"/>
      <c r="AF204" s="589"/>
      <c r="AG204" s="589"/>
      <c r="AH204" s="589"/>
      <c r="AI204" s="589"/>
      <c r="AJ204" s="589"/>
      <c r="AK204" s="589"/>
      <c r="AL204" s="589"/>
      <c r="AM204" s="589"/>
      <c r="AN204" s="589"/>
      <c r="AO204" s="589"/>
      <c r="AP204" s="589"/>
      <c r="AQ204" s="589"/>
      <c r="AR204" s="413"/>
      <c r="AS204" s="388"/>
      <c r="AT204" s="388"/>
    </row>
    <row r="205" spans="1:46" ht="28.5" customHeight="1">
      <c r="A205" s="394"/>
      <c r="B205" s="395"/>
      <c r="C205" s="395"/>
      <c r="D205" s="395"/>
      <c r="E205" s="395"/>
      <c r="F205" s="395"/>
      <c r="G205" s="395"/>
      <c r="H205" s="395"/>
      <c r="I205" s="395"/>
      <c r="J205" s="395"/>
      <c r="K205" s="395"/>
      <c r="L205" s="395"/>
      <c r="M205" s="395"/>
      <c r="N205" s="395"/>
      <c r="O205" s="395"/>
      <c r="P205" s="395"/>
      <c r="Q205" s="395"/>
      <c r="R205" s="395"/>
      <c r="S205" s="395"/>
      <c r="T205" s="395"/>
      <c r="U205" s="395"/>
      <c r="V205" s="395"/>
      <c r="W205" s="395"/>
      <c r="X205" s="395"/>
      <c r="Y205" s="395"/>
      <c r="Z205" s="395"/>
      <c r="AA205" s="461"/>
      <c r="AB205" s="461"/>
      <c r="AC205" s="461"/>
      <c r="AD205" s="461"/>
      <c r="AE205" s="461"/>
      <c r="AF205" s="461"/>
      <c r="AG205" s="461"/>
      <c r="AH205" s="461"/>
      <c r="AI205" s="461"/>
      <c r="AJ205" s="461"/>
      <c r="AK205" s="461"/>
      <c r="AL205" s="461"/>
      <c r="AM205" s="461"/>
      <c r="AN205" s="461"/>
      <c r="AO205" s="461"/>
      <c r="AP205" s="461"/>
      <c r="AQ205" s="461"/>
      <c r="AR205" s="394"/>
      <c r="AS205" s="388"/>
      <c r="AT205" s="388"/>
    </row>
    <row r="206" spans="1:46" ht="28.5" customHeight="1">
      <c r="A206" s="394"/>
      <c r="B206" s="395"/>
      <c r="C206" s="395"/>
      <c r="D206" s="395"/>
      <c r="E206" s="395"/>
      <c r="F206" s="395"/>
      <c r="G206" s="395"/>
      <c r="H206" s="395"/>
      <c r="I206" s="395"/>
      <c r="J206" s="395"/>
      <c r="K206" s="395"/>
      <c r="L206" s="395"/>
      <c r="M206" s="395"/>
      <c r="N206" s="395"/>
      <c r="O206" s="395"/>
      <c r="P206" s="395"/>
      <c r="Q206" s="395"/>
      <c r="R206" s="395"/>
      <c r="S206" s="395"/>
      <c r="T206" s="395"/>
      <c r="U206" s="395"/>
      <c r="V206" s="395"/>
      <c r="W206" s="395"/>
      <c r="X206" s="395"/>
      <c r="Y206" s="395"/>
      <c r="Z206" s="395"/>
      <c r="AA206" s="461"/>
      <c r="AB206" s="461"/>
      <c r="AC206" s="461"/>
      <c r="AD206" s="461"/>
      <c r="AE206" s="461"/>
      <c r="AF206" s="461"/>
      <c r="AG206" s="461"/>
      <c r="AH206" s="461"/>
      <c r="AI206" s="461"/>
      <c r="AJ206" s="461"/>
      <c r="AK206" s="461"/>
      <c r="AL206" s="461"/>
      <c r="AM206" s="461"/>
      <c r="AN206" s="461"/>
      <c r="AO206" s="461"/>
      <c r="AP206" s="461"/>
      <c r="AQ206" s="461"/>
      <c r="AR206" s="394"/>
      <c r="AS206" s="388"/>
      <c r="AT206" s="388"/>
    </row>
    <row r="207" spans="1:46" ht="28.5" customHeight="1">
      <c r="A207" s="394"/>
      <c r="B207" s="395"/>
      <c r="C207" s="395"/>
      <c r="D207" s="395"/>
      <c r="E207" s="395"/>
      <c r="F207" s="395"/>
      <c r="G207" s="395"/>
      <c r="H207" s="395"/>
      <c r="I207" s="395"/>
      <c r="J207" s="395"/>
      <c r="K207" s="395"/>
      <c r="L207" s="395"/>
      <c r="M207" s="395"/>
      <c r="N207" s="395"/>
      <c r="O207" s="395"/>
      <c r="P207" s="395"/>
      <c r="Q207" s="395"/>
      <c r="R207" s="395"/>
      <c r="S207" s="395"/>
      <c r="T207" s="395"/>
      <c r="U207" s="395"/>
      <c r="V207" s="395"/>
      <c r="W207" s="395"/>
      <c r="X207" s="395"/>
      <c r="Y207" s="395"/>
      <c r="Z207" s="395"/>
      <c r="AA207" s="461"/>
      <c r="AB207" s="461"/>
      <c r="AC207" s="461"/>
      <c r="AD207" s="461"/>
      <c r="AE207" s="461"/>
      <c r="AF207" s="461"/>
      <c r="AG207" s="461"/>
      <c r="AH207" s="461"/>
      <c r="AI207" s="461"/>
      <c r="AJ207" s="461"/>
      <c r="AK207" s="461"/>
      <c r="AL207" s="461"/>
      <c r="AM207" s="461"/>
      <c r="AN207" s="461"/>
      <c r="AO207" s="461"/>
      <c r="AP207" s="461"/>
      <c r="AQ207" s="461"/>
      <c r="AR207" s="394"/>
      <c r="AS207" s="388"/>
      <c r="AT207" s="388"/>
    </row>
    <row r="208" spans="1:46" ht="28.5" customHeight="1">
      <c r="A208" s="394"/>
      <c r="B208" s="395"/>
      <c r="C208" s="395"/>
      <c r="D208" s="395"/>
      <c r="E208" s="395"/>
      <c r="F208" s="395"/>
      <c r="G208" s="395"/>
      <c r="H208" s="395"/>
      <c r="I208" s="395"/>
      <c r="J208" s="395"/>
      <c r="K208" s="395"/>
      <c r="L208" s="395"/>
      <c r="M208" s="395"/>
      <c r="N208" s="395"/>
      <c r="O208" s="395"/>
      <c r="P208" s="395"/>
      <c r="Q208" s="395"/>
      <c r="R208" s="395"/>
      <c r="S208" s="395"/>
      <c r="T208" s="395"/>
      <c r="U208" s="395"/>
      <c r="V208" s="395"/>
      <c r="W208" s="395"/>
      <c r="X208" s="395"/>
      <c r="Y208" s="395"/>
      <c r="Z208" s="395"/>
      <c r="AA208" s="461"/>
      <c r="AB208" s="461"/>
      <c r="AC208" s="461"/>
      <c r="AD208" s="461"/>
      <c r="AE208" s="461"/>
      <c r="AF208" s="461"/>
      <c r="AG208" s="461"/>
      <c r="AH208" s="461"/>
      <c r="AI208" s="461"/>
      <c r="AJ208" s="461"/>
      <c r="AK208" s="461"/>
      <c r="AL208" s="461"/>
      <c r="AM208" s="461"/>
      <c r="AN208" s="461"/>
      <c r="AO208" s="461"/>
      <c r="AP208" s="461"/>
      <c r="AQ208" s="461"/>
      <c r="AR208" s="394"/>
      <c r="AS208" s="388"/>
      <c r="AT208" s="388"/>
    </row>
    <row r="209" spans="1:46" ht="28.5" customHeight="1">
      <c r="A209" s="394"/>
      <c r="B209" s="395"/>
      <c r="C209" s="395"/>
      <c r="D209" s="395"/>
      <c r="E209" s="395"/>
      <c r="F209" s="395"/>
      <c r="G209" s="395"/>
      <c r="H209" s="395"/>
      <c r="I209" s="395"/>
      <c r="J209" s="395"/>
      <c r="K209" s="395"/>
      <c r="L209" s="395"/>
      <c r="M209" s="395"/>
      <c r="N209" s="395"/>
      <c r="O209" s="395"/>
      <c r="P209" s="395"/>
      <c r="Q209" s="395"/>
      <c r="R209" s="395"/>
      <c r="S209" s="395"/>
      <c r="T209" s="395"/>
      <c r="U209" s="395"/>
      <c r="V209" s="395"/>
      <c r="W209" s="395"/>
      <c r="X209" s="395"/>
      <c r="Y209" s="395"/>
      <c r="Z209" s="395"/>
      <c r="AA209" s="461"/>
      <c r="AB209" s="461"/>
      <c r="AC209" s="461"/>
      <c r="AD209" s="461"/>
      <c r="AE209" s="461"/>
      <c r="AF209" s="461"/>
      <c r="AG209" s="461"/>
      <c r="AH209" s="461"/>
      <c r="AI209" s="461"/>
      <c r="AJ209" s="461"/>
      <c r="AK209" s="461"/>
      <c r="AL209" s="461"/>
      <c r="AM209" s="461"/>
      <c r="AN209" s="461"/>
      <c r="AO209" s="461"/>
      <c r="AP209" s="461"/>
      <c r="AQ209" s="461"/>
      <c r="AR209" s="394"/>
      <c r="AS209" s="388"/>
      <c r="AT209" s="388"/>
    </row>
    <row r="210" spans="1:46" ht="28.5" customHeight="1">
      <c r="A210" s="394"/>
      <c r="B210" s="395"/>
      <c r="C210" s="395"/>
      <c r="D210" s="395"/>
      <c r="E210" s="395"/>
      <c r="F210" s="395"/>
      <c r="G210" s="395"/>
      <c r="H210" s="395"/>
      <c r="I210" s="395"/>
      <c r="J210" s="395"/>
      <c r="K210" s="395"/>
      <c r="L210" s="395"/>
      <c r="M210" s="395"/>
      <c r="N210" s="395"/>
      <c r="O210" s="395"/>
      <c r="P210" s="395"/>
      <c r="Q210" s="395"/>
      <c r="R210" s="395"/>
      <c r="S210" s="395"/>
      <c r="T210" s="395"/>
      <c r="U210" s="395"/>
      <c r="V210" s="395"/>
      <c r="W210" s="395"/>
      <c r="X210" s="395"/>
      <c r="Y210" s="395"/>
      <c r="Z210" s="395"/>
      <c r="AA210" s="461"/>
      <c r="AB210" s="461"/>
      <c r="AC210" s="461"/>
      <c r="AD210" s="461"/>
      <c r="AE210" s="461"/>
      <c r="AF210" s="461"/>
      <c r="AG210" s="461"/>
      <c r="AH210" s="461"/>
      <c r="AI210" s="461"/>
      <c r="AJ210" s="461"/>
      <c r="AK210" s="461"/>
      <c r="AL210" s="461"/>
      <c r="AM210" s="461"/>
      <c r="AN210" s="461"/>
      <c r="AO210" s="461"/>
      <c r="AP210" s="461"/>
      <c r="AQ210" s="461"/>
      <c r="AR210" s="394"/>
      <c r="AS210" s="388"/>
      <c r="AT210" s="388"/>
    </row>
    <row r="211" spans="1:46" ht="28.5" customHeight="1">
      <c r="A211" s="394"/>
      <c r="B211" s="395"/>
      <c r="C211" s="395"/>
      <c r="D211" s="395"/>
      <c r="E211" s="395"/>
      <c r="F211" s="395"/>
      <c r="G211" s="395"/>
      <c r="H211" s="395"/>
      <c r="I211" s="395"/>
      <c r="J211" s="395"/>
      <c r="K211" s="395"/>
      <c r="L211" s="395"/>
      <c r="M211" s="395"/>
      <c r="N211" s="395"/>
      <c r="O211" s="395"/>
      <c r="P211" s="395"/>
      <c r="Q211" s="395"/>
      <c r="R211" s="395"/>
      <c r="S211" s="395"/>
      <c r="T211" s="395"/>
      <c r="U211" s="395"/>
      <c r="V211" s="395"/>
      <c r="W211" s="395"/>
      <c r="X211" s="395"/>
      <c r="Y211" s="395"/>
      <c r="Z211" s="395"/>
      <c r="AA211" s="461"/>
      <c r="AB211" s="461"/>
      <c r="AC211" s="461"/>
      <c r="AD211" s="461"/>
      <c r="AE211" s="461"/>
      <c r="AF211" s="461"/>
      <c r="AG211" s="461"/>
      <c r="AH211" s="461"/>
      <c r="AI211" s="461"/>
      <c r="AJ211" s="461"/>
      <c r="AK211" s="461"/>
      <c r="AL211" s="461"/>
      <c r="AM211" s="461"/>
      <c r="AN211" s="461"/>
      <c r="AO211" s="461"/>
      <c r="AP211" s="461"/>
      <c r="AQ211" s="461"/>
      <c r="AR211" s="394"/>
      <c r="AS211" s="388"/>
      <c r="AT211" s="388"/>
    </row>
    <row r="212" spans="1:46" ht="28.5" customHeight="1">
      <c r="A212" s="394"/>
      <c r="B212" s="395"/>
      <c r="C212" s="395"/>
      <c r="D212" s="395"/>
      <c r="E212" s="395"/>
      <c r="F212" s="395"/>
      <c r="G212" s="395"/>
      <c r="H212" s="395"/>
      <c r="I212" s="395"/>
      <c r="J212" s="395"/>
      <c r="K212" s="395"/>
      <c r="L212" s="395"/>
      <c r="M212" s="395"/>
      <c r="N212" s="395"/>
      <c r="O212" s="395"/>
      <c r="P212" s="395"/>
      <c r="Q212" s="395"/>
      <c r="R212" s="395"/>
      <c r="S212" s="395"/>
      <c r="T212" s="395"/>
      <c r="U212" s="395"/>
      <c r="V212" s="395"/>
      <c r="W212" s="395"/>
      <c r="X212" s="395"/>
      <c r="Y212" s="395"/>
      <c r="Z212" s="395"/>
      <c r="AA212" s="461"/>
      <c r="AB212" s="461"/>
      <c r="AC212" s="461"/>
      <c r="AD212" s="461"/>
      <c r="AE212" s="461"/>
      <c r="AF212" s="461"/>
      <c r="AG212" s="461"/>
      <c r="AH212" s="461"/>
      <c r="AI212" s="461"/>
      <c r="AJ212" s="461"/>
      <c r="AK212" s="461"/>
      <c r="AL212" s="461"/>
      <c r="AM212" s="461"/>
      <c r="AN212" s="461"/>
      <c r="AO212" s="461"/>
      <c r="AP212" s="461"/>
      <c r="AQ212" s="461"/>
      <c r="AR212" s="394"/>
      <c r="AS212" s="388"/>
      <c r="AT212" s="388"/>
    </row>
    <row r="213" spans="1:46" ht="28.5" customHeight="1">
      <c r="A213" s="394"/>
      <c r="B213" s="395"/>
      <c r="C213" s="395"/>
      <c r="D213" s="395"/>
      <c r="E213" s="395"/>
      <c r="F213" s="395"/>
      <c r="G213" s="395"/>
      <c r="H213" s="395"/>
      <c r="I213" s="395"/>
      <c r="J213" s="395"/>
      <c r="K213" s="395"/>
      <c r="L213" s="395"/>
      <c r="M213" s="395"/>
      <c r="N213" s="395"/>
      <c r="O213" s="395"/>
      <c r="P213" s="395"/>
      <c r="Q213" s="395"/>
      <c r="R213" s="395"/>
      <c r="S213" s="395"/>
      <c r="T213" s="395"/>
      <c r="U213" s="395"/>
      <c r="V213" s="395"/>
      <c r="W213" s="395"/>
      <c r="X213" s="395"/>
      <c r="Y213" s="395"/>
      <c r="Z213" s="395"/>
      <c r="AA213" s="461"/>
      <c r="AB213" s="461"/>
      <c r="AC213" s="461"/>
      <c r="AD213" s="461"/>
      <c r="AE213" s="461"/>
      <c r="AF213" s="461"/>
      <c r="AG213" s="461"/>
      <c r="AH213" s="461"/>
      <c r="AI213" s="461"/>
      <c r="AJ213" s="461"/>
      <c r="AK213" s="461"/>
      <c r="AL213" s="461"/>
      <c r="AM213" s="461"/>
      <c r="AN213" s="461"/>
      <c r="AO213" s="461"/>
      <c r="AP213" s="461"/>
      <c r="AQ213" s="461"/>
      <c r="AR213" s="394"/>
      <c r="AS213" s="388"/>
      <c r="AT213" s="388"/>
    </row>
    <row r="214" spans="1:46" ht="28.5" customHeight="1">
      <c r="A214" s="394"/>
      <c r="B214" s="395"/>
      <c r="C214" s="395"/>
      <c r="D214" s="395"/>
      <c r="E214" s="395"/>
      <c r="F214" s="395"/>
      <c r="G214" s="395"/>
      <c r="H214" s="395"/>
      <c r="I214" s="395"/>
      <c r="J214" s="395"/>
      <c r="K214" s="395"/>
      <c r="L214" s="395"/>
      <c r="M214" s="395"/>
      <c r="N214" s="395"/>
      <c r="O214" s="395"/>
      <c r="P214" s="395"/>
      <c r="Q214" s="395"/>
      <c r="R214" s="395"/>
      <c r="S214" s="395"/>
      <c r="T214" s="395"/>
      <c r="U214" s="395"/>
      <c r="V214" s="395"/>
      <c r="W214" s="395"/>
      <c r="X214" s="395"/>
      <c r="Y214" s="395"/>
      <c r="Z214" s="395"/>
      <c r="AA214" s="461"/>
      <c r="AB214" s="461"/>
      <c r="AC214" s="461"/>
      <c r="AD214" s="461"/>
      <c r="AE214" s="461"/>
      <c r="AF214" s="461"/>
      <c r="AG214" s="461"/>
      <c r="AH214" s="461"/>
      <c r="AI214" s="461"/>
      <c r="AJ214" s="461"/>
      <c r="AK214" s="461"/>
      <c r="AL214" s="461"/>
      <c r="AM214" s="461"/>
      <c r="AN214" s="461"/>
      <c r="AO214" s="461"/>
      <c r="AP214" s="461"/>
      <c r="AQ214" s="461"/>
      <c r="AR214" s="394"/>
      <c r="AS214" s="388"/>
      <c r="AT214" s="388"/>
    </row>
    <row r="215" spans="1:46" ht="28.5" customHeight="1">
      <c r="A215" s="394"/>
      <c r="B215" s="395"/>
      <c r="C215" s="395"/>
      <c r="D215" s="395"/>
      <c r="E215" s="395"/>
      <c r="F215" s="395"/>
      <c r="G215" s="395"/>
      <c r="H215" s="395"/>
      <c r="I215" s="395"/>
      <c r="J215" s="395"/>
      <c r="K215" s="395"/>
      <c r="L215" s="395"/>
      <c r="M215" s="395"/>
      <c r="N215" s="395"/>
      <c r="O215" s="395"/>
      <c r="P215" s="395"/>
      <c r="Q215" s="395"/>
      <c r="R215" s="395"/>
      <c r="S215" s="395"/>
      <c r="T215" s="395"/>
      <c r="U215" s="395"/>
      <c r="V215" s="395"/>
      <c r="W215" s="395"/>
      <c r="X215" s="395"/>
      <c r="Y215" s="395"/>
      <c r="Z215" s="395"/>
      <c r="AA215" s="461"/>
      <c r="AB215" s="461"/>
      <c r="AC215" s="461"/>
      <c r="AD215" s="461"/>
      <c r="AE215" s="461"/>
      <c r="AF215" s="461"/>
      <c r="AG215" s="461"/>
      <c r="AH215" s="461"/>
      <c r="AI215" s="461"/>
      <c r="AJ215" s="461"/>
      <c r="AK215" s="461"/>
      <c r="AL215" s="461"/>
      <c r="AM215" s="461"/>
      <c r="AN215" s="461"/>
      <c r="AO215" s="461"/>
      <c r="AP215" s="461"/>
      <c r="AQ215" s="461"/>
      <c r="AR215" s="394"/>
      <c r="AS215" s="388"/>
      <c r="AT215" s="388"/>
    </row>
    <row r="216" spans="1:46">
      <c r="AS216" s="388"/>
      <c r="AT216" s="388"/>
    </row>
    <row r="217" spans="1:46" ht="16.5">
      <c r="A217" s="394"/>
      <c r="B217" s="590"/>
      <c r="C217" s="590"/>
      <c r="D217" s="590"/>
      <c r="E217" s="590"/>
      <c r="F217" s="394"/>
      <c r="G217" s="394"/>
      <c r="H217" s="394"/>
      <c r="I217" s="394"/>
      <c r="J217" s="394"/>
      <c r="K217" s="394"/>
      <c r="L217" s="394"/>
      <c r="M217" s="394"/>
      <c r="N217" s="394"/>
      <c r="O217" s="394"/>
      <c r="P217" s="394"/>
      <c r="Q217" s="394"/>
      <c r="R217" s="394"/>
      <c r="S217" s="394"/>
      <c r="T217" s="394"/>
      <c r="U217" s="394"/>
      <c r="V217" s="394"/>
      <c r="W217" s="394"/>
      <c r="X217" s="394"/>
      <c r="Y217" s="394"/>
      <c r="Z217" s="394"/>
      <c r="AA217" s="394"/>
      <c r="AB217" s="394"/>
      <c r="AC217" s="394"/>
      <c r="AD217" s="394"/>
      <c r="AE217" s="394"/>
      <c r="AF217" s="394"/>
      <c r="AG217" s="394"/>
      <c r="AH217" s="394"/>
      <c r="AI217" s="394"/>
      <c r="AJ217" s="394"/>
      <c r="AK217" s="394"/>
      <c r="AL217" s="394"/>
      <c r="AM217" s="394"/>
      <c r="AN217" s="394"/>
      <c r="AO217" s="394"/>
      <c r="AP217" s="394"/>
      <c r="AQ217" s="394"/>
      <c r="AR217" s="394"/>
      <c r="AS217" s="388"/>
      <c r="AT217" s="388"/>
    </row>
    <row r="218" spans="1:46" ht="16.5">
      <c r="A218" s="394"/>
      <c r="B218" s="590"/>
      <c r="C218" s="590"/>
      <c r="D218" s="590"/>
      <c r="E218" s="590"/>
      <c r="F218" s="394"/>
      <c r="G218" s="394"/>
      <c r="H218" s="394"/>
      <c r="I218" s="394"/>
      <c r="J218" s="394"/>
      <c r="K218" s="394"/>
      <c r="L218" s="394"/>
      <c r="M218" s="394"/>
      <c r="N218" s="394"/>
      <c r="O218" s="394"/>
      <c r="P218" s="394"/>
      <c r="Q218" s="394"/>
      <c r="R218" s="394"/>
      <c r="S218" s="394"/>
      <c r="T218" s="394"/>
      <c r="U218" s="394"/>
      <c r="V218" s="394"/>
      <c r="W218" s="394"/>
      <c r="X218" s="394"/>
      <c r="Y218" s="394"/>
      <c r="Z218" s="394"/>
      <c r="AA218" s="394"/>
      <c r="AB218" s="394"/>
      <c r="AC218" s="394"/>
      <c r="AD218" s="394"/>
      <c r="AE218" s="394"/>
      <c r="AF218" s="394"/>
      <c r="AG218" s="394"/>
      <c r="AH218" s="394"/>
      <c r="AI218" s="394"/>
      <c r="AJ218" s="394"/>
      <c r="AK218" s="394"/>
      <c r="AL218" s="394"/>
      <c r="AM218" s="394"/>
      <c r="AN218" s="394"/>
      <c r="AO218" s="394"/>
      <c r="AP218" s="394"/>
      <c r="AQ218" s="394"/>
      <c r="AR218" s="394"/>
      <c r="AS218" s="388"/>
      <c r="AT218" s="388"/>
    </row>
    <row r="219" spans="1:46" ht="16.5">
      <c r="A219" s="394"/>
      <c r="B219" s="590"/>
      <c r="C219" s="590"/>
      <c r="D219" s="590"/>
      <c r="E219" s="590"/>
      <c r="F219" s="394"/>
      <c r="G219" s="394"/>
      <c r="H219" s="394"/>
      <c r="I219" s="394"/>
      <c r="J219" s="394"/>
      <c r="K219" s="394"/>
      <c r="L219" s="394"/>
      <c r="M219" s="394"/>
      <c r="N219" s="394"/>
      <c r="O219" s="394"/>
      <c r="P219" s="394"/>
      <c r="Q219" s="394"/>
      <c r="R219" s="394"/>
      <c r="S219" s="394"/>
      <c r="T219" s="394"/>
      <c r="U219" s="394"/>
      <c r="V219" s="394"/>
      <c r="W219" s="394"/>
      <c r="X219" s="394"/>
      <c r="Y219" s="394"/>
      <c r="Z219" s="394"/>
      <c r="AA219" s="394"/>
      <c r="AB219" s="394"/>
      <c r="AC219" s="394"/>
      <c r="AD219" s="394"/>
      <c r="AE219" s="394"/>
      <c r="AF219" s="394"/>
      <c r="AG219" s="394"/>
      <c r="AH219" s="394"/>
      <c r="AI219" s="394"/>
      <c r="AJ219" s="394"/>
      <c r="AK219" s="394"/>
      <c r="AL219" s="394"/>
      <c r="AM219" s="394"/>
      <c r="AN219" s="394"/>
      <c r="AO219" s="394"/>
      <c r="AP219" s="394"/>
      <c r="AQ219" s="394"/>
      <c r="AR219" s="394"/>
      <c r="AS219" s="388"/>
      <c r="AT219" s="388"/>
    </row>
    <row r="220" spans="1:46" ht="16.5">
      <c r="A220" s="394"/>
      <c r="B220" s="394"/>
      <c r="C220" s="394"/>
      <c r="D220" s="394"/>
      <c r="E220" s="394"/>
      <c r="F220" s="394"/>
      <c r="G220" s="394"/>
      <c r="H220" s="394"/>
      <c r="I220" s="394"/>
      <c r="J220" s="394"/>
      <c r="K220" s="394"/>
      <c r="L220" s="394"/>
      <c r="M220" s="394"/>
      <c r="N220" s="394"/>
      <c r="O220" s="394"/>
      <c r="P220" s="394"/>
      <c r="Q220" s="394"/>
      <c r="R220" s="394"/>
      <c r="S220" s="394"/>
      <c r="T220" s="394"/>
      <c r="U220" s="394"/>
      <c r="V220" s="394"/>
      <c r="W220" s="394"/>
      <c r="X220" s="394"/>
      <c r="Y220" s="394"/>
      <c r="Z220" s="394"/>
      <c r="AA220" s="394"/>
      <c r="AB220" s="394"/>
      <c r="AC220" s="394"/>
      <c r="AD220" s="394"/>
      <c r="AE220" s="394"/>
      <c r="AF220" s="394"/>
      <c r="AG220" s="394"/>
      <c r="AH220" s="394"/>
      <c r="AI220" s="394"/>
      <c r="AJ220" s="394"/>
      <c r="AK220" s="394"/>
      <c r="AL220" s="394"/>
      <c r="AM220" s="394"/>
      <c r="AN220" s="394"/>
      <c r="AO220" s="394"/>
      <c r="AP220" s="394"/>
      <c r="AQ220" s="394"/>
      <c r="AR220" s="394"/>
      <c r="AS220" s="388"/>
      <c r="AT220" s="388"/>
    </row>
    <row r="221" spans="1:46" ht="15.75" customHeight="1">
      <c r="A221" s="394"/>
      <c r="B221" s="394"/>
      <c r="C221" s="394"/>
      <c r="D221" s="394"/>
      <c r="E221" s="394"/>
      <c r="F221" s="394"/>
      <c r="G221" s="394"/>
      <c r="H221" s="394"/>
      <c r="I221" s="394"/>
      <c r="J221" s="394"/>
      <c r="K221" s="394"/>
      <c r="L221" s="394"/>
      <c r="M221" s="394"/>
      <c r="N221" s="394"/>
      <c r="O221" s="394"/>
      <c r="P221" s="394"/>
      <c r="Q221" s="394"/>
      <c r="R221" s="394"/>
      <c r="S221" s="394"/>
      <c r="T221" s="394"/>
      <c r="U221" s="394"/>
      <c r="V221" s="394"/>
      <c r="W221" s="394"/>
      <c r="X221" s="394"/>
      <c r="Y221" s="394"/>
      <c r="Z221" s="394"/>
      <c r="AA221" s="394"/>
      <c r="AB221" s="394"/>
      <c r="AC221" s="394"/>
      <c r="AD221" s="394"/>
      <c r="AE221" s="394"/>
      <c r="AF221" s="394"/>
      <c r="AG221" s="394"/>
      <c r="AH221" s="394"/>
      <c r="AI221" s="394"/>
      <c r="AJ221" s="394"/>
      <c r="AK221" s="394"/>
      <c r="AL221" s="394"/>
      <c r="AM221" s="394"/>
      <c r="AN221" s="394"/>
      <c r="AO221" s="394"/>
      <c r="AP221" s="394"/>
      <c r="AQ221" s="394"/>
      <c r="AR221" s="394"/>
      <c r="AS221" s="388"/>
      <c r="AT221" s="388"/>
    </row>
    <row r="222" spans="1:46" ht="16.5">
      <c r="A222" s="394"/>
      <c r="B222" s="394"/>
      <c r="C222" s="394"/>
      <c r="D222" s="394"/>
      <c r="E222" s="394"/>
      <c r="F222" s="394"/>
      <c r="G222" s="394"/>
      <c r="H222" s="394"/>
      <c r="I222" s="394"/>
      <c r="J222" s="394"/>
      <c r="K222" s="394"/>
      <c r="L222" s="394"/>
      <c r="M222" s="394"/>
      <c r="N222" s="394"/>
      <c r="O222" s="394"/>
      <c r="P222" s="394"/>
      <c r="Q222" s="394"/>
      <c r="R222" s="394"/>
      <c r="S222" s="394"/>
      <c r="T222" s="394"/>
      <c r="U222" s="394"/>
      <c r="V222" s="394"/>
      <c r="W222" s="394"/>
      <c r="X222" s="394"/>
      <c r="Y222" s="394"/>
      <c r="Z222" s="394"/>
      <c r="AA222" s="394"/>
      <c r="AB222" s="394"/>
      <c r="AC222" s="394"/>
      <c r="AD222" s="394"/>
      <c r="AE222" s="394"/>
      <c r="AF222" s="394"/>
      <c r="AG222" s="394"/>
      <c r="AH222" s="394"/>
      <c r="AI222" s="394"/>
      <c r="AJ222" s="394"/>
      <c r="AK222" s="394"/>
      <c r="AL222" s="394"/>
      <c r="AM222" s="394"/>
      <c r="AN222" s="394"/>
      <c r="AO222" s="394"/>
      <c r="AP222" s="394"/>
      <c r="AQ222" s="394"/>
      <c r="AR222" s="394"/>
      <c r="AS222" s="388"/>
      <c r="AT222" s="388"/>
    </row>
    <row r="223" spans="1:46" ht="16.5">
      <c r="A223" s="394"/>
      <c r="B223" s="394"/>
      <c r="C223" s="394"/>
      <c r="D223" s="394"/>
      <c r="E223" s="394"/>
      <c r="F223" s="394"/>
      <c r="G223" s="1377"/>
      <c r="H223" s="1377"/>
      <c r="I223" s="1377"/>
      <c r="J223" s="1377"/>
      <c r="K223" s="1377"/>
      <c r="L223" s="394"/>
      <c r="M223" s="394"/>
      <c r="N223" s="394"/>
      <c r="O223" s="394"/>
      <c r="P223" s="1377"/>
      <c r="Q223" s="1377"/>
      <c r="R223" s="1377"/>
      <c r="S223" s="1377"/>
      <c r="T223" s="1377"/>
      <c r="U223" s="1377"/>
      <c r="V223" s="1377"/>
      <c r="W223" s="394"/>
      <c r="X223" s="1377"/>
      <c r="Y223" s="1377"/>
      <c r="Z223" s="1377"/>
      <c r="AA223" s="1377"/>
      <c r="AB223" s="1377"/>
      <c r="AC223" s="1377"/>
      <c r="AD223" s="1377"/>
      <c r="AE223" s="1377"/>
      <c r="AF223" s="394"/>
      <c r="AR223" s="394"/>
      <c r="AS223" s="388"/>
      <c r="AT223" s="388"/>
    </row>
    <row r="224" spans="1:46">
      <c r="O224" s="393"/>
      <c r="P224" s="393"/>
      <c r="Q224" s="393"/>
      <c r="R224" s="393"/>
      <c r="S224" s="393"/>
      <c r="AS224" s="388"/>
      <c r="AT224" s="388"/>
    </row>
    <row r="228" spans="2:46">
      <c r="B228" s="1379"/>
      <c r="C228" s="1379"/>
      <c r="D228" s="1379"/>
      <c r="E228" s="1379"/>
      <c r="F228" s="1379"/>
      <c r="AS228" s="388"/>
      <c r="AT228" s="388"/>
    </row>
    <row r="229" spans="2:46">
      <c r="B229" s="391"/>
      <c r="C229" s="391"/>
      <c r="D229" s="392"/>
      <c r="E229" s="392"/>
      <c r="F229" s="1379"/>
      <c r="G229" s="1379"/>
      <c r="H229" s="1379"/>
      <c r="I229" s="1379"/>
      <c r="J229" s="1379"/>
      <c r="K229" s="1379"/>
      <c r="AS229" s="388"/>
      <c r="AT229" s="388"/>
    </row>
    <row r="230" spans="2:46">
      <c r="B230" s="390"/>
      <c r="C230" s="390"/>
      <c r="D230" s="393"/>
      <c r="E230" s="393"/>
      <c r="F230" s="1378"/>
      <c r="G230" s="1378"/>
      <c r="H230" s="1378"/>
      <c r="I230" s="1378"/>
      <c r="J230" s="1378"/>
      <c r="K230" s="1378"/>
      <c r="AS230" s="388"/>
      <c r="AT230" s="388"/>
    </row>
    <row r="231" spans="2:46">
      <c r="B231" s="390"/>
      <c r="C231" s="390"/>
      <c r="D231" s="393"/>
      <c r="E231" s="393"/>
      <c r="F231" s="1378"/>
      <c r="G231" s="1378"/>
      <c r="H231" s="1378"/>
      <c r="I231" s="1378"/>
      <c r="J231" s="1378"/>
      <c r="K231" s="1378"/>
      <c r="AS231" s="388"/>
      <c r="AT231" s="388"/>
    </row>
    <row r="232" spans="2:46">
      <c r="B232" s="390"/>
      <c r="C232" s="390"/>
      <c r="D232" s="393"/>
      <c r="E232" s="393"/>
      <c r="F232" s="1378"/>
      <c r="G232" s="1378"/>
      <c r="H232" s="1378"/>
      <c r="I232" s="1378"/>
      <c r="J232" s="1378"/>
      <c r="K232" s="1378"/>
      <c r="AS232" s="388"/>
      <c r="AT232" s="388"/>
    </row>
    <row r="233" spans="2:46">
      <c r="B233" s="389"/>
      <c r="C233" s="389"/>
      <c r="F233" s="1378"/>
      <c r="G233" s="1378"/>
      <c r="H233" s="1378"/>
      <c r="I233" s="1378"/>
      <c r="J233" s="1378"/>
      <c r="K233" s="1378"/>
      <c r="AS233" s="388"/>
      <c r="AT233" s="388"/>
    </row>
    <row r="234" spans="2:46">
      <c r="B234" s="389"/>
      <c r="C234" s="389"/>
      <c r="F234" s="1378"/>
      <c r="G234" s="1378"/>
      <c r="H234" s="1378"/>
      <c r="I234" s="1378"/>
      <c r="J234" s="1378"/>
      <c r="K234" s="1378"/>
      <c r="AS234" s="388"/>
      <c r="AT234" s="388"/>
    </row>
    <row r="235" spans="2:46">
      <c r="B235" s="389"/>
      <c r="C235" s="389"/>
      <c r="F235" s="1378"/>
      <c r="G235" s="1378"/>
      <c r="H235" s="1378"/>
      <c r="I235" s="1378"/>
      <c r="J235" s="1378"/>
      <c r="K235" s="1378"/>
      <c r="AS235" s="388"/>
      <c r="AT235" s="388"/>
    </row>
    <row r="236" spans="2:46">
      <c r="B236" s="389"/>
      <c r="C236" s="389"/>
      <c r="F236" s="1378"/>
      <c r="G236" s="1378"/>
      <c r="H236" s="1378"/>
      <c r="I236" s="1378"/>
      <c r="J236" s="1378"/>
      <c r="K236" s="1378"/>
      <c r="AS236" s="388"/>
      <c r="AT236" s="388"/>
    </row>
  </sheetData>
  <mergeCells count="288">
    <mergeCell ref="A198:D198"/>
    <mergeCell ref="F198:L198"/>
    <mergeCell ref="O198:T198"/>
    <mergeCell ref="W198:AC198"/>
    <mergeCell ref="AE198:AJ198"/>
    <mergeCell ref="AK198:AR198"/>
    <mergeCell ref="D195:E195"/>
    <mergeCell ref="F195:L195"/>
    <mergeCell ref="M195:P195"/>
    <mergeCell ref="Q195:S195"/>
    <mergeCell ref="T195:Z195"/>
    <mergeCell ref="AA195:AG195"/>
    <mergeCell ref="AH195:AK195"/>
    <mergeCell ref="AL195:AQ195"/>
    <mergeCell ref="AD197:AR197"/>
    <mergeCell ref="D193:E193"/>
    <mergeCell ref="F193:L193"/>
    <mergeCell ref="M193:P193"/>
    <mergeCell ref="Q193:S193"/>
    <mergeCell ref="T193:Z193"/>
    <mergeCell ref="AA193:AG193"/>
    <mergeCell ref="AH193:AK193"/>
    <mergeCell ref="AL193:AQ193"/>
    <mergeCell ref="D194:E194"/>
    <mergeCell ref="F194:L194"/>
    <mergeCell ref="M194:P194"/>
    <mergeCell ref="Q194:S194"/>
    <mergeCell ref="T194:Z194"/>
    <mergeCell ref="AA194:AG194"/>
    <mergeCell ref="AH194:AK194"/>
    <mergeCell ref="AL194:AQ194"/>
    <mergeCell ref="D191:E191"/>
    <mergeCell ref="F191:L191"/>
    <mergeCell ref="M191:P191"/>
    <mergeCell ref="Q191:S191"/>
    <mergeCell ref="T191:Z191"/>
    <mergeCell ref="AA191:AG191"/>
    <mergeCell ref="AH191:AK191"/>
    <mergeCell ref="AL191:AQ191"/>
    <mergeCell ref="D192:E192"/>
    <mergeCell ref="F192:L192"/>
    <mergeCell ref="M192:P192"/>
    <mergeCell ref="Q192:S192"/>
    <mergeCell ref="T192:Z192"/>
    <mergeCell ref="AA192:AG192"/>
    <mergeCell ref="AH192:AK192"/>
    <mergeCell ref="AL192:AQ192"/>
    <mergeCell ref="D189:E189"/>
    <mergeCell ref="F189:L189"/>
    <mergeCell ref="M189:P189"/>
    <mergeCell ref="Q189:S189"/>
    <mergeCell ref="T189:Z189"/>
    <mergeCell ref="AA189:AG189"/>
    <mergeCell ref="AH189:AK189"/>
    <mergeCell ref="AL189:AQ189"/>
    <mergeCell ref="D190:E190"/>
    <mergeCell ref="F190:L190"/>
    <mergeCell ref="M190:P190"/>
    <mergeCell ref="Q190:S190"/>
    <mergeCell ref="T190:Z190"/>
    <mergeCell ref="AA190:AG190"/>
    <mergeCell ref="AH190:AK190"/>
    <mergeCell ref="AL190:AQ190"/>
    <mergeCell ref="D187:E187"/>
    <mergeCell ref="F187:L187"/>
    <mergeCell ref="M187:P187"/>
    <mergeCell ref="Q187:S187"/>
    <mergeCell ref="T187:Z187"/>
    <mergeCell ref="AA187:AG187"/>
    <mergeCell ref="AH187:AK187"/>
    <mergeCell ref="AL187:AQ187"/>
    <mergeCell ref="D188:E188"/>
    <mergeCell ref="F188:L188"/>
    <mergeCell ref="M188:P188"/>
    <mergeCell ref="Q188:S188"/>
    <mergeCell ref="T188:Z188"/>
    <mergeCell ref="AA188:AG188"/>
    <mergeCell ref="AH188:AK188"/>
    <mergeCell ref="AL188:AQ188"/>
    <mergeCell ref="D185:E185"/>
    <mergeCell ref="F185:L185"/>
    <mergeCell ref="M185:P185"/>
    <mergeCell ref="Q185:S185"/>
    <mergeCell ref="T185:Z185"/>
    <mergeCell ref="AA185:AG185"/>
    <mergeCell ref="AH185:AK185"/>
    <mergeCell ref="AL185:AQ185"/>
    <mergeCell ref="D186:E186"/>
    <mergeCell ref="F186:L186"/>
    <mergeCell ref="M186:P186"/>
    <mergeCell ref="Q186:S186"/>
    <mergeCell ref="T186:Z186"/>
    <mergeCell ref="AA186:AG186"/>
    <mergeCell ref="AH186:AK186"/>
    <mergeCell ref="AL186:AQ186"/>
    <mergeCell ref="D183:E183"/>
    <mergeCell ref="F183:L183"/>
    <mergeCell ref="M183:P183"/>
    <mergeCell ref="Q183:S183"/>
    <mergeCell ref="T183:Z183"/>
    <mergeCell ref="AA183:AG183"/>
    <mergeCell ref="AH183:AK183"/>
    <mergeCell ref="AL183:AQ183"/>
    <mergeCell ref="D184:E184"/>
    <mergeCell ref="F184:L184"/>
    <mergeCell ref="M184:P184"/>
    <mergeCell ref="Q184:S184"/>
    <mergeCell ref="T184:Z184"/>
    <mergeCell ref="AA184:AG184"/>
    <mergeCell ref="AH184:AK184"/>
    <mergeCell ref="AL184:AQ184"/>
    <mergeCell ref="D181:E181"/>
    <mergeCell ref="F181:L181"/>
    <mergeCell ref="M181:P181"/>
    <mergeCell ref="Q181:S181"/>
    <mergeCell ref="T181:Z181"/>
    <mergeCell ref="AA181:AG181"/>
    <mergeCell ref="AH181:AK181"/>
    <mergeCell ref="AL181:AQ181"/>
    <mergeCell ref="D182:E182"/>
    <mergeCell ref="F182:L182"/>
    <mergeCell ref="M182:P182"/>
    <mergeCell ref="Q182:S182"/>
    <mergeCell ref="T182:Z182"/>
    <mergeCell ref="AA182:AG182"/>
    <mergeCell ref="AH182:AK182"/>
    <mergeCell ref="AL182:AQ182"/>
    <mergeCell ref="D179:E179"/>
    <mergeCell ref="F179:L179"/>
    <mergeCell ref="M179:P179"/>
    <mergeCell ref="Q179:S179"/>
    <mergeCell ref="T179:Z179"/>
    <mergeCell ref="AA179:AG179"/>
    <mergeCell ref="AH179:AK179"/>
    <mergeCell ref="AL179:AQ179"/>
    <mergeCell ref="D180:E180"/>
    <mergeCell ref="F180:L180"/>
    <mergeCell ref="M180:P180"/>
    <mergeCell ref="Q180:S180"/>
    <mergeCell ref="T180:Z180"/>
    <mergeCell ref="AA180:AG180"/>
    <mergeCell ref="AH180:AK180"/>
    <mergeCell ref="AL180:AQ180"/>
    <mergeCell ref="D178:E178"/>
    <mergeCell ref="F178:L178"/>
    <mergeCell ref="M178:P178"/>
    <mergeCell ref="Q178:S178"/>
    <mergeCell ref="T178:Z178"/>
    <mergeCell ref="AA178:AG178"/>
    <mergeCell ref="AH178:AK178"/>
    <mergeCell ref="AL178:AQ178"/>
    <mergeCell ref="D177:E177"/>
    <mergeCell ref="F177:L177"/>
    <mergeCell ref="M177:P177"/>
    <mergeCell ref="AL173:AQ174"/>
    <mergeCell ref="M174:P174"/>
    <mergeCell ref="Q174:S174"/>
    <mergeCell ref="T174:Z174"/>
    <mergeCell ref="AA174:AG174"/>
    <mergeCell ref="AH174:AK174"/>
    <mergeCell ref="I171:L171"/>
    <mergeCell ref="M168:Q168"/>
    <mergeCell ref="Q177:S177"/>
    <mergeCell ref="T177:Z177"/>
    <mergeCell ref="AA177:AG177"/>
    <mergeCell ref="AH177:AK177"/>
    <mergeCell ref="AL177:AQ177"/>
    <mergeCell ref="AL175:AQ175"/>
    <mergeCell ref="D176:E176"/>
    <mergeCell ref="F176:L176"/>
    <mergeCell ref="M176:P176"/>
    <mergeCell ref="Q176:S176"/>
    <mergeCell ref="T176:Z176"/>
    <mergeCell ref="AA176:AG176"/>
    <mergeCell ref="AH176:AK176"/>
    <mergeCell ref="AL176:AQ176"/>
    <mergeCell ref="D175:E175"/>
    <mergeCell ref="F175:L175"/>
    <mergeCell ref="M175:P175"/>
    <mergeCell ref="Q175:S175"/>
    <mergeCell ref="AT14:AT15"/>
    <mergeCell ref="AE168:AG168"/>
    <mergeCell ref="W169:AD169"/>
    <mergeCell ref="AE169:AG169"/>
    <mergeCell ref="A4:AR4"/>
    <mergeCell ref="B6:R6"/>
    <mergeCell ref="B7:R7"/>
    <mergeCell ref="B8:AQ8"/>
    <mergeCell ref="A9:AR9"/>
    <mergeCell ref="A10:AR10"/>
    <mergeCell ref="A13:B14"/>
    <mergeCell ref="C13:C14"/>
    <mergeCell ref="E13:E14"/>
    <mergeCell ref="AK12:AL12"/>
    <mergeCell ref="AK13:AK14"/>
    <mergeCell ref="AQ13:AQ14"/>
    <mergeCell ref="W163:AD163"/>
    <mergeCell ref="AE163:AG163"/>
    <mergeCell ref="W164:AD164"/>
    <mergeCell ref="A167:D167"/>
    <mergeCell ref="A168:D168"/>
    <mergeCell ref="M167:Q167"/>
    <mergeCell ref="M163:Q163"/>
    <mergeCell ref="M165:Q165"/>
    <mergeCell ref="A2:AR2"/>
    <mergeCell ref="A3:AR3"/>
    <mergeCell ref="R165:V165"/>
    <mergeCell ref="R166:V166"/>
    <mergeCell ref="R167:V167"/>
    <mergeCell ref="R168:V168"/>
    <mergeCell ref="F168:H168"/>
    <mergeCell ref="F171:H171"/>
    <mergeCell ref="I163:L163"/>
    <mergeCell ref="I165:L165"/>
    <mergeCell ref="I166:L166"/>
    <mergeCell ref="I167:L167"/>
    <mergeCell ref="I168:L168"/>
    <mergeCell ref="A161:D161"/>
    <mergeCell ref="D13:D14"/>
    <mergeCell ref="F13:AJ13"/>
    <mergeCell ref="A98:D98"/>
    <mergeCell ref="AR13:AR14"/>
    <mergeCell ref="AE164:AG164"/>
    <mergeCell ref="W165:AD165"/>
    <mergeCell ref="I169:L169"/>
    <mergeCell ref="I170:L170"/>
    <mergeCell ref="M171:Q171"/>
    <mergeCell ref="M169:Q169"/>
    <mergeCell ref="AL13:AL14"/>
    <mergeCell ref="W167:AD167"/>
    <mergeCell ref="AE167:AG167"/>
    <mergeCell ref="W168:AD168"/>
    <mergeCell ref="P223:V223"/>
    <mergeCell ref="X223:AE223"/>
    <mergeCell ref="F234:K234"/>
    <mergeCell ref="F235:K235"/>
    <mergeCell ref="F236:K236"/>
    <mergeCell ref="B228:F228"/>
    <mergeCell ref="F229:K229"/>
    <mergeCell ref="F230:K230"/>
    <mergeCell ref="F231:K231"/>
    <mergeCell ref="F232:K232"/>
    <mergeCell ref="F233:K233"/>
    <mergeCell ref="G223:K223"/>
    <mergeCell ref="M164:Q164"/>
    <mergeCell ref="I164:L164"/>
    <mergeCell ref="A166:D166"/>
    <mergeCell ref="AE203:AF203"/>
    <mergeCell ref="D173:E174"/>
    <mergeCell ref="F173:L174"/>
    <mergeCell ref="M173:S173"/>
    <mergeCell ref="T173:AK173"/>
    <mergeCell ref="F166:H166"/>
    <mergeCell ref="T175:Z175"/>
    <mergeCell ref="AA175:AG175"/>
    <mergeCell ref="M166:Q166"/>
    <mergeCell ref="AE165:AG165"/>
    <mergeCell ref="W166:AD166"/>
    <mergeCell ref="AE166:AG166"/>
    <mergeCell ref="W170:AD170"/>
    <mergeCell ref="AE170:AG170"/>
    <mergeCell ref="W171:AD171"/>
    <mergeCell ref="AE171:AG171"/>
    <mergeCell ref="M170:Q170"/>
    <mergeCell ref="AN13:AN14"/>
    <mergeCell ref="AO13:AO14"/>
    <mergeCell ref="AP13:AP14"/>
    <mergeCell ref="AM13:AM14"/>
    <mergeCell ref="A15:E15"/>
    <mergeCell ref="F167:H167"/>
    <mergeCell ref="R170:V170"/>
    <mergeCell ref="AK200:AR200"/>
    <mergeCell ref="R164:V164"/>
    <mergeCell ref="R163:V163"/>
    <mergeCell ref="R171:V171"/>
    <mergeCell ref="R169:V169"/>
    <mergeCell ref="AL163:AQ163"/>
    <mergeCell ref="A171:D171"/>
    <mergeCell ref="A170:D170"/>
    <mergeCell ref="F170:H170"/>
    <mergeCell ref="AH175:AK175"/>
    <mergeCell ref="A16:D16"/>
    <mergeCell ref="A163:D163"/>
    <mergeCell ref="A165:D165"/>
    <mergeCell ref="F169:H169"/>
    <mergeCell ref="F163:H163"/>
    <mergeCell ref="F164:H164"/>
    <mergeCell ref="F165:H165"/>
  </mergeCells>
  <conditionalFormatting sqref="H90 J90:AJ90">
    <cfRule type="expression" dxfId="2821" priority="3">
      <formula>#REF!="x"</formula>
    </cfRule>
  </conditionalFormatting>
  <printOptions horizontalCentered="1"/>
  <pageMargins left="0" right="0" top="0.27559055118110237" bottom="0.35433070866141736" header="0.27559055118110237" footer="0.31496062992125984"/>
  <pageSetup paperSize="9" scale="21" orientation="landscape" r:id="rId1"/>
  <headerFooter alignWithMargins="0">
    <oddFooter>Page &amp;P</oddFooter>
  </headerFooter>
  <rowBreaks count="1" manualBreakCount="1">
    <brk id="57" max="38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82727459-F8A2-4C1F-9623-75EC68ADA819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F90:G90 I90</xm:sqref>
        </x14:conditionalFormatting>
        <x14:conditionalFormatting xmlns:xm="http://schemas.microsoft.com/office/excel/2006/main">
          <x14:cfRule type="expression" priority="1" id="{DCCE0C30-0B6E-4D34-8414-D26FAB6CC647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F17:M84 J86:M86 F86:I89 J87:AI89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67"/>
  <sheetViews>
    <sheetView topLeftCell="A7" zoomScale="25" zoomScaleNormal="25" zoomScaleSheetLayoutView="25" zoomScalePageLayoutView="40" workbookViewId="0">
      <selection activeCell="AS23" sqref="AS23"/>
    </sheetView>
  </sheetViews>
  <sheetFormatPr defaultColWidth="5.28515625" defaultRowHeight="15"/>
  <cols>
    <col min="1" max="1" width="8.42578125" style="388" customWidth="1"/>
    <col min="2" max="2" width="35.5703125" style="388" customWidth="1"/>
    <col min="3" max="21" width="14.28515625" style="388" customWidth="1"/>
    <col min="22" max="22" width="21.85546875" style="388" customWidth="1"/>
    <col min="23" max="23" width="14.28515625" style="388" customWidth="1"/>
    <col min="24" max="24" width="20.140625" style="388" customWidth="1"/>
    <col min="25" max="28" width="14.28515625" style="388" customWidth="1"/>
    <col min="29" max="32" width="14.7109375" style="388" customWidth="1"/>
    <col min="33" max="33" width="21.85546875" style="388" customWidth="1"/>
    <col min="34" max="34" width="30.85546875" style="388" customWidth="1"/>
    <col min="35" max="35" width="31" style="388" customWidth="1"/>
    <col min="36" max="36" width="22.85546875" style="388" customWidth="1"/>
    <col min="37" max="37" width="14.85546875" style="388" hidden="1" customWidth="1"/>
    <col min="38" max="38" width="31.42578125" style="387" customWidth="1"/>
    <col min="39" max="39" width="5.28515625" style="387"/>
    <col min="40" max="40" width="14.5703125" style="387" customWidth="1"/>
    <col min="41" max="16384" width="5.28515625" style="388"/>
  </cols>
  <sheetData>
    <row r="1" spans="1:40" ht="45">
      <c r="A1" s="1435" t="s">
        <v>51</v>
      </c>
      <c r="B1" s="1435"/>
      <c r="C1" s="1435"/>
      <c r="D1" s="1435"/>
      <c r="E1" s="1435"/>
      <c r="F1" s="1435"/>
      <c r="G1" s="1435"/>
      <c r="H1" s="1435"/>
      <c r="I1" s="1435"/>
      <c r="J1" s="1435"/>
      <c r="K1" s="1435"/>
      <c r="L1" s="1435"/>
      <c r="M1" s="1435"/>
      <c r="N1" s="1435"/>
      <c r="O1" s="1435"/>
      <c r="P1" s="1435"/>
      <c r="Q1" s="1435"/>
      <c r="R1" s="1435"/>
      <c r="S1" s="1435"/>
      <c r="T1" s="1435"/>
      <c r="U1" s="1435"/>
      <c r="V1" s="1435"/>
      <c r="W1" s="1435"/>
      <c r="X1" s="1435"/>
      <c r="Y1" s="1435"/>
      <c r="Z1" s="1435"/>
      <c r="AA1" s="1435"/>
      <c r="AB1" s="1435"/>
      <c r="AC1" s="1435"/>
      <c r="AD1" s="1435"/>
      <c r="AE1" s="1435"/>
      <c r="AF1" s="1435"/>
      <c r="AG1" s="1435"/>
      <c r="AH1" s="1435"/>
      <c r="AI1" s="1435"/>
      <c r="AJ1" s="1435"/>
      <c r="AK1" s="1435"/>
      <c r="AL1" s="1435"/>
    </row>
    <row r="2" spans="1:40" ht="44.25" customHeight="1">
      <c r="A2" s="1435" t="s">
        <v>52</v>
      </c>
      <c r="B2" s="1435"/>
      <c r="C2" s="1435"/>
      <c r="D2" s="1435"/>
      <c r="E2" s="1435"/>
      <c r="F2" s="1435"/>
      <c r="G2" s="1435"/>
      <c r="H2" s="1435"/>
      <c r="I2" s="1435"/>
      <c r="J2" s="1435"/>
      <c r="K2" s="1435"/>
      <c r="L2" s="1435"/>
      <c r="M2" s="1435"/>
      <c r="N2" s="1435"/>
      <c r="O2" s="1435"/>
      <c r="P2" s="1435"/>
      <c r="Q2" s="1435"/>
      <c r="R2" s="1435"/>
      <c r="S2" s="1435"/>
      <c r="T2" s="1435"/>
      <c r="U2" s="1435"/>
      <c r="V2" s="1435"/>
      <c r="W2" s="1435"/>
      <c r="X2" s="1435"/>
      <c r="Y2" s="1435"/>
      <c r="Z2" s="1435"/>
      <c r="AA2" s="1435"/>
      <c r="AB2" s="1435"/>
      <c r="AC2" s="1435"/>
      <c r="AD2" s="1435"/>
      <c r="AE2" s="1435"/>
      <c r="AF2" s="1435"/>
      <c r="AG2" s="1435"/>
      <c r="AH2" s="1435"/>
      <c r="AI2" s="1435"/>
      <c r="AJ2" s="1435"/>
      <c r="AK2" s="1435"/>
      <c r="AL2" s="1435"/>
      <c r="AM2" s="388"/>
      <c r="AN2" s="388"/>
    </row>
    <row r="3" spans="1:40" ht="40.5" customHeight="1">
      <c r="A3" s="1436" t="s">
        <v>254</v>
      </c>
      <c r="B3" s="1436"/>
      <c r="C3" s="1436"/>
      <c r="D3" s="1436"/>
      <c r="E3" s="1436"/>
      <c r="F3" s="1436"/>
      <c r="G3" s="1436"/>
      <c r="H3" s="1436"/>
      <c r="I3" s="1436"/>
      <c r="J3" s="1436"/>
      <c r="K3" s="1436"/>
      <c r="L3" s="1436"/>
      <c r="M3" s="1436"/>
      <c r="N3" s="1436"/>
      <c r="O3" s="1436"/>
      <c r="P3" s="1436"/>
      <c r="Q3" s="1436"/>
      <c r="R3" s="1436"/>
      <c r="S3" s="1436"/>
      <c r="T3" s="1436"/>
      <c r="U3" s="1436"/>
      <c r="V3" s="1436"/>
      <c r="W3" s="1436"/>
      <c r="X3" s="1436"/>
      <c r="Y3" s="1436"/>
      <c r="Z3" s="1436"/>
      <c r="AA3" s="1436"/>
      <c r="AB3" s="1436"/>
      <c r="AC3" s="1436"/>
      <c r="AD3" s="1436"/>
      <c r="AE3" s="1436"/>
      <c r="AF3" s="1436"/>
      <c r="AG3" s="1436"/>
      <c r="AH3" s="1436"/>
      <c r="AI3" s="1436"/>
      <c r="AJ3" s="1436"/>
      <c r="AK3" s="1436"/>
      <c r="AL3" s="1436"/>
      <c r="AM3" s="388"/>
      <c r="AN3" s="388"/>
    </row>
    <row r="4" spans="1:40" ht="40.5" customHeight="1">
      <c r="A4" s="597"/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8"/>
      <c r="N4" s="598"/>
      <c r="O4" s="598"/>
      <c r="P4" s="598"/>
      <c r="Q4" s="598"/>
      <c r="R4" s="598"/>
      <c r="S4" s="598"/>
      <c r="T4" s="598"/>
      <c r="U4" s="598"/>
      <c r="V4" s="598"/>
      <c r="W4" s="598"/>
      <c r="X4" s="598"/>
      <c r="Y4" s="598"/>
      <c r="Z4" s="598"/>
      <c r="AA4" s="598"/>
      <c r="AB4" s="598"/>
      <c r="AC4" s="598"/>
      <c r="AD4" s="598"/>
      <c r="AE4" s="598"/>
      <c r="AF4" s="598"/>
      <c r="AG4" s="598"/>
      <c r="AH4" s="598"/>
      <c r="AI4" s="598"/>
      <c r="AJ4" s="412"/>
      <c r="AK4" s="413"/>
      <c r="AL4" s="413"/>
      <c r="AM4" s="388"/>
      <c r="AN4" s="388"/>
    </row>
    <row r="5" spans="1:40" ht="40.5" customHeight="1">
      <c r="A5" s="1435" t="s">
        <v>510</v>
      </c>
      <c r="B5" s="1435"/>
      <c r="C5" s="1435"/>
      <c r="D5" s="1435"/>
      <c r="E5" s="1435"/>
      <c r="F5" s="1435"/>
      <c r="G5" s="1435"/>
      <c r="H5" s="1435"/>
      <c r="I5" s="1435"/>
      <c r="J5" s="1435"/>
      <c r="K5" s="1435"/>
      <c r="L5" s="1435"/>
      <c r="M5" s="1435"/>
      <c r="N5" s="1435"/>
      <c r="O5" s="1435"/>
      <c r="P5" s="598"/>
      <c r="Q5" s="598"/>
      <c r="R5" s="598"/>
      <c r="S5" s="598"/>
      <c r="T5" s="598"/>
      <c r="U5" s="598"/>
      <c r="V5" s="598"/>
      <c r="W5" s="598"/>
      <c r="X5" s="598"/>
      <c r="Y5" s="598"/>
      <c r="Z5" s="598"/>
      <c r="AA5" s="598"/>
      <c r="AB5" s="598"/>
      <c r="AC5" s="598"/>
      <c r="AD5" s="598"/>
      <c r="AE5" s="598"/>
      <c r="AF5" s="598"/>
      <c r="AG5" s="598"/>
      <c r="AH5" s="598"/>
      <c r="AI5" s="598"/>
      <c r="AJ5" s="412"/>
      <c r="AK5" s="413"/>
      <c r="AL5" s="413"/>
      <c r="AM5" s="388"/>
      <c r="AN5" s="388"/>
    </row>
    <row r="6" spans="1:40" ht="40.5" customHeight="1">
      <c r="A6" s="1435" t="s">
        <v>500</v>
      </c>
      <c r="B6" s="1435"/>
      <c r="C6" s="1435"/>
      <c r="D6" s="1435"/>
      <c r="E6" s="1435"/>
      <c r="F6" s="1435"/>
      <c r="G6" s="1435"/>
      <c r="H6" s="1435"/>
      <c r="I6" s="1435"/>
      <c r="J6" s="1435"/>
      <c r="K6" s="1435"/>
      <c r="L6" s="1435"/>
      <c r="M6" s="1435"/>
      <c r="N6" s="1435"/>
      <c r="O6" s="1435"/>
      <c r="P6" s="598"/>
      <c r="Q6" s="598"/>
      <c r="R6" s="598"/>
      <c r="S6" s="598"/>
      <c r="T6" s="598"/>
      <c r="U6" s="598"/>
      <c r="V6" s="598"/>
      <c r="W6" s="598"/>
      <c r="X6" s="598"/>
      <c r="Y6" s="598"/>
      <c r="Z6" s="598"/>
      <c r="AA6" s="598"/>
      <c r="AB6" s="598"/>
      <c r="AC6" s="598"/>
      <c r="AD6" s="598"/>
      <c r="AE6" s="598"/>
      <c r="AF6" s="598"/>
      <c r="AG6" s="598"/>
      <c r="AH6" s="598"/>
      <c r="AI6" s="598"/>
      <c r="AJ6" s="412"/>
      <c r="AK6" s="413"/>
      <c r="AL6" s="413"/>
      <c r="AM6" s="388"/>
      <c r="AN6" s="388"/>
    </row>
    <row r="7" spans="1:40" ht="36.75" customHeight="1">
      <c r="A7" s="1435"/>
      <c r="B7" s="1435"/>
      <c r="C7" s="1435"/>
      <c r="D7" s="1435"/>
      <c r="E7" s="1435"/>
      <c r="F7" s="1435"/>
      <c r="G7" s="1435"/>
      <c r="H7" s="1435"/>
      <c r="I7" s="1435"/>
      <c r="J7" s="1435"/>
      <c r="K7" s="1435"/>
      <c r="L7" s="1435"/>
      <c r="M7" s="1435"/>
      <c r="N7" s="1435"/>
      <c r="O7" s="1435"/>
      <c r="P7" s="1435"/>
      <c r="Q7" s="1435"/>
      <c r="R7" s="1435"/>
      <c r="S7" s="1435"/>
      <c r="T7" s="1435"/>
      <c r="U7" s="1435"/>
      <c r="V7" s="1435"/>
      <c r="W7" s="1435"/>
      <c r="X7" s="1435"/>
      <c r="Y7" s="1435"/>
      <c r="Z7" s="1435"/>
      <c r="AA7" s="1435"/>
      <c r="AB7" s="1435"/>
      <c r="AC7" s="1435"/>
      <c r="AD7" s="1435"/>
      <c r="AE7" s="1435"/>
      <c r="AF7" s="1435"/>
      <c r="AG7" s="1435"/>
      <c r="AH7" s="1435"/>
      <c r="AI7" s="1435"/>
      <c r="AJ7" s="1435"/>
      <c r="AK7" s="413"/>
      <c r="AL7" s="413"/>
      <c r="AM7" s="388"/>
      <c r="AN7" s="388"/>
    </row>
    <row r="8" spans="1:40" ht="16.5" customHeight="1">
      <c r="A8" s="597"/>
      <c r="B8" s="597"/>
      <c r="C8" s="597"/>
      <c r="D8" s="597"/>
      <c r="E8" s="597"/>
      <c r="F8" s="597"/>
      <c r="G8" s="597"/>
      <c r="H8" s="597"/>
      <c r="I8" s="597"/>
      <c r="J8" s="597"/>
      <c r="K8" s="597"/>
      <c r="L8" s="597"/>
      <c r="M8" s="598"/>
      <c r="N8" s="598"/>
      <c r="O8" s="598"/>
      <c r="P8" s="598"/>
      <c r="Q8" s="598"/>
      <c r="R8" s="598"/>
      <c r="S8" s="598"/>
      <c r="T8" s="598"/>
      <c r="U8" s="598"/>
      <c r="V8" s="598"/>
      <c r="W8" s="598"/>
      <c r="X8" s="598"/>
      <c r="Y8" s="598"/>
      <c r="Z8" s="598"/>
      <c r="AA8" s="598"/>
      <c r="AB8" s="598"/>
      <c r="AC8" s="598"/>
      <c r="AD8" s="598"/>
      <c r="AE8" s="598"/>
      <c r="AF8" s="598"/>
      <c r="AG8" s="598"/>
      <c r="AH8" s="598"/>
      <c r="AI8" s="598"/>
      <c r="AJ8" s="412"/>
      <c r="AK8" s="413"/>
      <c r="AL8" s="413"/>
      <c r="AM8" s="388"/>
      <c r="AN8" s="388"/>
    </row>
    <row r="9" spans="1:40" ht="42" customHeight="1">
      <c r="A9" s="1435"/>
      <c r="B9" s="1435"/>
      <c r="C9" s="1435"/>
      <c r="D9" s="1435"/>
      <c r="E9" s="1435"/>
      <c r="F9" s="1435"/>
      <c r="G9" s="1435"/>
      <c r="H9" s="1435"/>
      <c r="I9" s="1435"/>
      <c r="J9" s="1435"/>
      <c r="K9" s="1435"/>
      <c r="L9" s="1435"/>
      <c r="M9" s="1435"/>
      <c r="N9" s="1435"/>
      <c r="O9" s="1435"/>
      <c r="P9" s="598"/>
      <c r="Q9" s="598"/>
      <c r="R9" s="598"/>
      <c r="S9" s="598"/>
      <c r="T9" s="598"/>
      <c r="U9" s="598"/>
      <c r="V9" s="598"/>
      <c r="W9" s="598"/>
      <c r="X9" s="598"/>
      <c r="Y9" s="598"/>
      <c r="Z9" s="598"/>
      <c r="AA9" s="598"/>
      <c r="AB9" s="598"/>
      <c r="AC9" s="598"/>
      <c r="AD9" s="598"/>
      <c r="AE9" s="598"/>
      <c r="AF9" s="598"/>
      <c r="AG9" s="598"/>
      <c r="AH9" s="598"/>
      <c r="AI9" s="598"/>
      <c r="AJ9" s="412"/>
      <c r="AK9" s="413"/>
      <c r="AL9" s="413"/>
      <c r="AM9" s="388"/>
      <c r="AN9" s="388"/>
    </row>
    <row r="10" spans="1:40" ht="39" customHeight="1">
      <c r="A10" s="1435"/>
      <c r="B10" s="1435"/>
      <c r="C10" s="1435"/>
      <c r="D10" s="1435"/>
      <c r="E10" s="1435"/>
      <c r="F10" s="1435"/>
      <c r="G10" s="1435"/>
      <c r="H10" s="1435"/>
      <c r="I10" s="1435"/>
      <c r="J10" s="1435"/>
      <c r="K10" s="1435"/>
      <c r="L10" s="1435"/>
      <c r="M10" s="1435"/>
      <c r="N10" s="1435"/>
      <c r="O10" s="1435"/>
      <c r="P10" s="598"/>
      <c r="Q10" s="598"/>
      <c r="R10" s="598"/>
      <c r="S10" s="598"/>
      <c r="T10" s="598"/>
      <c r="U10" s="598"/>
      <c r="V10" s="598"/>
      <c r="W10" s="598"/>
      <c r="X10" s="598"/>
      <c r="Y10" s="598"/>
      <c r="Z10" s="598"/>
      <c r="AA10" s="598"/>
      <c r="AB10" s="598"/>
      <c r="AC10" s="598"/>
      <c r="AD10" s="598"/>
      <c r="AE10" s="598"/>
      <c r="AF10" s="598"/>
      <c r="AG10" s="598"/>
      <c r="AH10" s="598"/>
      <c r="AI10" s="598"/>
      <c r="AJ10" s="412"/>
      <c r="AK10" s="413"/>
      <c r="AL10" s="413"/>
      <c r="AM10" s="388"/>
      <c r="AN10" s="388"/>
    </row>
    <row r="11" spans="1:40" ht="15" customHeight="1">
      <c r="A11" s="1435"/>
      <c r="B11" s="1435"/>
      <c r="C11" s="1435"/>
      <c r="D11" s="1435"/>
      <c r="E11" s="1435"/>
      <c r="F11" s="1435"/>
      <c r="G11" s="1435"/>
      <c r="H11" s="1435"/>
      <c r="I11" s="1435"/>
      <c r="J11" s="1435"/>
      <c r="K11" s="1435"/>
      <c r="L11" s="1435"/>
      <c r="M11" s="1435"/>
      <c r="N11" s="1435"/>
      <c r="O11" s="1435"/>
      <c r="P11" s="1435"/>
      <c r="Q11" s="1435"/>
      <c r="R11" s="1435"/>
      <c r="S11" s="1435"/>
      <c r="T11" s="1435"/>
      <c r="U11" s="1435"/>
      <c r="V11" s="1435"/>
      <c r="W11" s="1435"/>
      <c r="X11" s="1435"/>
      <c r="Y11" s="1435"/>
      <c r="Z11" s="1435"/>
      <c r="AA11" s="1435"/>
      <c r="AB11" s="1435"/>
      <c r="AC11" s="1435"/>
      <c r="AD11" s="1435"/>
      <c r="AE11" s="1435"/>
      <c r="AF11" s="1435"/>
      <c r="AG11" s="1435"/>
      <c r="AH11" s="1435"/>
      <c r="AI11" s="1435"/>
      <c r="AJ11" s="1435"/>
      <c r="AK11" s="413"/>
      <c r="AL11" s="413"/>
      <c r="AM11" s="388"/>
      <c r="AN11" s="388"/>
    </row>
    <row r="12" spans="1:40" ht="89.25" customHeight="1">
      <c r="A12" s="1386" t="s">
        <v>806</v>
      </c>
      <c r="B12" s="1386"/>
      <c r="C12" s="1386"/>
      <c r="D12" s="1386"/>
      <c r="E12" s="1386"/>
      <c r="F12" s="1386"/>
      <c r="G12" s="1386"/>
      <c r="H12" s="1386"/>
      <c r="I12" s="1386"/>
      <c r="J12" s="1386"/>
      <c r="K12" s="1386"/>
      <c r="L12" s="1386"/>
      <c r="M12" s="1386"/>
      <c r="N12" s="1386"/>
      <c r="O12" s="1386"/>
      <c r="P12" s="1386"/>
      <c r="Q12" s="1386"/>
      <c r="R12" s="1386"/>
      <c r="S12" s="1386"/>
      <c r="T12" s="1386"/>
      <c r="U12" s="1386"/>
      <c r="V12" s="1386"/>
      <c r="W12" s="1386"/>
      <c r="X12" s="1386"/>
      <c r="Y12" s="1386"/>
      <c r="Z12" s="1386"/>
      <c r="AA12" s="1386"/>
      <c r="AB12" s="1386"/>
      <c r="AC12" s="1386"/>
      <c r="AD12" s="1386"/>
      <c r="AE12" s="1386"/>
      <c r="AF12" s="1386"/>
      <c r="AG12" s="1386"/>
      <c r="AH12" s="1386"/>
      <c r="AI12" s="1386"/>
      <c r="AJ12" s="1386"/>
      <c r="AL12" s="388"/>
      <c r="AM12" s="388"/>
      <c r="AN12" s="388"/>
    </row>
    <row r="13" spans="1:40" ht="36.75" customHeight="1">
      <c r="A13" s="390"/>
      <c r="B13" s="390"/>
      <c r="C13" s="390"/>
      <c r="D13" s="390"/>
      <c r="E13" s="390"/>
      <c r="F13" s="390"/>
      <c r="G13" s="390"/>
      <c r="H13" s="390"/>
      <c r="I13" s="390"/>
      <c r="J13" s="390"/>
      <c r="K13" s="390"/>
      <c r="L13" s="390"/>
      <c r="M13" s="390"/>
      <c r="N13" s="390"/>
      <c r="O13" s="390"/>
      <c r="P13" s="390"/>
      <c r="Q13" s="390"/>
      <c r="R13" s="390"/>
      <c r="S13" s="390"/>
      <c r="T13" s="390"/>
      <c r="U13" s="390"/>
      <c r="V13" s="390"/>
      <c r="W13" s="390"/>
      <c r="X13" s="390"/>
      <c r="Y13" s="390"/>
      <c r="Z13" s="390"/>
      <c r="AA13" s="390"/>
      <c r="AB13" s="390"/>
      <c r="AC13" s="390"/>
      <c r="AD13" s="390"/>
      <c r="AE13" s="390"/>
      <c r="AF13" s="390"/>
      <c r="AG13" s="390"/>
      <c r="AH13" s="1396"/>
      <c r="AI13" s="1396"/>
      <c r="AJ13" s="460"/>
      <c r="AK13" s="525" t="s">
        <v>437</v>
      </c>
      <c r="AL13" s="526"/>
      <c r="AM13" s="388"/>
      <c r="AN13" s="388"/>
    </row>
    <row r="14" spans="1:40" ht="48" customHeight="1">
      <c r="A14" s="1368" t="s">
        <v>12</v>
      </c>
      <c r="B14" s="1368" t="s">
        <v>13</v>
      </c>
      <c r="C14" s="1368" t="s">
        <v>49</v>
      </c>
      <c r="D14" s="1368"/>
      <c r="E14" s="1368"/>
      <c r="F14" s="1368"/>
      <c r="G14" s="1368"/>
      <c r="H14" s="1368"/>
      <c r="I14" s="1368"/>
      <c r="J14" s="1368"/>
      <c r="K14" s="1368"/>
      <c r="L14" s="1368"/>
      <c r="M14" s="1368"/>
      <c r="N14" s="1368"/>
      <c r="O14" s="1368"/>
      <c r="P14" s="1368"/>
      <c r="Q14" s="1368"/>
      <c r="R14" s="1368"/>
      <c r="S14" s="1368"/>
      <c r="T14" s="1368"/>
      <c r="U14" s="1368"/>
      <c r="V14" s="1368"/>
      <c r="W14" s="1368"/>
      <c r="X14" s="1368"/>
      <c r="Y14" s="1368"/>
      <c r="Z14" s="1368"/>
      <c r="AA14" s="1368"/>
      <c r="AB14" s="1368"/>
      <c r="AC14" s="1368"/>
      <c r="AD14" s="1368"/>
      <c r="AE14" s="1368"/>
      <c r="AF14" s="1368"/>
      <c r="AG14" s="1368"/>
      <c r="AH14" s="1348" t="s">
        <v>449</v>
      </c>
      <c r="AI14" s="1348" t="s">
        <v>365</v>
      </c>
      <c r="AJ14" s="1348" t="s">
        <v>103</v>
      </c>
      <c r="AK14" s="1348" t="s">
        <v>345</v>
      </c>
      <c r="AL14" s="1368" t="s">
        <v>352</v>
      </c>
      <c r="AM14" s="388"/>
      <c r="AN14" s="388"/>
    </row>
    <row r="15" spans="1:40" ht="99" customHeight="1">
      <c r="A15" s="1368"/>
      <c r="B15" s="1368"/>
      <c r="C15" s="599">
        <v>1</v>
      </c>
      <c r="D15" s="599">
        <v>2</v>
      </c>
      <c r="E15" s="599">
        <v>3</v>
      </c>
      <c r="F15" s="599">
        <v>4</v>
      </c>
      <c r="G15" s="599">
        <v>5</v>
      </c>
      <c r="H15" s="599">
        <v>6</v>
      </c>
      <c r="I15" s="599">
        <v>7</v>
      </c>
      <c r="J15" s="599">
        <v>8</v>
      </c>
      <c r="K15" s="599">
        <v>9</v>
      </c>
      <c r="L15" s="599">
        <v>10</v>
      </c>
      <c r="M15" s="599">
        <v>11</v>
      </c>
      <c r="N15" s="599">
        <v>12</v>
      </c>
      <c r="O15" s="599">
        <v>13</v>
      </c>
      <c r="P15" s="599">
        <v>14</v>
      </c>
      <c r="Q15" s="599">
        <v>15</v>
      </c>
      <c r="R15" s="599">
        <v>16</v>
      </c>
      <c r="S15" s="599">
        <v>17</v>
      </c>
      <c r="T15" s="599">
        <v>18</v>
      </c>
      <c r="U15" s="599">
        <v>19</v>
      </c>
      <c r="V15" s="599">
        <v>20</v>
      </c>
      <c r="W15" s="599">
        <v>21</v>
      </c>
      <c r="X15" s="599">
        <v>22</v>
      </c>
      <c r="Y15" s="599">
        <v>23</v>
      </c>
      <c r="Z15" s="599">
        <v>24</v>
      </c>
      <c r="AA15" s="599">
        <v>25</v>
      </c>
      <c r="AB15" s="599">
        <v>26</v>
      </c>
      <c r="AC15" s="599">
        <v>27</v>
      </c>
      <c r="AD15" s="599">
        <v>28</v>
      </c>
      <c r="AE15" s="599">
        <v>29</v>
      </c>
      <c r="AF15" s="599">
        <v>30</v>
      </c>
      <c r="AG15" s="599">
        <v>31</v>
      </c>
      <c r="AH15" s="1348"/>
      <c r="AI15" s="1348"/>
      <c r="AJ15" s="1348"/>
      <c r="AK15" s="1348"/>
      <c r="AL15" s="1368"/>
      <c r="AM15" s="388"/>
      <c r="AN15" s="388"/>
    </row>
    <row r="16" spans="1:40" ht="99" customHeight="1">
      <c r="A16" s="1388" t="s">
        <v>498</v>
      </c>
      <c r="B16" s="1388"/>
      <c r="C16" s="600">
        <f>C17</f>
        <v>0</v>
      </c>
      <c r="D16" s="600">
        <f t="shared" ref="D16:AD16" si="0">D17</f>
        <v>0</v>
      </c>
      <c r="E16" s="600">
        <f t="shared" si="0"/>
        <v>0</v>
      </c>
      <c r="F16" s="600">
        <f t="shared" si="0"/>
        <v>0</v>
      </c>
      <c r="G16" s="600">
        <f t="shared" si="0"/>
        <v>0</v>
      </c>
      <c r="H16" s="600">
        <f t="shared" si="0"/>
        <v>0</v>
      </c>
      <c r="I16" s="601">
        <f t="shared" si="0"/>
        <v>0</v>
      </c>
      <c r="J16" s="601">
        <f t="shared" si="0"/>
        <v>0</v>
      </c>
      <c r="K16" s="601">
        <f t="shared" si="0"/>
        <v>0</v>
      </c>
      <c r="L16" s="601">
        <f t="shared" si="0"/>
        <v>0</v>
      </c>
      <c r="M16" s="601">
        <f t="shared" si="0"/>
        <v>0</v>
      </c>
      <c r="N16" s="601">
        <f t="shared" si="0"/>
        <v>0</v>
      </c>
      <c r="O16" s="601">
        <f t="shared" si="0"/>
        <v>0</v>
      </c>
      <c r="P16" s="601">
        <f t="shared" si="0"/>
        <v>0</v>
      </c>
      <c r="Q16" s="601">
        <f t="shared" si="0"/>
        <v>0</v>
      </c>
      <c r="R16" s="601">
        <f t="shared" si="0"/>
        <v>0</v>
      </c>
      <c r="S16" s="601">
        <f t="shared" si="0"/>
        <v>0</v>
      </c>
      <c r="T16" s="601">
        <f t="shared" si="0"/>
        <v>0</v>
      </c>
      <c r="U16" s="601">
        <f t="shared" si="0"/>
        <v>0</v>
      </c>
      <c r="V16" s="1139">
        <f t="shared" si="0"/>
        <v>300</v>
      </c>
      <c r="W16" s="1139">
        <f t="shared" si="0"/>
        <v>0</v>
      </c>
      <c r="X16" s="1139">
        <f t="shared" si="0"/>
        <v>0</v>
      </c>
      <c r="Y16" s="1139">
        <f t="shared" si="0"/>
        <v>0</v>
      </c>
      <c r="Z16" s="1139">
        <f t="shared" si="0"/>
        <v>0</v>
      </c>
      <c r="AA16" s="1139">
        <f t="shared" si="0"/>
        <v>0</v>
      </c>
      <c r="AB16" s="1139">
        <f t="shared" si="0"/>
        <v>0</v>
      </c>
      <c r="AC16" s="1139">
        <f t="shared" si="0"/>
        <v>0</v>
      </c>
      <c r="AD16" s="1139">
        <f t="shared" si="0"/>
        <v>0</v>
      </c>
      <c r="AE16" s="1139">
        <f>AE17</f>
        <v>0</v>
      </c>
      <c r="AF16" s="1139">
        <f t="shared" ref="AF16:AG16" si="1">AF17</f>
        <v>0</v>
      </c>
      <c r="AG16" s="1139">
        <f t="shared" si="1"/>
        <v>0</v>
      </c>
      <c r="AH16" s="1139">
        <f>AH17</f>
        <v>300</v>
      </c>
      <c r="AI16" s="1142"/>
      <c r="AJ16" s="1150">
        <f t="shared" ref="AJ16:AK16" si="2">AJ17</f>
        <v>164.97</v>
      </c>
      <c r="AK16" s="602">
        <f t="shared" si="2"/>
        <v>0</v>
      </c>
      <c r="AL16" s="599"/>
      <c r="AM16" s="388"/>
      <c r="AN16" s="388"/>
    </row>
    <row r="17" spans="1:45" ht="99" customHeight="1">
      <c r="A17" s="603">
        <v>1</v>
      </c>
      <c r="B17" s="604" t="s">
        <v>368</v>
      </c>
      <c r="C17" s="603"/>
      <c r="D17" s="603"/>
      <c r="E17" s="603"/>
      <c r="F17" s="603"/>
      <c r="G17" s="603"/>
      <c r="H17" s="603"/>
      <c r="I17" s="605"/>
      <c r="J17" s="605"/>
      <c r="K17" s="605"/>
      <c r="L17" s="605"/>
      <c r="M17" s="605"/>
      <c r="N17" s="605"/>
      <c r="O17" s="605"/>
      <c r="P17" s="605"/>
      <c r="Q17" s="605"/>
      <c r="R17" s="605"/>
      <c r="S17" s="605"/>
      <c r="T17" s="605"/>
      <c r="U17" s="605"/>
      <c r="V17" s="1140">
        <v>300</v>
      </c>
      <c r="W17" s="1140"/>
      <c r="X17" s="1140"/>
      <c r="Y17" s="1140"/>
      <c r="Z17" s="1140"/>
      <c r="AA17" s="1140"/>
      <c r="AB17" s="1140"/>
      <c r="AC17" s="1140"/>
      <c r="AD17" s="1140"/>
      <c r="AE17" s="1140"/>
      <c r="AF17" s="1141"/>
      <c r="AG17" s="1140"/>
      <c r="AH17" s="1141">
        <f>SUM(C17:AG17)</f>
        <v>300</v>
      </c>
      <c r="AI17" s="1143">
        <v>54.99</v>
      </c>
      <c r="AJ17" s="1151">
        <f>AH17*AI17/100</f>
        <v>164.97</v>
      </c>
      <c r="AK17" s="606"/>
      <c r="AL17" s="599"/>
      <c r="AM17" s="388"/>
      <c r="AN17" s="388"/>
    </row>
    <row r="18" spans="1:45" s="389" customFormat="1" ht="99" customHeight="1">
      <c r="A18" s="1388" t="s">
        <v>499</v>
      </c>
      <c r="B18" s="1388"/>
      <c r="C18" s="600">
        <f>C19</f>
        <v>0</v>
      </c>
      <c r="D18" s="600">
        <f t="shared" ref="D18:AJ18" si="3">D19</f>
        <v>0</v>
      </c>
      <c r="E18" s="600">
        <f t="shared" si="3"/>
        <v>0</v>
      </c>
      <c r="F18" s="600">
        <f t="shared" si="3"/>
        <v>0</v>
      </c>
      <c r="G18" s="600">
        <f t="shared" si="3"/>
        <v>0</v>
      </c>
      <c r="H18" s="600">
        <f t="shared" si="3"/>
        <v>0</v>
      </c>
      <c r="I18" s="601">
        <f t="shared" si="3"/>
        <v>0</v>
      </c>
      <c r="J18" s="601">
        <f t="shared" si="3"/>
        <v>0</v>
      </c>
      <c r="K18" s="601">
        <f t="shared" si="3"/>
        <v>0</v>
      </c>
      <c r="L18" s="601">
        <f t="shared" si="3"/>
        <v>0</v>
      </c>
      <c r="M18" s="601">
        <f t="shared" si="3"/>
        <v>0</v>
      </c>
      <c r="N18" s="601">
        <f t="shared" si="3"/>
        <v>0</v>
      </c>
      <c r="O18" s="601">
        <f t="shared" si="3"/>
        <v>0</v>
      </c>
      <c r="P18" s="601">
        <f t="shared" si="3"/>
        <v>0</v>
      </c>
      <c r="Q18" s="601">
        <f t="shared" si="3"/>
        <v>0</v>
      </c>
      <c r="R18" s="601">
        <f t="shared" si="3"/>
        <v>0</v>
      </c>
      <c r="S18" s="601">
        <f t="shared" si="3"/>
        <v>0</v>
      </c>
      <c r="T18" s="601">
        <f t="shared" si="3"/>
        <v>0</v>
      </c>
      <c r="U18" s="601">
        <f t="shared" si="3"/>
        <v>0</v>
      </c>
      <c r="V18" s="1139">
        <f t="shared" si="3"/>
        <v>0</v>
      </c>
      <c r="W18" s="1139">
        <f t="shared" si="3"/>
        <v>0</v>
      </c>
      <c r="X18" s="1139">
        <f t="shared" si="3"/>
        <v>280</v>
      </c>
      <c r="Y18" s="1139">
        <f t="shared" si="3"/>
        <v>0</v>
      </c>
      <c r="Z18" s="1139">
        <f t="shared" si="3"/>
        <v>0</v>
      </c>
      <c r="AA18" s="1139">
        <f t="shared" si="3"/>
        <v>0</v>
      </c>
      <c r="AB18" s="1139">
        <f t="shared" si="3"/>
        <v>0</v>
      </c>
      <c r="AC18" s="1139">
        <f t="shared" si="3"/>
        <v>0</v>
      </c>
      <c r="AD18" s="1139">
        <f t="shared" si="3"/>
        <v>0</v>
      </c>
      <c r="AE18" s="1139">
        <f t="shared" si="3"/>
        <v>0</v>
      </c>
      <c r="AF18" s="1139">
        <f t="shared" si="3"/>
        <v>0</v>
      </c>
      <c r="AG18" s="1139">
        <f t="shared" si="3"/>
        <v>205</v>
      </c>
      <c r="AH18" s="1139">
        <f t="shared" si="3"/>
        <v>485</v>
      </c>
      <c r="AI18" s="1142"/>
      <c r="AJ18" s="1150">
        <f t="shared" si="3"/>
        <v>259.18200000000002</v>
      </c>
      <c r="AK18" s="606"/>
      <c r="AL18" s="599"/>
    </row>
    <row r="19" spans="1:45" ht="99" customHeight="1">
      <c r="A19" s="604">
        <v>1</v>
      </c>
      <c r="B19" s="604" t="s">
        <v>368</v>
      </c>
      <c r="C19" s="604"/>
      <c r="D19" s="604"/>
      <c r="E19" s="604"/>
      <c r="F19" s="604"/>
      <c r="G19" s="604"/>
      <c r="H19" s="604"/>
      <c r="I19" s="607"/>
      <c r="J19" s="607"/>
      <c r="K19" s="607"/>
      <c r="L19" s="607"/>
      <c r="M19" s="607"/>
      <c r="N19" s="607"/>
      <c r="O19" s="607"/>
      <c r="P19" s="607"/>
      <c r="Q19" s="607"/>
      <c r="R19" s="607"/>
      <c r="S19" s="607"/>
      <c r="T19" s="607"/>
      <c r="U19" s="607"/>
      <c r="V19" s="1141"/>
      <c r="W19" s="1141"/>
      <c r="X19" s="1141">
        <v>280</v>
      </c>
      <c r="Y19" s="1141"/>
      <c r="Z19" s="1141"/>
      <c r="AA19" s="1141"/>
      <c r="AB19" s="1141"/>
      <c r="AC19" s="1141"/>
      <c r="AD19" s="1141"/>
      <c r="AE19" s="1141"/>
      <c r="AF19" s="1141"/>
      <c r="AG19" s="1141">
        <v>205</v>
      </c>
      <c r="AH19" s="1141">
        <f>SUM(C19:AG19)</f>
        <v>485</v>
      </c>
      <c r="AI19" s="1143">
        <v>53.439587628865979</v>
      </c>
      <c r="AJ19" s="1151">
        <f>AH19*AI19/100</f>
        <v>259.18200000000002</v>
      </c>
      <c r="AK19" s="606"/>
      <c r="AL19" s="599"/>
      <c r="AM19" s="388"/>
      <c r="AN19" s="388"/>
    </row>
    <row r="20" spans="1:45" s="484" customFormat="1" ht="80.25" customHeight="1">
      <c r="A20" s="1368" t="s">
        <v>125</v>
      </c>
      <c r="B20" s="1368"/>
      <c r="C20" s="609"/>
      <c r="D20" s="609"/>
      <c r="E20" s="609"/>
      <c r="F20" s="609"/>
      <c r="G20" s="609"/>
      <c r="H20" s="609"/>
      <c r="I20" s="609"/>
      <c r="J20" s="609"/>
      <c r="K20" s="609"/>
      <c r="L20" s="609"/>
      <c r="M20" s="609"/>
      <c r="N20" s="609"/>
      <c r="O20" s="609"/>
      <c r="P20" s="609"/>
      <c r="Q20" s="609"/>
      <c r="R20" s="609"/>
      <c r="S20" s="609"/>
      <c r="T20" s="609"/>
      <c r="U20" s="609"/>
      <c r="V20" s="1128">
        <f t="shared" ref="V20:X20" si="4">V16+V18</f>
        <v>300</v>
      </c>
      <c r="W20" s="1128"/>
      <c r="X20" s="1128">
        <f t="shared" si="4"/>
        <v>280</v>
      </c>
      <c r="Y20" s="1128"/>
      <c r="Z20" s="1128"/>
      <c r="AA20" s="1128"/>
      <c r="AB20" s="1128"/>
      <c r="AC20" s="1128"/>
      <c r="AD20" s="1128"/>
      <c r="AE20" s="1128"/>
      <c r="AF20" s="1128"/>
      <c r="AG20" s="1128">
        <f t="shared" ref="AG20:AJ20" si="5">AG16+AG18</f>
        <v>205</v>
      </c>
      <c r="AH20" s="1128">
        <f t="shared" si="5"/>
        <v>785</v>
      </c>
      <c r="AI20" s="1128"/>
      <c r="AJ20" s="1128">
        <f t="shared" si="5"/>
        <v>424.15200000000004</v>
      </c>
      <c r="AK20" s="610" t="e">
        <f>AK16+AK18+#REF!+#REF!</f>
        <v>#REF!</v>
      </c>
      <c r="AL20" s="611"/>
      <c r="AM20" s="388"/>
      <c r="AN20" s="388"/>
      <c r="AO20" s="388"/>
      <c r="AP20" s="388"/>
      <c r="AQ20" s="388"/>
      <c r="AR20" s="388"/>
    </row>
    <row r="21" spans="1:45" ht="41.25" customHeight="1">
      <c r="A21" s="403"/>
      <c r="B21" s="403"/>
      <c r="C21" s="403"/>
      <c r="D21" s="403"/>
      <c r="E21" s="403"/>
      <c r="F21" s="403"/>
      <c r="G21" s="403"/>
      <c r="H21" s="403"/>
      <c r="I21" s="403"/>
      <c r="J21" s="403"/>
      <c r="K21" s="403"/>
      <c r="L21" s="403"/>
      <c r="M21" s="403"/>
      <c r="N21" s="403"/>
      <c r="O21" s="403"/>
      <c r="P21" s="403"/>
      <c r="Q21" s="403"/>
      <c r="R21" s="403"/>
      <c r="S21" s="403"/>
      <c r="T21" s="403"/>
      <c r="U21" s="403"/>
      <c r="V21" s="403"/>
      <c r="W21" s="403"/>
      <c r="X21" s="402"/>
      <c r="Y21" s="402"/>
      <c r="Z21" s="402"/>
      <c r="AA21" s="402"/>
      <c r="AB21" s="402"/>
      <c r="AC21" s="402"/>
      <c r="AD21" s="402"/>
      <c r="AE21" s="402"/>
      <c r="AF21" s="402"/>
      <c r="AG21" s="402"/>
      <c r="AH21" s="402"/>
      <c r="AI21" s="402"/>
      <c r="AJ21" s="402"/>
      <c r="AK21" s="402"/>
      <c r="AL21" s="388"/>
      <c r="AM21" s="388"/>
      <c r="AN21" s="388"/>
    </row>
    <row r="22" spans="1:45" ht="79.5" customHeight="1">
      <c r="A22" s="402"/>
      <c r="B22" s="403"/>
      <c r="C22" s="411"/>
      <c r="D22" s="411"/>
      <c r="E22" s="411"/>
      <c r="F22" s="411"/>
      <c r="G22" s="411"/>
      <c r="H22" s="411"/>
      <c r="I22" s="411"/>
      <c r="J22" s="411"/>
      <c r="K22" s="411"/>
      <c r="L22" s="411"/>
      <c r="M22" s="411"/>
      <c r="N22" s="411"/>
      <c r="O22" s="411"/>
      <c r="P22" s="411"/>
      <c r="Q22" s="411"/>
      <c r="R22" s="411"/>
      <c r="S22" s="411"/>
      <c r="T22" s="411"/>
      <c r="U22" s="411"/>
      <c r="V22" s="411"/>
      <c r="W22" s="411"/>
      <c r="X22" s="411"/>
      <c r="Y22" s="1380" t="s">
        <v>800</v>
      </c>
      <c r="Z22" s="1380"/>
      <c r="AA22" s="1380"/>
      <c r="AB22" s="1380"/>
      <c r="AC22" s="1380"/>
      <c r="AD22" s="1380"/>
      <c r="AE22" s="1380"/>
      <c r="AF22" s="1380"/>
      <c r="AG22" s="1380"/>
      <c r="AH22" s="1380"/>
      <c r="AI22" s="1380"/>
      <c r="AJ22" s="1380"/>
      <c r="AK22" s="1380"/>
      <c r="AL22" s="1380"/>
      <c r="AM22" s="388"/>
      <c r="AN22" s="388"/>
    </row>
    <row r="23" spans="1:45" ht="106.5" customHeight="1">
      <c r="A23" s="1434" t="s">
        <v>728</v>
      </c>
      <c r="B23" s="1434"/>
      <c r="C23" s="1434"/>
      <c r="D23" s="1434"/>
      <c r="E23" s="1434"/>
      <c r="F23" s="1434"/>
      <c r="G23" s="1434"/>
      <c r="H23" s="1434"/>
      <c r="I23" s="1434"/>
      <c r="J23" s="1434"/>
      <c r="K23" s="1434"/>
      <c r="L23" s="1434"/>
      <c r="M23" s="1434"/>
      <c r="N23" s="1434"/>
      <c r="O23" s="1434"/>
      <c r="P23" s="1434"/>
      <c r="Q23" s="1434"/>
      <c r="R23" s="1434"/>
      <c r="S23" s="1434"/>
      <c r="T23" s="1434"/>
      <c r="U23" s="1434"/>
      <c r="V23" s="1434"/>
      <c r="W23" s="1434"/>
      <c r="X23" s="1434"/>
      <c r="Y23" s="1434"/>
      <c r="Z23" s="1434"/>
      <c r="AA23" s="1434"/>
      <c r="AB23" s="1434"/>
      <c r="AC23" s="1434"/>
      <c r="AD23" s="1434"/>
      <c r="AE23" s="1434"/>
      <c r="AF23" s="1434"/>
      <c r="AG23" s="1434"/>
      <c r="AH23" s="1434"/>
      <c r="AI23" s="1434"/>
      <c r="AJ23" s="1434"/>
      <c r="AK23" s="1434"/>
      <c r="AL23" s="1434"/>
      <c r="AM23" s="1434"/>
      <c r="AN23" s="1434"/>
      <c r="AS23" s="388" t="s">
        <v>879</v>
      </c>
    </row>
    <row r="24" spans="1:45" ht="28.5" customHeight="1">
      <c r="A24" s="403"/>
      <c r="B24" s="411"/>
      <c r="C24" s="411"/>
      <c r="D24" s="411"/>
      <c r="E24" s="411"/>
      <c r="F24" s="411"/>
      <c r="G24" s="411"/>
      <c r="H24" s="411"/>
      <c r="I24" s="411"/>
      <c r="J24" s="411"/>
      <c r="K24" s="411"/>
      <c r="L24" s="411"/>
      <c r="M24" s="411"/>
      <c r="N24" s="411"/>
      <c r="O24" s="411"/>
      <c r="P24" s="411"/>
      <c r="Q24" s="411"/>
      <c r="R24" s="411"/>
      <c r="S24" s="411"/>
      <c r="T24" s="411"/>
      <c r="U24" s="411"/>
      <c r="V24" s="411"/>
      <c r="W24" s="411"/>
      <c r="X24" s="589"/>
      <c r="Y24" s="589"/>
      <c r="Z24" s="589"/>
      <c r="AA24" s="589"/>
      <c r="AB24" s="589"/>
      <c r="AC24" s="589"/>
      <c r="AD24" s="589"/>
      <c r="AE24" s="589"/>
      <c r="AF24" s="589"/>
      <c r="AG24" s="589"/>
      <c r="AH24" s="589"/>
      <c r="AI24" s="589"/>
      <c r="AJ24" s="589"/>
      <c r="AK24" s="413"/>
      <c r="AL24" s="388"/>
      <c r="AM24" s="388"/>
      <c r="AN24" s="388"/>
    </row>
    <row r="25" spans="1:45" ht="28.5" customHeight="1">
      <c r="A25" s="403"/>
      <c r="B25" s="411"/>
      <c r="C25" s="411"/>
      <c r="D25" s="411"/>
      <c r="E25" s="411"/>
      <c r="F25" s="411"/>
      <c r="G25" s="411"/>
      <c r="H25" s="411"/>
      <c r="I25" s="411"/>
      <c r="J25" s="411"/>
      <c r="K25" s="411"/>
      <c r="L25" s="411"/>
      <c r="M25" s="411"/>
      <c r="N25" s="411"/>
      <c r="O25" s="411"/>
      <c r="P25" s="411"/>
      <c r="Q25" s="411"/>
      <c r="R25" s="411"/>
      <c r="S25" s="411"/>
      <c r="T25" s="411"/>
      <c r="U25" s="411"/>
      <c r="V25" s="411"/>
      <c r="W25" s="411"/>
      <c r="X25" s="589"/>
      <c r="Y25" s="589"/>
      <c r="Z25" s="589"/>
      <c r="AA25" s="589"/>
      <c r="AB25" s="589"/>
      <c r="AC25" s="589"/>
      <c r="AD25" s="589"/>
      <c r="AE25" s="589"/>
      <c r="AF25" s="589"/>
      <c r="AG25" s="589"/>
      <c r="AH25" s="589"/>
      <c r="AI25" s="589"/>
      <c r="AJ25" s="589"/>
      <c r="AK25" s="413"/>
      <c r="AL25" s="388"/>
      <c r="AM25" s="388"/>
      <c r="AN25" s="388"/>
    </row>
    <row r="26" spans="1:45" ht="28.5" customHeight="1">
      <c r="A26" s="403"/>
      <c r="B26" s="411"/>
      <c r="C26" s="411"/>
      <c r="D26" s="411"/>
      <c r="E26" s="411"/>
      <c r="F26" s="411"/>
      <c r="G26" s="411"/>
      <c r="H26" s="411"/>
      <c r="I26" s="411"/>
      <c r="J26" s="411"/>
      <c r="K26" s="411"/>
      <c r="L26" s="411"/>
      <c r="M26" s="411"/>
      <c r="N26" s="411"/>
      <c r="O26" s="411"/>
      <c r="P26" s="411"/>
      <c r="Q26" s="411"/>
      <c r="R26" s="411"/>
      <c r="S26" s="411"/>
      <c r="T26" s="411"/>
      <c r="U26" s="411"/>
      <c r="V26" s="411"/>
      <c r="W26" s="411"/>
      <c r="X26" s="589"/>
      <c r="Y26" s="589"/>
      <c r="Z26" s="589"/>
      <c r="AA26" s="589"/>
      <c r="AB26" s="589"/>
      <c r="AC26" s="589"/>
      <c r="AD26" s="589"/>
      <c r="AE26" s="589"/>
      <c r="AF26" s="589"/>
      <c r="AG26" s="589"/>
      <c r="AH26" s="589"/>
      <c r="AI26" s="589"/>
      <c r="AJ26" s="1153"/>
      <c r="AK26" s="413"/>
      <c r="AL26" s="388"/>
      <c r="AM26" s="388"/>
      <c r="AN26" s="388"/>
    </row>
    <row r="27" spans="1:45" ht="28.5" customHeight="1">
      <c r="A27" s="403"/>
      <c r="B27" s="411"/>
      <c r="C27" s="411"/>
      <c r="D27" s="411"/>
      <c r="E27" s="411"/>
      <c r="F27" s="411"/>
      <c r="G27" s="411"/>
      <c r="H27" s="411"/>
      <c r="I27" s="411"/>
      <c r="J27" s="411"/>
      <c r="K27" s="411"/>
      <c r="L27" s="411"/>
      <c r="M27" s="411"/>
      <c r="N27" s="411"/>
      <c r="O27" s="411"/>
      <c r="P27" s="411"/>
      <c r="Q27" s="411"/>
      <c r="R27" s="411"/>
      <c r="S27" s="411"/>
      <c r="T27" s="411"/>
      <c r="U27" s="411"/>
      <c r="V27" s="411"/>
      <c r="W27" s="411"/>
      <c r="X27" s="589"/>
      <c r="Y27" s="589"/>
      <c r="Z27" s="589"/>
      <c r="AA27" s="589"/>
      <c r="AB27" s="589"/>
      <c r="AC27" s="589"/>
      <c r="AD27" s="589"/>
      <c r="AE27" s="589"/>
      <c r="AF27" s="589"/>
      <c r="AG27" s="589"/>
      <c r="AH27" s="589"/>
      <c r="AI27" s="589"/>
      <c r="AJ27" s="589"/>
      <c r="AK27" s="413"/>
      <c r="AL27" s="388"/>
      <c r="AM27" s="388"/>
      <c r="AN27" s="388"/>
    </row>
    <row r="28" spans="1:45" ht="28.5" customHeight="1">
      <c r="A28" s="403"/>
      <c r="B28" s="411"/>
      <c r="C28" s="411"/>
      <c r="D28" s="411"/>
      <c r="E28" s="411"/>
      <c r="F28" s="411"/>
      <c r="G28" s="411"/>
      <c r="H28" s="411"/>
      <c r="I28" s="411"/>
      <c r="J28" s="411"/>
      <c r="K28" s="411"/>
      <c r="L28" s="411"/>
      <c r="M28" s="411"/>
      <c r="N28" s="411"/>
      <c r="O28" s="411"/>
      <c r="P28" s="411"/>
      <c r="Q28" s="411"/>
      <c r="R28" s="411"/>
      <c r="S28" s="411"/>
      <c r="T28" s="411"/>
      <c r="U28" s="411"/>
      <c r="V28" s="411"/>
      <c r="W28" s="411"/>
      <c r="X28" s="589"/>
      <c r="Y28" s="589"/>
      <c r="Z28" s="589"/>
      <c r="AA28" s="589"/>
      <c r="AB28" s="589"/>
      <c r="AC28" s="589"/>
      <c r="AD28" s="589"/>
      <c r="AE28" s="589"/>
      <c r="AF28" s="589"/>
      <c r="AG28" s="589"/>
      <c r="AH28" s="589"/>
      <c r="AI28" s="589"/>
      <c r="AJ28" s="589"/>
      <c r="AK28" s="413"/>
      <c r="AL28" s="388"/>
      <c r="AM28" s="388"/>
      <c r="AN28" s="388"/>
    </row>
    <row r="29" spans="1:45" ht="28.5" customHeight="1">
      <c r="A29" s="403"/>
      <c r="B29" s="411"/>
      <c r="C29" s="411"/>
      <c r="D29" s="411"/>
      <c r="E29" s="411"/>
      <c r="F29" s="411"/>
      <c r="G29" s="411"/>
      <c r="H29" s="411"/>
      <c r="I29" s="411"/>
      <c r="J29" s="411"/>
      <c r="K29" s="411"/>
      <c r="L29" s="411"/>
      <c r="M29" s="411"/>
      <c r="N29" s="411"/>
      <c r="O29" s="411"/>
      <c r="P29" s="411"/>
      <c r="Q29" s="411"/>
      <c r="R29" s="411"/>
      <c r="S29" s="411"/>
      <c r="T29" s="411"/>
      <c r="U29" s="411"/>
      <c r="V29" s="411"/>
      <c r="W29" s="411"/>
      <c r="X29" s="589"/>
      <c r="Y29" s="589"/>
      <c r="Z29" s="589"/>
      <c r="AA29" s="589"/>
      <c r="AB29" s="589"/>
      <c r="AC29" s="589"/>
      <c r="AD29" s="589"/>
      <c r="AE29" s="589"/>
      <c r="AF29" s="589"/>
      <c r="AG29" s="589"/>
      <c r="AH29" s="589"/>
      <c r="AI29" s="589"/>
      <c r="AJ29" s="589"/>
      <c r="AK29" s="413"/>
      <c r="AL29" s="388"/>
      <c r="AM29" s="388"/>
      <c r="AN29" s="388"/>
    </row>
    <row r="30" spans="1:45" ht="28.5" customHeight="1">
      <c r="A30" s="403"/>
      <c r="B30" s="411"/>
      <c r="C30" s="411"/>
      <c r="D30" s="411"/>
      <c r="E30" s="411"/>
      <c r="F30" s="411"/>
      <c r="G30" s="411"/>
      <c r="H30" s="411"/>
      <c r="I30" s="411"/>
      <c r="J30" s="411"/>
      <c r="K30" s="411"/>
      <c r="L30" s="411"/>
      <c r="M30" s="411"/>
      <c r="N30" s="411"/>
      <c r="O30" s="411"/>
      <c r="P30" s="411"/>
      <c r="Q30" s="411"/>
      <c r="R30" s="411"/>
      <c r="S30" s="411"/>
      <c r="T30" s="411"/>
      <c r="U30" s="411"/>
      <c r="V30" s="411"/>
      <c r="W30" s="411"/>
      <c r="X30" s="589"/>
      <c r="Y30" s="589"/>
      <c r="Z30" s="589"/>
      <c r="AA30" s="589"/>
      <c r="AB30" s="589"/>
      <c r="AC30" s="589"/>
      <c r="AD30" s="589"/>
      <c r="AE30" s="589"/>
      <c r="AF30" s="589"/>
      <c r="AG30" s="589"/>
      <c r="AH30" s="589"/>
      <c r="AI30" s="589"/>
      <c r="AJ30" s="589"/>
      <c r="AK30" s="413"/>
      <c r="AL30" s="388"/>
      <c r="AM30" s="388"/>
      <c r="AN30" s="388"/>
    </row>
    <row r="31" spans="1:45" ht="85.5" customHeight="1">
      <c r="A31" s="403"/>
      <c r="B31" s="411"/>
      <c r="C31" s="411"/>
      <c r="D31" s="411"/>
      <c r="E31" s="411"/>
      <c r="F31" s="411"/>
      <c r="G31" s="411"/>
      <c r="H31" s="411"/>
      <c r="I31" s="411"/>
      <c r="J31" s="411"/>
      <c r="K31" s="411"/>
      <c r="L31" s="411"/>
      <c r="M31" s="411"/>
      <c r="N31" s="411"/>
      <c r="O31" s="411"/>
      <c r="P31" s="411"/>
      <c r="Q31" s="411"/>
      <c r="R31" s="411"/>
      <c r="S31" s="411"/>
      <c r="T31" s="411"/>
      <c r="U31" s="411"/>
      <c r="V31" s="411"/>
      <c r="W31" s="411"/>
      <c r="X31" s="589"/>
      <c r="Y31" s="589"/>
      <c r="Z31" s="589"/>
      <c r="AA31" s="589"/>
      <c r="AB31" s="589"/>
      <c r="AC31" s="589"/>
      <c r="AE31" s="413"/>
      <c r="AG31" s="413"/>
      <c r="AH31" s="1352"/>
      <c r="AI31" s="1352"/>
      <c r="AJ31" s="1352"/>
      <c r="AK31" s="1352"/>
      <c r="AL31" s="388"/>
      <c r="AM31" s="388"/>
      <c r="AN31" s="388"/>
    </row>
    <row r="32" spans="1:45" ht="28.5" customHeight="1">
      <c r="A32" s="403"/>
      <c r="B32" s="411"/>
      <c r="C32" s="411"/>
      <c r="D32" s="411"/>
      <c r="E32" s="411"/>
      <c r="F32" s="411"/>
      <c r="G32" s="411"/>
      <c r="H32" s="411"/>
      <c r="I32" s="411"/>
      <c r="J32" s="411"/>
      <c r="K32" s="411"/>
      <c r="L32" s="411"/>
      <c r="M32" s="411"/>
      <c r="N32" s="411"/>
      <c r="O32" s="411"/>
      <c r="P32" s="411"/>
      <c r="Q32" s="411"/>
      <c r="R32" s="411"/>
      <c r="S32" s="411"/>
      <c r="T32" s="411"/>
      <c r="U32" s="411"/>
      <c r="V32" s="411"/>
      <c r="W32" s="411"/>
      <c r="X32" s="589"/>
      <c r="Y32" s="589"/>
      <c r="Z32" s="589"/>
      <c r="AA32" s="589"/>
      <c r="AB32" s="589"/>
      <c r="AC32" s="589"/>
      <c r="AD32" s="589"/>
      <c r="AE32" s="589"/>
      <c r="AF32" s="589"/>
      <c r="AG32" s="589"/>
      <c r="AH32" s="589"/>
      <c r="AI32" s="589"/>
      <c r="AJ32" s="589"/>
      <c r="AK32" s="413"/>
      <c r="AL32" s="388"/>
      <c r="AM32" s="388"/>
      <c r="AN32" s="388"/>
    </row>
    <row r="33" spans="1:40" ht="28.5" customHeight="1">
      <c r="A33" s="395"/>
      <c r="B33" s="411"/>
      <c r="C33" s="411"/>
      <c r="D33" s="411"/>
      <c r="E33" s="411"/>
      <c r="F33" s="411"/>
      <c r="G33" s="411"/>
      <c r="H33" s="411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1"/>
      <c r="X33" s="589"/>
      <c r="Y33" s="589"/>
      <c r="Z33" s="589"/>
      <c r="AA33" s="589"/>
      <c r="AB33" s="589"/>
      <c r="AC33" s="589"/>
      <c r="AD33" s="589"/>
      <c r="AE33" s="589"/>
      <c r="AF33" s="589"/>
      <c r="AG33" s="589"/>
      <c r="AH33" s="589"/>
      <c r="AI33" s="589"/>
      <c r="AJ33" s="589"/>
      <c r="AK33" s="413"/>
      <c r="AL33" s="388"/>
      <c r="AM33" s="388"/>
      <c r="AN33" s="388"/>
    </row>
    <row r="34" spans="1:40" ht="28.5" customHeight="1">
      <c r="A34" s="395"/>
      <c r="B34" s="411"/>
      <c r="C34" s="411"/>
      <c r="D34" s="411"/>
      <c r="E34" s="411"/>
      <c r="F34" s="411"/>
      <c r="G34" s="411"/>
      <c r="H34" s="411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1"/>
      <c r="X34" s="589"/>
      <c r="Y34" s="589"/>
      <c r="Z34" s="589"/>
      <c r="AA34" s="589"/>
      <c r="AB34" s="1380"/>
      <c r="AC34" s="1380"/>
      <c r="AD34" s="589"/>
      <c r="AE34" s="589"/>
      <c r="AF34" s="589"/>
      <c r="AG34" s="589"/>
      <c r="AH34" s="589"/>
      <c r="AI34" s="589"/>
      <c r="AJ34" s="589"/>
      <c r="AK34" s="413"/>
      <c r="AL34" s="388"/>
      <c r="AM34" s="388"/>
      <c r="AN34" s="388"/>
    </row>
    <row r="35" spans="1:40" ht="28.5" customHeight="1">
      <c r="A35" s="395"/>
      <c r="B35" s="411"/>
      <c r="C35" s="411"/>
      <c r="D35" s="411"/>
      <c r="E35" s="411"/>
      <c r="F35" s="411"/>
      <c r="G35" s="411"/>
      <c r="H35" s="411"/>
      <c r="I35" s="411"/>
      <c r="J35" s="411"/>
      <c r="K35" s="411"/>
      <c r="L35" s="411"/>
      <c r="M35" s="411"/>
      <c r="N35" s="411"/>
      <c r="O35" s="411"/>
      <c r="P35" s="411"/>
      <c r="Q35" s="411"/>
      <c r="R35" s="411"/>
      <c r="S35" s="411"/>
      <c r="T35" s="411"/>
      <c r="U35" s="411"/>
      <c r="V35" s="411"/>
      <c r="W35" s="411"/>
      <c r="X35" s="589"/>
      <c r="Y35" s="589"/>
      <c r="Z35" s="589"/>
      <c r="AA35" s="589"/>
      <c r="AB35" s="589"/>
      <c r="AC35" s="589"/>
      <c r="AD35" s="589"/>
      <c r="AE35" s="589"/>
      <c r="AF35" s="589"/>
      <c r="AG35" s="589"/>
      <c r="AH35" s="589"/>
      <c r="AI35" s="589"/>
      <c r="AJ35" s="589"/>
      <c r="AK35" s="413"/>
      <c r="AL35" s="388"/>
      <c r="AM35" s="388"/>
      <c r="AN35" s="388"/>
    </row>
    <row r="36" spans="1:40" ht="28.5" customHeight="1">
      <c r="A36" s="395"/>
      <c r="B36" s="395"/>
      <c r="C36" s="395"/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461"/>
      <c r="Y36" s="461"/>
      <c r="Z36" s="461"/>
      <c r="AA36" s="461"/>
      <c r="AB36" s="461"/>
      <c r="AC36" s="461"/>
      <c r="AD36" s="461"/>
      <c r="AE36" s="461"/>
      <c r="AF36" s="461"/>
      <c r="AG36" s="461"/>
      <c r="AH36" s="461"/>
      <c r="AI36" s="461"/>
      <c r="AJ36" s="461"/>
      <c r="AK36" s="394"/>
      <c r="AL36" s="388"/>
      <c r="AM36" s="388"/>
      <c r="AN36" s="388"/>
    </row>
    <row r="37" spans="1:40" ht="28.5" customHeight="1">
      <c r="A37" s="395"/>
      <c r="B37" s="395"/>
      <c r="C37" s="395"/>
      <c r="D37" s="395"/>
      <c r="E37" s="395"/>
      <c r="F37" s="395"/>
      <c r="G37" s="395"/>
      <c r="H37" s="395"/>
      <c r="I37" s="395"/>
      <c r="J37" s="395"/>
      <c r="K37" s="395"/>
      <c r="L37" s="395"/>
      <c r="M37" s="395"/>
      <c r="N37" s="395"/>
      <c r="O37" s="395"/>
      <c r="P37" s="395"/>
      <c r="Q37" s="395"/>
      <c r="R37" s="395"/>
      <c r="S37" s="395"/>
      <c r="T37" s="395"/>
      <c r="U37" s="395"/>
      <c r="V37" s="395"/>
      <c r="W37" s="395"/>
      <c r="X37" s="461"/>
      <c r="Y37" s="461"/>
      <c r="Z37" s="461"/>
      <c r="AA37" s="461"/>
      <c r="AB37" s="461"/>
      <c r="AC37" s="461"/>
      <c r="AD37" s="461"/>
      <c r="AE37" s="461"/>
      <c r="AF37" s="461"/>
      <c r="AG37" s="461"/>
      <c r="AH37" s="461"/>
      <c r="AI37" s="461"/>
      <c r="AJ37" s="461"/>
      <c r="AK37" s="394"/>
      <c r="AL37" s="388"/>
      <c r="AM37" s="388"/>
      <c r="AN37" s="388"/>
    </row>
    <row r="38" spans="1:40" ht="28.5" customHeight="1">
      <c r="A38" s="395"/>
      <c r="B38" s="395"/>
      <c r="C38" s="395"/>
      <c r="D38" s="395"/>
      <c r="E38" s="395"/>
      <c r="F38" s="395"/>
      <c r="G38" s="395"/>
      <c r="H38" s="395"/>
      <c r="I38" s="395"/>
      <c r="J38" s="395"/>
      <c r="K38" s="395"/>
      <c r="L38" s="395"/>
      <c r="M38" s="395"/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461"/>
      <c r="Y38" s="461"/>
      <c r="Z38" s="461"/>
      <c r="AA38" s="461"/>
      <c r="AB38" s="461"/>
      <c r="AC38" s="461"/>
      <c r="AD38" s="461"/>
      <c r="AE38" s="461"/>
      <c r="AF38" s="461"/>
      <c r="AG38" s="461"/>
      <c r="AH38" s="461"/>
      <c r="AI38" s="461"/>
      <c r="AJ38" s="461"/>
      <c r="AK38" s="394"/>
      <c r="AL38" s="388"/>
      <c r="AM38" s="388"/>
      <c r="AN38" s="388"/>
    </row>
    <row r="39" spans="1:40" ht="28.5" customHeight="1">
      <c r="A39" s="395"/>
      <c r="B39" s="395"/>
      <c r="C39" s="395"/>
      <c r="D39" s="395"/>
      <c r="E39" s="395"/>
      <c r="F39" s="395"/>
      <c r="G39" s="395"/>
      <c r="H39" s="395"/>
      <c r="I39" s="395"/>
      <c r="J39" s="395"/>
      <c r="K39" s="395"/>
      <c r="L39" s="395"/>
      <c r="M39" s="395"/>
      <c r="N39" s="395"/>
      <c r="O39" s="395"/>
      <c r="P39" s="395"/>
      <c r="Q39" s="395"/>
      <c r="R39" s="395"/>
      <c r="S39" s="395"/>
      <c r="T39" s="395"/>
      <c r="U39" s="395"/>
      <c r="V39" s="395"/>
      <c r="W39" s="395"/>
      <c r="X39" s="461"/>
      <c r="Y39" s="461"/>
      <c r="Z39" s="461"/>
      <c r="AA39" s="461"/>
      <c r="AB39" s="461"/>
      <c r="AC39" s="461"/>
      <c r="AD39" s="461"/>
      <c r="AE39" s="461"/>
      <c r="AF39" s="461"/>
      <c r="AG39" s="461"/>
      <c r="AH39" s="461"/>
      <c r="AI39" s="461"/>
      <c r="AJ39" s="461"/>
      <c r="AK39" s="394"/>
      <c r="AL39" s="388"/>
      <c r="AM39" s="388"/>
      <c r="AN39" s="388"/>
    </row>
    <row r="40" spans="1:40" ht="28.5" customHeight="1">
      <c r="A40" s="395"/>
      <c r="B40" s="395"/>
      <c r="C40" s="395"/>
      <c r="D40" s="395"/>
      <c r="E40" s="395"/>
      <c r="F40" s="395"/>
      <c r="G40" s="395"/>
      <c r="H40" s="395"/>
      <c r="I40" s="395"/>
      <c r="J40" s="395"/>
      <c r="K40" s="395"/>
      <c r="L40" s="395"/>
      <c r="M40" s="395"/>
      <c r="N40" s="395"/>
      <c r="O40" s="395"/>
      <c r="P40" s="395"/>
      <c r="Q40" s="395"/>
      <c r="R40" s="395"/>
      <c r="S40" s="395"/>
      <c r="T40" s="395"/>
      <c r="U40" s="395"/>
      <c r="V40" s="395"/>
      <c r="W40" s="395"/>
      <c r="X40" s="461"/>
      <c r="Y40" s="461"/>
      <c r="Z40" s="461"/>
      <c r="AA40" s="461"/>
      <c r="AB40" s="461"/>
      <c r="AC40" s="461"/>
      <c r="AD40" s="461"/>
      <c r="AE40" s="461"/>
      <c r="AF40" s="461"/>
      <c r="AG40" s="461"/>
      <c r="AH40" s="461"/>
      <c r="AI40" s="461"/>
      <c r="AJ40" s="461"/>
      <c r="AK40" s="394"/>
      <c r="AL40" s="388"/>
      <c r="AM40" s="388"/>
      <c r="AN40" s="388"/>
    </row>
    <row r="41" spans="1:40" ht="28.5" customHeight="1">
      <c r="A41" s="395"/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395"/>
      <c r="P41" s="395"/>
      <c r="Q41" s="395"/>
      <c r="R41" s="395"/>
      <c r="S41" s="395"/>
      <c r="T41" s="395"/>
      <c r="U41" s="395"/>
      <c r="V41" s="395"/>
      <c r="W41" s="395"/>
      <c r="X41" s="461"/>
      <c r="Y41" s="461"/>
      <c r="Z41" s="461"/>
      <c r="AA41" s="461"/>
      <c r="AB41" s="461"/>
      <c r="AC41" s="461"/>
      <c r="AD41" s="461"/>
      <c r="AE41" s="461"/>
      <c r="AF41" s="461"/>
      <c r="AG41" s="461"/>
      <c r="AH41" s="461"/>
      <c r="AI41" s="461"/>
      <c r="AJ41" s="461"/>
      <c r="AK41" s="394"/>
      <c r="AL41" s="388"/>
      <c r="AM41" s="388"/>
      <c r="AN41" s="388"/>
    </row>
    <row r="42" spans="1:40" ht="28.5" customHeight="1">
      <c r="A42" s="395"/>
      <c r="B42" s="395"/>
      <c r="C42" s="395"/>
      <c r="D42" s="395"/>
      <c r="E42" s="395"/>
      <c r="F42" s="395"/>
      <c r="G42" s="395"/>
      <c r="H42" s="395"/>
      <c r="I42" s="395"/>
      <c r="J42" s="395"/>
      <c r="K42" s="395"/>
      <c r="L42" s="395"/>
      <c r="M42" s="395"/>
      <c r="N42" s="395"/>
      <c r="O42" s="395"/>
      <c r="P42" s="395"/>
      <c r="Q42" s="395"/>
      <c r="R42" s="395"/>
      <c r="S42" s="395"/>
      <c r="T42" s="395"/>
      <c r="U42" s="395"/>
      <c r="V42" s="395"/>
      <c r="W42" s="395"/>
      <c r="X42" s="461"/>
      <c r="Y42" s="461"/>
      <c r="Z42" s="461"/>
      <c r="AA42" s="461"/>
      <c r="AB42" s="461"/>
      <c r="AC42" s="461"/>
      <c r="AD42" s="461"/>
      <c r="AE42" s="461"/>
      <c r="AF42" s="461"/>
      <c r="AG42" s="461"/>
      <c r="AH42" s="461"/>
      <c r="AI42" s="461"/>
      <c r="AJ42" s="461"/>
      <c r="AK42" s="394"/>
      <c r="AL42" s="388"/>
      <c r="AM42" s="388"/>
      <c r="AN42" s="388"/>
    </row>
    <row r="43" spans="1:40" ht="28.5" customHeight="1">
      <c r="A43" s="395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395"/>
      <c r="P43" s="395"/>
      <c r="Q43" s="395"/>
      <c r="R43" s="395"/>
      <c r="S43" s="395"/>
      <c r="T43" s="395"/>
      <c r="U43" s="395"/>
      <c r="V43" s="395"/>
      <c r="W43" s="395"/>
      <c r="X43" s="461"/>
      <c r="Y43" s="461"/>
      <c r="Z43" s="461"/>
      <c r="AA43" s="461"/>
      <c r="AB43" s="461"/>
      <c r="AC43" s="461"/>
      <c r="AD43" s="461"/>
      <c r="AE43" s="461"/>
      <c r="AF43" s="461"/>
      <c r="AG43" s="461"/>
      <c r="AH43" s="461"/>
      <c r="AI43" s="461"/>
      <c r="AJ43" s="461"/>
      <c r="AK43" s="394"/>
      <c r="AL43" s="388"/>
      <c r="AM43" s="388"/>
      <c r="AN43" s="388"/>
    </row>
    <row r="44" spans="1:40" ht="28.5" customHeight="1">
      <c r="A44" s="395"/>
      <c r="B44" s="395"/>
      <c r="C44" s="395"/>
      <c r="D44" s="395"/>
      <c r="E44" s="395"/>
      <c r="F44" s="395"/>
      <c r="G44" s="395"/>
      <c r="H44" s="395"/>
      <c r="I44" s="395"/>
      <c r="J44" s="395"/>
      <c r="K44" s="395"/>
      <c r="L44" s="395"/>
      <c r="M44" s="395"/>
      <c r="N44" s="395"/>
      <c r="O44" s="395"/>
      <c r="P44" s="395"/>
      <c r="Q44" s="395"/>
      <c r="R44" s="395"/>
      <c r="S44" s="395"/>
      <c r="T44" s="395"/>
      <c r="U44" s="395"/>
      <c r="V44" s="395"/>
      <c r="W44" s="395"/>
      <c r="X44" s="461"/>
      <c r="Y44" s="461"/>
      <c r="Z44" s="461"/>
      <c r="AA44" s="461"/>
      <c r="AB44" s="461"/>
      <c r="AC44" s="461"/>
      <c r="AD44" s="461"/>
      <c r="AE44" s="461"/>
      <c r="AF44" s="461"/>
      <c r="AG44" s="461"/>
      <c r="AH44" s="461"/>
      <c r="AI44" s="461"/>
      <c r="AJ44" s="461"/>
      <c r="AK44" s="394"/>
      <c r="AL44" s="388"/>
      <c r="AM44" s="388"/>
      <c r="AN44" s="388"/>
    </row>
    <row r="45" spans="1:40" ht="28.5" customHeight="1">
      <c r="A45" s="395"/>
      <c r="B45" s="395"/>
      <c r="C45" s="395"/>
      <c r="D45" s="395"/>
      <c r="E45" s="395"/>
      <c r="F45" s="395"/>
      <c r="G45" s="395"/>
      <c r="H45" s="395"/>
      <c r="I45" s="395"/>
      <c r="J45" s="395"/>
      <c r="K45" s="395"/>
      <c r="L45" s="395"/>
      <c r="M45" s="395"/>
      <c r="N45" s="395"/>
      <c r="O45" s="395"/>
      <c r="P45" s="395"/>
      <c r="Q45" s="395"/>
      <c r="R45" s="395"/>
      <c r="S45" s="395"/>
      <c r="T45" s="395"/>
      <c r="U45" s="395"/>
      <c r="V45" s="395"/>
      <c r="W45" s="395"/>
      <c r="X45" s="461"/>
      <c r="Y45" s="461"/>
      <c r="Z45" s="461"/>
      <c r="AA45" s="461"/>
      <c r="AB45" s="461"/>
      <c r="AC45" s="461"/>
      <c r="AD45" s="461"/>
      <c r="AE45" s="461"/>
      <c r="AF45" s="461"/>
      <c r="AG45" s="461"/>
      <c r="AH45" s="461"/>
      <c r="AI45" s="461"/>
      <c r="AJ45" s="461"/>
      <c r="AK45" s="394"/>
      <c r="AL45" s="388"/>
      <c r="AM45" s="388"/>
      <c r="AN45" s="388"/>
    </row>
    <row r="46" spans="1:40" ht="28.5" customHeight="1">
      <c r="A46" s="395"/>
      <c r="B46" s="395"/>
      <c r="C46" s="395"/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461"/>
      <c r="Y46" s="461"/>
      <c r="Z46" s="461"/>
      <c r="AA46" s="461"/>
      <c r="AB46" s="461"/>
      <c r="AC46" s="461"/>
      <c r="AD46" s="461"/>
      <c r="AE46" s="461"/>
      <c r="AF46" s="461"/>
      <c r="AG46" s="461"/>
      <c r="AH46" s="461"/>
      <c r="AI46" s="461"/>
      <c r="AJ46" s="461"/>
      <c r="AK46" s="394"/>
      <c r="AL46" s="388"/>
      <c r="AM46" s="388"/>
      <c r="AN46" s="388"/>
    </row>
    <row r="47" spans="1:40">
      <c r="AL47" s="388"/>
      <c r="AM47" s="388"/>
      <c r="AN47" s="388"/>
    </row>
    <row r="48" spans="1:40" ht="16.5">
      <c r="A48" s="590"/>
      <c r="B48" s="590"/>
      <c r="C48" s="394"/>
      <c r="D48" s="394"/>
      <c r="E48" s="394"/>
      <c r="F48" s="394"/>
      <c r="G48" s="394"/>
      <c r="H48" s="394"/>
      <c r="I48" s="394"/>
      <c r="J48" s="394"/>
      <c r="K48" s="394"/>
      <c r="L48" s="394"/>
      <c r="M48" s="394"/>
      <c r="N48" s="394"/>
      <c r="O48" s="394"/>
      <c r="P48" s="394"/>
      <c r="Q48" s="394"/>
      <c r="R48" s="394"/>
      <c r="S48" s="394"/>
      <c r="T48" s="394"/>
      <c r="U48" s="394"/>
      <c r="V48" s="394"/>
      <c r="W48" s="394"/>
      <c r="X48" s="394"/>
      <c r="Y48" s="394"/>
      <c r="Z48" s="394"/>
      <c r="AA48" s="394"/>
      <c r="AB48" s="394"/>
      <c r="AC48" s="394"/>
      <c r="AD48" s="394"/>
      <c r="AE48" s="394"/>
      <c r="AF48" s="394"/>
      <c r="AG48" s="394"/>
      <c r="AH48" s="394"/>
      <c r="AI48" s="394"/>
      <c r="AJ48" s="394"/>
      <c r="AK48" s="394"/>
      <c r="AL48" s="388"/>
      <c r="AM48" s="388"/>
      <c r="AN48" s="388"/>
    </row>
    <row r="49" spans="1:40" ht="16.5">
      <c r="A49" s="590"/>
      <c r="B49" s="590"/>
      <c r="C49" s="394"/>
      <c r="D49" s="394"/>
      <c r="E49" s="394"/>
      <c r="F49" s="394"/>
      <c r="G49" s="394"/>
      <c r="H49" s="394"/>
      <c r="I49" s="394"/>
      <c r="J49" s="394"/>
      <c r="K49" s="394"/>
      <c r="L49" s="394"/>
      <c r="M49" s="394"/>
      <c r="N49" s="394"/>
      <c r="O49" s="394"/>
      <c r="P49" s="394"/>
      <c r="Q49" s="394"/>
      <c r="R49" s="394"/>
      <c r="S49" s="394"/>
      <c r="T49" s="394"/>
      <c r="U49" s="394"/>
      <c r="V49" s="394"/>
      <c r="W49" s="394"/>
      <c r="X49" s="394"/>
      <c r="Y49" s="394"/>
      <c r="Z49" s="394"/>
      <c r="AA49" s="394"/>
      <c r="AB49" s="394"/>
      <c r="AC49" s="394"/>
      <c r="AD49" s="394"/>
      <c r="AE49" s="394"/>
      <c r="AF49" s="394"/>
      <c r="AG49" s="394"/>
      <c r="AH49" s="394"/>
      <c r="AI49" s="394"/>
      <c r="AJ49" s="394"/>
      <c r="AK49" s="394"/>
      <c r="AL49" s="388"/>
      <c r="AM49" s="388"/>
      <c r="AN49" s="388"/>
    </row>
    <row r="50" spans="1:40" ht="16.5">
      <c r="A50" s="590"/>
      <c r="B50" s="590"/>
      <c r="C50" s="394"/>
      <c r="D50" s="394"/>
      <c r="E50" s="394"/>
      <c r="F50" s="394"/>
      <c r="G50" s="394"/>
      <c r="H50" s="394"/>
      <c r="I50" s="394"/>
      <c r="J50" s="394"/>
      <c r="K50" s="394"/>
      <c r="L50" s="394"/>
      <c r="M50" s="394"/>
      <c r="N50" s="394"/>
      <c r="O50" s="394"/>
      <c r="P50" s="394"/>
      <c r="Q50" s="394"/>
      <c r="R50" s="394"/>
      <c r="S50" s="394"/>
      <c r="T50" s="394"/>
      <c r="U50" s="394"/>
      <c r="V50" s="394"/>
      <c r="W50" s="394"/>
      <c r="X50" s="394"/>
      <c r="Y50" s="394"/>
      <c r="Z50" s="394"/>
      <c r="AA50" s="394"/>
      <c r="AB50" s="394"/>
      <c r="AC50" s="394"/>
      <c r="AD50" s="394"/>
      <c r="AE50" s="394"/>
      <c r="AF50" s="394"/>
      <c r="AG50" s="394"/>
      <c r="AH50" s="394"/>
      <c r="AI50" s="394"/>
      <c r="AJ50" s="394"/>
      <c r="AK50" s="394"/>
      <c r="AL50" s="388"/>
      <c r="AM50" s="388"/>
      <c r="AN50" s="388"/>
    </row>
    <row r="51" spans="1:40" ht="16.5">
      <c r="A51" s="394"/>
      <c r="B51" s="394"/>
      <c r="C51" s="394"/>
      <c r="D51" s="394"/>
      <c r="E51" s="394"/>
      <c r="F51" s="394"/>
      <c r="G51" s="394"/>
      <c r="H51" s="394"/>
      <c r="I51" s="394"/>
      <c r="J51" s="394"/>
      <c r="K51" s="394"/>
      <c r="L51" s="394"/>
      <c r="M51" s="394"/>
      <c r="N51" s="394"/>
      <c r="O51" s="394"/>
      <c r="P51" s="394"/>
      <c r="Q51" s="394"/>
      <c r="R51" s="394"/>
      <c r="S51" s="394"/>
      <c r="T51" s="394"/>
      <c r="U51" s="394"/>
      <c r="V51" s="394"/>
      <c r="W51" s="394"/>
      <c r="X51" s="394"/>
      <c r="Y51" s="394"/>
      <c r="Z51" s="394"/>
      <c r="AA51" s="394"/>
      <c r="AB51" s="394"/>
      <c r="AC51" s="394"/>
      <c r="AD51" s="394"/>
      <c r="AE51" s="394"/>
      <c r="AF51" s="394"/>
      <c r="AG51" s="394"/>
      <c r="AH51" s="394"/>
      <c r="AI51" s="394"/>
      <c r="AJ51" s="394"/>
      <c r="AK51" s="394"/>
      <c r="AL51" s="388"/>
      <c r="AM51" s="388"/>
      <c r="AN51" s="388"/>
    </row>
    <row r="52" spans="1:40" ht="15.75" customHeight="1">
      <c r="A52" s="394"/>
      <c r="B52" s="394"/>
      <c r="C52" s="394"/>
      <c r="D52" s="394"/>
      <c r="E52" s="394"/>
      <c r="F52" s="394"/>
      <c r="G52" s="394"/>
      <c r="H52" s="394"/>
      <c r="I52" s="394"/>
      <c r="J52" s="394"/>
      <c r="K52" s="394"/>
      <c r="L52" s="394"/>
      <c r="M52" s="394"/>
      <c r="N52" s="394"/>
      <c r="O52" s="394"/>
      <c r="P52" s="394"/>
      <c r="Q52" s="394"/>
      <c r="R52" s="394"/>
      <c r="S52" s="394"/>
      <c r="T52" s="394"/>
      <c r="U52" s="394"/>
      <c r="V52" s="394"/>
      <c r="W52" s="394"/>
      <c r="X52" s="394"/>
      <c r="Y52" s="394"/>
      <c r="Z52" s="394"/>
      <c r="AA52" s="394"/>
      <c r="AB52" s="394"/>
      <c r="AC52" s="394"/>
      <c r="AD52" s="394"/>
      <c r="AE52" s="394"/>
      <c r="AF52" s="394"/>
      <c r="AG52" s="394"/>
      <c r="AH52" s="394"/>
      <c r="AI52" s="394"/>
      <c r="AJ52" s="394"/>
      <c r="AK52" s="394"/>
      <c r="AL52" s="388"/>
      <c r="AM52" s="388"/>
      <c r="AN52" s="388"/>
    </row>
    <row r="53" spans="1:40" ht="16.5">
      <c r="A53" s="394"/>
      <c r="B53" s="394"/>
      <c r="C53" s="394"/>
      <c r="D53" s="394"/>
      <c r="E53" s="394"/>
      <c r="F53" s="394"/>
      <c r="G53" s="394"/>
      <c r="H53" s="394"/>
      <c r="I53" s="394"/>
      <c r="J53" s="394"/>
      <c r="K53" s="394"/>
      <c r="L53" s="394"/>
      <c r="M53" s="394"/>
      <c r="N53" s="394"/>
      <c r="O53" s="394"/>
      <c r="P53" s="394"/>
      <c r="Q53" s="394"/>
      <c r="R53" s="394"/>
      <c r="S53" s="394"/>
      <c r="T53" s="394"/>
      <c r="U53" s="394"/>
      <c r="V53" s="394"/>
      <c r="W53" s="394"/>
      <c r="X53" s="394"/>
      <c r="Y53" s="394"/>
      <c r="Z53" s="394"/>
      <c r="AA53" s="394"/>
      <c r="AB53" s="394"/>
      <c r="AC53" s="394"/>
      <c r="AD53" s="394"/>
      <c r="AE53" s="394"/>
      <c r="AF53" s="394"/>
      <c r="AG53" s="394"/>
      <c r="AH53" s="394"/>
      <c r="AI53" s="394"/>
      <c r="AJ53" s="394"/>
      <c r="AK53" s="394"/>
      <c r="AL53" s="388"/>
      <c r="AM53" s="388"/>
      <c r="AN53" s="388"/>
    </row>
    <row r="54" spans="1:40" ht="16.5">
      <c r="A54" s="394"/>
      <c r="B54" s="394"/>
      <c r="C54" s="394"/>
      <c r="D54" s="1377"/>
      <c r="E54" s="1377"/>
      <c r="F54" s="1377"/>
      <c r="G54" s="1377"/>
      <c r="H54" s="1377"/>
      <c r="I54" s="394"/>
      <c r="J54" s="394"/>
      <c r="K54" s="394"/>
      <c r="L54" s="394"/>
      <c r="M54" s="1377"/>
      <c r="N54" s="1377"/>
      <c r="O54" s="1377"/>
      <c r="P54" s="1377"/>
      <c r="Q54" s="1377"/>
      <c r="R54" s="1377"/>
      <c r="S54" s="1377"/>
      <c r="T54" s="394"/>
      <c r="U54" s="1377"/>
      <c r="V54" s="1377"/>
      <c r="W54" s="1377"/>
      <c r="X54" s="1377"/>
      <c r="Y54" s="1377"/>
      <c r="Z54" s="1377"/>
      <c r="AA54" s="1377"/>
      <c r="AB54" s="1377"/>
      <c r="AC54" s="394"/>
      <c r="AK54" s="394"/>
      <c r="AL54" s="388"/>
      <c r="AM54" s="388"/>
      <c r="AN54" s="388"/>
    </row>
    <row r="55" spans="1:40">
      <c r="L55" s="393"/>
      <c r="M55" s="393"/>
      <c r="N55" s="393"/>
      <c r="O55" s="393"/>
      <c r="P55" s="393"/>
      <c r="AL55" s="388"/>
      <c r="AM55" s="388"/>
      <c r="AN55" s="388"/>
    </row>
    <row r="59" spans="1:40">
      <c r="A59" s="1379"/>
      <c r="B59" s="1379"/>
      <c r="C59" s="1379"/>
      <c r="AL59" s="388"/>
      <c r="AM59" s="388"/>
      <c r="AN59" s="388"/>
    </row>
    <row r="60" spans="1:40">
      <c r="A60" s="391"/>
      <c r="B60" s="392"/>
      <c r="C60" s="1379"/>
      <c r="D60" s="1379"/>
      <c r="E60" s="1379"/>
      <c r="F60" s="1379"/>
      <c r="G60" s="1379"/>
      <c r="H60" s="1379"/>
      <c r="AL60" s="388"/>
      <c r="AM60" s="388"/>
      <c r="AN60" s="388"/>
    </row>
    <row r="61" spans="1:40">
      <c r="A61" s="390"/>
      <c r="B61" s="393"/>
      <c r="C61" s="1378"/>
      <c r="D61" s="1378"/>
      <c r="E61" s="1378"/>
      <c r="F61" s="1378"/>
      <c r="G61" s="1378"/>
      <c r="H61" s="1378"/>
      <c r="AL61" s="388"/>
      <c r="AM61" s="388"/>
      <c r="AN61" s="388"/>
    </row>
    <row r="62" spans="1:40">
      <c r="A62" s="390"/>
      <c r="B62" s="393"/>
      <c r="C62" s="1378"/>
      <c r="D62" s="1378"/>
      <c r="E62" s="1378"/>
      <c r="F62" s="1378"/>
      <c r="G62" s="1378"/>
      <c r="H62" s="1378"/>
      <c r="AL62" s="388"/>
      <c r="AM62" s="388"/>
      <c r="AN62" s="388"/>
    </row>
    <row r="63" spans="1:40">
      <c r="A63" s="390"/>
      <c r="B63" s="393"/>
      <c r="C63" s="1378"/>
      <c r="D63" s="1378"/>
      <c r="E63" s="1378"/>
      <c r="F63" s="1378"/>
      <c r="G63" s="1378"/>
      <c r="H63" s="1378"/>
      <c r="AL63" s="388"/>
      <c r="AM63" s="388"/>
      <c r="AN63" s="388"/>
    </row>
    <row r="64" spans="1:40">
      <c r="A64" s="389"/>
      <c r="C64" s="1378"/>
      <c r="D64" s="1378"/>
      <c r="E64" s="1378"/>
      <c r="F64" s="1378"/>
      <c r="G64" s="1378"/>
      <c r="H64" s="1378"/>
      <c r="AL64" s="388"/>
      <c r="AM64" s="388"/>
      <c r="AN64" s="388"/>
    </row>
    <row r="65" spans="1:40">
      <c r="A65" s="389"/>
      <c r="C65" s="1378"/>
      <c r="D65" s="1378"/>
      <c r="E65" s="1378"/>
      <c r="F65" s="1378"/>
      <c r="G65" s="1378"/>
      <c r="H65" s="1378"/>
      <c r="AL65" s="388"/>
      <c r="AM65" s="388"/>
      <c r="AN65" s="388"/>
    </row>
    <row r="66" spans="1:40">
      <c r="A66" s="389"/>
      <c r="C66" s="1378"/>
      <c r="D66" s="1378"/>
      <c r="E66" s="1378"/>
      <c r="F66" s="1378"/>
      <c r="G66" s="1378"/>
      <c r="H66" s="1378"/>
      <c r="AL66" s="388"/>
      <c r="AM66" s="388"/>
      <c r="AN66" s="388"/>
    </row>
    <row r="67" spans="1:40">
      <c r="A67" s="389"/>
      <c r="C67" s="1378"/>
      <c r="D67" s="1378"/>
      <c r="E67" s="1378"/>
      <c r="F67" s="1378"/>
      <c r="G67" s="1378"/>
      <c r="H67" s="1378"/>
      <c r="AL67" s="388"/>
      <c r="AM67" s="388"/>
      <c r="AN67" s="388"/>
    </row>
  </sheetData>
  <mergeCells count="38">
    <mergeCell ref="A1:AL1"/>
    <mergeCell ref="A5:O5"/>
    <mergeCell ref="A6:O6"/>
    <mergeCell ref="A7:AJ7"/>
    <mergeCell ref="Y22:AL22"/>
    <mergeCell ref="A9:O9"/>
    <mergeCell ref="A10:O10"/>
    <mergeCell ref="A11:AJ11"/>
    <mergeCell ref="A2:AL2"/>
    <mergeCell ref="A3:AL3"/>
    <mergeCell ref="AK14:AK15"/>
    <mergeCell ref="AL14:AL15"/>
    <mergeCell ref="A12:AJ12"/>
    <mergeCell ref="AH13:AI13"/>
    <mergeCell ref="A14:A15"/>
    <mergeCell ref="B14:B15"/>
    <mergeCell ref="C64:H64"/>
    <mergeCell ref="C65:H65"/>
    <mergeCell ref="C66:H66"/>
    <mergeCell ref="C67:H67"/>
    <mergeCell ref="M54:S54"/>
    <mergeCell ref="U54:AB54"/>
    <mergeCell ref="A59:C59"/>
    <mergeCell ref="C62:H62"/>
    <mergeCell ref="C63:H63"/>
    <mergeCell ref="A20:B20"/>
    <mergeCell ref="C60:H60"/>
    <mergeCell ref="C61:H61"/>
    <mergeCell ref="D54:H54"/>
    <mergeCell ref="AB34:AC34"/>
    <mergeCell ref="A23:AN23"/>
    <mergeCell ref="AI14:AI15"/>
    <mergeCell ref="AJ14:AJ15"/>
    <mergeCell ref="AH31:AK31"/>
    <mergeCell ref="A16:B16"/>
    <mergeCell ref="A18:B18"/>
    <mergeCell ref="C14:AG14"/>
    <mergeCell ref="AH14:AH15"/>
  </mergeCells>
  <printOptions horizontalCentered="1"/>
  <pageMargins left="0" right="0" top="0.27559055118110237" bottom="0.35433070866141736" header="0.27559055118110237" footer="0.31496062992125984"/>
  <pageSetup paperSize="9" scale="22" orientation="landscape" r:id="rId1"/>
  <headerFooter alignWithMargins="0"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AZ190"/>
  <sheetViews>
    <sheetView topLeftCell="A148" zoomScale="85" zoomScaleNormal="85" workbookViewId="0">
      <selection activeCell="AB45" sqref="AB45"/>
    </sheetView>
  </sheetViews>
  <sheetFormatPr defaultColWidth="5.28515625" defaultRowHeight="12.75"/>
  <cols>
    <col min="1" max="2" width="3.85546875" style="878" customWidth="1"/>
    <col min="3" max="3" width="11.5703125" style="878" customWidth="1"/>
    <col min="4" max="4" width="14.140625" style="878" customWidth="1"/>
    <col min="5" max="5" width="10.7109375" style="11" customWidth="1"/>
    <col min="6" max="23" width="4.28515625" style="878" customWidth="1"/>
    <col min="24" max="24" width="5.5703125" style="878" customWidth="1"/>
    <col min="25" max="27" width="4.28515625" style="878" customWidth="1"/>
    <col min="28" max="28" width="4.28515625" style="1192" customWidth="1"/>
    <col min="29" max="34" width="4.28515625" style="878" customWidth="1"/>
    <col min="35" max="35" width="5" style="878" customWidth="1"/>
    <col min="36" max="36" width="4.28515625" style="878" customWidth="1"/>
    <col min="37" max="38" width="6.7109375" style="878" customWidth="1"/>
    <col min="39" max="39" width="6.42578125" style="878" hidden="1" customWidth="1"/>
    <col min="40" max="40" width="7.28515625" style="878" customWidth="1"/>
    <col min="41" max="41" width="5.5703125" style="878" hidden="1" customWidth="1"/>
    <col min="42" max="42" width="6" style="878" hidden="1" customWidth="1"/>
    <col min="43" max="43" width="8.7109375" style="878" customWidth="1"/>
    <col min="44" max="44" width="5.28515625" style="878"/>
    <col min="45" max="45" width="9.7109375" style="878" customWidth="1"/>
    <col min="46" max="46" width="9" style="879" customWidth="1"/>
    <col min="47" max="16384" width="5.28515625" style="878"/>
  </cols>
  <sheetData>
    <row r="1" spans="1:52" ht="16.5">
      <c r="B1" s="1440" t="s">
        <v>51</v>
      </c>
      <c r="C1" s="1440"/>
      <c r="D1" s="1440"/>
      <c r="E1" s="1440"/>
      <c r="F1" s="1440"/>
      <c r="G1" s="1440"/>
      <c r="H1" s="1440"/>
      <c r="I1" s="1440"/>
      <c r="J1" s="1440"/>
      <c r="K1" s="1440"/>
      <c r="L1" s="1440"/>
      <c r="M1" s="1440"/>
      <c r="N1" s="1440"/>
      <c r="O1" s="1440"/>
      <c r="P1" s="1440"/>
      <c r="Q1" s="1440"/>
      <c r="R1" s="1440"/>
      <c r="S1" s="1440"/>
      <c r="T1" s="1440"/>
      <c r="U1" s="1440"/>
      <c r="V1" s="1440"/>
      <c r="W1" s="1440"/>
      <c r="X1" s="1440"/>
      <c r="Y1" s="1440"/>
      <c r="Z1" s="1440"/>
      <c r="AA1" s="1440"/>
      <c r="AB1" s="1440"/>
      <c r="AC1" s="1440"/>
      <c r="AD1" s="1440"/>
      <c r="AE1" s="1440"/>
      <c r="AF1" s="1440"/>
      <c r="AG1" s="1440"/>
      <c r="AH1" s="1440"/>
      <c r="AI1" s="1440"/>
      <c r="AJ1" s="1440"/>
      <c r="AK1" s="1440"/>
      <c r="AL1" s="1440"/>
      <c r="AM1" s="1440"/>
      <c r="AN1" s="1440"/>
      <c r="AO1" s="1440"/>
      <c r="AP1" s="1440"/>
      <c r="AQ1" s="1440"/>
    </row>
    <row r="2" spans="1:52" ht="16.5">
      <c r="B2" s="1440" t="s">
        <v>52</v>
      </c>
      <c r="C2" s="1440"/>
      <c r="D2" s="1440"/>
      <c r="E2" s="1440"/>
      <c r="F2" s="1440"/>
      <c r="G2" s="1440"/>
      <c r="H2" s="1440"/>
      <c r="I2" s="1440"/>
      <c r="J2" s="1440"/>
      <c r="K2" s="1440"/>
      <c r="L2" s="1440"/>
      <c r="M2" s="1440"/>
      <c r="N2" s="1440"/>
      <c r="O2" s="1440"/>
      <c r="P2" s="1440"/>
      <c r="Q2" s="1440"/>
      <c r="R2" s="1440"/>
      <c r="S2" s="1440"/>
      <c r="T2" s="1440"/>
      <c r="U2" s="1440"/>
      <c r="V2" s="1440"/>
      <c r="W2" s="1440"/>
      <c r="X2" s="1440"/>
      <c r="Y2" s="1440"/>
      <c r="Z2" s="1440"/>
      <c r="AA2" s="1440"/>
      <c r="AB2" s="1440"/>
      <c r="AC2" s="1440"/>
      <c r="AD2" s="1440"/>
      <c r="AE2" s="1440"/>
      <c r="AF2" s="1440"/>
      <c r="AG2" s="1440"/>
      <c r="AH2" s="1440"/>
      <c r="AI2" s="1440"/>
      <c r="AJ2" s="1440"/>
      <c r="AK2" s="1440"/>
      <c r="AL2" s="1440"/>
      <c r="AM2" s="1440"/>
      <c r="AN2" s="1440"/>
      <c r="AO2" s="1440"/>
      <c r="AP2" s="1440"/>
      <c r="AQ2" s="1440"/>
    </row>
    <row r="3" spans="1:52" ht="16.5">
      <c r="B3" s="1441" t="s">
        <v>254</v>
      </c>
      <c r="C3" s="1441"/>
      <c r="D3" s="1440"/>
      <c r="E3" s="1440"/>
      <c r="F3" s="1440"/>
      <c r="G3" s="1440"/>
      <c r="H3" s="1440"/>
      <c r="I3" s="1440"/>
      <c r="J3" s="1440"/>
      <c r="K3" s="1440"/>
      <c r="L3" s="1440"/>
      <c r="M3" s="1440"/>
      <c r="N3" s="1440"/>
      <c r="O3" s="1440"/>
      <c r="P3" s="1440"/>
      <c r="Q3" s="1440"/>
      <c r="R3" s="1440"/>
      <c r="S3" s="1440"/>
      <c r="T3" s="1440"/>
      <c r="U3" s="1440"/>
      <c r="V3" s="1440"/>
      <c r="W3" s="1440"/>
      <c r="X3" s="1440"/>
      <c r="Y3" s="1440"/>
      <c r="Z3" s="1440"/>
      <c r="AA3" s="1440"/>
      <c r="AB3" s="1440"/>
      <c r="AC3" s="1440"/>
      <c r="AD3" s="1440"/>
      <c r="AE3" s="1440"/>
      <c r="AF3" s="1440"/>
      <c r="AG3" s="1440"/>
      <c r="AH3" s="1440"/>
      <c r="AI3" s="1440"/>
      <c r="AJ3" s="1440"/>
      <c r="AK3" s="1440"/>
      <c r="AL3" s="1440"/>
      <c r="AM3" s="1440"/>
      <c r="AN3" s="1440"/>
      <c r="AO3" s="1440"/>
      <c r="AP3" s="1440"/>
      <c r="AQ3" s="1440"/>
    </row>
    <row r="4" spans="1:52" ht="9" customHeight="1">
      <c r="B4" s="880"/>
      <c r="C4" s="880"/>
      <c r="D4" s="880"/>
      <c r="E4" s="881"/>
      <c r="F4" s="880"/>
      <c r="G4" s="880"/>
      <c r="H4" s="880"/>
      <c r="I4" s="880"/>
      <c r="J4" s="880"/>
      <c r="K4" s="880"/>
      <c r="L4" s="880"/>
      <c r="M4" s="880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1183"/>
      <c r="AC4" s="265"/>
      <c r="AD4" s="265"/>
      <c r="AE4" s="265"/>
      <c r="AF4" s="265"/>
      <c r="AG4" s="265"/>
      <c r="AH4" s="265"/>
      <c r="AI4" s="265"/>
      <c r="AJ4" s="265"/>
      <c r="AK4" s="216"/>
      <c r="AL4" s="216"/>
      <c r="AM4" s="216"/>
      <c r="AN4" s="216"/>
      <c r="AO4" s="216"/>
      <c r="AP4" s="216"/>
      <c r="AQ4" s="216"/>
    </row>
    <row r="5" spans="1:52" ht="16.5">
      <c r="B5" s="1442" t="s">
        <v>510</v>
      </c>
      <c r="C5" s="1442"/>
      <c r="D5" s="1442"/>
      <c r="E5" s="1442"/>
      <c r="F5" s="1442"/>
      <c r="G5" s="1442"/>
      <c r="H5" s="1442"/>
      <c r="I5" s="1442"/>
      <c r="J5" s="1442"/>
      <c r="K5" s="1442"/>
      <c r="L5" s="1442"/>
      <c r="M5" s="1442"/>
      <c r="N5" s="1442"/>
      <c r="O5" s="1442"/>
      <c r="P5" s="1442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1183"/>
      <c r="AC5" s="265"/>
      <c r="AD5" s="265"/>
      <c r="AE5" s="265"/>
      <c r="AF5" s="265"/>
      <c r="AG5" s="265"/>
      <c r="AH5" s="265"/>
      <c r="AI5" s="265"/>
      <c r="AJ5" s="265"/>
      <c r="AK5" s="216"/>
      <c r="AL5" s="216"/>
      <c r="AM5" s="216"/>
      <c r="AN5" s="216"/>
      <c r="AO5" s="216"/>
      <c r="AP5" s="216"/>
      <c r="AQ5" s="216"/>
    </row>
    <row r="6" spans="1:52" ht="16.5">
      <c r="B6" s="1442" t="s">
        <v>497</v>
      </c>
      <c r="C6" s="1442"/>
      <c r="D6" s="1442"/>
      <c r="E6" s="1442"/>
      <c r="F6" s="1442"/>
      <c r="G6" s="1442"/>
      <c r="H6" s="1442"/>
      <c r="I6" s="1442"/>
      <c r="J6" s="1442"/>
      <c r="K6" s="1442"/>
      <c r="L6" s="1442"/>
      <c r="M6" s="1442"/>
      <c r="N6" s="1442"/>
      <c r="O6" s="1442"/>
      <c r="P6" s="1442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1183"/>
      <c r="AC6" s="265"/>
      <c r="AD6" s="265"/>
      <c r="AE6" s="265"/>
      <c r="AF6" s="265"/>
      <c r="AG6" s="265"/>
      <c r="AH6" s="265"/>
      <c r="AI6" s="265"/>
      <c r="AJ6" s="265"/>
      <c r="AK6" s="216"/>
      <c r="AL6" s="216"/>
      <c r="AM6" s="216"/>
      <c r="AN6" s="216"/>
      <c r="AO6" s="216"/>
      <c r="AP6" s="216"/>
      <c r="AQ6" s="216"/>
    </row>
    <row r="7" spans="1:52" ht="18.75">
      <c r="B7" s="1437" t="s">
        <v>801</v>
      </c>
      <c r="C7" s="1437"/>
      <c r="D7" s="1437"/>
      <c r="E7" s="1437"/>
      <c r="F7" s="1437"/>
      <c r="G7" s="1437"/>
      <c r="H7" s="1437"/>
      <c r="I7" s="1437"/>
      <c r="J7" s="1437"/>
      <c r="K7" s="1437"/>
      <c r="L7" s="1437"/>
      <c r="M7" s="1437"/>
      <c r="N7" s="1437"/>
      <c r="O7" s="1437"/>
      <c r="P7" s="1437"/>
      <c r="Q7" s="1437"/>
      <c r="R7" s="1437"/>
      <c r="S7" s="1437"/>
      <c r="T7" s="1437"/>
      <c r="U7" s="1437"/>
      <c r="V7" s="1437"/>
      <c r="W7" s="1437"/>
      <c r="X7" s="1437"/>
      <c r="Y7" s="1437"/>
      <c r="Z7" s="1437"/>
      <c r="AA7" s="1437"/>
      <c r="AB7" s="1437"/>
      <c r="AC7" s="1437"/>
      <c r="AD7" s="1437"/>
      <c r="AE7" s="1437"/>
      <c r="AF7" s="1437"/>
      <c r="AG7" s="1437"/>
      <c r="AH7" s="1437"/>
      <c r="AI7" s="1437"/>
      <c r="AJ7" s="1437"/>
      <c r="AK7" s="1437"/>
      <c r="AL7" s="1437"/>
      <c r="AM7" s="1437"/>
      <c r="AN7" s="1437"/>
      <c r="AO7" s="1437"/>
      <c r="AP7" s="1437"/>
      <c r="AQ7" s="1437"/>
    </row>
    <row r="8" spans="1:52" ht="16.5">
      <c r="A8" s="1438" t="s">
        <v>802</v>
      </c>
      <c r="B8" s="1438"/>
      <c r="C8" s="1438"/>
      <c r="D8" s="1438"/>
      <c r="E8" s="1438"/>
      <c r="F8" s="1438"/>
      <c r="G8" s="1438"/>
      <c r="H8" s="1438"/>
      <c r="I8" s="1438"/>
      <c r="J8" s="1438"/>
      <c r="K8" s="1438"/>
      <c r="L8" s="1438"/>
      <c r="M8" s="1438"/>
      <c r="N8" s="1438"/>
      <c r="O8" s="1438"/>
      <c r="P8" s="1438"/>
      <c r="Q8" s="1438"/>
      <c r="R8" s="1438"/>
      <c r="S8" s="1438"/>
      <c r="T8" s="1438"/>
      <c r="U8" s="1438"/>
      <c r="V8" s="1438"/>
      <c r="W8" s="1438"/>
      <c r="X8" s="1438"/>
      <c r="Y8" s="1438"/>
      <c r="Z8" s="1438"/>
      <c r="AA8" s="1438"/>
      <c r="AB8" s="1438"/>
      <c r="AC8" s="1438"/>
      <c r="AD8" s="1438"/>
      <c r="AE8" s="1438"/>
      <c r="AF8" s="1438"/>
      <c r="AG8" s="1438"/>
      <c r="AH8" s="1438"/>
      <c r="AI8" s="1438"/>
      <c r="AJ8" s="1438"/>
      <c r="AK8" s="1438"/>
      <c r="AL8" s="1438"/>
      <c r="AM8" s="1438"/>
      <c r="AN8" s="1438"/>
      <c r="AO8" s="1438"/>
      <c r="AP8" s="1438"/>
      <c r="AQ8" s="1438"/>
    </row>
    <row r="9" spans="1:52" ht="16.5">
      <c r="B9" s="877"/>
      <c r="C9" s="877"/>
      <c r="D9" s="877"/>
      <c r="E9" s="877"/>
      <c r="F9" s="877"/>
      <c r="G9" s="877"/>
      <c r="H9" s="877"/>
      <c r="I9" s="877"/>
      <c r="J9" s="877"/>
      <c r="K9" s="877"/>
      <c r="L9" s="877"/>
      <c r="M9" s="877"/>
      <c r="N9" s="877"/>
      <c r="O9" s="877"/>
      <c r="P9" s="877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  <c r="AB9" s="1183"/>
      <c r="AC9" s="265"/>
      <c r="AD9" s="265"/>
      <c r="AE9" s="265"/>
      <c r="AF9" s="265"/>
      <c r="AG9" s="265"/>
      <c r="AH9" s="265"/>
      <c r="AI9" s="265"/>
      <c r="AJ9" s="265"/>
      <c r="AK9" s="216"/>
      <c r="AL9" s="216"/>
      <c r="AM9" s="216"/>
      <c r="AN9" s="216"/>
      <c r="AO9" s="216"/>
      <c r="AP9" s="216"/>
      <c r="AQ9" s="216"/>
    </row>
    <row r="10" spans="1:52" ht="15.75" customHeight="1">
      <c r="A10" s="1445" t="s">
        <v>4</v>
      </c>
      <c r="B10" s="1445"/>
      <c r="C10" s="1445" t="s">
        <v>357</v>
      </c>
      <c r="D10" s="1447" t="s">
        <v>54</v>
      </c>
      <c r="E10" s="1447" t="s">
        <v>352</v>
      </c>
      <c r="F10" s="1444" t="s">
        <v>56</v>
      </c>
      <c r="G10" s="1444"/>
      <c r="H10" s="1444"/>
      <c r="I10" s="1444"/>
      <c r="J10" s="1444"/>
      <c r="K10" s="1444"/>
      <c r="L10" s="1444"/>
      <c r="M10" s="1444"/>
      <c r="N10" s="1444"/>
      <c r="O10" s="1444"/>
      <c r="P10" s="1444"/>
      <c r="Q10" s="1444"/>
      <c r="R10" s="1444"/>
      <c r="S10" s="1444"/>
      <c r="T10" s="1444"/>
      <c r="U10" s="1444"/>
      <c r="V10" s="1444"/>
      <c r="W10" s="1444"/>
      <c r="X10" s="1444"/>
      <c r="Y10" s="1444"/>
      <c r="Z10" s="1444"/>
      <c r="AA10" s="1444"/>
      <c r="AB10" s="1444"/>
      <c r="AC10" s="1444"/>
      <c r="AD10" s="1444"/>
      <c r="AE10" s="1444"/>
      <c r="AF10" s="1444"/>
      <c r="AG10" s="1444"/>
      <c r="AH10" s="1444"/>
      <c r="AI10" s="1444"/>
      <c r="AJ10" s="1444"/>
      <c r="AK10" s="1446" t="s">
        <v>712</v>
      </c>
      <c r="AL10" s="1446" t="s">
        <v>713</v>
      </c>
      <c r="AM10" s="1452" t="s">
        <v>402</v>
      </c>
      <c r="AN10" s="1452" t="s">
        <v>407</v>
      </c>
      <c r="AO10" s="1453" t="s">
        <v>400</v>
      </c>
      <c r="AP10" s="1453" t="s">
        <v>401</v>
      </c>
      <c r="AQ10" s="1446" t="s">
        <v>31</v>
      </c>
      <c r="AU10" s="882" t="s">
        <v>221</v>
      </c>
      <c r="AV10" s="882" t="s">
        <v>222</v>
      </c>
      <c r="AW10" s="882" t="s">
        <v>402</v>
      </c>
      <c r="AX10" s="882" t="s">
        <v>407</v>
      </c>
      <c r="AY10" s="882" t="s">
        <v>400</v>
      </c>
      <c r="AZ10" s="882" t="s">
        <v>401</v>
      </c>
    </row>
    <row r="11" spans="1:52" ht="73.5" customHeight="1">
      <c r="A11" s="1445"/>
      <c r="B11" s="1445"/>
      <c r="C11" s="1445"/>
      <c r="D11" s="1447"/>
      <c r="E11" s="1447"/>
      <c r="F11" s="875">
        <v>1</v>
      </c>
      <c r="G11" s="771">
        <v>2</v>
      </c>
      <c r="H11" s="875">
        <v>3</v>
      </c>
      <c r="I11" s="771">
        <v>4</v>
      </c>
      <c r="J11" s="1144">
        <v>5</v>
      </c>
      <c r="K11" s="771">
        <v>6</v>
      </c>
      <c r="L11" s="875">
        <v>7</v>
      </c>
      <c r="M11" s="771">
        <v>8</v>
      </c>
      <c r="N11" s="875">
        <v>9</v>
      </c>
      <c r="O11" s="771">
        <v>10</v>
      </c>
      <c r="P11" s="875">
        <v>11</v>
      </c>
      <c r="Q11" s="1145">
        <v>12</v>
      </c>
      <c r="R11" s="875">
        <v>13</v>
      </c>
      <c r="S11" s="771">
        <v>14</v>
      </c>
      <c r="T11" s="875">
        <v>15</v>
      </c>
      <c r="U11" s="771">
        <v>16</v>
      </c>
      <c r="V11" s="875">
        <v>17</v>
      </c>
      <c r="W11" s="771">
        <v>18</v>
      </c>
      <c r="X11" s="1144">
        <v>19</v>
      </c>
      <c r="Y11" s="771">
        <v>20</v>
      </c>
      <c r="Z11" s="875">
        <v>21</v>
      </c>
      <c r="AA11" s="771">
        <v>22</v>
      </c>
      <c r="AB11" s="1184">
        <v>23</v>
      </c>
      <c r="AC11" s="771">
        <v>24</v>
      </c>
      <c r="AD11" s="875">
        <v>25</v>
      </c>
      <c r="AE11" s="1145">
        <v>26</v>
      </c>
      <c r="AF11" s="875">
        <v>27</v>
      </c>
      <c r="AG11" s="771">
        <v>28</v>
      </c>
      <c r="AH11" s="875">
        <v>29</v>
      </c>
      <c r="AI11" s="771">
        <v>30</v>
      </c>
      <c r="AJ11" s="875">
        <v>31</v>
      </c>
      <c r="AK11" s="1446"/>
      <c r="AL11" s="1446"/>
      <c r="AM11" s="1452"/>
      <c r="AN11" s="1452"/>
      <c r="AO11" s="1453"/>
      <c r="AP11" s="1453"/>
      <c r="AQ11" s="1446"/>
      <c r="AU11" s="883"/>
      <c r="AV11" s="883"/>
      <c r="AW11" s="883"/>
      <c r="AX11" s="883"/>
      <c r="AY11" s="883"/>
      <c r="AZ11" s="883"/>
    </row>
    <row r="12" spans="1:52" s="885" customFormat="1" ht="15.75" customHeight="1">
      <c r="A12" s="1443" t="s">
        <v>498</v>
      </c>
      <c r="B12" s="1443"/>
      <c r="C12" s="1443"/>
      <c r="D12" s="1443"/>
      <c r="E12" s="1443"/>
      <c r="F12" s="884">
        <f t="shared" ref="F12:R12" si="0">SUM(COUNTIF(F13:F93,"x"))+(COUNTIF(F13:F93,"cn"))+(COUNTIF(F13:F93,"gt"))+(COUNTIF(F13:F93,"ct"))+(COUNTIF(F13:F93,"đ"))+(COUNTIF(F13:F93,"đc"))</f>
        <v>73</v>
      </c>
      <c r="G12" s="884">
        <f t="shared" si="0"/>
        <v>73</v>
      </c>
      <c r="H12" s="884">
        <f t="shared" si="0"/>
        <v>74</v>
      </c>
      <c r="I12" s="884">
        <f t="shared" si="0"/>
        <v>74</v>
      </c>
      <c r="J12" s="884">
        <f t="shared" si="0"/>
        <v>73</v>
      </c>
      <c r="K12" s="884">
        <f t="shared" si="0"/>
        <v>73</v>
      </c>
      <c r="L12" s="884">
        <f t="shared" si="0"/>
        <v>74</v>
      </c>
      <c r="M12" s="884">
        <f t="shared" si="0"/>
        <v>74</v>
      </c>
      <c r="N12" s="884">
        <f t="shared" si="0"/>
        <v>73</v>
      </c>
      <c r="O12" s="884">
        <f t="shared" si="0"/>
        <v>73</v>
      </c>
      <c r="P12" s="884">
        <f t="shared" si="0"/>
        <v>74</v>
      </c>
      <c r="Q12" s="884">
        <f t="shared" si="0"/>
        <v>74</v>
      </c>
      <c r="R12" s="884">
        <f t="shared" si="0"/>
        <v>73</v>
      </c>
      <c r="S12" s="884">
        <f>SUM(COUNTIF(S13:S93,"x"))+(COUNTIF(S13:S93,"cn"))+(COUNTIF(S13:S93,"gt"))+(COUNTIF(S13:S93,"ct"))+(COUNTIF(S13:S93,"đ"))+(COUNTIF(S13:S93,"đc"))</f>
        <v>73</v>
      </c>
      <c r="T12" s="884">
        <f t="shared" ref="T12:AJ12" si="1">SUM(COUNTIF(T13:T93,"x"))+(COUNTIF(T13:T93,"cn"))+(COUNTIF(T13:T93,"gt"))+(COUNTIF(T13:T93,"ct"))+(COUNTIF(T13:T93,"đ"))+(COUNTIF(T13:T93,"đc"))</f>
        <v>69</v>
      </c>
      <c r="U12" s="884">
        <f t="shared" si="1"/>
        <v>71</v>
      </c>
      <c r="V12" s="884">
        <f t="shared" si="1"/>
        <v>73</v>
      </c>
      <c r="W12" s="884">
        <f t="shared" si="1"/>
        <v>73</v>
      </c>
      <c r="X12" s="884">
        <f t="shared" si="1"/>
        <v>74</v>
      </c>
      <c r="Y12" s="884">
        <f t="shared" si="1"/>
        <v>74</v>
      </c>
      <c r="Z12" s="884">
        <f t="shared" si="1"/>
        <v>72</v>
      </c>
      <c r="AA12" s="884">
        <f t="shared" si="1"/>
        <v>73</v>
      </c>
      <c r="AB12" s="1185">
        <f t="shared" si="1"/>
        <v>73</v>
      </c>
      <c r="AC12" s="884">
        <f t="shared" si="1"/>
        <v>74</v>
      </c>
      <c r="AD12" s="884">
        <f t="shared" si="1"/>
        <v>73</v>
      </c>
      <c r="AE12" s="884">
        <f t="shared" si="1"/>
        <v>73</v>
      </c>
      <c r="AF12" s="884">
        <f t="shared" si="1"/>
        <v>74</v>
      </c>
      <c r="AG12" s="884">
        <f t="shared" si="1"/>
        <v>74</v>
      </c>
      <c r="AH12" s="884">
        <f t="shared" si="1"/>
        <v>73</v>
      </c>
      <c r="AI12" s="884">
        <f t="shared" si="1"/>
        <v>73</v>
      </c>
      <c r="AJ12" s="884">
        <f t="shared" si="1"/>
        <v>74</v>
      </c>
      <c r="AK12" s="1163">
        <f>SUM(AK13:AK93)</f>
        <v>1974</v>
      </c>
      <c r="AL12" s="1163">
        <f t="shared" ref="AL12:AQ12" si="2">SUM(AL13:AL93)</f>
        <v>294</v>
      </c>
      <c r="AM12" s="1163">
        <f t="shared" si="2"/>
        <v>0</v>
      </c>
      <c r="AN12" s="1163">
        <f t="shared" si="2"/>
        <v>0</v>
      </c>
      <c r="AO12" s="1163">
        <f t="shared" si="2"/>
        <v>0</v>
      </c>
      <c r="AP12" s="1163">
        <f t="shared" si="2"/>
        <v>0</v>
      </c>
      <c r="AQ12" s="1163">
        <f t="shared" si="2"/>
        <v>2268</v>
      </c>
      <c r="AS12" s="294" t="e">
        <f>VLOOKUP(D13,'Mã số nhân viên'!B3:I74,8,0)</f>
        <v>#N/A</v>
      </c>
      <c r="AT12" s="886" t="e">
        <f t="shared" ref="AT12:AT13" si="3">C13-AS12</f>
        <v>#N/A</v>
      </c>
    </row>
    <row r="13" spans="1:52" ht="24.75" customHeight="1">
      <c r="A13" s="595">
        <v>1</v>
      </c>
      <c r="B13" s="595">
        <v>1</v>
      </c>
      <c r="C13" s="595"/>
      <c r="D13" s="939" t="s">
        <v>733</v>
      </c>
      <c r="E13" s="595"/>
      <c r="F13" s="1109" t="s">
        <v>50</v>
      </c>
      <c r="G13" s="1109" t="s">
        <v>50</v>
      </c>
      <c r="H13" s="1109" t="s">
        <v>50</v>
      </c>
      <c r="I13" s="1109" t="s">
        <v>50</v>
      </c>
      <c r="J13" s="1109" t="s">
        <v>89</v>
      </c>
      <c r="K13" s="1109" t="s">
        <v>50</v>
      </c>
      <c r="L13" s="1109" t="s">
        <v>50</v>
      </c>
      <c r="M13" s="1109" t="s">
        <v>50</v>
      </c>
      <c r="N13" s="1109" t="s">
        <v>50</v>
      </c>
      <c r="O13" s="1109" t="s">
        <v>50</v>
      </c>
      <c r="P13" s="1109" t="s">
        <v>50</v>
      </c>
      <c r="Q13" s="1109" t="s">
        <v>89</v>
      </c>
      <c r="R13" s="1109" t="s">
        <v>50</v>
      </c>
      <c r="S13" s="1109" t="s">
        <v>50</v>
      </c>
      <c r="T13" s="1109" t="s">
        <v>50</v>
      </c>
      <c r="U13" s="1109" t="s">
        <v>50</v>
      </c>
      <c r="V13" s="1109" t="s">
        <v>50</v>
      </c>
      <c r="W13" s="1109" t="s">
        <v>50</v>
      </c>
      <c r="X13" s="1109" t="s">
        <v>89</v>
      </c>
      <c r="Y13" s="1109" t="s">
        <v>50</v>
      </c>
      <c r="Z13" s="1109" t="s">
        <v>50</v>
      </c>
      <c r="AA13" s="1109" t="s">
        <v>50</v>
      </c>
      <c r="AB13" s="1186" t="s">
        <v>50</v>
      </c>
      <c r="AC13" s="1109" t="s">
        <v>50</v>
      </c>
      <c r="AD13" s="1109" t="s">
        <v>50</v>
      </c>
      <c r="AE13" s="1109" t="s">
        <v>89</v>
      </c>
      <c r="AF13" s="1109" t="s">
        <v>50</v>
      </c>
      <c r="AG13" s="1109" t="s">
        <v>50</v>
      </c>
      <c r="AH13" s="1109" t="s">
        <v>50</v>
      </c>
      <c r="AI13" s="1109" t="s">
        <v>50</v>
      </c>
      <c r="AJ13" s="1109" t="s">
        <v>50</v>
      </c>
      <c r="AK13" s="888">
        <f>SUM(COUNTIF(F13:AJ13,"x"))</f>
        <v>27</v>
      </c>
      <c r="AL13" s="889">
        <f>SUM(COUNTIF(F13:AJ13,"cn"))</f>
        <v>4</v>
      </c>
      <c r="AM13" s="888">
        <f>SUM(COUNTIF(F13:AJ13,"đ"))</f>
        <v>0</v>
      </c>
      <c r="AN13" s="888">
        <f>SUM(COUNTIF(F13:AJ13,"đc"))</f>
        <v>0</v>
      </c>
      <c r="AO13" s="888">
        <f>SUM(COUNTIF(F13:AJ13,"gt"))</f>
        <v>0</v>
      </c>
      <c r="AP13" s="889">
        <f>SUM(COUNTIF(F13:AJ13,"ct"))</f>
        <v>0</v>
      </c>
      <c r="AQ13" s="890">
        <f>AK13+AL13+AM13+AN13+AO13+AP13</f>
        <v>31</v>
      </c>
      <c r="AR13" s="891"/>
      <c r="AS13" s="294" t="e">
        <f>VLOOKUP(D13,'Mã số nhân viên'!B3:I75,8,0)</f>
        <v>#N/A</v>
      </c>
      <c r="AT13" s="886" t="e">
        <f t="shared" si="3"/>
        <v>#N/A</v>
      </c>
    </row>
    <row r="14" spans="1:52" ht="24.75" customHeight="1">
      <c r="A14" s="595">
        <v>2</v>
      </c>
      <c r="B14" s="595">
        <v>2</v>
      </c>
      <c r="C14" s="595" t="str">
        <f>VLOOKUP(D14,'Mã số nhân viên'!B4:I135,8,0)</f>
        <v>04052</v>
      </c>
      <c r="D14" s="949" t="s">
        <v>358</v>
      </c>
      <c r="E14" s="595"/>
      <c r="F14" s="1109" t="s">
        <v>50</v>
      </c>
      <c r="G14" s="1109" t="s">
        <v>50</v>
      </c>
      <c r="H14" s="1109" t="s">
        <v>50</v>
      </c>
      <c r="I14" s="1109" t="s">
        <v>50</v>
      </c>
      <c r="J14" s="1109" t="s">
        <v>89</v>
      </c>
      <c r="K14" s="1109" t="s">
        <v>50</v>
      </c>
      <c r="L14" s="1109" t="s">
        <v>50</v>
      </c>
      <c r="M14" s="1109" t="s">
        <v>50</v>
      </c>
      <c r="N14" s="1109" t="s">
        <v>50</v>
      </c>
      <c r="O14" s="1109" t="s">
        <v>50</v>
      </c>
      <c r="P14" s="1109" t="s">
        <v>50</v>
      </c>
      <c r="Q14" s="1109" t="s">
        <v>89</v>
      </c>
      <c r="R14" s="1109" t="s">
        <v>50</v>
      </c>
      <c r="S14" s="1109" t="s">
        <v>50</v>
      </c>
      <c r="T14" s="1109" t="s">
        <v>50</v>
      </c>
      <c r="U14" s="1109" t="s">
        <v>50</v>
      </c>
      <c r="V14" s="1109" t="s">
        <v>50</v>
      </c>
      <c r="W14" s="1109" t="s">
        <v>50</v>
      </c>
      <c r="X14" s="1109" t="s">
        <v>89</v>
      </c>
      <c r="Y14" s="1109" t="s">
        <v>50</v>
      </c>
      <c r="Z14" s="1109" t="s">
        <v>50</v>
      </c>
      <c r="AA14" s="1109" t="s">
        <v>50</v>
      </c>
      <c r="AB14" s="1186" t="s">
        <v>50</v>
      </c>
      <c r="AC14" s="1109" t="s">
        <v>50</v>
      </c>
      <c r="AD14" s="1109" t="s">
        <v>50</v>
      </c>
      <c r="AE14" s="1109" t="s">
        <v>89</v>
      </c>
      <c r="AF14" s="1109" t="s">
        <v>50</v>
      </c>
      <c r="AG14" s="1109" t="s">
        <v>50</v>
      </c>
      <c r="AH14" s="1109" t="s">
        <v>50</v>
      </c>
      <c r="AI14" s="1109" t="s">
        <v>50</v>
      </c>
      <c r="AJ14" s="1109" t="s">
        <v>50</v>
      </c>
      <c r="AK14" s="888">
        <f t="shared" ref="AK14:AK77" si="4">SUM(COUNTIF(F14:AJ14,"x"))</f>
        <v>27</v>
      </c>
      <c r="AL14" s="889">
        <f t="shared" ref="AL14:AL77" si="5">SUM(COUNTIF(F14:AJ14,"cn"))</f>
        <v>4</v>
      </c>
      <c r="AM14" s="888">
        <f t="shared" ref="AM14:AM77" si="6">SUM(COUNTIF(F14:AJ14,"đ"))</f>
        <v>0</v>
      </c>
      <c r="AN14" s="888">
        <f t="shared" ref="AN14:AN77" si="7">SUM(COUNTIF(F14:AJ14,"đc"))</f>
        <v>0</v>
      </c>
      <c r="AO14" s="888">
        <f t="shared" ref="AO14:AO77" si="8">SUM(COUNTIF(F14:AJ14,"gt"))</f>
        <v>0</v>
      </c>
      <c r="AP14" s="889">
        <f t="shared" ref="AP14:AP77" si="9">SUM(COUNTIF(F14:AJ14,"ct"))</f>
        <v>0</v>
      </c>
      <c r="AQ14" s="890">
        <f t="shared" ref="AQ14:AQ77" si="10">AK14+AL14+AM14+AN14+AO14+AP14</f>
        <v>31</v>
      </c>
      <c r="AR14" s="891"/>
      <c r="AS14" s="294" t="str">
        <f>VLOOKUP(D14,'Mã số nhân viên'!B4:I76,8,0)</f>
        <v>04052</v>
      </c>
      <c r="AT14" s="886">
        <f>C14-AS14</f>
        <v>0</v>
      </c>
    </row>
    <row r="15" spans="1:52" ht="24.75" customHeight="1">
      <c r="A15" s="595">
        <v>3</v>
      </c>
      <c r="B15" s="595">
        <v>3</v>
      </c>
      <c r="C15" s="595" t="str">
        <f>VLOOKUP(D15,'Mã số nhân viên'!B5:I136,8,0)</f>
        <v>02725</v>
      </c>
      <c r="D15" s="949" t="s">
        <v>178</v>
      </c>
      <c r="E15" s="595"/>
      <c r="F15" s="1109" t="s">
        <v>50</v>
      </c>
      <c r="G15" s="1109" t="s">
        <v>50</v>
      </c>
      <c r="H15" s="1109" t="s">
        <v>50</v>
      </c>
      <c r="I15" s="1109" t="s">
        <v>50</v>
      </c>
      <c r="J15" s="1109" t="s">
        <v>89</v>
      </c>
      <c r="K15" s="1109" t="s">
        <v>50</v>
      </c>
      <c r="L15" s="1109" t="s">
        <v>50</v>
      </c>
      <c r="M15" s="1109" t="s">
        <v>50</v>
      </c>
      <c r="N15" s="1109" t="s">
        <v>50</v>
      </c>
      <c r="O15" s="1109" t="s">
        <v>50</v>
      </c>
      <c r="P15" s="1109" t="s">
        <v>50</v>
      </c>
      <c r="Q15" s="1109" t="s">
        <v>89</v>
      </c>
      <c r="R15" s="1109" t="s">
        <v>50</v>
      </c>
      <c r="S15" s="1109" t="s">
        <v>50</v>
      </c>
      <c r="T15" s="1109" t="s">
        <v>50</v>
      </c>
      <c r="U15" s="1109" t="s">
        <v>50</v>
      </c>
      <c r="V15" s="1109" t="s">
        <v>50</v>
      </c>
      <c r="W15" s="1109" t="s">
        <v>50</v>
      </c>
      <c r="X15" s="1109" t="s">
        <v>89</v>
      </c>
      <c r="Y15" s="1109" t="s">
        <v>50</v>
      </c>
      <c r="Z15" s="1109" t="s">
        <v>50</v>
      </c>
      <c r="AA15" s="1109" t="s">
        <v>50</v>
      </c>
      <c r="AB15" s="1186" t="s">
        <v>50</v>
      </c>
      <c r="AC15" s="1109" t="s">
        <v>50</v>
      </c>
      <c r="AD15" s="1109" t="s">
        <v>730</v>
      </c>
      <c r="AE15" s="1109" t="s">
        <v>89</v>
      </c>
      <c r="AF15" s="1109" t="s">
        <v>50</v>
      </c>
      <c r="AG15" s="1109" t="s">
        <v>50</v>
      </c>
      <c r="AH15" s="1109" t="s">
        <v>50</v>
      </c>
      <c r="AI15" s="1109" t="s">
        <v>50</v>
      </c>
      <c r="AJ15" s="1109" t="s">
        <v>50</v>
      </c>
      <c r="AK15" s="888">
        <f t="shared" si="4"/>
        <v>26</v>
      </c>
      <c r="AL15" s="889">
        <f t="shared" si="5"/>
        <v>4</v>
      </c>
      <c r="AM15" s="888">
        <f t="shared" si="6"/>
        <v>0</v>
      </c>
      <c r="AN15" s="888">
        <f t="shared" si="7"/>
        <v>0</v>
      </c>
      <c r="AO15" s="888">
        <f t="shared" si="8"/>
        <v>0</v>
      </c>
      <c r="AP15" s="889">
        <f t="shared" si="9"/>
        <v>0</v>
      </c>
      <c r="AQ15" s="890">
        <f t="shared" si="10"/>
        <v>30</v>
      </c>
      <c r="AR15" s="891"/>
      <c r="AS15" s="294" t="str">
        <f>VLOOKUP(D15,'Mã số nhân viên'!B5:I77,8,0)</f>
        <v>02725</v>
      </c>
      <c r="AT15" s="886">
        <f t="shared" ref="AT15:AT78" si="11">C15-AS15</f>
        <v>0</v>
      </c>
    </row>
    <row r="16" spans="1:52" ht="24.75" customHeight="1">
      <c r="A16" s="595">
        <v>4</v>
      </c>
      <c r="B16" s="595">
        <v>4</v>
      </c>
      <c r="C16" s="595" t="str">
        <f>VLOOKUP(D16,'Mã số nhân viên'!B6:I137,8,0)</f>
        <v>04053</v>
      </c>
      <c r="D16" s="939" t="s">
        <v>472</v>
      </c>
      <c r="E16" s="595"/>
      <c r="F16" s="1109" t="s">
        <v>50</v>
      </c>
      <c r="G16" s="1109" t="s">
        <v>50</v>
      </c>
      <c r="H16" s="1109" t="s">
        <v>50</v>
      </c>
      <c r="I16" s="1109" t="s">
        <v>50</v>
      </c>
      <c r="J16" s="1109" t="s">
        <v>89</v>
      </c>
      <c r="K16" s="1109" t="s">
        <v>50</v>
      </c>
      <c r="L16" s="1109" t="s">
        <v>50</v>
      </c>
      <c r="M16" s="1109" t="s">
        <v>50</v>
      </c>
      <c r="N16" s="1109" t="s">
        <v>50</v>
      </c>
      <c r="O16" s="1109" t="s">
        <v>50</v>
      </c>
      <c r="P16" s="1109" t="s">
        <v>50</v>
      </c>
      <c r="Q16" s="1109" t="s">
        <v>89</v>
      </c>
      <c r="R16" s="1109" t="s">
        <v>50</v>
      </c>
      <c r="S16" s="1109" t="s">
        <v>730</v>
      </c>
      <c r="T16" s="1109"/>
      <c r="U16" s="1109" t="s">
        <v>50</v>
      </c>
      <c r="V16" s="1109" t="s">
        <v>50</v>
      </c>
      <c r="W16" s="1109" t="s">
        <v>50</v>
      </c>
      <c r="X16" s="1109" t="s">
        <v>89</v>
      </c>
      <c r="Y16" s="1109" t="s">
        <v>50</v>
      </c>
      <c r="Z16" s="1109" t="s">
        <v>50</v>
      </c>
      <c r="AA16" s="1109" t="s">
        <v>50</v>
      </c>
      <c r="AB16" s="1186" t="s">
        <v>50</v>
      </c>
      <c r="AC16" s="1109" t="s">
        <v>50</v>
      </c>
      <c r="AD16" s="1109" t="s">
        <v>50</v>
      </c>
      <c r="AE16" s="1109" t="s">
        <v>89</v>
      </c>
      <c r="AF16" s="1109" t="s">
        <v>50</v>
      </c>
      <c r="AG16" s="1109" t="s">
        <v>50</v>
      </c>
      <c r="AH16" s="1109" t="s">
        <v>50</v>
      </c>
      <c r="AI16" s="1109" t="s">
        <v>50</v>
      </c>
      <c r="AJ16" s="1109" t="s">
        <v>50</v>
      </c>
      <c r="AK16" s="888">
        <f t="shared" si="4"/>
        <v>25</v>
      </c>
      <c r="AL16" s="889">
        <f t="shared" si="5"/>
        <v>4</v>
      </c>
      <c r="AM16" s="888">
        <f t="shared" si="6"/>
        <v>0</v>
      </c>
      <c r="AN16" s="888">
        <f t="shared" si="7"/>
        <v>0</v>
      </c>
      <c r="AO16" s="888">
        <f t="shared" si="8"/>
        <v>0</v>
      </c>
      <c r="AP16" s="889">
        <f t="shared" si="9"/>
        <v>0</v>
      </c>
      <c r="AQ16" s="890">
        <f t="shared" si="10"/>
        <v>29</v>
      </c>
      <c r="AR16" s="891"/>
      <c r="AS16" s="294" t="str">
        <f>VLOOKUP(D16,'Mã số nhân viên'!B6:I78,8,0)</f>
        <v>04053</v>
      </c>
      <c r="AT16" s="886">
        <f t="shared" si="11"/>
        <v>0</v>
      </c>
    </row>
    <row r="17" spans="1:46" ht="24.75" customHeight="1">
      <c r="A17" s="595">
        <v>5</v>
      </c>
      <c r="B17" s="595">
        <v>5</v>
      </c>
      <c r="C17" s="595" t="str">
        <f>VLOOKUP(D17,'Mã số nhân viên'!B7:I138,8,0)</f>
        <v>03459</v>
      </c>
      <c r="D17" s="935" t="s">
        <v>202</v>
      </c>
      <c r="E17" s="595"/>
      <c r="F17" s="1109" t="s">
        <v>50</v>
      </c>
      <c r="G17" s="1109" t="s">
        <v>50</v>
      </c>
      <c r="H17" s="1109" t="s">
        <v>50</v>
      </c>
      <c r="I17" s="1109" t="s">
        <v>50</v>
      </c>
      <c r="J17" s="1109" t="s">
        <v>89</v>
      </c>
      <c r="K17" s="1109" t="s">
        <v>50</v>
      </c>
      <c r="L17" s="1109" t="s">
        <v>50</v>
      </c>
      <c r="M17" s="1109" t="s">
        <v>50</v>
      </c>
      <c r="N17" s="1109" t="s">
        <v>50</v>
      </c>
      <c r="O17" s="1109" t="s">
        <v>50</v>
      </c>
      <c r="P17" s="1109" t="s">
        <v>50</v>
      </c>
      <c r="Q17" s="1109" t="s">
        <v>89</v>
      </c>
      <c r="R17" s="1109" t="s">
        <v>50</v>
      </c>
      <c r="S17" s="1109" t="s">
        <v>730</v>
      </c>
      <c r="T17" s="1109" t="s">
        <v>50</v>
      </c>
      <c r="U17" s="1109" t="s">
        <v>50</v>
      </c>
      <c r="V17" s="1109" t="s">
        <v>50</v>
      </c>
      <c r="W17" s="1109" t="s">
        <v>50</v>
      </c>
      <c r="X17" s="1109" t="s">
        <v>89</v>
      </c>
      <c r="Y17" s="1109" t="s">
        <v>50</v>
      </c>
      <c r="Z17" s="1109" t="s">
        <v>50</v>
      </c>
      <c r="AA17" s="1109" t="s">
        <v>50</v>
      </c>
      <c r="AB17" s="1186" t="s">
        <v>50</v>
      </c>
      <c r="AC17" s="1109" t="s">
        <v>50</v>
      </c>
      <c r="AD17" s="1109" t="s">
        <v>50</v>
      </c>
      <c r="AE17" s="1146" t="s">
        <v>730</v>
      </c>
      <c r="AF17" s="1109" t="s">
        <v>50</v>
      </c>
      <c r="AG17" s="1109" t="s">
        <v>50</v>
      </c>
      <c r="AH17" s="1109" t="s">
        <v>50</v>
      </c>
      <c r="AI17" s="1109" t="s">
        <v>50</v>
      </c>
      <c r="AJ17" s="1109" t="s">
        <v>50</v>
      </c>
      <c r="AK17" s="888">
        <f t="shared" si="4"/>
        <v>26</v>
      </c>
      <c r="AL17" s="889">
        <f t="shared" si="5"/>
        <v>3</v>
      </c>
      <c r="AM17" s="888">
        <f t="shared" si="6"/>
        <v>0</v>
      </c>
      <c r="AN17" s="888">
        <f t="shared" si="7"/>
        <v>0</v>
      </c>
      <c r="AO17" s="888">
        <f t="shared" si="8"/>
        <v>0</v>
      </c>
      <c r="AP17" s="889">
        <f t="shared" si="9"/>
        <v>0</v>
      </c>
      <c r="AQ17" s="890">
        <f t="shared" si="10"/>
        <v>29</v>
      </c>
      <c r="AR17" s="891"/>
      <c r="AS17" s="294" t="str">
        <f>VLOOKUP(D17,'Mã số nhân viên'!B7:I79,8,0)</f>
        <v>03459</v>
      </c>
      <c r="AT17" s="886">
        <f t="shared" si="11"/>
        <v>0</v>
      </c>
    </row>
    <row r="18" spans="1:46" ht="24.75" customHeight="1">
      <c r="A18" s="595">
        <v>6</v>
      </c>
      <c r="B18" s="595">
        <v>6</v>
      </c>
      <c r="C18" s="595" t="str">
        <f>VLOOKUP(D18,'Mã số nhân viên'!B8:I139,8,0)</f>
        <v>04054</v>
      </c>
      <c r="D18" s="949" t="s">
        <v>473</v>
      </c>
      <c r="E18" s="595"/>
      <c r="F18" s="1109" t="s">
        <v>50</v>
      </c>
      <c r="G18" s="1109" t="s">
        <v>50</v>
      </c>
      <c r="H18" s="1109" t="s">
        <v>50</v>
      </c>
      <c r="I18" s="1109" t="s">
        <v>50</v>
      </c>
      <c r="J18" s="1109" t="s">
        <v>89</v>
      </c>
      <c r="K18" s="1109" t="s">
        <v>50</v>
      </c>
      <c r="L18" s="1109" t="s">
        <v>50</v>
      </c>
      <c r="M18" s="1109" t="s">
        <v>50</v>
      </c>
      <c r="N18" s="1109" t="s">
        <v>50</v>
      </c>
      <c r="O18" s="1109" t="s">
        <v>50</v>
      </c>
      <c r="P18" s="1109" t="s">
        <v>50</v>
      </c>
      <c r="Q18" s="1109" t="s">
        <v>89</v>
      </c>
      <c r="R18" s="1109" t="s">
        <v>50</v>
      </c>
      <c r="S18" s="1109" t="s">
        <v>50</v>
      </c>
      <c r="T18" s="1109" t="s">
        <v>50</v>
      </c>
      <c r="U18" s="1109" t="s">
        <v>50</v>
      </c>
      <c r="V18" s="1109" t="s">
        <v>50</v>
      </c>
      <c r="W18" s="1109" t="s">
        <v>50</v>
      </c>
      <c r="X18" s="1109" t="s">
        <v>89</v>
      </c>
      <c r="Y18" s="1109" t="s">
        <v>50</v>
      </c>
      <c r="Z18" s="1109" t="s">
        <v>50</v>
      </c>
      <c r="AA18" s="1109" t="s">
        <v>50</v>
      </c>
      <c r="AB18" s="1186" t="s">
        <v>50</v>
      </c>
      <c r="AC18" s="1109" t="s">
        <v>50</v>
      </c>
      <c r="AD18" s="1109" t="s">
        <v>50</v>
      </c>
      <c r="AE18" s="1109" t="s">
        <v>89</v>
      </c>
      <c r="AF18" s="1109" t="s">
        <v>50</v>
      </c>
      <c r="AG18" s="1109" t="s">
        <v>50</v>
      </c>
      <c r="AH18" s="1109" t="s">
        <v>50</v>
      </c>
      <c r="AI18" s="1109" t="s">
        <v>50</v>
      </c>
      <c r="AJ18" s="1109" t="s">
        <v>50</v>
      </c>
      <c r="AK18" s="888">
        <f t="shared" si="4"/>
        <v>27</v>
      </c>
      <c r="AL18" s="889">
        <f t="shared" si="5"/>
        <v>4</v>
      </c>
      <c r="AM18" s="888">
        <f t="shared" si="6"/>
        <v>0</v>
      </c>
      <c r="AN18" s="888">
        <f t="shared" si="7"/>
        <v>0</v>
      </c>
      <c r="AO18" s="888">
        <f t="shared" si="8"/>
        <v>0</v>
      </c>
      <c r="AP18" s="889">
        <f t="shared" si="9"/>
        <v>0</v>
      </c>
      <c r="AQ18" s="890">
        <f t="shared" si="10"/>
        <v>31</v>
      </c>
      <c r="AR18" s="891"/>
      <c r="AS18" s="294" t="str">
        <f>VLOOKUP(D18,'Mã số nhân viên'!B8:I80,8,0)</f>
        <v>04054</v>
      </c>
      <c r="AT18" s="886">
        <f t="shared" si="11"/>
        <v>0</v>
      </c>
    </row>
    <row r="19" spans="1:46" ht="24.75" customHeight="1">
      <c r="A19" s="595">
        <v>7</v>
      </c>
      <c r="B19" s="595">
        <v>7</v>
      </c>
      <c r="C19" s="595" t="str">
        <f>VLOOKUP(D19,'Mã số nhân viên'!B9:I140,8,0)</f>
        <v>04055</v>
      </c>
      <c r="D19" s="950" t="s">
        <v>474</v>
      </c>
      <c r="E19" s="595"/>
      <c r="F19" s="1109" t="s">
        <v>50</v>
      </c>
      <c r="G19" s="1109" t="s">
        <v>50</v>
      </c>
      <c r="H19" s="1109" t="s">
        <v>50</v>
      </c>
      <c r="I19" s="1109" t="s">
        <v>50</v>
      </c>
      <c r="J19" s="1109" t="s">
        <v>89</v>
      </c>
      <c r="K19" s="1109" t="s">
        <v>50</v>
      </c>
      <c r="L19" s="1109" t="s">
        <v>50</v>
      </c>
      <c r="M19" s="1109" t="s">
        <v>50</v>
      </c>
      <c r="N19" s="1109" t="s">
        <v>50</v>
      </c>
      <c r="O19" s="1109" t="s">
        <v>50</v>
      </c>
      <c r="P19" s="1109" t="s">
        <v>50</v>
      </c>
      <c r="Q19" s="1109" t="s">
        <v>89</v>
      </c>
      <c r="R19" s="1109" t="s">
        <v>50</v>
      </c>
      <c r="S19" s="1109" t="s">
        <v>50</v>
      </c>
      <c r="T19" s="1109" t="s">
        <v>50</v>
      </c>
      <c r="U19" s="1109" t="s">
        <v>50</v>
      </c>
      <c r="V19" s="1109" t="s">
        <v>50</v>
      </c>
      <c r="W19" s="1109" t="s">
        <v>50</v>
      </c>
      <c r="X19" s="1109" t="s">
        <v>89</v>
      </c>
      <c r="Y19" s="1109" t="s">
        <v>730</v>
      </c>
      <c r="Z19" s="1109" t="s">
        <v>50</v>
      </c>
      <c r="AA19" s="1109" t="s">
        <v>50</v>
      </c>
      <c r="AB19" s="1186" t="s">
        <v>50</v>
      </c>
      <c r="AC19" s="1109" t="s">
        <v>50</v>
      </c>
      <c r="AD19" s="1109" t="s">
        <v>50</v>
      </c>
      <c r="AE19" s="1109" t="s">
        <v>89</v>
      </c>
      <c r="AF19" s="1109" t="s">
        <v>50</v>
      </c>
      <c r="AG19" s="1109" t="s">
        <v>50</v>
      </c>
      <c r="AH19" s="1109" t="s">
        <v>50</v>
      </c>
      <c r="AI19" s="1109" t="s">
        <v>50</v>
      </c>
      <c r="AJ19" s="1109" t="s">
        <v>50</v>
      </c>
      <c r="AK19" s="888">
        <f t="shared" si="4"/>
        <v>26</v>
      </c>
      <c r="AL19" s="889">
        <f t="shared" si="5"/>
        <v>4</v>
      </c>
      <c r="AM19" s="888">
        <f t="shared" si="6"/>
        <v>0</v>
      </c>
      <c r="AN19" s="888">
        <f t="shared" si="7"/>
        <v>0</v>
      </c>
      <c r="AO19" s="888">
        <f t="shared" si="8"/>
        <v>0</v>
      </c>
      <c r="AP19" s="889">
        <f t="shared" si="9"/>
        <v>0</v>
      </c>
      <c r="AQ19" s="890">
        <f t="shared" si="10"/>
        <v>30</v>
      </c>
      <c r="AR19" s="891"/>
      <c r="AS19" s="294" t="str">
        <f>VLOOKUP(D19,'Mã số nhân viên'!B9:I81,8,0)</f>
        <v>04055</v>
      </c>
      <c r="AT19" s="886">
        <f t="shared" si="11"/>
        <v>0</v>
      </c>
    </row>
    <row r="20" spans="1:46" ht="24.75" customHeight="1">
      <c r="A20" s="595">
        <v>8</v>
      </c>
      <c r="B20" s="595">
        <v>8</v>
      </c>
      <c r="C20" s="595" t="str">
        <f>VLOOKUP(D20,'Mã số nhân viên'!B10:I141,8,0)</f>
        <v>03462</v>
      </c>
      <c r="D20" s="935" t="s">
        <v>285</v>
      </c>
      <c r="E20" s="595"/>
      <c r="F20" s="1109" t="s">
        <v>50</v>
      </c>
      <c r="G20" s="1109" t="s">
        <v>50</v>
      </c>
      <c r="H20" s="1109" t="s">
        <v>50</v>
      </c>
      <c r="I20" s="1109" t="s">
        <v>50</v>
      </c>
      <c r="J20" s="1109" t="s">
        <v>89</v>
      </c>
      <c r="K20" s="1109" t="s">
        <v>50</v>
      </c>
      <c r="L20" s="1109" t="s">
        <v>50</v>
      </c>
      <c r="M20" s="1109" t="s">
        <v>50</v>
      </c>
      <c r="N20" s="1109" t="s">
        <v>50</v>
      </c>
      <c r="O20" s="1109" t="s">
        <v>50</v>
      </c>
      <c r="P20" s="1109" t="s">
        <v>50</v>
      </c>
      <c r="Q20" s="1109" t="s">
        <v>89</v>
      </c>
      <c r="R20" s="1109" t="s">
        <v>50</v>
      </c>
      <c r="S20" s="1109" t="s">
        <v>50</v>
      </c>
      <c r="T20" s="1109" t="s">
        <v>50</v>
      </c>
      <c r="U20" s="1109" t="s">
        <v>50</v>
      </c>
      <c r="V20" s="1109" t="s">
        <v>50</v>
      </c>
      <c r="W20" s="1109" t="s">
        <v>50</v>
      </c>
      <c r="X20" s="1109" t="s">
        <v>89</v>
      </c>
      <c r="Y20" s="1109" t="s">
        <v>50</v>
      </c>
      <c r="Z20" s="1109" t="s">
        <v>50</v>
      </c>
      <c r="AA20" s="1109" t="s">
        <v>50</v>
      </c>
      <c r="AB20" s="1186" t="s">
        <v>50</v>
      </c>
      <c r="AC20" s="1109" t="s">
        <v>50</v>
      </c>
      <c r="AD20" s="1109" t="s">
        <v>50</v>
      </c>
      <c r="AE20" s="1109" t="s">
        <v>89</v>
      </c>
      <c r="AF20" s="1109" t="s">
        <v>50</v>
      </c>
      <c r="AG20" s="1109" t="s">
        <v>50</v>
      </c>
      <c r="AH20" s="1109" t="s">
        <v>50</v>
      </c>
      <c r="AI20" s="1109" t="s">
        <v>50</v>
      </c>
      <c r="AJ20" s="1109" t="s">
        <v>50</v>
      </c>
      <c r="AK20" s="888">
        <f t="shared" si="4"/>
        <v>27</v>
      </c>
      <c r="AL20" s="889">
        <f t="shared" si="5"/>
        <v>4</v>
      </c>
      <c r="AM20" s="888">
        <f t="shared" si="6"/>
        <v>0</v>
      </c>
      <c r="AN20" s="888">
        <f t="shared" si="7"/>
        <v>0</v>
      </c>
      <c r="AO20" s="888">
        <f t="shared" si="8"/>
        <v>0</v>
      </c>
      <c r="AP20" s="889">
        <f t="shared" si="9"/>
        <v>0</v>
      </c>
      <c r="AQ20" s="890">
        <f t="shared" si="10"/>
        <v>31</v>
      </c>
      <c r="AR20" s="891"/>
      <c r="AS20" s="294" t="str">
        <f>VLOOKUP(D20,'Mã số nhân viên'!B10:I82,8,0)</f>
        <v>03462</v>
      </c>
      <c r="AT20" s="886">
        <f t="shared" si="11"/>
        <v>0</v>
      </c>
    </row>
    <row r="21" spans="1:46" ht="24.75" customHeight="1">
      <c r="A21" s="595">
        <v>9</v>
      </c>
      <c r="B21" s="595">
        <v>9</v>
      </c>
      <c r="C21" s="595" t="str">
        <f>VLOOKUP(D21,'Mã số nhân viên'!B11:I142,8,0)</f>
        <v>03463</v>
      </c>
      <c r="D21" s="949" t="s">
        <v>204</v>
      </c>
      <c r="E21" s="595"/>
      <c r="F21" s="1109" t="s">
        <v>50</v>
      </c>
      <c r="G21" s="1109" t="s">
        <v>50</v>
      </c>
      <c r="H21" s="1109" t="s">
        <v>50</v>
      </c>
      <c r="I21" s="1109" t="s">
        <v>50</v>
      </c>
      <c r="J21" s="1109" t="s">
        <v>89</v>
      </c>
      <c r="K21" s="1109" t="s">
        <v>50</v>
      </c>
      <c r="L21" s="1109" t="s">
        <v>50</v>
      </c>
      <c r="M21" s="1109" t="s">
        <v>50</v>
      </c>
      <c r="N21" s="1109" t="s">
        <v>50</v>
      </c>
      <c r="O21" s="1109" t="s">
        <v>50</v>
      </c>
      <c r="P21" s="1109" t="s">
        <v>50</v>
      </c>
      <c r="Q21" s="1109" t="s">
        <v>89</v>
      </c>
      <c r="R21" s="1109" t="s">
        <v>50</v>
      </c>
      <c r="S21" s="1109" t="s">
        <v>50</v>
      </c>
      <c r="T21" s="1109" t="s">
        <v>50</v>
      </c>
      <c r="U21" s="1109" t="s">
        <v>50</v>
      </c>
      <c r="V21" s="1109" t="s">
        <v>50</v>
      </c>
      <c r="W21" s="1109" t="s">
        <v>50</v>
      </c>
      <c r="X21" s="1109" t="s">
        <v>89</v>
      </c>
      <c r="Y21" s="1109" t="s">
        <v>50</v>
      </c>
      <c r="Z21" s="1109" t="s">
        <v>50</v>
      </c>
      <c r="AA21" s="1109" t="s">
        <v>50</v>
      </c>
      <c r="AB21" s="1186" t="s">
        <v>50</v>
      </c>
      <c r="AC21" s="1109" t="s">
        <v>50</v>
      </c>
      <c r="AD21" s="1109" t="s">
        <v>50</v>
      </c>
      <c r="AE21" s="1109" t="s">
        <v>89</v>
      </c>
      <c r="AF21" s="1109" t="s">
        <v>50</v>
      </c>
      <c r="AG21" s="1109" t="s">
        <v>50</v>
      </c>
      <c r="AH21" s="1109" t="s">
        <v>50</v>
      </c>
      <c r="AI21" s="1109" t="s">
        <v>50</v>
      </c>
      <c r="AJ21" s="1109" t="s">
        <v>50</v>
      </c>
      <c r="AK21" s="888">
        <f t="shared" si="4"/>
        <v>27</v>
      </c>
      <c r="AL21" s="889">
        <f t="shared" si="5"/>
        <v>4</v>
      </c>
      <c r="AM21" s="888">
        <f t="shared" si="6"/>
        <v>0</v>
      </c>
      <c r="AN21" s="888">
        <f t="shared" si="7"/>
        <v>0</v>
      </c>
      <c r="AO21" s="888">
        <f t="shared" si="8"/>
        <v>0</v>
      </c>
      <c r="AP21" s="889">
        <f t="shared" si="9"/>
        <v>0</v>
      </c>
      <c r="AQ21" s="890">
        <f t="shared" si="10"/>
        <v>31</v>
      </c>
      <c r="AR21" s="891"/>
      <c r="AS21" s="294" t="str">
        <f>VLOOKUP(D21,'Mã số nhân viên'!B11:I83,8,0)</f>
        <v>03463</v>
      </c>
      <c r="AT21" s="886">
        <f t="shared" si="11"/>
        <v>0</v>
      </c>
    </row>
    <row r="22" spans="1:46" ht="24.75" customHeight="1">
      <c r="A22" s="595">
        <v>10</v>
      </c>
      <c r="B22" s="595">
        <v>10</v>
      </c>
      <c r="C22" s="595" t="str">
        <f>VLOOKUP(D22,'Mã số nhân viên'!B12:I143,8,0)</f>
        <v>03464</v>
      </c>
      <c r="D22" s="949" t="s">
        <v>203</v>
      </c>
      <c r="E22" s="595"/>
      <c r="F22" s="1109" t="s">
        <v>50</v>
      </c>
      <c r="G22" s="1109" t="s">
        <v>50</v>
      </c>
      <c r="H22" s="1109" t="s">
        <v>50</v>
      </c>
      <c r="I22" s="1109" t="s">
        <v>50</v>
      </c>
      <c r="J22" s="1109" t="s">
        <v>89</v>
      </c>
      <c r="K22" s="1109" t="s">
        <v>50</v>
      </c>
      <c r="L22" s="1109" t="s">
        <v>50</v>
      </c>
      <c r="M22" s="1109" t="s">
        <v>50</v>
      </c>
      <c r="N22" s="1109" t="s">
        <v>50</v>
      </c>
      <c r="O22" s="1109" t="s">
        <v>50</v>
      </c>
      <c r="P22" s="1109" t="s">
        <v>50</v>
      </c>
      <c r="Q22" s="1109" t="s">
        <v>89</v>
      </c>
      <c r="R22" s="1109" t="s">
        <v>50</v>
      </c>
      <c r="S22" s="1109" t="s">
        <v>50</v>
      </c>
      <c r="T22" s="1109" t="s">
        <v>50</v>
      </c>
      <c r="U22" s="1109" t="s">
        <v>50</v>
      </c>
      <c r="V22" s="1109" t="s">
        <v>50</v>
      </c>
      <c r="W22" s="1109" t="s">
        <v>50</v>
      </c>
      <c r="X22" s="1109" t="s">
        <v>89</v>
      </c>
      <c r="Y22" s="1109" t="s">
        <v>50</v>
      </c>
      <c r="Z22" s="1109" t="s">
        <v>50</v>
      </c>
      <c r="AA22" s="1109" t="s">
        <v>50</v>
      </c>
      <c r="AB22" s="1186" t="s">
        <v>50</v>
      </c>
      <c r="AC22" s="1109" t="s">
        <v>50</v>
      </c>
      <c r="AD22" s="1109" t="s">
        <v>50</v>
      </c>
      <c r="AE22" s="1109" t="s">
        <v>89</v>
      </c>
      <c r="AF22" s="1109" t="s">
        <v>50</v>
      </c>
      <c r="AG22" s="1109" t="s">
        <v>50</v>
      </c>
      <c r="AH22" s="1109" t="s">
        <v>50</v>
      </c>
      <c r="AI22" s="1109" t="s">
        <v>50</v>
      </c>
      <c r="AJ22" s="1109" t="s">
        <v>50</v>
      </c>
      <c r="AK22" s="888">
        <f t="shared" si="4"/>
        <v>27</v>
      </c>
      <c r="AL22" s="889">
        <f t="shared" si="5"/>
        <v>4</v>
      </c>
      <c r="AM22" s="888">
        <f t="shared" si="6"/>
        <v>0</v>
      </c>
      <c r="AN22" s="888">
        <f t="shared" si="7"/>
        <v>0</v>
      </c>
      <c r="AO22" s="888">
        <f t="shared" si="8"/>
        <v>0</v>
      </c>
      <c r="AP22" s="889">
        <f t="shared" si="9"/>
        <v>0</v>
      </c>
      <c r="AQ22" s="890">
        <f t="shared" si="10"/>
        <v>31</v>
      </c>
      <c r="AR22" s="891"/>
      <c r="AS22" s="294" t="str">
        <f>VLOOKUP(D22,'Mã số nhân viên'!B12:I84,8,0)</f>
        <v>03464</v>
      </c>
      <c r="AT22" s="886">
        <f t="shared" si="11"/>
        <v>0</v>
      </c>
    </row>
    <row r="23" spans="1:46" ht="24.75" customHeight="1">
      <c r="A23" s="595">
        <v>11</v>
      </c>
      <c r="B23" s="595">
        <v>11</v>
      </c>
      <c r="C23" s="595" t="str">
        <f>VLOOKUP(D23,'Mã số nhân viên'!B13:I144,8,0)</f>
        <v>03465</v>
      </c>
      <c r="D23" s="949" t="s">
        <v>205</v>
      </c>
      <c r="E23" s="595"/>
      <c r="F23" s="1109" t="s">
        <v>50</v>
      </c>
      <c r="G23" s="1109" t="s">
        <v>50</v>
      </c>
      <c r="H23" s="1109" t="s">
        <v>50</v>
      </c>
      <c r="I23" s="1109" t="s">
        <v>50</v>
      </c>
      <c r="J23" s="1109" t="s">
        <v>89</v>
      </c>
      <c r="K23" s="1109" t="s">
        <v>50</v>
      </c>
      <c r="L23" s="1109" t="s">
        <v>50</v>
      </c>
      <c r="M23" s="1109" t="s">
        <v>50</v>
      </c>
      <c r="N23" s="1109" t="s">
        <v>50</v>
      </c>
      <c r="O23" s="1109" t="s">
        <v>50</v>
      </c>
      <c r="P23" s="1109" t="s">
        <v>50</v>
      </c>
      <c r="Q23" s="1109" t="s">
        <v>89</v>
      </c>
      <c r="R23" s="1109" t="s">
        <v>50</v>
      </c>
      <c r="S23" s="1109" t="s">
        <v>50</v>
      </c>
      <c r="T23" s="1109" t="s">
        <v>50</v>
      </c>
      <c r="U23" s="1109" t="s">
        <v>50</v>
      </c>
      <c r="V23" s="1109" t="s">
        <v>50</v>
      </c>
      <c r="W23" s="1109" t="s">
        <v>50</v>
      </c>
      <c r="X23" s="1109" t="s">
        <v>89</v>
      </c>
      <c r="Y23" s="1109" t="s">
        <v>50</v>
      </c>
      <c r="Z23" s="1109" t="s">
        <v>50</v>
      </c>
      <c r="AA23" s="1109" t="s">
        <v>50</v>
      </c>
      <c r="AB23" s="1186" t="s">
        <v>50</v>
      </c>
      <c r="AC23" s="1109" t="s">
        <v>50</v>
      </c>
      <c r="AD23" s="1109" t="s">
        <v>50</v>
      </c>
      <c r="AE23" s="1109" t="s">
        <v>89</v>
      </c>
      <c r="AF23" s="1182" t="s">
        <v>730</v>
      </c>
      <c r="AG23" s="1109" t="s">
        <v>50</v>
      </c>
      <c r="AH23" s="1109" t="s">
        <v>50</v>
      </c>
      <c r="AI23" s="1109" t="s">
        <v>50</v>
      </c>
      <c r="AJ23" s="1109" t="s">
        <v>50</v>
      </c>
      <c r="AK23" s="888">
        <f t="shared" si="4"/>
        <v>26</v>
      </c>
      <c r="AL23" s="889">
        <f t="shared" si="5"/>
        <v>4</v>
      </c>
      <c r="AM23" s="888">
        <f t="shared" si="6"/>
        <v>0</v>
      </c>
      <c r="AN23" s="888">
        <f t="shared" si="7"/>
        <v>0</v>
      </c>
      <c r="AO23" s="888">
        <f t="shared" si="8"/>
        <v>0</v>
      </c>
      <c r="AP23" s="889">
        <f t="shared" si="9"/>
        <v>0</v>
      </c>
      <c r="AQ23" s="890">
        <f t="shared" si="10"/>
        <v>30</v>
      </c>
      <c r="AR23" s="891"/>
      <c r="AS23" s="294" t="str">
        <f>VLOOKUP(D23,'Mã số nhân viên'!B13:I85,8,0)</f>
        <v>03465</v>
      </c>
      <c r="AT23" s="886">
        <f t="shared" si="11"/>
        <v>0</v>
      </c>
    </row>
    <row r="24" spans="1:46" ht="24.75" customHeight="1">
      <c r="A24" s="595">
        <v>12</v>
      </c>
      <c r="B24" s="595">
        <v>12</v>
      </c>
      <c r="C24" s="595" t="str">
        <f>VLOOKUP(D24,'Mã số nhân viên'!B14:I145,8,0)</f>
        <v>03466</v>
      </c>
      <c r="D24" s="935" t="s">
        <v>212</v>
      </c>
      <c r="E24" s="595"/>
      <c r="F24" s="1109" t="s">
        <v>50</v>
      </c>
      <c r="G24" s="1109" t="s">
        <v>50</v>
      </c>
      <c r="H24" s="1109" t="s">
        <v>50</v>
      </c>
      <c r="I24" s="1109" t="s">
        <v>50</v>
      </c>
      <c r="J24" s="1109" t="s">
        <v>89</v>
      </c>
      <c r="K24" s="1109" t="s">
        <v>50</v>
      </c>
      <c r="L24" s="1109" t="s">
        <v>50</v>
      </c>
      <c r="M24" s="1109" t="s">
        <v>50</v>
      </c>
      <c r="N24" s="1109" t="s">
        <v>50</v>
      </c>
      <c r="O24" s="1109" t="s">
        <v>50</v>
      </c>
      <c r="P24" s="1109" t="s">
        <v>50</v>
      </c>
      <c r="Q24" s="1109" t="s">
        <v>89</v>
      </c>
      <c r="R24" s="1109" t="s">
        <v>50</v>
      </c>
      <c r="S24" s="1109" t="s">
        <v>50</v>
      </c>
      <c r="T24" s="1109" t="s">
        <v>50</v>
      </c>
      <c r="U24" s="1109" t="s">
        <v>50</v>
      </c>
      <c r="V24" s="1109" t="s">
        <v>50</v>
      </c>
      <c r="W24" s="1109" t="s">
        <v>50</v>
      </c>
      <c r="X24" s="1109" t="s">
        <v>89</v>
      </c>
      <c r="Y24" s="1109" t="s">
        <v>50</v>
      </c>
      <c r="Z24" s="1109" t="s">
        <v>50</v>
      </c>
      <c r="AA24" s="1109" t="s">
        <v>50</v>
      </c>
      <c r="AB24" s="1186" t="s">
        <v>50</v>
      </c>
      <c r="AC24" s="1109" t="s">
        <v>50</v>
      </c>
      <c r="AD24" s="1109" t="s">
        <v>50</v>
      </c>
      <c r="AE24" s="1109" t="s">
        <v>89</v>
      </c>
      <c r="AF24" s="1109" t="s">
        <v>50</v>
      </c>
      <c r="AG24" s="1109" t="s">
        <v>50</v>
      </c>
      <c r="AH24" s="1109" t="s">
        <v>50</v>
      </c>
      <c r="AI24" s="1109" t="s">
        <v>50</v>
      </c>
      <c r="AJ24" s="1109" t="s">
        <v>50</v>
      </c>
      <c r="AK24" s="888">
        <f t="shared" si="4"/>
        <v>27</v>
      </c>
      <c r="AL24" s="889">
        <f t="shared" si="5"/>
        <v>4</v>
      </c>
      <c r="AM24" s="888">
        <f t="shared" si="6"/>
        <v>0</v>
      </c>
      <c r="AN24" s="888">
        <f t="shared" si="7"/>
        <v>0</v>
      </c>
      <c r="AO24" s="888">
        <f t="shared" si="8"/>
        <v>0</v>
      </c>
      <c r="AP24" s="889">
        <f t="shared" si="9"/>
        <v>0</v>
      </c>
      <c r="AQ24" s="890">
        <f t="shared" si="10"/>
        <v>31</v>
      </c>
      <c r="AR24" s="891"/>
      <c r="AS24" s="294" t="str">
        <f>VLOOKUP(D24,'Mã số nhân viên'!B14:I86,8,0)</f>
        <v>03466</v>
      </c>
      <c r="AT24" s="886">
        <f t="shared" si="11"/>
        <v>0</v>
      </c>
    </row>
    <row r="25" spans="1:46" ht="24.75" customHeight="1">
      <c r="A25" s="595">
        <v>13</v>
      </c>
      <c r="B25" s="595">
        <v>13</v>
      </c>
      <c r="C25" s="595" t="str">
        <f>VLOOKUP(D25,'Mã số nhân viên'!B15:I146,8,0)</f>
        <v>02727</v>
      </c>
      <c r="D25" s="950" t="s">
        <v>194</v>
      </c>
      <c r="E25" s="595"/>
      <c r="F25" s="1109" t="s">
        <v>50</v>
      </c>
      <c r="G25" s="1109" t="s">
        <v>50</v>
      </c>
      <c r="H25" s="1109" t="s">
        <v>50</v>
      </c>
      <c r="I25" s="1109" t="s">
        <v>50</v>
      </c>
      <c r="J25" s="1109" t="s">
        <v>89</v>
      </c>
      <c r="K25" s="1109" t="s">
        <v>50</v>
      </c>
      <c r="L25" s="1109" t="s">
        <v>50</v>
      </c>
      <c r="M25" s="1109" t="s">
        <v>50</v>
      </c>
      <c r="N25" s="1109" t="s">
        <v>50</v>
      </c>
      <c r="O25" s="1109" t="s">
        <v>50</v>
      </c>
      <c r="P25" s="1109" t="s">
        <v>50</v>
      </c>
      <c r="Q25" s="1109" t="s">
        <v>89</v>
      </c>
      <c r="R25" s="1109" t="s">
        <v>50</v>
      </c>
      <c r="S25" s="1109" t="s">
        <v>50</v>
      </c>
      <c r="T25" s="1109" t="s">
        <v>50</v>
      </c>
      <c r="U25" s="1109" t="s">
        <v>50</v>
      </c>
      <c r="V25" s="1109" t="s">
        <v>50</v>
      </c>
      <c r="W25" s="1109" t="s">
        <v>50</v>
      </c>
      <c r="X25" s="1109" t="s">
        <v>89</v>
      </c>
      <c r="Y25" s="1109" t="s">
        <v>50</v>
      </c>
      <c r="Z25" s="1109" t="s">
        <v>50</v>
      </c>
      <c r="AA25" s="1109" t="s">
        <v>50</v>
      </c>
      <c r="AB25" s="1186" t="s">
        <v>50</v>
      </c>
      <c r="AC25" s="1109" t="s">
        <v>50</v>
      </c>
      <c r="AD25" s="1109" t="s">
        <v>50</v>
      </c>
      <c r="AE25" s="1109" t="s">
        <v>89</v>
      </c>
      <c r="AF25" s="1109" t="s">
        <v>50</v>
      </c>
      <c r="AG25" s="1109" t="s">
        <v>50</v>
      </c>
      <c r="AH25" s="1109" t="s">
        <v>50</v>
      </c>
      <c r="AI25" s="1109" t="s">
        <v>50</v>
      </c>
      <c r="AJ25" s="1109" t="s">
        <v>50</v>
      </c>
      <c r="AK25" s="888">
        <f t="shared" si="4"/>
        <v>27</v>
      </c>
      <c r="AL25" s="889">
        <f t="shared" si="5"/>
        <v>4</v>
      </c>
      <c r="AM25" s="888">
        <f t="shared" si="6"/>
        <v>0</v>
      </c>
      <c r="AN25" s="888">
        <f t="shared" si="7"/>
        <v>0</v>
      </c>
      <c r="AO25" s="888">
        <f t="shared" si="8"/>
        <v>0</v>
      </c>
      <c r="AP25" s="889">
        <f t="shared" si="9"/>
        <v>0</v>
      </c>
      <c r="AQ25" s="890">
        <f t="shared" si="10"/>
        <v>31</v>
      </c>
      <c r="AR25" s="891"/>
      <c r="AS25" s="294" t="str">
        <f>VLOOKUP(D25,'Mã số nhân viên'!B15:I87,8,0)</f>
        <v>02727</v>
      </c>
      <c r="AT25" s="886">
        <f t="shared" si="11"/>
        <v>0</v>
      </c>
    </row>
    <row r="26" spans="1:46" ht="24.75" customHeight="1">
      <c r="A26" s="595">
        <v>14</v>
      </c>
      <c r="B26" s="595">
        <v>14</v>
      </c>
      <c r="C26" s="595" t="str">
        <f>VLOOKUP(D26,'Mã số nhân viên'!B16:I147,8,0)</f>
        <v>03467</v>
      </c>
      <c r="D26" s="939" t="s">
        <v>183</v>
      </c>
      <c r="E26" s="595"/>
      <c r="F26" s="1109" t="s">
        <v>50</v>
      </c>
      <c r="G26" s="1109" t="s">
        <v>50</v>
      </c>
      <c r="H26" s="1109" t="s">
        <v>50</v>
      </c>
      <c r="I26" s="1109" t="s">
        <v>50</v>
      </c>
      <c r="J26" s="1109" t="s">
        <v>89</v>
      </c>
      <c r="K26" s="1109" t="s">
        <v>50</v>
      </c>
      <c r="L26" s="1109" t="s">
        <v>50</v>
      </c>
      <c r="M26" s="1109" t="s">
        <v>50</v>
      </c>
      <c r="N26" s="1109" t="s">
        <v>50</v>
      </c>
      <c r="O26" s="1109" t="s">
        <v>50</v>
      </c>
      <c r="P26" s="1109" t="s">
        <v>50</v>
      </c>
      <c r="Q26" s="1109" t="s">
        <v>89</v>
      </c>
      <c r="R26" s="1109" t="s">
        <v>50</v>
      </c>
      <c r="S26" s="1109" t="s">
        <v>50</v>
      </c>
      <c r="T26" s="1109" t="s">
        <v>50</v>
      </c>
      <c r="U26" s="1109" t="s">
        <v>50</v>
      </c>
      <c r="V26" s="1109" t="s">
        <v>50</v>
      </c>
      <c r="W26" s="1109" t="s">
        <v>50</v>
      </c>
      <c r="X26" s="1109" t="s">
        <v>89</v>
      </c>
      <c r="Y26" s="1109" t="s">
        <v>50</v>
      </c>
      <c r="Z26" s="1109" t="s">
        <v>50</v>
      </c>
      <c r="AA26" s="1109" t="s">
        <v>50</v>
      </c>
      <c r="AB26" s="1186" t="s">
        <v>50</v>
      </c>
      <c r="AC26" s="1109" t="s">
        <v>50</v>
      </c>
      <c r="AD26" s="1109" t="s">
        <v>50</v>
      </c>
      <c r="AE26" s="1109" t="s">
        <v>89</v>
      </c>
      <c r="AF26" s="1109" t="s">
        <v>50</v>
      </c>
      <c r="AG26" s="1109" t="s">
        <v>50</v>
      </c>
      <c r="AH26" s="1109" t="s">
        <v>50</v>
      </c>
      <c r="AI26" s="1109" t="s">
        <v>50</v>
      </c>
      <c r="AJ26" s="1109" t="s">
        <v>50</v>
      </c>
      <c r="AK26" s="888">
        <f t="shared" si="4"/>
        <v>27</v>
      </c>
      <c r="AL26" s="889">
        <f t="shared" si="5"/>
        <v>4</v>
      </c>
      <c r="AM26" s="888">
        <f t="shared" si="6"/>
        <v>0</v>
      </c>
      <c r="AN26" s="888">
        <f t="shared" si="7"/>
        <v>0</v>
      </c>
      <c r="AO26" s="888">
        <f t="shared" si="8"/>
        <v>0</v>
      </c>
      <c r="AP26" s="889">
        <f t="shared" si="9"/>
        <v>0</v>
      </c>
      <c r="AQ26" s="890">
        <f t="shared" si="10"/>
        <v>31</v>
      </c>
      <c r="AR26" s="891"/>
      <c r="AS26" s="294" t="str">
        <f>VLOOKUP(D26,'Mã số nhân viên'!B16:I88,8,0)</f>
        <v>03467</v>
      </c>
      <c r="AT26" s="886">
        <f t="shared" si="11"/>
        <v>0</v>
      </c>
    </row>
    <row r="27" spans="1:46" ht="24.75" customHeight="1">
      <c r="A27" s="595">
        <v>15</v>
      </c>
      <c r="B27" s="595">
        <v>15</v>
      </c>
      <c r="C27" s="595" t="str">
        <f>VLOOKUP(D27,'Mã số nhân viên'!B17:I148,8,0)</f>
        <v>04056</v>
      </c>
      <c r="D27" s="949" t="s">
        <v>475</v>
      </c>
      <c r="E27" s="595"/>
      <c r="F27" s="1109" t="s">
        <v>50</v>
      </c>
      <c r="G27" s="1109" t="s">
        <v>50</v>
      </c>
      <c r="H27" s="1109" t="s">
        <v>50</v>
      </c>
      <c r="I27" s="1109" t="s">
        <v>50</v>
      </c>
      <c r="J27" s="1109" t="s">
        <v>89</v>
      </c>
      <c r="K27" s="1109" t="s">
        <v>50</v>
      </c>
      <c r="L27" s="1109" t="s">
        <v>50</v>
      </c>
      <c r="M27" s="1109" t="s">
        <v>50</v>
      </c>
      <c r="N27" s="1109" t="s">
        <v>50</v>
      </c>
      <c r="O27" s="1109" t="s">
        <v>50</v>
      </c>
      <c r="P27" s="1109" t="s">
        <v>50</v>
      </c>
      <c r="Q27" s="1109" t="s">
        <v>89</v>
      </c>
      <c r="R27" s="1109" t="s">
        <v>50</v>
      </c>
      <c r="S27" s="1109" t="s">
        <v>50</v>
      </c>
      <c r="T27" s="1109" t="s">
        <v>50</v>
      </c>
      <c r="U27" s="1109" t="s">
        <v>50</v>
      </c>
      <c r="V27" s="1109" t="s">
        <v>50</v>
      </c>
      <c r="W27" s="1109" t="s">
        <v>50</v>
      </c>
      <c r="X27" s="1109" t="s">
        <v>89</v>
      </c>
      <c r="Y27" s="1109" t="s">
        <v>50</v>
      </c>
      <c r="Z27" s="1109" t="s">
        <v>50</v>
      </c>
      <c r="AA27" s="1109" t="s">
        <v>50</v>
      </c>
      <c r="AB27" s="1186" t="s">
        <v>50</v>
      </c>
      <c r="AC27" s="1109" t="s">
        <v>50</v>
      </c>
      <c r="AD27" s="1109" t="s">
        <v>50</v>
      </c>
      <c r="AE27" s="1109" t="s">
        <v>89</v>
      </c>
      <c r="AF27" s="1109" t="s">
        <v>50</v>
      </c>
      <c r="AG27" s="1109" t="s">
        <v>50</v>
      </c>
      <c r="AH27" s="1109" t="s">
        <v>50</v>
      </c>
      <c r="AI27" s="1109" t="s">
        <v>50</v>
      </c>
      <c r="AJ27" s="1109" t="s">
        <v>50</v>
      </c>
      <c r="AK27" s="888">
        <f t="shared" si="4"/>
        <v>27</v>
      </c>
      <c r="AL27" s="889">
        <f t="shared" si="5"/>
        <v>4</v>
      </c>
      <c r="AM27" s="888">
        <f t="shared" si="6"/>
        <v>0</v>
      </c>
      <c r="AN27" s="888">
        <f t="shared" si="7"/>
        <v>0</v>
      </c>
      <c r="AO27" s="888">
        <f t="shared" si="8"/>
        <v>0</v>
      </c>
      <c r="AP27" s="889">
        <f t="shared" si="9"/>
        <v>0</v>
      </c>
      <c r="AQ27" s="890">
        <f t="shared" si="10"/>
        <v>31</v>
      </c>
      <c r="AR27" s="891"/>
      <c r="AS27" s="294" t="str">
        <f>VLOOKUP(D27,'Mã số nhân viên'!B17:I89,8,0)</f>
        <v>04056</v>
      </c>
      <c r="AT27" s="886">
        <f t="shared" si="11"/>
        <v>0</v>
      </c>
    </row>
    <row r="28" spans="1:46" ht="24.75" customHeight="1">
      <c r="A28" s="595">
        <v>16</v>
      </c>
      <c r="B28" s="595">
        <v>16</v>
      </c>
      <c r="C28" s="595" t="str">
        <f>VLOOKUP(D28,'Mã số nhân viên'!B18:I149,8,0)</f>
        <v>03469</v>
      </c>
      <c r="D28" s="949" t="s">
        <v>184</v>
      </c>
      <c r="E28" s="595"/>
      <c r="F28" s="1109" t="s">
        <v>50</v>
      </c>
      <c r="G28" s="1109" t="s">
        <v>50</v>
      </c>
      <c r="H28" s="1109" t="s">
        <v>50</v>
      </c>
      <c r="I28" s="1109" t="s">
        <v>50</v>
      </c>
      <c r="J28" s="1109" t="s">
        <v>89</v>
      </c>
      <c r="K28" s="1109" t="s">
        <v>50</v>
      </c>
      <c r="L28" s="1109" t="s">
        <v>50</v>
      </c>
      <c r="M28" s="1109" t="s">
        <v>50</v>
      </c>
      <c r="N28" s="1109" t="s">
        <v>50</v>
      </c>
      <c r="O28" s="1109" t="s">
        <v>50</v>
      </c>
      <c r="P28" s="1109" t="s">
        <v>50</v>
      </c>
      <c r="Q28" s="1109" t="s">
        <v>89</v>
      </c>
      <c r="R28" s="1109" t="s">
        <v>50</v>
      </c>
      <c r="S28" s="1109" t="s">
        <v>50</v>
      </c>
      <c r="T28" s="1109" t="s">
        <v>50</v>
      </c>
      <c r="U28" s="1109" t="s">
        <v>50</v>
      </c>
      <c r="V28" s="1109" t="s">
        <v>730</v>
      </c>
      <c r="W28" s="1109" t="s">
        <v>50</v>
      </c>
      <c r="X28" s="1109" t="s">
        <v>89</v>
      </c>
      <c r="Y28" s="1109" t="s">
        <v>50</v>
      </c>
      <c r="Z28" s="1109" t="s">
        <v>50</v>
      </c>
      <c r="AA28" s="1109" t="s">
        <v>50</v>
      </c>
      <c r="AB28" s="1186" t="s">
        <v>50</v>
      </c>
      <c r="AC28" s="1109" t="s">
        <v>50</v>
      </c>
      <c r="AD28" s="1109" t="s">
        <v>50</v>
      </c>
      <c r="AE28" s="1109" t="s">
        <v>89</v>
      </c>
      <c r="AF28" s="1109" t="s">
        <v>50</v>
      </c>
      <c r="AG28" s="1109" t="s">
        <v>50</v>
      </c>
      <c r="AH28" s="1109" t="s">
        <v>50</v>
      </c>
      <c r="AI28" s="1109" t="s">
        <v>50</v>
      </c>
      <c r="AJ28" s="1109" t="s">
        <v>50</v>
      </c>
      <c r="AK28" s="888">
        <f t="shared" si="4"/>
        <v>26</v>
      </c>
      <c r="AL28" s="889">
        <f t="shared" si="5"/>
        <v>4</v>
      </c>
      <c r="AM28" s="888">
        <f t="shared" si="6"/>
        <v>0</v>
      </c>
      <c r="AN28" s="888">
        <f t="shared" si="7"/>
        <v>0</v>
      </c>
      <c r="AO28" s="888">
        <f t="shared" si="8"/>
        <v>0</v>
      </c>
      <c r="AP28" s="889">
        <f t="shared" si="9"/>
        <v>0</v>
      </c>
      <c r="AQ28" s="890">
        <f t="shared" si="10"/>
        <v>30</v>
      </c>
      <c r="AR28" s="891"/>
      <c r="AS28" s="294" t="str">
        <f>VLOOKUP(D28,'Mã số nhân viên'!B18:I90,8,0)</f>
        <v>03469</v>
      </c>
      <c r="AT28" s="886">
        <f t="shared" si="11"/>
        <v>0</v>
      </c>
    </row>
    <row r="29" spans="1:46" ht="24.75" customHeight="1">
      <c r="A29" s="595">
        <v>17</v>
      </c>
      <c r="B29" s="595">
        <v>17</v>
      </c>
      <c r="C29" s="595" t="str">
        <f>VLOOKUP(D29,'Mã số nhân viên'!B19:I150,8,0)</f>
        <v>03470</v>
      </c>
      <c r="D29" s="951" t="s">
        <v>185</v>
      </c>
      <c r="E29" s="595"/>
      <c r="F29" s="1109" t="s">
        <v>50</v>
      </c>
      <c r="G29" s="1109" t="s">
        <v>50</v>
      </c>
      <c r="H29" s="1109" t="s">
        <v>50</v>
      </c>
      <c r="I29" s="1109" t="s">
        <v>50</v>
      </c>
      <c r="J29" s="1109" t="s">
        <v>89</v>
      </c>
      <c r="K29" s="1109" t="s">
        <v>50</v>
      </c>
      <c r="L29" s="1109" t="s">
        <v>50</v>
      </c>
      <c r="M29" s="1109" t="s">
        <v>50</v>
      </c>
      <c r="N29" s="1109" t="s">
        <v>50</v>
      </c>
      <c r="O29" s="1109" t="s">
        <v>50</v>
      </c>
      <c r="P29" s="1109" t="s">
        <v>50</v>
      </c>
      <c r="Q29" s="1109" t="s">
        <v>89</v>
      </c>
      <c r="R29" s="1109" t="s">
        <v>50</v>
      </c>
      <c r="S29" s="1109" t="s">
        <v>730</v>
      </c>
      <c r="T29" s="1109" t="s">
        <v>50</v>
      </c>
      <c r="U29" s="1109" t="s">
        <v>50</v>
      </c>
      <c r="V29" s="1109" t="s">
        <v>50</v>
      </c>
      <c r="W29" s="1109" t="s">
        <v>50</v>
      </c>
      <c r="X29" s="1109" t="s">
        <v>89</v>
      </c>
      <c r="Y29" s="1109" t="s">
        <v>50</v>
      </c>
      <c r="Z29" s="1109" t="s">
        <v>50</v>
      </c>
      <c r="AA29" s="1109" t="s">
        <v>50</v>
      </c>
      <c r="AB29" s="1186" t="s">
        <v>50</v>
      </c>
      <c r="AC29" s="1109" t="s">
        <v>50</v>
      </c>
      <c r="AD29" s="1109" t="s">
        <v>50</v>
      </c>
      <c r="AE29" s="1109" t="s">
        <v>730</v>
      </c>
      <c r="AF29" s="1109" t="s">
        <v>50</v>
      </c>
      <c r="AG29" s="1109" t="s">
        <v>50</v>
      </c>
      <c r="AH29" s="1109" t="s">
        <v>50</v>
      </c>
      <c r="AI29" s="1109" t="s">
        <v>50</v>
      </c>
      <c r="AJ29" s="1109" t="s">
        <v>50</v>
      </c>
      <c r="AK29" s="888">
        <f t="shared" si="4"/>
        <v>26</v>
      </c>
      <c r="AL29" s="889">
        <f t="shared" si="5"/>
        <v>3</v>
      </c>
      <c r="AM29" s="888">
        <f t="shared" si="6"/>
        <v>0</v>
      </c>
      <c r="AN29" s="888">
        <f t="shared" si="7"/>
        <v>0</v>
      </c>
      <c r="AO29" s="888">
        <f t="shared" si="8"/>
        <v>0</v>
      </c>
      <c r="AP29" s="889">
        <f t="shared" si="9"/>
        <v>0</v>
      </c>
      <c r="AQ29" s="890">
        <f t="shared" si="10"/>
        <v>29</v>
      </c>
      <c r="AR29" s="891"/>
      <c r="AS29" s="294" t="str">
        <f>VLOOKUP(D29,'Mã số nhân viên'!B19:I91,8,0)</f>
        <v>03470</v>
      </c>
      <c r="AT29" s="886">
        <f t="shared" si="11"/>
        <v>0</v>
      </c>
    </row>
    <row r="30" spans="1:46" ht="24.75" customHeight="1">
      <c r="A30" s="595">
        <v>18</v>
      </c>
      <c r="B30" s="595">
        <v>18</v>
      </c>
      <c r="C30" s="595" t="str">
        <f>VLOOKUP(D30,'Mã số nhân viên'!B20:I151,8,0)</f>
        <v>03471</v>
      </c>
      <c r="D30" s="950" t="s">
        <v>165</v>
      </c>
      <c r="E30" s="595"/>
      <c r="F30" s="1109" t="s">
        <v>50</v>
      </c>
      <c r="G30" s="1109" t="s">
        <v>50</v>
      </c>
      <c r="H30" s="1109" t="s">
        <v>50</v>
      </c>
      <c r="I30" s="1109" t="s">
        <v>50</v>
      </c>
      <c r="J30" s="1109" t="s">
        <v>89</v>
      </c>
      <c r="K30" s="1109" t="s">
        <v>50</v>
      </c>
      <c r="L30" s="1109" t="s">
        <v>50</v>
      </c>
      <c r="M30" s="1109" t="s">
        <v>50</v>
      </c>
      <c r="N30" s="1109" t="s">
        <v>50</v>
      </c>
      <c r="O30" s="1109" t="s">
        <v>50</v>
      </c>
      <c r="P30" s="1109" t="s">
        <v>50</v>
      </c>
      <c r="Q30" s="1109" t="s">
        <v>89</v>
      </c>
      <c r="R30" s="1109" t="s">
        <v>50</v>
      </c>
      <c r="S30" s="1109" t="s">
        <v>50</v>
      </c>
      <c r="T30" s="1109" t="s">
        <v>50</v>
      </c>
      <c r="U30" s="1109" t="s">
        <v>50</v>
      </c>
      <c r="V30" s="1109" t="s">
        <v>50</v>
      </c>
      <c r="W30" s="1109" t="s">
        <v>50</v>
      </c>
      <c r="X30" s="1109" t="s">
        <v>89</v>
      </c>
      <c r="Y30" s="1109" t="s">
        <v>50</v>
      </c>
      <c r="Z30" s="1109" t="s">
        <v>50</v>
      </c>
      <c r="AA30" s="1109" t="s">
        <v>50</v>
      </c>
      <c r="AB30" s="1186" t="s">
        <v>50</v>
      </c>
      <c r="AC30" s="1109" t="s">
        <v>50</v>
      </c>
      <c r="AD30" s="1109" t="s">
        <v>50</v>
      </c>
      <c r="AE30" s="1109" t="s">
        <v>89</v>
      </c>
      <c r="AF30" s="1109" t="s">
        <v>50</v>
      </c>
      <c r="AG30" s="1109" t="s">
        <v>50</v>
      </c>
      <c r="AH30" s="1109" t="s">
        <v>50</v>
      </c>
      <c r="AI30" s="1109" t="s">
        <v>50</v>
      </c>
      <c r="AJ30" s="1109" t="s">
        <v>50</v>
      </c>
      <c r="AK30" s="888">
        <f t="shared" si="4"/>
        <v>27</v>
      </c>
      <c r="AL30" s="889">
        <f t="shared" si="5"/>
        <v>4</v>
      </c>
      <c r="AM30" s="888">
        <f t="shared" si="6"/>
        <v>0</v>
      </c>
      <c r="AN30" s="888">
        <f t="shared" si="7"/>
        <v>0</v>
      </c>
      <c r="AO30" s="888">
        <f t="shared" si="8"/>
        <v>0</v>
      </c>
      <c r="AP30" s="889">
        <f t="shared" si="9"/>
        <v>0</v>
      </c>
      <c r="AQ30" s="890">
        <f t="shared" si="10"/>
        <v>31</v>
      </c>
      <c r="AR30" s="891"/>
      <c r="AS30" s="294" t="str">
        <f>VLOOKUP(D30,'Mã số nhân viên'!B20:I92,8,0)</f>
        <v>03471</v>
      </c>
      <c r="AT30" s="886">
        <f t="shared" si="11"/>
        <v>0</v>
      </c>
    </row>
    <row r="31" spans="1:46" ht="24.75" customHeight="1">
      <c r="A31" s="595">
        <v>19</v>
      </c>
      <c r="B31" s="595">
        <v>19</v>
      </c>
      <c r="C31" s="595" t="str">
        <f>VLOOKUP(D31,'Mã số nhân viên'!B21:I152,8,0)</f>
        <v>03472</v>
      </c>
      <c r="D31" s="939" t="s">
        <v>199</v>
      </c>
      <c r="E31" s="595"/>
      <c r="F31" s="1109" t="s">
        <v>50</v>
      </c>
      <c r="G31" s="1109" t="s">
        <v>50</v>
      </c>
      <c r="H31" s="1109" t="s">
        <v>50</v>
      </c>
      <c r="I31" s="1109" t="s">
        <v>50</v>
      </c>
      <c r="J31" s="1109" t="s">
        <v>89</v>
      </c>
      <c r="K31" s="1109" t="s">
        <v>50</v>
      </c>
      <c r="L31" s="1109" t="s">
        <v>50</v>
      </c>
      <c r="M31" s="1109" t="s">
        <v>50</v>
      </c>
      <c r="N31" s="1109" t="s">
        <v>50</v>
      </c>
      <c r="O31" s="1109" t="s">
        <v>50</v>
      </c>
      <c r="P31" s="1109" t="s">
        <v>730</v>
      </c>
      <c r="Q31" s="1109" t="s">
        <v>89</v>
      </c>
      <c r="R31" s="1109" t="s">
        <v>50</v>
      </c>
      <c r="S31" s="1109" t="s">
        <v>50</v>
      </c>
      <c r="T31" s="1109" t="s">
        <v>50</v>
      </c>
      <c r="U31" s="1109" t="s">
        <v>50</v>
      </c>
      <c r="V31" s="1109" t="s">
        <v>50</v>
      </c>
      <c r="W31" s="1109" t="s">
        <v>50</v>
      </c>
      <c r="X31" s="1109" t="s">
        <v>89</v>
      </c>
      <c r="Y31" s="1109" t="s">
        <v>50</v>
      </c>
      <c r="Z31" s="1109" t="s">
        <v>50</v>
      </c>
      <c r="AA31" s="1109" t="s">
        <v>50</v>
      </c>
      <c r="AB31" s="1186" t="s">
        <v>50</v>
      </c>
      <c r="AC31" s="1109" t="s">
        <v>50</v>
      </c>
      <c r="AD31" s="1109" t="s">
        <v>50</v>
      </c>
      <c r="AE31" s="1109" t="s">
        <v>89</v>
      </c>
      <c r="AF31" s="1109" t="s">
        <v>50</v>
      </c>
      <c r="AG31" s="1109" t="s">
        <v>50</v>
      </c>
      <c r="AH31" s="1109" t="s">
        <v>50</v>
      </c>
      <c r="AI31" s="1109" t="s">
        <v>50</v>
      </c>
      <c r="AJ31" s="1109" t="s">
        <v>50</v>
      </c>
      <c r="AK31" s="888">
        <f t="shared" si="4"/>
        <v>26</v>
      </c>
      <c r="AL31" s="889">
        <f t="shared" si="5"/>
        <v>4</v>
      </c>
      <c r="AM31" s="888">
        <f t="shared" si="6"/>
        <v>0</v>
      </c>
      <c r="AN31" s="888">
        <f t="shared" si="7"/>
        <v>0</v>
      </c>
      <c r="AO31" s="888">
        <f t="shared" si="8"/>
        <v>0</v>
      </c>
      <c r="AP31" s="889">
        <f t="shared" si="9"/>
        <v>0</v>
      </c>
      <c r="AQ31" s="890">
        <f t="shared" si="10"/>
        <v>30</v>
      </c>
      <c r="AR31" s="891"/>
      <c r="AS31" s="294" t="str">
        <f>VLOOKUP(D31,'Mã số nhân viên'!B21:I93,8,0)</f>
        <v>03472</v>
      </c>
      <c r="AT31" s="886">
        <f t="shared" si="11"/>
        <v>0</v>
      </c>
    </row>
    <row r="32" spans="1:46" ht="24.75" customHeight="1">
      <c r="A32" s="595">
        <v>20</v>
      </c>
      <c r="B32" s="595">
        <v>20</v>
      </c>
      <c r="C32" s="595" t="str">
        <f>VLOOKUP(D32,'Mã số nhân viên'!B22:I153,8,0)</f>
        <v>03473</v>
      </c>
      <c r="D32" s="949" t="s">
        <v>206</v>
      </c>
      <c r="E32" s="595"/>
      <c r="F32" s="1109" t="s">
        <v>50</v>
      </c>
      <c r="G32" s="1109" t="s">
        <v>50</v>
      </c>
      <c r="H32" s="1109" t="s">
        <v>50</v>
      </c>
      <c r="I32" s="1109" t="s">
        <v>50</v>
      </c>
      <c r="J32" s="1109" t="s">
        <v>89</v>
      </c>
      <c r="K32" s="1109" t="s">
        <v>50</v>
      </c>
      <c r="L32" s="1109" t="s">
        <v>50</v>
      </c>
      <c r="M32" s="1109" t="s">
        <v>50</v>
      </c>
      <c r="N32" s="1109" t="s">
        <v>50</v>
      </c>
      <c r="O32" s="1109" t="s">
        <v>50</v>
      </c>
      <c r="P32" s="1109" t="s">
        <v>50</v>
      </c>
      <c r="Q32" s="1109" t="s">
        <v>89</v>
      </c>
      <c r="R32" s="1109" t="s">
        <v>50</v>
      </c>
      <c r="S32" s="1109" t="s">
        <v>50</v>
      </c>
      <c r="T32" s="1109" t="s">
        <v>50</v>
      </c>
      <c r="U32" s="1109" t="s">
        <v>50</v>
      </c>
      <c r="V32" s="1109" t="s">
        <v>50</v>
      </c>
      <c r="W32" s="1109" t="s">
        <v>50</v>
      </c>
      <c r="X32" s="1109" t="s">
        <v>89</v>
      </c>
      <c r="Y32" s="1109" t="s">
        <v>50</v>
      </c>
      <c r="Z32" s="1109" t="s">
        <v>50</v>
      </c>
      <c r="AA32" s="1109" t="s">
        <v>50</v>
      </c>
      <c r="AB32" s="1186" t="s">
        <v>50</v>
      </c>
      <c r="AC32" s="1109" t="s">
        <v>50</v>
      </c>
      <c r="AD32" s="1109" t="s">
        <v>50</v>
      </c>
      <c r="AE32" s="1109" t="s">
        <v>89</v>
      </c>
      <c r="AF32" s="1109" t="s">
        <v>50</v>
      </c>
      <c r="AG32" s="1109" t="s">
        <v>50</v>
      </c>
      <c r="AH32" s="1109" t="s">
        <v>50</v>
      </c>
      <c r="AI32" s="1109" t="s">
        <v>50</v>
      </c>
      <c r="AJ32" s="1109" t="s">
        <v>50</v>
      </c>
      <c r="AK32" s="888">
        <f t="shared" si="4"/>
        <v>27</v>
      </c>
      <c r="AL32" s="889">
        <f t="shared" si="5"/>
        <v>4</v>
      </c>
      <c r="AM32" s="888">
        <f t="shared" si="6"/>
        <v>0</v>
      </c>
      <c r="AN32" s="888">
        <f t="shared" si="7"/>
        <v>0</v>
      </c>
      <c r="AO32" s="888">
        <f t="shared" si="8"/>
        <v>0</v>
      </c>
      <c r="AP32" s="889">
        <f t="shared" si="9"/>
        <v>0</v>
      </c>
      <c r="AQ32" s="890">
        <f t="shared" si="10"/>
        <v>31</v>
      </c>
      <c r="AR32" s="891"/>
      <c r="AS32" s="294" t="str">
        <f>VLOOKUP(D32,'Mã số nhân viên'!B22:I94,8,0)</f>
        <v>03473</v>
      </c>
      <c r="AT32" s="886">
        <f t="shared" si="11"/>
        <v>0</v>
      </c>
    </row>
    <row r="33" spans="1:46" ht="24.75" customHeight="1">
      <c r="A33" s="595">
        <v>21</v>
      </c>
      <c r="B33" s="595">
        <v>21</v>
      </c>
      <c r="C33" s="595" t="str">
        <f>VLOOKUP(D33,'Mã số nhân viên'!B23:I154,8,0)</f>
        <v>03474</v>
      </c>
      <c r="D33" s="935" t="s">
        <v>182</v>
      </c>
      <c r="E33" s="595"/>
      <c r="F33" s="1109" t="s">
        <v>50</v>
      </c>
      <c r="G33" s="1109" t="s">
        <v>50</v>
      </c>
      <c r="H33" s="1109" t="s">
        <v>50</v>
      </c>
      <c r="I33" s="1109" t="s">
        <v>50</v>
      </c>
      <c r="J33" s="1109" t="s">
        <v>89</v>
      </c>
      <c r="K33" s="1109" t="s">
        <v>50</v>
      </c>
      <c r="L33" s="1109" t="s">
        <v>50</v>
      </c>
      <c r="M33" s="1109" t="s">
        <v>50</v>
      </c>
      <c r="N33" s="1109" t="s">
        <v>50</v>
      </c>
      <c r="O33" s="1109" t="s">
        <v>50</v>
      </c>
      <c r="P33" s="1109" t="s">
        <v>50</v>
      </c>
      <c r="Q33" s="1109" t="s">
        <v>89</v>
      </c>
      <c r="R33" s="1109" t="s">
        <v>50</v>
      </c>
      <c r="S33" s="1109" t="s">
        <v>50</v>
      </c>
      <c r="T33" s="1109" t="s">
        <v>50</v>
      </c>
      <c r="U33" s="1109" t="s">
        <v>50</v>
      </c>
      <c r="V33" s="1109" t="s">
        <v>50</v>
      </c>
      <c r="W33" s="1109" t="s">
        <v>50</v>
      </c>
      <c r="X33" s="1109" t="s">
        <v>89</v>
      </c>
      <c r="Y33" s="1109" t="s">
        <v>50</v>
      </c>
      <c r="Z33" s="1109" t="s">
        <v>50</v>
      </c>
      <c r="AA33" s="1109" t="s">
        <v>50</v>
      </c>
      <c r="AB33" s="1186" t="s">
        <v>50</v>
      </c>
      <c r="AC33" s="1109" t="s">
        <v>730</v>
      </c>
      <c r="AD33" s="1109" t="s">
        <v>50</v>
      </c>
      <c r="AE33" s="1109" t="s">
        <v>89</v>
      </c>
      <c r="AF33" s="1182" t="s">
        <v>730</v>
      </c>
      <c r="AG33" s="1109" t="s">
        <v>730</v>
      </c>
      <c r="AH33" s="1109" t="s">
        <v>50</v>
      </c>
      <c r="AI33" s="1109" t="s">
        <v>50</v>
      </c>
      <c r="AJ33" s="1109" t="s">
        <v>50</v>
      </c>
      <c r="AK33" s="888">
        <f t="shared" si="4"/>
        <v>24</v>
      </c>
      <c r="AL33" s="889">
        <f t="shared" si="5"/>
        <v>4</v>
      </c>
      <c r="AM33" s="888">
        <f t="shared" si="6"/>
        <v>0</v>
      </c>
      <c r="AN33" s="888">
        <f t="shared" si="7"/>
        <v>0</v>
      </c>
      <c r="AO33" s="888">
        <f t="shared" si="8"/>
        <v>0</v>
      </c>
      <c r="AP33" s="889">
        <f t="shared" si="9"/>
        <v>0</v>
      </c>
      <c r="AQ33" s="890">
        <f t="shared" si="10"/>
        <v>28</v>
      </c>
      <c r="AR33" s="891"/>
      <c r="AS33" s="294" t="str">
        <f>VLOOKUP(D33,'Mã số nhân viên'!B23:I95,8,0)</f>
        <v>03474</v>
      </c>
      <c r="AT33" s="886">
        <f t="shared" si="11"/>
        <v>0</v>
      </c>
    </row>
    <row r="34" spans="1:46" ht="24.75" customHeight="1">
      <c r="A34" s="595">
        <v>22</v>
      </c>
      <c r="B34" s="595">
        <v>22</v>
      </c>
      <c r="C34" s="595"/>
      <c r="D34" s="950" t="s">
        <v>737</v>
      </c>
      <c r="E34" s="595"/>
      <c r="F34" s="1109" t="s">
        <v>50</v>
      </c>
      <c r="G34" s="1109" t="s">
        <v>50</v>
      </c>
      <c r="H34" s="1109" t="s">
        <v>50</v>
      </c>
      <c r="I34" s="1109" t="s">
        <v>50</v>
      </c>
      <c r="J34" s="1109" t="s">
        <v>89</v>
      </c>
      <c r="K34" s="1109" t="s">
        <v>50</v>
      </c>
      <c r="L34" s="1109" t="s">
        <v>50</v>
      </c>
      <c r="M34" s="1109" t="s">
        <v>50</v>
      </c>
      <c r="N34" s="1109" t="s">
        <v>50</v>
      </c>
      <c r="O34" s="1109" t="s">
        <v>50</v>
      </c>
      <c r="P34" s="1109" t="s">
        <v>50</v>
      </c>
      <c r="Q34" s="1109" t="s">
        <v>89</v>
      </c>
      <c r="R34" s="1109" t="s">
        <v>50</v>
      </c>
      <c r="S34" s="1109" t="s">
        <v>50</v>
      </c>
      <c r="T34" s="1109" t="s">
        <v>50</v>
      </c>
      <c r="U34" s="1109" t="s">
        <v>730</v>
      </c>
      <c r="V34" s="1109" t="s">
        <v>50</v>
      </c>
      <c r="W34" s="1109" t="s">
        <v>50</v>
      </c>
      <c r="X34" s="1109" t="s">
        <v>89</v>
      </c>
      <c r="Y34" s="1109" t="s">
        <v>50</v>
      </c>
      <c r="Z34" s="1109" t="s">
        <v>50</v>
      </c>
      <c r="AA34" s="1109" t="s">
        <v>50</v>
      </c>
      <c r="AB34" s="1186" t="s">
        <v>50</v>
      </c>
      <c r="AC34" s="1109" t="s">
        <v>50</v>
      </c>
      <c r="AD34" s="1109" t="s">
        <v>50</v>
      </c>
      <c r="AE34" s="1109" t="s">
        <v>89</v>
      </c>
      <c r="AF34" s="1109" t="s">
        <v>50</v>
      </c>
      <c r="AG34" s="1109" t="s">
        <v>50</v>
      </c>
      <c r="AH34" s="1109" t="s">
        <v>50</v>
      </c>
      <c r="AI34" s="1109" t="s">
        <v>50</v>
      </c>
      <c r="AJ34" s="1109" t="s">
        <v>50</v>
      </c>
      <c r="AK34" s="888">
        <f t="shared" si="4"/>
        <v>26</v>
      </c>
      <c r="AL34" s="889">
        <f t="shared" si="5"/>
        <v>4</v>
      </c>
      <c r="AM34" s="888">
        <f t="shared" si="6"/>
        <v>0</v>
      </c>
      <c r="AN34" s="888">
        <f t="shared" si="7"/>
        <v>0</v>
      </c>
      <c r="AO34" s="888">
        <f t="shared" si="8"/>
        <v>0</v>
      </c>
      <c r="AP34" s="889">
        <f t="shared" si="9"/>
        <v>0</v>
      </c>
      <c r="AQ34" s="890">
        <f t="shared" si="10"/>
        <v>30</v>
      </c>
      <c r="AR34" s="891"/>
      <c r="AS34" s="294" t="e">
        <f>VLOOKUP(D34,'Mã số nhân viên'!B24:I96,8,0)</f>
        <v>#N/A</v>
      </c>
      <c r="AT34" s="886" t="e">
        <f t="shared" si="11"/>
        <v>#N/A</v>
      </c>
    </row>
    <row r="35" spans="1:46" ht="24.75" customHeight="1">
      <c r="A35" s="595">
        <v>23</v>
      </c>
      <c r="B35" s="595">
        <v>23</v>
      </c>
      <c r="C35" s="595" t="str">
        <f>VLOOKUP(D35,'Mã số nhân viên'!B25:I156,8,0)</f>
        <v>03476</v>
      </c>
      <c r="D35" s="950" t="s">
        <v>207</v>
      </c>
      <c r="E35" s="595"/>
      <c r="F35" s="1109" t="s">
        <v>50</v>
      </c>
      <c r="G35" s="1109" t="s">
        <v>50</v>
      </c>
      <c r="H35" s="1109" t="s">
        <v>50</v>
      </c>
      <c r="I35" s="1109" t="s">
        <v>50</v>
      </c>
      <c r="J35" s="1109" t="s">
        <v>89</v>
      </c>
      <c r="K35" s="1109" t="s">
        <v>50</v>
      </c>
      <c r="L35" s="1109" t="s">
        <v>50</v>
      </c>
      <c r="M35" s="1109" t="s">
        <v>50</v>
      </c>
      <c r="N35" s="1109" t="s">
        <v>50</v>
      </c>
      <c r="O35" s="1109" t="s">
        <v>50</v>
      </c>
      <c r="P35" s="1109" t="s">
        <v>50</v>
      </c>
      <c r="Q35" s="1109" t="s">
        <v>89</v>
      </c>
      <c r="R35" s="1109" t="s">
        <v>50</v>
      </c>
      <c r="S35" s="1109" t="s">
        <v>50</v>
      </c>
      <c r="T35" s="1109" t="s">
        <v>50</v>
      </c>
      <c r="U35" s="1109" t="s">
        <v>50</v>
      </c>
      <c r="V35" s="1109" t="s">
        <v>50</v>
      </c>
      <c r="W35" s="1109" t="s">
        <v>50</v>
      </c>
      <c r="X35" s="1109" t="s">
        <v>89</v>
      </c>
      <c r="Y35" s="1109" t="s">
        <v>50</v>
      </c>
      <c r="Z35" s="1109" t="s">
        <v>50</v>
      </c>
      <c r="AA35" s="1109" t="s">
        <v>50</v>
      </c>
      <c r="AB35" s="1186" t="s">
        <v>50</v>
      </c>
      <c r="AC35" s="1109" t="s">
        <v>50</v>
      </c>
      <c r="AD35" s="1109" t="s">
        <v>50</v>
      </c>
      <c r="AE35" s="1109" t="s">
        <v>89</v>
      </c>
      <c r="AF35" s="1109" t="s">
        <v>50</v>
      </c>
      <c r="AG35" s="1109" t="s">
        <v>50</v>
      </c>
      <c r="AH35" s="1109" t="s">
        <v>50</v>
      </c>
      <c r="AI35" s="1109" t="s">
        <v>50</v>
      </c>
      <c r="AJ35" s="1109" t="s">
        <v>50</v>
      </c>
      <c r="AK35" s="888">
        <f t="shared" si="4"/>
        <v>27</v>
      </c>
      <c r="AL35" s="889">
        <f t="shared" si="5"/>
        <v>4</v>
      </c>
      <c r="AM35" s="888">
        <f t="shared" si="6"/>
        <v>0</v>
      </c>
      <c r="AN35" s="888">
        <f t="shared" si="7"/>
        <v>0</v>
      </c>
      <c r="AO35" s="888">
        <f t="shared" si="8"/>
        <v>0</v>
      </c>
      <c r="AP35" s="889">
        <f t="shared" si="9"/>
        <v>0</v>
      </c>
      <c r="AQ35" s="890">
        <f t="shared" si="10"/>
        <v>31</v>
      </c>
      <c r="AR35" s="891"/>
      <c r="AS35" s="294" t="str">
        <f>VLOOKUP(D35,'Mã số nhân viên'!B25:I97,8,0)</f>
        <v>03476</v>
      </c>
      <c r="AT35" s="886">
        <f t="shared" si="11"/>
        <v>0</v>
      </c>
    </row>
    <row r="36" spans="1:46" ht="24.75" customHeight="1">
      <c r="A36" s="595">
        <v>24</v>
      </c>
      <c r="B36" s="595">
        <v>24</v>
      </c>
      <c r="C36" s="595"/>
      <c r="D36" s="949" t="s">
        <v>506</v>
      </c>
      <c r="E36" s="595"/>
      <c r="F36" s="1109" t="s">
        <v>50</v>
      </c>
      <c r="G36" s="1109" t="s">
        <v>50</v>
      </c>
      <c r="H36" s="1109" t="s">
        <v>50</v>
      </c>
      <c r="I36" s="1109" t="s">
        <v>50</v>
      </c>
      <c r="J36" s="1109" t="s">
        <v>89</v>
      </c>
      <c r="K36" s="1109" t="s">
        <v>50</v>
      </c>
      <c r="L36" s="1109" t="s">
        <v>50</v>
      </c>
      <c r="M36" s="1109" t="s">
        <v>50</v>
      </c>
      <c r="N36" s="1109" t="s">
        <v>50</v>
      </c>
      <c r="O36" s="1109" t="s">
        <v>50</v>
      </c>
      <c r="P36" s="1109" t="s">
        <v>50</v>
      </c>
      <c r="Q36" s="1109" t="s">
        <v>89</v>
      </c>
      <c r="R36" s="1109" t="s">
        <v>50</v>
      </c>
      <c r="S36" s="1109" t="s">
        <v>50</v>
      </c>
      <c r="T36" s="1109" t="s">
        <v>50</v>
      </c>
      <c r="U36" s="1109" t="s">
        <v>50</v>
      </c>
      <c r="V36" s="1109" t="s">
        <v>50</v>
      </c>
      <c r="W36" s="1109" t="s">
        <v>50</v>
      </c>
      <c r="X36" s="1109" t="s">
        <v>89</v>
      </c>
      <c r="Y36" s="1109" t="s">
        <v>50</v>
      </c>
      <c r="Z36" s="1109" t="s">
        <v>50</v>
      </c>
      <c r="AA36" s="1109" t="s">
        <v>50</v>
      </c>
      <c r="AB36" s="1186" t="s">
        <v>50</v>
      </c>
      <c r="AC36" s="1109" t="s">
        <v>50</v>
      </c>
      <c r="AD36" s="1109" t="s">
        <v>50</v>
      </c>
      <c r="AE36" s="1109" t="s">
        <v>89</v>
      </c>
      <c r="AF36" s="1109" t="s">
        <v>50</v>
      </c>
      <c r="AG36" s="1109" t="s">
        <v>50</v>
      </c>
      <c r="AH36" s="1109" t="s">
        <v>50</v>
      </c>
      <c r="AI36" s="1109" t="s">
        <v>50</v>
      </c>
      <c r="AJ36" s="1109" t="s">
        <v>50</v>
      </c>
      <c r="AK36" s="888">
        <f t="shared" si="4"/>
        <v>27</v>
      </c>
      <c r="AL36" s="889">
        <f t="shared" si="5"/>
        <v>4</v>
      </c>
      <c r="AM36" s="888">
        <f t="shared" si="6"/>
        <v>0</v>
      </c>
      <c r="AN36" s="888">
        <f t="shared" si="7"/>
        <v>0</v>
      </c>
      <c r="AO36" s="888">
        <f t="shared" si="8"/>
        <v>0</v>
      </c>
      <c r="AP36" s="889">
        <f t="shared" si="9"/>
        <v>0</v>
      </c>
      <c r="AQ36" s="890">
        <f t="shared" si="10"/>
        <v>31</v>
      </c>
      <c r="AR36" s="891"/>
      <c r="AS36" s="294" t="e">
        <f>VLOOKUP(D36,'Mã số nhân viên'!B26:I98,8,0)</f>
        <v>#N/A</v>
      </c>
      <c r="AT36" s="886" t="e">
        <f t="shared" si="11"/>
        <v>#N/A</v>
      </c>
    </row>
    <row r="37" spans="1:46" ht="24.75" customHeight="1">
      <c r="A37" s="595">
        <v>25</v>
      </c>
      <c r="B37" s="595">
        <v>25</v>
      </c>
      <c r="C37" s="595" t="str">
        <f>VLOOKUP(D37,'Mã số nhân viên'!B27:I158,8,0)</f>
        <v>03478</v>
      </c>
      <c r="D37" s="939" t="s">
        <v>286</v>
      </c>
      <c r="E37" s="595"/>
      <c r="F37" s="1109" t="s">
        <v>50</v>
      </c>
      <c r="G37" s="1109" t="s">
        <v>50</v>
      </c>
      <c r="H37" s="1109" t="s">
        <v>50</v>
      </c>
      <c r="I37" s="1109" t="s">
        <v>50</v>
      </c>
      <c r="J37" s="1109" t="s">
        <v>89</v>
      </c>
      <c r="K37" s="1109" t="s">
        <v>50</v>
      </c>
      <c r="L37" s="1109" t="s">
        <v>50</v>
      </c>
      <c r="M37" s="1109" t="s">
        <v>50</v>
      </c>
      <c r="N37" s="1109" t="s">
        <v>50</v>
      </c>
      <c r="O37" s="1109" t="s">
        <v>50</v>
      </c>
      <c r="P37" s="1109" t="s">
        <v>50</v>
      </c>
      <c r="Q37" s="1109" t="s">
        <v>89</v>
      </c>
      <c r="R37" s="1109" t="s">
        <v>50</v>
      </c>
      <c r="S37" s="1109" t="s">
        <v>50</v>
      </c>
      <c r="T37" s="1109" t="s">
        <v>50</v>
      </c>
      <c r="U37" s="1109" t="s">
        <v>50</v>
      </c>
      <c r="V37" s="1109" t="s">
        <v>50</v>
      </c>
      <c r="W37" s="1109" t="s">
        <v>50</v>
      </c>
      <c r="X37" s="1109" t="s">
        <v>89</v>
      </c>
      <c r="Y37" s="1109" t="s">
        <v>50</v>
      </c>
      <c r="Z37" s="1109" t="s">
        <v>50</v>
      </c>
      <c r="AA37" s="1109" t="s">
        <v>50</v>
      </c>
      <c r="AB37" s="1186" t="s">
        <v>50</v>
      </c>
      <c r="AC37" s="1109" t="s">
        <v>50</v>
      </c>
      <c r="AD37" s="1109" t="s">
        <v>50</v>
      </c>
      <c r="AE37" s="1109" t="s">
        <v>89</v>
      </c>
      <c r="AF37" s="1109" t="s">
        <v>50</v>
      </c>
      <c r="AG37" s="1109" t="s">
        <v>50</v>
      </c>
      <c r="AH37" s="1109" t="s">
        <v>50</v>
      </c>
      <c r="AI37" s="1109" t="s">
        <v>50</v>
      </c>
      <c r="AJ37" s="1109" t="s">
        <v>50</v>
      </c>
      <c r="AK37" s="888">
        <f t="shared" si="4"/>
        <v>27</v>
      </c>
      <c r="AL37" s="889">
        <f t="shared" si="5"/>
        <v>4</v>
      </c>
      <c r="AM37" s="888">
        <f t="shared" si="6"/>
        <v>0</v>
      </c>
      <c r="AN37" s="888">
        <f t="shared" si="7"/>
        <v>0</v>
      </c>
      <c r="AO37" s="888">
        <f t="shared" si="8"/>
        <v>0</v>
      </c>
      <c r="AP37" s="889">
        <f t="shared" si="9"/>
        <v>0</v>
      </c>
      <c r="AQ37" s="890">
        <f t="shared" si="10"/>
        <v>31</v>
      </c>
      <c r="AR37" s="891"/>
      <c r="AS37" s="294" t="str">
        <f>VLOOKUP(D37,'Mã số nhân viên'!B27:I99,8,0)</f>
        <v>03478</v>
      </c>
      <c r="AT37" s="886">
        <f t="shared" si="11"/>
        <v>0</v>
      </c>
    </row>
    <row r="38" spans="1:46" ht="24.75" customHeight="1">
      <c r="A38" s="595">
        <v>26</v>
      </c>
      <c r="B38" s="595">
        <v>26</v>
      </c>
      <c r="C38" s="595" t="str">
        <f>VLOOKUP(D38,'Mã số nhân viên'!B28:I159,8,0)</f>
        <v>03479</v>
      </c>
      <c r="D38" s="949" t="s">
        <v>158</v>
      </c>
      <c r="E38" s="595"/>
      <c r="F38" s="1109" t="s">
        <v>50</v>
      </c>
      <c r="G38" s="1109" t="s">
        <v>50</v>
      </c>
      <c r="H38" s="1109" t="s">
        <v>50</v>
      </c>
      <c r="I38" s="1109" t="s">
        <v>50</v>
      </c>
      <c r="J38" s="1109" t="s">
        <v>89</v>
      </c>
      <c r="K38" s="1109" t="s">
        <v>50</v>
      </c>
      <c r="L38" s="1109" t="s">
        <v>50</v>
      </c>
      <c r="M38" s="1109" t="s">
        <v>50</v>
      </c>
      <c r="N38" s="1109" t="s">
        <v>50</v>
      </c>
      <c r="O38" s="1109" t="s">
        <v>50</v>
      </c>
      <c r="P38" s="1109" t="s">
        <v>50</v>
      </c>
      <c r="Q38" s="1109" t="s">
        <v>89</v>
      </c>
      <c r="R38" s="1109" t="s">
        <v>50</v>
      </c>
      <c r="S38" s="1109" t="s">
        <v>50</v>
      </c>
      <c r="T38" s="1109" t="s">
        <v>730</v>
      </c>
      <c r="U38" s="1109" t="s">
        <v>50</v>
      </c>
      <c r="V38" s="1109" t="s">
        <v>50</v>
      </c>
      <c r="W38" s="1109" t="s">
        <v>50</v>
      </c>
      <c r="X38" s="1109" t="s">
        <v>89</v>
      </c>
      <c r="Y38" s="1109" t="s">
        <v>50</v>
      </c>
      <c r="Z38" s="1109" t="s">
        <v>50</v>
      </c>
      <c r="AA38" s="1109" t="s">
        <v>50</v>
      </c>
      <c r="AB38" s="1186" t="s">
        <v>50</v>
      </c>
      <c r="AC38" s="1109" t="s">
        <v>730</v>
      </c>
      <c r="AD38" s="1109" t="s">
        <v>50</v>
      </c>
      <c r="AE38" s="1109" t="s">
        <v>89</v>
      </c>
      <c r="AF38" s="1109" t="s">
        <v>50</v>
      </c>
      <c r="AG38" s="1109" t="s">
        <v>50</v>
      </c>
      <c r="AH38" s="1109" t="s">
        <v>50</v>
      </c>
      <c r="AI38" s="1109" t="s">
        <v>50</v>
      </c>
      <c r="AJ38" s="1109" t="s">
        <v>50</v>
      </c>
      <c r="AK38" s="888">
        <f t="shared" si="4"/>
        <v>25</v>
      </c>
      <c r="AL38" s="889">
        <f t="shared" si="5"/>
        <v>4</v>
      </c>
      <c r="AM38" s="888">
        <f t="shared" si="6"/>
        <v>0</v>
      </c>
      <c r="AN38" s="888">
        <f t="shared" si="7"/>
        <v>0</v>
      </c>
      <c r="AO38" s="888">
        <f t="shared" si="8"/>
        <v>0</v>
      </c>
      <c r="AP38" s="889">
        <f t="shared" si="9"/>
        <v>0</v>
      </c>
      <c r="AQ38" s="890">
        <f t="shared" si="10"/>
        <v>29</v>
      </c>
      <c r="AR38" s="891"/>
      <c r="AS38" s="294" t="str">
        <f>VLOOKUP(D38,'Mã số nhân viên'!B28:I100,8,0)</f>
        <v>03479</v>
      </c>
      <c r="AT38" s="886">
        <f t="shared" si="11"/>
        <v>0</v>
      </c>
    </row>
    <row r="39" spans="1:46" ht="24.75" customHeight="1">
      <c r="A39" s="595">
        <v>27</v>
      </c>
      <c r="B39" s="595">
        <v>27</v>
      </c>
      <c r="C39" s="595" t="str">
        <f>VLOOKUP(D39,'Mã số nhân viên'!B29:I160,8,0)</f>
        <v>03480</v>
      </c>
      <c r="D39" s="949" t="s">
        <v>156</v>
      </c>
      <c r="E39" s="595"/>
      <c r="F39" s="1109" t="s">
        <v>50</v>
      </c>
      <c r="G39" s="1109" t="s">
        <v>50</v>
      </c>
      <c r="H39" s="1109" t="s">
        <v>50</v>
      </c>
      <c r="I39" s="1109" t="s">
        <v>50</v>
      </c>
      <c r="J39" s="1109" t="s">
        <v>89</v>
      </c>
      <c r="K39" s="1109" t="s">
        <v>50</v>
      </c>
      <c r="L39" s="1109" t="s">
        <v>50</v>
      </c>
      <c r="M39" s="1109" t="s">
        <v>50</v>
      </c>
      <c r="N39" s="1109" t="s">
        <v>50</v>
      </c>
      <c r="O39" s="1109" t="s">
        <v>50</v>
      </c>
      <c r="P39" s="1109" t="s">
        <v>50</v>
      </c>
      <c r="Q39" s="1109" t="s">
        <v>89</v>
      </c>
      <c r="R39" s="1109" t="s">
        <v>50</v>
      </c>
      <c r="S39" s="1109" t="s">
        <v>50</v>
      </c>
      <c r="T39" s="1109" t="s">
        <v>730</v>
      </c>
      <c r="U39" s="1109" t="s">
        <v>50</v>
      </c>
      <c r="V39" s="1109" t="s">
        <v>50</v>
      </c>
      <c r="W39" s="1109" t="s">
        <v>50</v>
      </c>
      <c r="X39" s="1109" t="s">
        <v>89</v>
      </c>
      <c r="Y39" s="1109" t="s">
        <v>50</v>
      </c>
      <c r="Z39" s="1109" t="s">
        <v>50</v>
      </c>
      <c r="AA39" s="1109" t="s">
        <v>50</v>
      </c>
      <c r="AB39" s="1186" t="s">
        <v>50</v>
      </c>
      <c r="AC39" s="1109" t="s">
        <v>730</v>
      </c>
      <c r="AD39" s="1109" t="s">
        <v>50</v>
      </c>
      <c r="AE39" s="1109" t="s">
        <v>89</v>
      </c>
      <c r="AF39" s="1109" t="s">
        <v>50</v>
      </c>
      <c r="AG39" s="1109" t="s">
        <v>50</v>
      </c>
      <c r="AH39" s="1109" t="s">
        <v>50</v>
      </c>
      <c r="AI39" s="1109" t="s">
        <v>50</v>
      </c>
      <c r="AJ39" s="1109" t="s">
        <v>50</v>
      </c>
      <c r="AK39" s="888">
        <f t="shared" si="4"/>
        <v>25</v>
      </c>
      <c r="AL39" s="889">
        <f t="shared" si="5"/>
        <v>4</v>
      </c>
      <c r="AM39" s="888">
        <f t="shared" si="6"/>
        <v>0</v>
      </c>
      <c r="AN39" s="888">
        <f t="shared" si="7"/>
        <v>0</v>
      </c>
      <c r="AO39" s="888">
        <f t="shared" si="8"/>
        <v>0</v>
      </c>
      <c r="AP39" s="889">
        <f t="shared" si="9"/>
        <v>0</v>
      </c>
      <c r="AQ39" s="890">
        <f t="shared" si="10"/>
        <v>29</v>
      </c>
      <c r="AR39" s="891"/>
      <c r="AS39" s="294" t="str">
        <f>VLOOKUP(D39,'Mã số nhân viên'!B29:I101,8,0)</f>
        <v>03480</v>
      </c>
      <c r="AT39" s="886">
        <f t="shared" si="11"/>
        <v>0</v>
      </c>
    </row>
    <row r="40" spans="1:46" ht="24.75" customHeight="1">
      <c r="A40" s="595">
        <v>28</v>
      </c>
      <c r="B40" s="595">
        <v>28</v>
      </c>
      <c r="C40" s="595" t="str">
        <f>VLOOKUP(D40,'Mã số nhân viên'!B30:I161,8,0)</f>
        <v>03481</v>
      </c>
      <c r="D40" s="935" t="s">
        <v>136</v>
      </c>
      <c r="E40" s="595"/>
      <c r="F40" s="1109" t="s">
        <v>50</v>
      </c>
      <c r="G40" s="1109" t="s">
        <v>50</v>
      </c>
      <c r="H40" s="1109" t="s">
        <v>50</v>
      </c>
      <c r="I40" s="1109" t="s">
        <v>50</v>
      </c>
      <c r="J40" s="1109" t="s">
        <v>89</v>
      </c>
      <c r="K40" s="1109" t="s">
        <v>50</v>
      </c>
      <c r="L40" s="1109" t="s">
        <v>50</v>
      </c>
      <c r="M40" s="1109" t="s">
        <v>50</v>
      </c>
      <c r="N40" s="1109" t="s">
        <v>50</v>
      </c>
      <c r="O40" s="1109" t="s">
        <v>50</v>
      </c>
      <c r="P40" s="1109" t="s">
        <v>50</v>
      </c>
      <c r="Q40" s="1109" t="s">
        <v>89</v>
      </c>
      <c r="R40" s="1109" t="s">
        <v>50</v>
      </c>
      <c r="S40" s="1109" t="s">
        <v>50</v>
      </c>
      <c r="T40" s="1109"/>
      <c r="U40" s="1109" t="s">
        <v>50</v>
      </c>
      <c r="V40" s="1109" t="s">
        <v>730</v>
      </c>
      <c r="W40" s="1109" t="s">
        <v>730</v>
      </c>
      <c r="X40" s="1109" t="s">
        <v>730</v>
      </c>
      <c r="Y40" s="1109" t="s">
        <v>50</v>
      </c>
      <c r="Z40" s="1109" t="s">
        <v>50</v>
      </c>
      <c r="AA40" s="1109" t="s">
        <v>50</v>
      </c>
      <c r="AB40" s="1186" t="s">
        <v>50</v>
      </c>
      <c r="AC40" s="1109" t="s">
        <v>50</v>
      </c>
      <c r="AD40" s="1109" t="s">
        <v>50</v>
      </c>
      <c r="AE40" s="1109" t="s">
        <v>89</v>
      </c>
      <c r="AF40" s="1109" t="s">
        <v>50</v>
      </c>
      <c r="AG40" s="1109" t="s">
        <v>50</v>
      </c>
      <c r="AH40" s="1109" t="s">
        <v>50</v>
      </c>
      <c r="AI40" s="1109" t="s">
        <v>50</v>
      </c>
      <c r="AJ40" s="1109" t="s">
        <v>50</v>
      </c>
      <c r="AK40" s="888">
        <f t="shared" si="4"/>
        <v>24</v>
      </c>
      <c r="AL40" s="889">
        <f t="shared" si="5"/>
        <v>3</v>
      </c>
      <c r="AM40" s="888">
        <f t="shared" si="6"/>
        <v>0</v>
      </c>
      <c r="AN40" s="888">
        <f t="shared" si="7"/>
        <v>0</v>
      </c>
      <c r="AO40" s="888">
        <f t="shared" si="8"/>
        <v>0</v>
      </c>
      <c r="AP40" s="889">
        <f t="shared" si="9"/>
        <v>0</v>
      </c>
      <c r="AQ40" s="890">
        <f t="shared" si="10"/>
        <v>27</v>
      </c>
      <c r="AR40" s="891"/>
      <c r="AS40" s="294" t="str">
        <f>VLOOKUP(D40,'Mã số nhân viên'!B30:I102,8,0)</f>
        <v>03481</v>
      </c>
      <c r="AT40" s="886">
        <f t="shared" si="11"/>
        <v>0</v>
      </c>
    </row>
    <row r="41" spans="1:46" ht="24.75" customHeight="1">
      <c r="A41" s="595">
        <v>29</v>
      </c>
      <c r="B41" s="595">
        <v>29</v>
      </c>
      <c r="C41" s="595" t="str">
        <f>VLOOKUP(D41,'Mã số nhân viên'!B31:I162,8,0)</f>
        <v>03482</v>
      </c>
      <c r="D41" s="949" t="s">
        <v>135</v>
      </c>
      <c r="E41" s="595"/>
      <c r="F41" s="1109" t="s">
        <v>50</v>
      </c>
      <c r="G41" s="1109" t="s">
        <v>50</v>
      </c>
      <c r="H41" s="1109" t="s">
        <v>50</v>
      </c>
      <c r="I41" s="1109" t="s">
        <v>50</v>
      </c>
      <c r="J41" s="1109" t="s">
        <v>89</v>
      </c>
      <c r="K41" s="1109" t="s">
        <v>50</v>
      </c>
      <c r="L41" s="1109" t="s">
        <v>50</v>
      </c>
      <c r="M41" s="1109" t="s">
        <v>50</v>
      </c>
      <c r="N41" s="1109" t="s">
        <v>50</v>
      </c>
      <c r="O41" s="1109" t="s">
        <v>50</v>
      </c>
      <c r="P41" s="1109" t="s">
        <v>50</v>
      </c>
      <c r="Q41" s="1109" t="s">
        <v>89</v>
      </c>
      <c r="R41" s="1109" t="s">
        <v>50</v>
      </c>
      <c r="S41" s="1109" t="s">
        <v>50</v>
      </c>
      <c r="T41" s="1109"/>
      <c r="U41" s="1109" t="s">
        <v>50</v>
      </c>
      <c r="V41" s="1109" t="s">
        <v>730</v>
      </c>
      <c r="W41" s="1109" t="s">
        <v>730</v>
      </c>
      <c r="X41" s="1109" t="s">
        <v>730</v>
      </c>
      <c r="Y41" s="1109" t="s">
        <v>50</v>
      </c>
      <c r="Z41" s="1109" t="s">
        <v>50</v>
      </c>
      <c r="AA41" s="1109" t="s">
        <v>50</v>
      </c>
      <c r="AB41" s="1186" t="s">
        <v>50</v>
      </c>
      <c r="AC41" s="1109" t="s">
        <v>50</v>
      </c>
      <c r="AD41" s="1109" t="s">
        <v>50</v>
      </c>
      <c r="AE41" s="1109" t="s">
        <v>89</v>
      </c>
      <c r="AF41" s="1109" t="s">
        <v>50</v>
      </c>
      <c r="AG41" s="1109" t="s">
        <v>50</v>
      </c>
      <c r="AH41" s="1109" t="s">
        <v>50</v>
      </c>
      <c r="AI41" s="1109" t="s">
        <v>50</v>
      </c>
      <c r="AJ41" s="1109" t="s">
        <v>50</v>
      </c>
      <c r="AK41" s="888">
        <f t="shared" si="4"/>
        <v>24</v>
      </c>
      <c r="AL41" s="889">
        <f t="shared" si="5"/>
        <v>3</v>
      </c>
      <c r="AM41" s="888">
        <f t="shared" si="6"/>
        <v>0</v>
      </c>
      <c r="AN41" s="888">
        <f t="shared" si="7"/>
        <v>0</v>
      </c>
      <c r="AO41" s="888">
        <f t="shared" si="8"/>
        <v>0</v>
      </c>
      <c r="AP41" s="889">
        <f t="shared" si="9"/>
        <v>0</v>
      </c>
      <c r="AQ41" s="890">
        <f t="shared" si="10"/>
        <v>27</v>
      </c>
      <c r="AR41" s="891"/>
      <c r="AS41" s="294" t="str">
        <f>VLOOKUP(D41,'Mã số nhân viên'!B31:I103,8,0)</f>
        <v>03482</v>
      </c>
      <c r="AT41" s="886">
        <f t="shared" si="11"/>
        <v>0</v>
      </c>
    </row>
    <row r="42" spans="1:46" ht="24.75" customHeight="1">
      <c r="A42" s="595">
        <v>30</v>
      </c>
      <c r="B42" s="595">
        <v>30</v>
      </c>
      <c r="C42" s="595" t="str">
        <f>VLOOKUP(D42,'Mã số nhân viên'!B32:I163,8,0)</f>
        <v>03483</v>
      </c>
      <c r="D42" s="951" t="s">
        <v>195</v>
      </c>
      <c r="E42" s="595"/>
      <c r="F42" s="1109" t="s">
        <v>50</v>
      </c>
      <c r="G42" s="1109" t="s">
        <v>50</v>
      </c>
      <c r="H42" s="1109" t="s">
        <v>50</v>
      </c>
      <c r="I42" s="1109" t="s">
        <v>730</v>
      </c>
      <c r="J42" s="1109" t="s">
        <v>89</v>
      </c>
      <c r="K42" s="1109" t="s">
        <v>50</v>
      </c>
      <c r="L42" s="1109" t="s">
        <v>50</v>
      </c>
      <c r="M42" s="1109" t="s">
        <v>50</v>
      </c>
      <c r="N42" s="1109" t="s">
        <v>50</v>
      </c>
      <c r="O42" s="1109" t="s">
        <v>50</v>
      </c>
      <c r="P42" s="1109" t="s">
        <v>50</v>
      </c>
      <c r="Q42" s="1109" t="s">
        <v>89</v>
      </c>
      <c r="R42" s="1109" t="s">
        <v>50</v>
      </c>
      <c r="S42" s="1109" t="s">
        <v>50</v>
      </c>
      <c r="T42" s="1109" t="s">
        <v>50</v>
      </c>
      <c r="U42" s="1109" t="s">
        <v>50</v>
      </c>
      <c r="V42" s="1109" t="s">
        <v>50</v>
      </c>
      <c r="W42" s="1109" t="s">
        <v>50</v>
      </c>
      <c r="X42" s="1109" t="s">
        <v>89</v>
      </c>
      <c r="Y42" s="1109" t="s">
        <v>50</v>
      </c>
      <c r="Z42" s="1109" t="s">
        <v>50</v>
      </c>
      <c r="AA42" s="1109" t="s">
        <v>50</v>
      </c>
      <c r="AB42" s="1186" t="s">
        <v>50</v>
      </c>
      <c r="AC42" s="1109" t="s">
        <v>730</v>
      </c>
      <c r="AD42" s="1109" t="s">
        <v>50</v>
      </c>
      <c r="AE42" s="1109" t="s">
        <v>89</v>
      </c>
      <c r="AF42" s="1109" t="s">
        <v>50</v>
      </c>
      <c r="AG42" s="1109" t="s">
        <v>50</v>
      </c>
      <c r="AH42" s="1109" t="s">
        <v>50</v>
      </c>
      <c r="AI42" s="1109" t="s">
        <v>50</v>
      </c>
      <c r="AJ42" s="1109" t="s">
        <v>50</v>
      </c>
      <c r="AK42" s="888">
        <f t="shared" si="4"/>
        <v>25</v>
      </c>
      <c r="AL42" s="889">
        <f t="shared" si="5"/>
        <v>4</v>
      </c>
      <c r="AM42" s="888">
        <f t="shared" si="6"/>
        <v>0</v>
      </c>
      <c r="AN42" s="888">
        <f t="shared" si="7"/>
        <v>0</v>
      </c>
      <c r="AO42" s="888">
        <f t="shared" si="8"/>
        <v>0</v>
      </c>
      <c r="AP42" s="889">
        <f t="shared" si="9"/>
        <v>0</v>
      </c>
      <c r="AQ42" s="890">
        <f t="shared" si="10"/>
        <v>29</v>
      </c>
      <c r="AR42" s="891"/>
      <c r="AS42" s="294" t="str">
        <f>VLOOKUP(D42,'Mã số nhân viên'!B32:I104,8,0)</f>
        <v>03483</v>
      </c>
      <c r="AT42" s="886">
        <f t="shared" si="11"/>
        <v>0</v>
      </c>
    </row>
    <row r="43" spans="1:46" ht="24.75" customHeight="1">
      <c r="A43" s="595">
        <v>31</v>
      </c>
      <c r="B43" s="595">
        <v>31</v>
      </c>
      <c r="C43" s="595" t="str">
        <f>VLOOKUP(D43,'Mã số nhân viên'!B33:I164,8,0)</f>
        <v>03484</v>
      </c>
      <c r="D43" s="950" t="s">
        <v>186</v>
      </c>
      <c r="E43" s="595"/>
      <c r="F43" s="1109" t="s">
        <v>50</v>
      </c>
      <c r="G43" s="1109" t="s">
        <v>50</v>
      </c>
      <c r="H43" s="1109" t="s">
        <v>50</v>
      </c>
      <c r="I43" s="1109" t="s">
        <v>50</v>
      </c>
      <c r="J43" s="1109" t="s">
        <v>89</v>
      </c>
      <c r="K43" s="1109" t="s">
        <v>50</v>
      </c>
      <c r="L43" s="1109" t="s">
        <v>50</v>
      </c>
      <c r="M43" s="1109" t="s">
        <v>50</v>
      </c>
      <c r="N43" s="1109" t="s">
        <v>50</v>
      </c>
      <c r="O43" s="1109" t="s">
        <v>50</v>
      </c>
      <c r="P43" s="1109" t="s">
        <v>50</v>
      </c>
      <c r="Q43" s="1109" t="s">
        <v>89</v>
      </c>
      <c r="R43" s="1109" t="s">
        <v>50</v>
      </c>
      <c r="S43" s="1109" t="s">
        <v>50</v>
      </c>
      <c r="T43" s="1109" t="s">
        <v>50</v>
      </c>
      <c r="U43" s="1109" t="s">
        <v>50</v>
      </c>
      <c r="V43" s="1109" t="s">
        <v>50</v>
      </c>
      <c r="W43" s="1109" t="s">
        <v>50</v>
      </c>
      <c r="X43" s="1109" t="s">
        <v>89</v>
      </c>
      <c r="Y43" s="1109" t="s">
        <v>50</v>
      </c>
      <c r="Z43" s="1109" t="s">
        <v>50</v>
      </c>
      <c r="AA43" s="1109" t="s">
        <v>50</v>
      </c>
      <c r="AB43" s="1186" t="s">
        <v>50</v>
      </c>
      <c r="AC43" s="1109" t="s">
        <v>50</v>
      </c>
      <c r="AD43" s="1109" t="s">
        <v>50</v>
      </c>
      <c r="AE43" s="1109" t="s">
        <v>89</v>
      </c>
      <c r="AF43" s="1109" t="s">
        <v>50</v>
      </c>
      <c r="AG43" s="1109" t="s">
        <v>50</v>
      </c>
      <c r="AH43" s="1109" t="s">
        <v>50</v>
      </c>
      <c r="AI43" s="1109" t="s">
        <v>50</v>
      </c>
      <c r="AJ43" s="1109" t="s">
        <v>50</v>
      </c>
      <c r="AK43" s="888">
        <f t="shared" si="4"/>
        <v>27</v>
      </c>
      <c r="AL43" s="889">
        <f t="shared" si="5"/>
        <v>4</v>
      </c>
      <c r="AM43" s="888">
        <f t="shared" si="6"/>
        <v>0</v>
      </c>
      <c r="AN43" s="888">
        <f t="shared" si="7"/>
        <v>0</v>
      </c>
      <c r="AO43" s="888">
        <f t="shared" si="8"/>
        <v>0</v>
      </c>
      <c r="AP43" s="889">
        <f t="shared" si="9"/>
        <v>0</v>
      </c>
      <c r="AQ43" s="890">
        <f t="shared" si="10"/>
        <v>31</v>
      </c>
      <c r="AR43" s="891"/>
      <c r="AS43" s="294" t="str">
        <f>VLOOKUP(D43,'Mã số nhân viên'!B33:I105,8,0)</f>
        <v>03484</v>
      </c>
      <c r="AT43" s="886">
        <f t="shared" si="11"/>
        <v>0</v>
      </c>
    </row>
    <row r="44" spans="1:46" ht="24.75" customHeight="1">
      <c r="A44" s="595">
        <v>32</v>
      </c>
      <c r="B44" s="595">
        <v>32</v>
      </c>
      <c r="C44" s="595" t="str">
        <f>VLOOKUP(D44,'Mã số nhân viên'!B34:I165,8,0)</f>
        <v>03485</v>
      </c>
      <c r="D44" s="950" t="s">
        <v>187</v>
      </c>
      <c r="E44" s="595"/>
      <c r="F44" s="1109" t="s">
        <v>50</v>
      </c>
      <c r="G44" s="1109" t="s">
        <v>50</v>
      </c>
      <c r="H44" s="1109" t="s">
        <v>50</v>
      </c>
      <c r="I44" s="1109" t="s">
        <v>50</v>
      </c>
      <c r="J44" s="1109" t="s">
        <v>89</v>
      </c>
      <c r="K44" s="1109" t="s">
        <v>50</v>
      </c>
      <c r="L44" s="1109" t="s">
        <v>50</v>
      </c>
      <c r="M44" s="1109" t="s">
        <v>50</v>
      </c>
      <c r="N44" s="1109" t="s">
        <v>50</v>
      </c>
      <c r="O44" s="1109" t="s">
        <v>50</v>
      </c>
      <c r="P44" s="1109" t="s">
        <v>50</v>
      </c>
      <c r="Q44" s="1109" t="s">
        <v>89</v>
      </c>
      <c r="R44" s="1109" t="s">
        <v>50</v>
      </c>
      <c r="S44" s="1109" t="s">
        <v>50</v>
      </c>
      <c r="T44" s="1109" t="s">
        <v>50</v>
      </c>
      <c r="U44" s="1109" t="s">
        <v>50</v>
      </c>
      <c r="V44" s="1109" t="s">
        <v>50</v>
      </c>
      <c r="W44" s="1109" t="s">
        <v>50</v>
      </c>
      <c r="X44" s="1109" t="s">
        <v>89</v>
      </c>
      <c r="Y44" s="1109" t="s">
        <v>50</v>
      </c>
      <c r="Z44" s="1109" t="s">
        <v>50</v>
      </c>
      <c r="AA44" s="1109" t="s">
        <v>50</v>
      </c>
      <c r="AB44" s="1186" t="s">
        <v>50</v>
      </c>
      <c r="AC44" s="1109" t="s">
        <v>50</v>
      </c>
      <c r="AD44" s="1109" t="s">
        <v>50</v>
      </c>
      <c r="AE44" s="1109" t="s">
        <v>89</v>
      </c>
      <c r="AF44" s="1109" t="s">
        <v>50</v>
      </c>
      <c r="AG44" s="1109" t="s">
        <v>50</v>
      </c>
      <c r="AH44" s="1109" t="s">
        <v>50</v>
      </c>
      <c r="AI44" s="1109" t="s">
        <v>50</v>
      </c>
      <c r="AJ44" s="1109" t="s">
        <v>50</v>
      </c>
      <c r="AK44" s="888">
        <f t="shared" si="4"/>
        <v>27</v>
      </c>
      <c r="AL44" s="889">
        <f t="shared" si="5"/>
        <v>4</v>
      </c>
      <c r="AM44" s="888">
        <f t="shared" si="6"/>
        <v>0</v>
      </c>
      <c r="AN44" s="888">
        <f t="shared" si="7"/>
        <v>0</v>
      </c>
      <c r="AO44" s="888">
        <f t="shared" si="8"/>
        <v>0</v>
      </c>
      <c r="AP44" s="889">
        <f t="shared" si="9"/>
        <v>0</v>
      </c>
      <c r="AQ44" s="890">
        <f t="shared" si="10"/>
        <v>31</v>
      </c>
      <c r="AR44" s="891"/>
      <c r="AS44" s="294" t="str">
        <f>VLOOKUP(D44,'Mã số nhân viên'!B34:I106,8,0)</f>
        <v>03485</v>
      </c>
      <c r="AT44" s="886">
        <f t="shared" si="11"/>
        <v>0</v>
      </c>
    </row>
    <row r="45" spans="1:46" ht="24.75" customHeight="1">
      <c r="A45" s="595">
        <v>33</v>
      </c>
      <c r="B45" s="595">
        <v>33</v>
      </c>
      <c r="C45" s="595" t="str">
        <f>VLOOKUP(D45,'Mã số nhân viên'!B35:I166,8,0)</f>
        <v>02712</v>
      </c>
      <c r="D45" s="936" t="s">
        <v>166</v>
      </c>
      <c r="E45" s="595"/>
      <c r="F45" s="1109" t="s">
        <v>50</v>
      </c>
      <c r="G45" s="1109" t="s">
        <v>50</v>
      </c>
      <c r="H45" s="1109" t="s">
        <v>50</v>
      </c>
      <c r="I45" s="1109" t="s">
        <v>50</v>
      </c>
      <c r="J45" s="1109" t="s">
        <v>89</v>
      </c>
      <c r="K45" s="1109" t="s">
        <v>50</v>
      </c>
      <c r="L45" s="1109" t="s">
        <v>50</v>
      </c>
      <c r="M45" s="1109" t="s">
        <v>50</v>
      </c>
      <c r="N45" s="1109" t="s">
        <v>50</v>
      </c>
      <c r="O45" s="1109" t="s">
        <v>50</v>
      </c>
      <c r="P45" s="1109" t="s">
        <v>50</v>
      </c>
      <c r="Q45" s="1109" t="s">
        <v>89</v>
      </c>
      <c r="R45" s="1109" t="s">
        <v>50</v>
      </c>
      <c r="S45" s="1109" t="s">
        <v>50</v>
      </c>
      <c r="T45" s="1109" t="s">
        <v>50</v>
      </c>
      <c r="U45" s="1109" t="s">
        <v>50</v>
      </c>
      <c r="V45" s="1109" t="s">
        <v>50</v>
      </c>
      <c r="W45" s="1109" t="s">
        <v>50</v>
      </c>
      <c r="X45" s="1109" t="s">
        <v>89</v>
      </c>
      <c r="Y45" s="1109" t="s">
        <v>50</v>
      </c>
      <c r="Z45" s="1109" t="s">
        <v>50</v>
      </c>
      <c r="AA45" s="1109" t="s">
        <v>50</v>
      </c>
      <c r="AB45" s="1186"/>
      <c r="AC45" s="1109" t="s">
        <v>50</v>
      </c>
      <c r="AD45" s="1109" t="s">
        <v>50</v>
      </c>
      <c r="AE45" s="1109" t="s">
        <v>89</v>
      </c>
      <c r="AF45" s="1109" t="s">
        <v>50</v>
      </c>
      <c r="AG45" s="1109" t="s">
        <v>50</v>
      </c>
      <c r="AH45" s="1109" t="s">
        <v>50</v>
      </c>
      <c r="AI45" s="1109" t="s">
        <v>50</v>
      </c>
      <c r="AJ45" s="1109" t="s">
        <v>50</v>
      </c>
      <c r="AK45" s="888">
        <f t="shared" si="4"/>
        <v>26</v>
      </c>
      <c r="AL45" s="889">
        <f t="shared" si="5"/>
        <v>4</v>
      </c>
      <c r="AM45" s="888">
        <f t="shared" si="6"/>
        <v>0</v>
      </c>
      <c r="AN45" s="888">
        <f t="shared" si="7"/>
        <v>0</v>
      </c>
      <c r="AO45" s="888">
        <f t="shared" si="8"/>
        <v>0</v>
      </c>
      <c r="AP45" s="889">
        <f t="shared" si="9"/>
        <v>0</v>
      </c>
      <c r="AQ45" s="890">
        <f t="shared" si="10"/>
        <v>30</v>
      </c>
      <c r="AR45" s="891"/>
      <c r="AS45" s="294" t="str">
        <f>VLOOKUP(D45,'Mã số nhân viên'!B35:I107,8,0)</f>
        <v>02712</v>
      </c>
      <c r="AT45" s="886">
        <f t="shared" si="11"/>
        <v>0</v>
      </c>
    </row>
    <row r="46" spans="1:46" ht="24.75" customHeight="1">
      <c r="A46" s="595">
        <v>34</v>
      </c>
      <c r="B46" s="595">
        <v>34</v>
      </c>
      <c r="C46" s="595"/>
      <c r="D46" s="949" t="s">
        <v>738</v>
      </c>
      <c r="E46" s="595"/>
      <c r="F46" s="1109" t="s">
        <v>50</v>
      </c>
      <c r="G46" s="1109" t="s">
        <v>50</v>
      </c>
      <c r="H46" s="1109" t="s">
        <v>50</v>
      </c>
      <c r="I46" s="1109" t="s">
        <v>50</v>
      </c>
      <c r="J46" s="1109" t="s">
        <v>89</v>
      </c>
      <c r="K46" s="1109" t="s">
        <v>50</v>
      </c>
      <c r="L46" s="1109" t="s">
        <v>50</v>
      </c>
      <c r="M46" s="1109" t="s">
        <v>50</v>
      </c>
      <c r="N46" s="1109" t="s">
        <v>50</v>
      </c>
      <c r="O46" s="1109" t="s">
        <v>50</v>
      </c>
      <c r="P46" s="1109" t="s">
        <v>50</v>
      </c>
      <c r="Q46" s="1109" t="s">
        <v>89</v>
      </c>
      <c r="R46" s="1109" t="s">
        <v>50</v>
      </c>
      <c r="S46" s="1109" t="s">
        <v>50</v>
      </c>
      <c r="T46" s="1109"/>
      <c r="U46" s="1109" t="s">
        <v>50</v>
      </c>
      <c r="V46" s="1109" t="s">
        <v>50</v>
      </c>
      <c r="W46" s="1109" t="s">
        <v>50</v>
      </c>
      <c r="X46" s="1109" t="s">
        <v>89</v>
      </c>
      <c r="Y46" s="1109" t="s">
        <v>50</v>
      </c>
      <c r="Z46" s="1109" t="s">
        <v>50</v>
      </c>
      <c r="AA46" s="1109" t="s">
        <v>50</v>
      </c>
      <c r="AB46" s="1186" t="s">
        <v>50</v>
      </c>
      <c r="AC46" s="1109" t="s">
        <v>50</v>
      </c>
      <c r="AD46" s="1109" t="s">
        <v>50</v>
      </c>
      <c r="AE46" s="1109" t="s">
        <v>89</v>
      </c>
      <c r="AF46" s="1109" t="s">
        <v>50</v>
      </c>
      <c r="AG46" s="1109" t="s">
        <v>50</v>
      </c>
      <c r="AH46" s="1109" t="s">
        <v>50</v>
      </c>
      <c r="AI46" s="1109" t="s">
        <v>50</v>
      </c>
      <c r="AJ46" s="1109" t="s">
        <v>50</v>
      </c>
      <c r="AK46" s="888">
        <f t="shared" si="4"/>
        <v>26</v>
      </c>
      <c r="AL46" s="889">
        <f t="shared" si="5"/>
        <v>4</v>
      </c>
      <c r="AM46" s="888">
        <f t="shared" si="6"/>
        <v>0</v>
      </c>
      <c r="AN46" s="888">
        <f t="shared" si="7"/>
        <v>0</v>
      </c>
      <c r="AO46" s="888">
        <f t="shared" si="8"/>
        <v>0</v>
      </c>
      <c r="AP46" s="889">
        <f t="shared" si="9"/>
        <v>0</v>
      </c>
      <c r="AQ46" s="890">
        <f t="shared" si="10"/>
        <v>30</v>
      </c>
      <c r="AR46" s="891"/>
      <c r="AS46" s="294" t="e">
        <f>VLOOKUP(D46,'Mã số nhân viên'!B36:I108,8,0)</f>
        <v>#N/A</v>
      </c>
      <c r="AT46" s="886" t="e">
        <f t="shared" si="11"/>
        <v>#N/A</v>
      </c>
    </row>
    <row r="47" spans="1:46" ht="24.75" customHeight="1">
      <c r="A47" s="595">
        <v>35</v>
      </c>
      <c r="B47" s="595">
        <v>35</v>
      </c>
      <c r="C47" s="595" t="str">
        <f>VLOOKUP(D47,'Mã số nhân viên'!B37:I168,8,0)</f>
        <v>02714</v>
      </c>
      <c r="D47" s="949" t="s">
        <v>167</v>
      </c>
      <c r="E47" s="595"/>
      <c r="F47" s="1109" t="s">
        <v>50</v>
      </c>
      <c r="G47" s="1109" t="s">
        <v>50</v>
      </c>
      <c r="H47" s="1109" t="s">
        <v>50</v>
      </c>
      <c r="I47" s="1109" t="s">
        <v>50</v>
      </c>
      <c r="J47" s="1109" t="s">
        <v>89</v>
      </c>
      <c r="K47" s="1109" t="s">
        <v>50</v>
      </c>
      <c r="L47" s="1109" t="s">
        <v>50</v>
      </c>
      <c r="M47" s="1109" t="s">
        <v>50</v>
      </c>
      <c r="N47" s="1109" t="s">
        <v>50</v>
      </c>
      <c r="O47" s="1109" t="s">
        <v>50</v>
      </c>
      <c r="P47" s="1109" t="s">
        <v>50</v>
      </c>
      <c r="Q47" s="1109" t="s">
        <v>89</v>
      </c>
      <c r="R47" s="1109" t="s">
        <v>50</v>
      </c>
      <c r="S47" s="1109" t="s">
        <v>50</v>
      </c>
      <c r="T47" s="1109" t="s">
        <v>50</v>
      </c>
      <c r="U47" s="1109"/>
      <c r="V47" s="1109" t="s">
        <v>50</v>
      </c>
      <c r="W47" s="1109" t="s">
        <v>50</v>
      </c>
      <c r="X47" s="1109" t="s">
        <v>89</v>
      </c>
      <c r="Y47" s="1109" t="s">
        <v>50</v>
      </c>
      <c r="Z47" s="1109" t="s">
        <v>50</v>
      </c>
      <c r="AA47" s="1109" t="s">
        <v>50</v>
      </c>
      <c r="AB47" s="1186" t="s">
        <v>50</v>
      </c>
      <c r="AC47" s="1109" t="s">
        <v>50</v>
      </c>
      <c r="AD47" s="1109" t="s">
        <v>50</v>
      </c>
      <c r="AE47" s="1109" t="s">
        <v>89</v>
      </c>
      <c r="AF47" s="1109" t="s">
        <v>50</v>
      </c>
      <c r="AG47" s="1109" t="s">
        <v>50</v>
      </c>
      <c r="AH47" s="1109" t="s">
        <v>50</v>
      </c>
      <c r="AI47" s="1109" t="s">
        <v>50</v>
      </c>
      <c r="AJ47" s="1109" t="s">
        <v>50</v>
      </c>
      <c r="AK47" s="888">
        <f t="shared" si="4"/>
        <v>26</v>
      </c>
      <c r="AL47" s="889">
        <f t="shared" si="5"/>
        <v>4</v>
      </c>
      <c r="AM47" s="888">
        <f t="shared" si="6"/>
        <v>0</v>
      </c>
      <c r="AN47" s="888">
        <f t="shared" si="7"/>
        <v>0</v>
      </c>
      <c r="AO47" s="888">
        <f t="shared" si="8"/>
        <v>0</v>
      </c>
      <c r="AP47" s="889">
        <f t="shared" si="9"/>
        <v>0</v>
      </c>
      <c r="AQ47" s="890">
        <f t="shared" si="10"/>
        <v>30</v>
      </c>
      <c r="AR47" s="891"/>
      <c r="AS47" s="294" t="str">
        <f>VLOOKUP(D47,'Mã số nhân viên'!B37:I109,8,0)</f>
        <v>02714</v>
      </c>
      <c r="AT47" s="886">
        <f t="shared" si="11"/>
        <v>0</v>
      </c>
    </row>
    <row r="48" spans="1:46" ht="24.75" customHeight="1">
      <c r="A48" s="595">
        <v>36</v>
      </c>
      <c r="B48" s="595">
        <v>36</v>
      </c>
      <c r="C48" s="595" t="str">
        <f>VLOOKUP(D48,'Mã số nhân viên'!B38:I169,8,0)</f>
        <v>02713</v>
      </c>
      <c r="D48" s="950" t="s">
        <v>168</v>
      </c>
      <c r="E48" s="595"/>
      <c r="F48" s="1109" t="s">
        <v>50</v>
      </c>
      <c r="G48" s="1109" t="s">
        <v>50</v>
      </c>
      <c r="H48" s="1109" t="s">
        <v>50</v>
      </c>
      <c r="I48" s="1109" t="s">
        <v>50</v>
      </c>
      <c r="J48" s="1109" t="s">
        <v>89</v>
      </c>
      <c r="K48" s="1109" t="s">
        <v>50</v>
      </c>
      <c r="L48" s="1109" t="s">
        <v>50</v>
      </c>
      <c r="M48" s="1109" t="s">
        <v>50</v>
      </c>
      <c r="N48" s="1109" t="s">
        <v>50</v>
      </c>
      <c r="O48" s="1109" t="s">
        <v>50</v>
      </c>
      <c r="P48" s="1109" t="s">
        <v>50</v>
      </c>
      <c r="Q48" s="1109" t="s">
        <v>89</v>
      </c>
      <c r="R48" s="1109" t="s">
        <v>50</v>
      </c>
      <c r="S48" s="1109" t="s">
        <v>50</v>
      </c>
      <c r="T48" s="1109" t="s">
        <v>50</v>
      </c>
      <c r="U48" s="1109"/>
      <c r="V48" s="1109" t="s">
        <v>50</v>
      </c>
      <c r="W48" s="1109" t="s">
        <v>50</v>
      </c>
      <c r="X48" s="1109" t="s">
        <v>89</v>
      </c>
      <c r="Y48" s="1109" t="s">
        <v>50</v>
      </c>
      <c r="Z48" s="1109" t="s">
        <v>50</v>
      </c>
      <c r="AA48" s="1109" t="s">
        <v>50</v>
      </c>
      <c r="AB48" s="1186" t="s">
        <v>50</v>
      </c>
      <c r="AC48" s="1109" t="s">
        <v>50</v>
      </c>
      <c r="AD48" s="1109" t="s">
        <v>50</v>
      </c>
      <c r="AE48" s="1109" t="s">
        <v>89</v>
      </c>
      <c r="AF48" s="1109" t="s">
        <v>50</v>
      </c>
      <c r="AG48" s="1109" t="s">
        <v>50</v>
      </c>
      <c r="AH48" s="1109" t="s">
        <v>50</v>
      </c>
      <c r="AI48" s="1109" t="s">
        <v>50</v>
      </c>
      <c r="AJ48" s="1109" t="s">
        <v>50</v>
      </c>
      <c r="AK48" s="888">
        <f t="shared" si="4"/>
        <v>26</v>
      </c>
      <c r="AL48" s="889">
        <f t="shared" si="5"/>
        <v>4</v>
      </c>
      <c r="AM48" s="888">
        <f t="shared" si="6"/>
        <v>0</v>
      </c>
      <c r="AN48" s="888">
        <f t="shared" si="7"/>
        <v>0</v>
      </c>
      <c r="AO48" s="888">
        <f t="shared" si="8"/>
        <v>0</v>
      </c>
      <c r="AP48" s="889">
        <f t="shared" si="9"/>
        <v>0</v>
      </c>
      <c r="AQ48" s="890">
        <f t="shared" si="10"/>
        <v>30</v>
      </c>
      <c r="AR48" s="891"/>
      <c r="AS48" s="294" t="str">
        <f>VLOOKUP(D48,'Mã số nhân viên'!B38:I110,8,0)</f>
        <v>02713</v>
      </c>
      <c r="AT48" s="886">
        <f t="shared" si="11"/>
        <v>0</v>
      </c>
    </row>
    <row r="49" spans="1:46" ht="24.75" customHeight="1">
      <c r="A49" s="595">
        <v>37</v>
      </c>
      <c r="B49" s="595">
        <v>37</v>
      </c>
      <c r="C49" s="595" t="str">
        <f>VLOOKUP(D49,'Mã số nhân viên'!B39:I170,8,0)</f>
        <v>04058</v>
      </c>
      <c r="D49" s="949" t="s">
        <v>496</v>
      </c>
      <c r="E49" s="595"/>
      <c r="F49" s="1109" t="s">
        <v>50</v>
      </c>
      <c r="G49" s="1109" t="s">
        <v>50</v>
      </c>
      <c r="H49" s="1109" t="s">
        <v>50</v>
      </c>
      <c r="I49" s="1109" t="s">
        <v>50</v>
      </c>
      <c r="J49" s="1109" t="s">
        <v>89</v>
      </c>
      <c r="K49" s="1109" t="s">
        <v>50</v>
      </c>
      <c r="L49" s="1109" t="s">
        <v>50</v>
      </c>
      <c r="M49" s="1109" t="s">
        <v>50</v>
      </c>
      <c r="N49" s="1109" t="s">
        <v>50</v>
      </c>
      <c r="O49" s="1109" t="s">
        <v>50</v>
      </c>
      <c r="P49" s="1109" t="s">
        <v>50</v>
      </c>
      <c r="Q49" s="1109" t="s">
        <v>89</v>
      </c>
      <c r="R49" s="1109" t="s">
        <v>50</v>
      </c>
      <c r="S49" s="1109" t="s">
        <v>50</v>
      </c>
      <c r="T49" s="1109" t="s">
        <v>50</v>
      </c>
      <c r="U49" s="1109" t="s">
        <v>50</v>
      </c>
      <c r="V49" s="1109" t="s">
        <v>50</v>
      </c>
      <c r="W49" s="1109" t="s">
        <v>50</v>
      </c>
      <c r="X49" s="1109" t="s">
        <v>89</v>
      </c>
      <c r="Y49" s="1109" t="s">
        <v>50</v>
      </c>
      <c r="Z49" s="1109" t="s">
        <v>50</v>
      </c>
      <c r="AA49" s="1109" t="s">
        <v>50</v>
      </c>
      <c r="AB49" s="1186" t="s">
        <v>50</v>
      </c>
      <c r="AC49" s="1109" t="s">
        <v>50</v>
      </c>
      <c r="AD49" s="1109" t="s">
        <v>50</v>
      </c>
      <c r="AE49" s="1109" t="s">
        <v>89</v>
      </c>
      <c r="AF49" s="1109" t="s">
        <v>50</v>
      </c>
      <c r="AG49" s="1109" t="s">
        <v>50</v>
      </c>
      <c r="AH49" s="1109" t="s">
        <v>50</v>
      </c>
      <c r="AI49" s="1109" t="s">
        <v>50</v>
      </c>
      <c r="AJ49" s="1109" t="s">
        <v>50</v>
      </c>
      <c r="AK49" s="888">
        <f t="shared" si="4"/>
        <v>27</v>
      </c>
      <c r="AL49" s="889">
        <f t="shared" si="5"/>
        <v>4</v>
      </c>
      <c r="AM49" s="888">
        <f t="shared" si="6"/>
        <v>0</v>
      </c>
      <c r="AN49" s="888">
        <f t="shared" si="7"/>
        <v>0</v>
      </c>
      <c r="AO49" s="888">
        <f t="shared" si="8"/>
        <v>0</v>
      </c>
      <c r="AP49" s="889">
        <f t="shared" si="9"/>
        <v>0</v>
      </c>
      <c r="AQ49" s="890">
        <f t="shared" si="10"/>
        <v>31</v>
      </c>
      <c r="AR49" s="891"/>
      <c r="AS49" s="294" t="str">
        <f>VLOOKUP(D49,'Mã số nhân viên'!B39:I111,8,0)</f>
        <v>04058</v>
      </c>
      <c r="AT49" s="886">
        <f t="shared" si="11"/>
        <v>0</v>
      </c>
    </row>
    <row r="50" spans="1:46" ht="24.75" customHeight="1">
      <c r="A50" s="595">
        <v>38</v>
      </c>
      <c r="B50" s="595">
        <v>38</v>
      </c>
      <c r="C50" s="595" t="str">
        <f>VLOOKUP(D50,'Mã số nhân viên'!B40:I171,8,0)</f>
        <v>03487</v>
      </c>
      <c r="D50" s="951" t="s">
        <v>210</v>
      </c>
      <c r="E50" s="595"/>
      <c r="F50" s="1109" t="s">
        <v>50</v>
      </c>
      <c r="G50" s="1109" t="s">
        <v>50</v>
      </c>
      <c r="H50" s="1109" t="s">
        <v>50</v>
      </c>
      <c r="I50" s="1109" t="s">
        <v>50</v>
      </c>
      <c r="J50" s="1109" t="s">
        <v>89</v>
      </c>
      <c r="K50" s="1109" t="s">
        <v>50</v>
      </c>
      <c r="L50" s="1109" t="s">
        <v>50</v>
      </c>
      <c r="M50" s="1109" t="s">
        <v>50</v>
      </c>
      <c r="N50" s="1109" t="s">
        <v>50</v>
      </c>
      <c r="O50" s="1109" t="s">
        <v>50</v>
      </c>
      <c r="P50" s="1109" t="s">
        <v>50</v>
      </c>
      <c r="Q50" s="1109" t="s">
        <v>89</v>
      </c>
      <c r="R50" s="1109" t="s">
        <v>50</v>
      </c>
      <c r="S50" s="1109" t="s">
        <v>50</v>
      </c>
      <c r="T50" s="1109" t="s">
        <v>50</v>
      </c>
      <c r="U50" s="1109" t="s">
        <v>50</v>
      </c>
      <c r="V50" s="1109" t="s">
        <v>50</v>
      </c>
      <c r="W50" s="1109" t="s">
        <v>50</v>
      </c>
      <c r="X50" s="1109" t="s">
        <v>89</v>
      </c>
      <c r="Y50" s="1109" t="s">
        <v>50</v>
      </c>
      <c r="Z50" s="1109" t="s">
        <v>50</v>
      </c>
      <c r="AA50" s="1109" t="s">
        <v>50</v>
      </c>
      <c r="AB50" s="1186" t="s">
        <v>50</v>
      </c>
      <c r="AC50" s="1109" t="s">
        <v>50</v>
      </c>
      <c r="AD50" s="1109" t="s">
        <v>50</v>
      </c>
      <c r="AE50" s="1109" t="s">
        <v>89</v>
      </c>
      <c r="AF50" s="1182" t="s">
        <v>730</v>
      </c>
      <c r="AG50" s="1109" t="s">
        <v>50</v>
      </c>
      <c r="AH50" s="1109" t="s">
        <v>50</v>
      </c>
      <c r="AI50" s="1109" t="s">
        <v>50</v>
      </c>
      <c r="AJ50" s="1109" t="s">
        <v>50</v>
      </c>
      <c r="AK50" s="888">
        <f t="shared" si="4"/>
        <v>26</v>
      </c>
      <c r="AL50" s="889">
        <f t="shared" si="5"/>
        <v>4</v>
      </c>
      <c r="AM50" s="888">
        <f t="shared" si="6"/>
        <v>0</v>
      </c>
      <c r="AN50" s="888">
        <f t="shared" si="7"/>
        <v>0</v>
      </c>
      <c r="AO50" s="888">
        <f t="shared" si="8"/>
        <v>0</v>
      </c>
      <c r="AP50" s="889">
        <f t="shared" si="9"/>
        <v>0</v>
      </c>
      <c r="AQ50" s="890">
        <f t="shared" si="10"/>
        <v>30</v>
      </c>
      <c r="AR50" s="891"/>
      <c r="AS50" s="294" t="str">
        <f>VLOOKUP(D50,'Mã số nhân viên'!B40:I112,8,0)</f>
        <v>03487</v>
      </c>
      <c r="AT50" s="886">
        <f t="shared" si="11"/>
        <v>0</v>
      </c>
    </row>
    <row r="51" spans="1:46" ht="24.75" customHeight="1">
      <c r="A51" s="595">
        <v>39</v>
      </c>
      <c r="B51" s="595">
        <v>39</v>
      </c>
      <c r="C51" s="595" t="str">
        <f>VLOOKUP(D51,'Mã số nhân viên'!B41:I172,8,0)</f>
        <v>03488</v>
      </c>
      <c r="D51" s="949" t="s">
        <v>188</v>
      </c>
      <c r="E51" s="595"/>
      <c r="F51" s="1109" t="s">
        <v>50</v>
      </c>
      <c r="G51" s="1109" t="s">
        <v>50</v>
      </c>
      <c r="H51" s="1109" t="s">
        <v>50</v>
      </c>
      <c r="I51" s="1109" t="s">
        <v>50</v>
      </c>
      <c r="J51" s="1109" t="s">
        <v>89</v>
      </c>
      <c r="K51" s="1109" t="s">
        <v>50</v>
      </c>
      <c r="L51" s="1109" t="s">
        <v>50</v>
      </c>
      <c r="M51" s="1109" t="s">
        <v>50</v>
      </c>
      <c r="N51" s="1109" t="s">
        <v>50</v>
      </c>
      <c r="O51" s="1109" t="s">
        <v>50</v>
      </c>
      <c r="P51" s="1109" t="s">
        <v>730</v>
      </c>
      <c r="Q51" s="1109" t="s">
        <v>730</v>
      </c>
      <c r="R51" s="1109" t="s">
        <v>730</v>
      </c>
      <c r="S51" s="1109" t="s">
        <v>730</v>
      </c>
      <c r="T51" s="1109" t="s">
        <v>730</v>
      </c>
      <c r="U51" s="1109" t="s">
        <v>730</v>
      </c>
      <c r="V51" s="1109" t="s">
        <v>50</v>
      </c>
      <c r="W51" s="1109" t="s">
        <v>50</v>
      </c>
      <c r="X51" s="1109" t="s">
        <v>89</v>
      </c>
      <c r="Y51" s="1109" t="s">
        <v>50</v>
      </c>
      <c r="Z51" s="1109" t="s">
        <v>50</v>
      </c>
      <c r="AA51" s="1109" t="s">
        <v>50</v>
      </c>
      <c r="AB51" s="1186" t="s">
        <v>50</v>
      </c>
      <c r="AC51" s="1109" t="s">
        <v>50</v>
      </c>
      <c r="AD51" s="1109" t="s">
        <v>50</v>
      </c>
      <c r="AE51" s="1109" t="s">
        <v>89</v>
      </c>
      <c r="AF51" s="1109" t="s">
        <v>50</v>
      </c>
      <c r="AG51" s="1109" t="s">
        <v>50</v>
      </c>
      <c r="AH51" s="1109" t="s">
        <v>50</v>
      </c>
      <c r="AI51" s="1109" t="s">
        <v>50</v>
      </c>
      <c r="AJ51" s="1109" t="s">
        <v>50</v>
      </c>
      <c r="AK51" s="888">
        <f t="shared" si="4"/>
        <v>22</v>
      </c>
      <c r="AL51" s="889">
        <f t="shared" si="5"/>
        <v>3</v>
      </c>
      <c r="AM51" s="888">
        <f t="shared" si="6"/>
        <v>0</v>
      </c>
      <c r="AN51" s="888">
        <f t="shared" si="7"/>
        <v>0</v>
      </c>
      <c r="AO51" s="888">
        <f t="shared" si="8"/>
        <v>0</v>
      </c>
      <c r="AP51" s="889">
        <f t="shared" si="9"/>
        <v>0</v>
      </c>
      <c r="AQ51" s="890">
        <f t="shared" si="10"/>
        <v>25</v>
      </c>
      <c r="AR51" s="891"/>
      <c r="AS51" s="294" t="str">
        <f>VLOOKUP(D51,'Mã số nhân viên'!B41:I113,8,0)</f>
        <v>03488</v>
      </c>
      <c r="AT51" s="886">
        <f t="shared" si="11"/>
        <v>0</v>
      </c>
    </row>
    <row r="52" spans="1:46" ht="24.75" customHeight="1">
      <c r="A52" s="595">
        <v>40</v>
      </c>
      <c r="B52" s="595">
        <v>40</v>
      </c>
      <c r="C52" s="595" t="str">
        <f>VLOOKUP(D52,'Mã số nhân viên'!B42:I173,8,0)</f>
        <v>03489</v>
      </c>
      <c r="D52" s="950" t="s">
        <v>196</v>
      </c>
      <c r="E52" s="595"/>
      <c r="F52" s="1109" t="s">
        <v>50</v>
      </c>
      <c r="G52" s="1109" t="s">
        <v>50</v>
      </c>
      <c r="H52" s="1109" t="s">
        <v>50</v>
      </c>
      <c r="I52" s="1109" t="s">
        <v>50</v>
      </c>
      <c r="J52" s="1109" t="s">
        <v>89</v>
      </c>
      <c r="K52" s="1109" t="s">
        <v>50</v>
      </c>
      <c r="L52" s="1109" t="s">
        <v>50</v>
      </c>
      <c r="M52" s="1109" t="s">
        <v>50</v>
      </c>
      <c r="N52" s="1109" t="s">
        <v>50</v>
      </c>
      <c r="O52" s="1109" t="s">
        <v>50</v>
      </c>
      <c r="P52" s="1109" t="s">
        <v>50</v>
      </c>
      <c r="Q52" s="1109" t="s">
        <v>89</v>
      </c>
      <c r="R52" s="1109" t="s">
        <v>50</v>
      </c>
      <c r="S52" s="1109" t="s">
        <v>50</v>
      </c>
      <c r="T52" s="1109" t="s">
        <v>50</v>
      </c>
      <c r="U52" s="1109" t="s">
        <v>50</v>
      </c>
      <c r="V52" s="1109" t="s">
        <v>50</v>
      </c>
      <c r="W52" s="1109" t="s">
        <v>50</v>
      </c>
      <c r="X52" s="1109" t="s">
        <v>89</v>
      </c>
      <c r="Y52" s="1109" t="s">
        <v>50</v>
      </c>
      <c r="Z52" s="1109" t="s">
        <v>50</v>
      </c>
      <c r="AA52" s="1109" t="s">
        <v>50</v>
      </c>
      <c r="AB52" s="1186" t="s">
        <v>50</v>
      </c>
      <c r="AC52" s="1109" t="s">
        <v>50</v>
      </c>
      <c r="AD52" s="1109" t="s">
        <v>50</v>
      </c>
      <c r="AE52" s="1109" t="s">
        <v>89</v>
      </c>
      <c r="AF52" s="1182" t="s">
        <v>730</v>
      </c>
      <c r="AG52" s="1109" t="s">
        <v>50</v>
      </c>
      <c r="AH52" s="1109" t="s">
        <v>50</v>
      </c>
      <c r="AI52" s="1109" t="s">
        <v>50</v>
      </c>
      <c r="AJ52" s="1109" t="s">
        <v>50</v>
      </c>
      <c r="AK52" s="888">
        <f t="shared" si="4"/>
        <v>26</v>
      </c>
      <c r="AL52" s="889">
        <f t="shared" si="5"/>
        <v>4</v>
      </c>
      <c r="AM52" s="888">
        <f t="shared" si="6"/>
        <v>0</v>
      </c>
      <c r="AN52" s="888">
        <f t="shared" si="7"/>
        <v>0</v>
      </c>
      <c r="AO52" s="888">
        <f t="shared" si="8"/>
        <v>0</v>
      </c>
      <c r="AP52" s="889">
        <f t="shared" si="9"/>
        <v>0</v>
      </c>
      <c r="AQ52" s="890">
        <f t="shared" si="10"/>
        <v>30</v>
      </c>
      <c r="AR52" s="891"/>
      <c r="AS52" s="294" t="str">
        <f>VLOOKUP(D52,'Mã số nhân viên'!B42:I114,8,0)</f>
        <v>03489</v>
      </c>
      <c r="AT52" s="886">
        <f t="shared" si="11"/>
        <v>0</v>
      </c>
    </row>
    <row r="53" spans="1:46" ht="24.75" customHeight="1">
      <c r="A53" s="595">
        <v>41</v>
      </c>
      <c r="B53" s="595">
        <v>41</v>
      </c>
      <c r="C53" s="595" t="str">
        <f>VLOOKUP(D53,'Mã số nhân viên'!B43:I174,8,0)</f>
        <v>04059</v>
      </c>
      <c r="D53" s="950" t="s">
        <v>415</v>
      </c>
      <c r="E53" s="595"/>
      <c r="F53" s="1109" t="s">
        <v>50</v>
      </c>
      <c r="G53" s="1109" t="s">
        <v>50</v>
      </c>
      <c r="H53" s="1109" t="s">
        <v>50</v>
      </c>
      <c r="I53" s="1109" t="s">
        <v>50</v>
      </c>
      <c r="J53" s="1109" t="s">
        <v>89</v>
      </c>
      <c r="K53" s="1109" t="s">
        <v>730</v>
      </c>
      <c r="L53" s="1109" t="s">
        <v>50</v>
      </c>
      <c r="M53" s="1109" t="s">
        <v>50</v>
      </c>
      <c r="N53" s="1109" t="s">
        <v>50</v>
      </c>
      <c r="O53" s="1109" t="s">
        <v>50</v>
      </c>
      <c r="P53" s="1109" t="s">
        <v>50</v>
      </c>
      <c r="Q53" s="1109" t="s">
        <v>89</v>
      </c>
      <c r="R53" s="1109" t="s">
        <v>50</v>
      </c>
      <c r="S53" s="1109" t="s">
        <v>50</v>
      </c>
      <c r="T53" s="1109" t="s">
        <v>50</v>
      </c>
      <c r="U53" s="1109" t="s">
        <v>50</v>
      </c>
      <c r="V53" s="1109" t="s">
        <v>50</v>
      </c>
      <c r="W53" s="1109" t="s">
        <v>50</v>
      </c>
      <c r="X53" s="1109" t="s">
        <v>89</v>
      </c>
      <c r="Y53" s="1109" t="s">
        <v>50</v>
      </c>
      <c r="Z53" s="1109" t="s">
        <v>50</v>
      </c>
      <c r="AA53" s="1109" t="s">
        <v>50</v>
      </c>
      <c r="AB53" s="1186" t="s">
        <v>50</v>
      </c>
      <c r="AC53" s="1109" t="s">
        <v>50</v>
      </c>
      <c r="AD53" s="1109" t="s">
        <v>50</v>
      </c>
      <c r="AE53" s="1109" t="s">
        <v>89</v>
      </c>
      <c r="AF53" s="1109" t="s">
        <v>50</v>
      </c>
      <c r="AG53" s="1109" t="s">
        <v>50</v>
      </c>
      <c r="AH53" s="1109" t="s">
        <v>50</v>
      </c>
      <c r="AI53" s="1109" t="s">
        <v>50</v>
      </c>
      <c r="AJ53" s="1109" t="s">
        <v>50</v>
      </c>
      <c r="AK53" s="888">
        <f t="shared" si="4"/>
        <v>26</v>
      </c>
      <c r="AL53" s="889">
        <f t="shared" si="5"/>
        <v>4</v>
      </c>
      <c r="AM53" s="888">
        <f t="shared" si="6"/>
        <v>0</v>
      </c>
      <c r="AN53" s="888">
        <f t="shared" si="7"/>
        <v>0</v>
      </c>
      <c r="AO53" s="888">
        <f t="shared" si="8"/>
        <v>0</v>
      </c>
      <c r="AP53" s="889">
        <f t="shared" si="9"/>
        <v>0</v>
      </c>
      <c r="AQ53" s="890">
        <f t="shared" si="10"/>
        <v>30</v>
      </c>
      <c r="AR53" s="891"/>
      <c r="AS53" s="294" t="str">
        <f>VLOOKUP(D53,'Mã số nhân viên'!B43:I115,8,0)</f>
        <v>04059</v>
      </c>
      <c r="AT53" s="886">
        <f t="shared" si="11"/>
        <v>0</v>
      </c>
    </row>
    <row r="54" spans="1:46" ht="24.75" customHeight="1">
      <c r="A54" s="595">
        <v>42</v>
      </c>
      <c r="B54" s="595">
        <v>42</v>
      </c>
      <c r="C54" s="595" t="str">
        <f>VLOOKUP(D54,'Mã số nhân viên'!B44:I175,8,0)</f>
        <v>03491</v>
      </c>
      <c r="D54" s="935" t="s">
        <v>179</v>
      </c>
      <c r="E54" s="595"/>
      <c r="F54" s="1109" t="s">
        <v>50</v>
      </c>
      <c r="G54" s="1109" t="s">
        <v>50</v>
      </c>
      <c r="H54" s="1109" t="s">
        <v>50</v>
      </c>
      <c r="I54" s="1109" t="s">
        <v>50</v>
      </c>
      <c r="J54" s="1109" t="s">
        <v>89</v>
      </c>
      <c r="K54" s="1109" t="s">
        <v>50</v>
      </c>
      <c r="L54" s="1109" t="s">
        <v>50</v>
      </c>
      <c r="M54" s="1109" t="s">
        <v>50</v>
      </c>
      <c r="N54" s="1109" t="s">
        <v>50</v>
      </c>
      <c r="O54" s="1109" t="s">
        <v>50</v>
      </c>
      <c r="P54" s="1109" t="s">
        <v>50</v>
      </c>
      <c r="Q54" s="1109" t="s">
        <v>89</v>
      </c>
      <c r="R54" s="1109" t="s">
        <v>50</v>
      </c>
      <c r="S54" s="1109" t="s">
        <v>50</v>
      </c>
      <c r="T54" s="1109" t="s">
        <v>50</v>
      </c>
      <c r="U54" s="1109" t="s">
        <v>730</v>
      </c>
      <c r="V54" s="1109" t="s">
        <v>50</v>
      </c>
      <c r="W54" s="1109" t="s">
        <v>50</v>
      </c>
      <c r="X54" s="1109" t="s">
        <v>89</v>
      </c>
      <c r="Y54" s="1109" t="s">
        <v>50</v>
      </c>
      <c r="Z54" s="1109" t="s">
        <v>50</v>
      </c>
      <c r="AA54" s="1109" t="s">
        <v>50</v>
      </c>
      <c r="AB54" s="1186" t="s">
        <v>50</v>
      </c>
      <c r="AC54" s="1109" t="s">
        <v>50</v>
      </c>
      <c r="AD54" s="1109" t="s">
        <v>50</v>
      </c>
      <c r="AE54" s="1109" t="s">
        <v>89</v>
      </c>
      <c r="AF54" s="1109" t="s">
        <v>50</v>
      </c>
      <c r="AG54" s="1109" t="s">
        <v>50</v>
      </c>
      <c r="AH54" s="1109" t="s">
        <v>50</v>
      </c>
      <c r="AI54" s="1109" t="s">
        <v>50</v>
      </c>
      <c r="AJ54" s="1109" t="s">
        <v>50</v>
      </c>
      <c r="AK54" s="888">
        <f t="shared" si="4"/>
        <v>26</v>
      </c>
      <c r="AL54" s="889">
        <f t="shared" si="5"/>
        <v>4</v>
      </c>
      <c r="AM54" s="888">
        <f t="shared" si="6"/>
        <v>0</v>
      </c>
      <c r="AN54" s="888">
        <f t="shared" si="7"/>
        <v>0</v>
      </c>
      <c r="AO54" s="888">
        <f t="shared" si="8"/>
        <v>0</v>
      </c>
      <c r="AP54" s="889">
        <f t="shared" si="9"/>
        <v>0</v>
      </c>
      <c r="AQ54" s="890">
        <f t="shared" si="10"/>
        <v>30</v>
      </c>
      <c r="AR54" s="891"/>
      <c r="AS54" s="294" t="str">
        <f>VLOOKUP(D54,'Mã số nhân viên'!B44:I116,8,0)</f>
        <v>03491</v>
      </c>
      <c r="AT54" s="886">
        <f t="shared" si="11"/>
        <v>0</v>
      </c>
    </row>
    <row r="55" spans="1:46" ht="24.75" customHeight="1">
      <c r="A55" s="595">
        <v>43</v>
      </c>
      <c r="B55" s="595">
        <v>43</v>
      </c>
      <c r="C55" s="595" t="str">
        <f>VLOOKUP(D55,'Mã số nhân viên'!B45:I176,8,0)</f>
        <v>04060</v>
      </c>
      <c r="D55" s="950" t="s">
        <v>477</v>
      </c>
      <c r="E55" s="595"/>
      <c r="F55" s="1109" t="s">
        <v>50</v>
      </c>
      <c r="G55" s="1109" t="s">
        <v>50</v>
      </c>
      <c r="H55" s="1109" t="s">
        <v>50</v>
      </c>
      <c r="I55" s="1109" t="s">
        <v>50</v>
      </c>
      <c r="J55" s="1109" t="s">
        <v>89</v>
      </c>
      <c r="K55" s="1109" t="s">
        <v>50</v>
      </c>
      <c r="L55" s="1109" t="s">
        <v>50</v>
      </c>
      <c r="M55" s="1109" t="s">
        <v>50</v>
      </c>
      <c r="N55" s="1109" t="s">
        <v>50</v>
      </c>
      <c r="O55" s="1109" t="s">
        <v>50</v>
      </c>
      <c r="P55" s="1109" t="s">
        <v>50</v>
      </c>
      <c r="Q55" s="1109" t="s">
        <v>89</v>
      </c>
      <c r="R55" s="1109" t="s">
        <v>50</v>
      </c>
      <c r="S55" s="1109" t="s">
        <v>50</v>
      </c>
      <c r="T55" s="1109" t="s">
        <v>50</v>
      </c>
      <c r="U55" s="1109" t="s">
        <v>50</v>
      </c>
      <c r="V55" s="1109" t="s">
        <v>50</v>
      </c>
      <c r="W55" s="1109" t="s">
        <v>50</v>
      </c>
      <c r="X55" s="1109" t="s">
        <v>89</v>
      </c>
      <c r="Y55" s="1109" t="s">
        <v>50</v>
      </c>
      <c r="Z55" s="1109" t="s">
        <v>50</v>
      </c>
      <c r="AA55" s="1109" t="s">
        <v>50</v>
      </c>
      <c r="AB55" s="1186" t="s">
        <v>50</v>
      </c>
      <c r="AC55" s="1109" t="s">
        <v>50</v>
      </c>
      <c r="AD55" s="1109" t="s">
        <v>50</v>
      </c>
      <c r="AE55" s="1109" t="s">
        <v>89</v>
      </c>
      <c r="AF55" s="1109" t="s">
        <v>50</v>
      </c>
      <c r="AG55" s="1109" t="s">
        <v>50</v>
      </c>
      <c r="AH55" s="1109" t="s">
        <v>50</v>
      </c>
      <c r="AI55" s="1109" t="s">
        <v>50</v>
      </c>
      <c r="AJ55" s="1109" t="s">
        <v>50</v>
      </c>
      <c r="AK55" s="888">
        <f t="shared" si="4"/>
        <v>27</v>
      </c>
      <c r="AL55" s="889">
        <f t="shared" si="5"/>
        <v>4</v>
      </c>
      <c r="AM55" s="888">
        <f t="shared" si="6"/>
        <v>0</v>
      </c>
      <c r="AN55" s="888">
        <f t="shared" si="7"/>
        <v>0</v>
      </c>
      <c r="AO55" s="888">
        <f t="shared" si="8"/>
        <v>0</v>
      </c>
      <c r="AP55" s="889">
        <f t="shared" si="9"/>
        <v>0</v>
      </c>
      <c r="AQ55" s="890">
        <f t="shared" si="10"/>
        <v>31</v>
      </c>
      <c r="AR55" s="891"/>
      <c r="AS55" s="294" t="str">
        <f>VLOOKUP(D55,'Mã số nhân viên'!B45:I117,8,0)</f>
        <v>04060</v>
      </c>
      <c r="AT55" s="886">
        <f t="shared" si="11"/>
        <v>0</v>
      </c>
    </row>
    <row r="56" spans="1:46" ht="24.75" customHeight="1">
      <c r="A56" s="595">
        <v>44</v>
      </c>
      <c r="B56" s="595">
        <v>44</v>
      </c>
      <c r="C56" s="595" t="str">
        <f>VLOOKUP(D56,'Mã số nhân viên'!B46:I177,8,0)</f>
        <v>03492</v>
      </c>
      <c r="D56" s="950" t="s">
        <v>218</v>
      </c>
      <c r="E56" s="595"/>
      <c r="F56" s="1109" t="s">
        <v>50</v>
      </c>
      <c r="G56" s="1109" t="s">
        <v>50</v>
      </c>
      <c r="H56" s="1109" t="s">
        <v>50</v>
      </c>
      <c r="I56" s="1109" t="s">
        <v>50</v>
      </c>
      <c r="J56" s="1109" t="s">
        <v>89</v>
      </c>
      <c r="K56" s="1109" t="s">
        <v>50</v>
      </c>
      <c r="L56" s="1109" t="s">
        <v>50</v>
      </c>
      <c r="M56" s="1109" t="s">
        <v>50</v>
      </c>
      <c r="N56" s="1109" t="s">
        <v>50</v>
      </c>
      <c r="O56" s="1109" t="s">
        <v>50</v>
      </c>
      <c r="P56" s="1109" t="s">
        <v>50</v>
      </c>
      <c r="Q56" s="1109" t="s">
        <v>89</v>
      </c>
      <c r="R56" s="1109" t="s">
        <v>50</v>
      </c>
      <c r="S56" s="1109" t="s">
        <v>50</v>
      </c>
      <c r="T56" s="1109" t="s">
        <v>50</v>
      </c>
      <c r="U56" s="1109" t="s">
        <v>50</v>
      </c>
      <c r="V56" s="1109" t="s">
        <v>50</v>
      </c>
      <c r="W56" s="1109" t="s">
        <v>50</v>
      </c>
      <c r="X56" s="1109" t="s">
        <v>89</v>
      </c>
      <c r="Y56" s="1109" t="s">
        <v>50</v>
      </c>
      <c r="Z56" s="1109" t="s">
        <v>50</v>
      </c>
      <c r="AA56" s="1109" t="s">
        <v>50</v>
      </c>
      <c r="AB56" s="1186" t="s">
        <v>50</v>
      </c>
      <c r="AC56" s="1109" t="s">
        <v>50</v>
      </c>
      <c r="AD56" s="1109" t="s">
        <v>730</v>
      </c>
      <c r="AE56" s="1109" t="s">
        <v>89</v>
      </c>
      <c r="AF56" s="1109" t="s">
        <v>50</v>
      </c>
      <c r="AG56" s="1109" t="s">
        <v>50</v>
      </c>
      <c r="AH56" s="1109" t="s">
        <v>50</v>
      </c>
      <c r="AI56" s="1109" t="s">
        <v>50</v>
      </c>
      <c r="AJ56" s="1109" t="s">
        <v>50</v>
      </c>
      <c r="AK56" s="888">
        <f t="shared" si="4"/>
        <v>26</v>
      </c>
      <c r="AL56" s="889">
        <f t="shared" si="5"/>
        <v>4</v>
      </c>
      <c r="AM56" s="888">
        <f t="shared" si="6"/>
        <v>0</v>
      </c>
      <c r="AN56" s="888">
        <f t="shared" si="7"/>
        <v>0</v>
      </c>
      <c r="AO56" s="888">
        <f t="shared" si="8"/>
        <v>0</v>
      </c>
      <c r="AP56" s="889">
        <f t="shared" si="9"/>
        <v>0</v>
      </c>
      <c r="AQ56" s="890">
        <f t="shared" si="10"/>
        <v>30</v>
      </c>
      <c r="AR56" s="891"/>
      <c r="AS56" s="294" t="str">
        <f>VLOOKUP(D56,'Mã số nhân viên'!B46:I118,8,0)</f>
        <v>03492</v>
      </c>
      <c r="AT56" s="886">
        <f t="shared" si="11"/>
        <v>0</v>
      </c>
    </row>
    <row r="57" spans="1:46" ht="24.75" customHeight="1">
      <c r="A57" s="595">
        <v>45</v>
      </c>
      <c r="B57" s="595">
        <v>45</v>
      </c>
      <c r="C57" s="595" t="str">
        <f>VLOOKUP(D57,'Mã số nhân viên'!B47:I178,8,0)</f>
        <v>03493</v>
      </c>
      <c r="D57" s="949" t="s">
        <v>189</v>
      </c>
      <c r="E57" s="595"/>
      <c r="F57" s="1109" t="s">
        <v>50</v>
      </c>
      <c r="G57" s="1109" t="s">
        <v>50</v>
      </c>
      <c r="H57" s="1109" t="s">
        <v>50</v>
      </c>
      <c r="I57" s="1109" t="s">
        <v>50</v>
      </c>
      <c r="J57" s="1109" t="s">
        <v>89</v>
      </c>
      <c r="K57" s="1109" t="s">
        <v>50</v>
      </c>
      <c r="L57" s="1109" t="s">
        <v>50</v>
      </c>
      <c r="M57" s="1109" t="s">
        <v>50</v>
      </c>
      <c r="N57" s="1109" t="s">
        <v>50</v>
      </c>
      <c r="O57" s="1109" t="s">
        <v>50</v>
      </c>
      <c r="P57" s="1109" t="s">
        <v>50</v>
      </c>
      <c r="Q57" s="1109" t="s">
        <v>89</v>
      </c>
      <c r="R57" s="1109" t="s">
        <v>50</v>
      </c>
      <c r="S57" s="1109" t="s">
        <v>50</v>
      </c>
      <c r="T57" s="1109"/>
      <c r="U57" s="1109" t="s">
        <v>50</v>
      </c>
      <c r="V57" s="1109" t="s">
        <v>50</v>
      </c>
      <c r="W57" s="1109" t="s">
        <v>50</v>
      </c>
      <c r="X57" s="1109" t="s">
        <v>89</v>
      </c>
      <c r="Y57" s="1109" t="s">
        <v>50</v>
      </c>
      <c r="Z57" s="1109" t="s">
        <v>50</v>
      </c>
      <c r="AA57" s="1109" t="s">
        <v>50</v>
      </c>
      <c r="AB57" s="1186" t="s">
        <v>50</v>
      </c>
      <c r="AC57" s="1109" t="s">
        <v>50</v>
      </c>
      <c r="AD57" s="1109" t="s">
        <v>50</v>
      </c>
      <c r="AE57" s="1109" t="s">
        <v>89</v>
      </c>
      <c r="AF57" s="1109" t="s">
        <v>50</v>
      </c>
      <c r="AG57" s="1109" t="s">
        <v>50</v>
      </c>
      <c r="AH57" s="1109" t="s">
        <v>50</v>
      </c>
      <c r="AI57" s="1109" t="s">
        <v>50</v>
      </c>
      <c r="AJ57" s="1109" t="s">
        <v>50</v>
      </c>
      <c r="AK57" s="888">
        <f t="shared" si="4"/>
        <v>26</v>
      </c>
      <c r="AL57" s="889">
        <f t="shared" si="5"/>
        <v>4</v>
      </c>
      <c r="AM57" s="888">
        <f t="shared" si="6"/>
        <v>0</v>
      </c>
      <c r="AN57" s="888">
        <f t="shared" si="7"/>
        <v>0</v>
      </c>
      <c r="AO57" s="888">
        <f t="shared" si="8"/>
        <v>0</v>
      </c>
      <c r="AP57" s="889">
        <f t="shared" si="9"/>
        <v>0</v>
      </c>
      <c r="AQ57" s="890">
        <f t="shared" si="10"/>
        <v>30</v>
      </c>
      <c r="AR57" s="891"/>
      <c r="AS57" s="294" t="str">
        <f>VLOOKUP(D57,'Mã số nhân viên'!B47:I119,8,0)</f>
        <v>03493</v>
      </c>
      <c r="AT57" s="886">
        <f t="shared" si="11"/>
        <v>0</v>
      </c>
    </row>
    <row r="58" spans="1:46" ht="24.75" customHeight="1">
      <c r="A58" s="595">
        <v>46</v>
      </c>
      <c r="B58" s="595">
        <v>46</v>
      </c>
      <c r="C58" s="595" t="str">
        <f>VLOOKUP(D58,'Mã số nhân viên'!B48:I179,8,0)</f>
        <v>03496</v>
      </c>
      <c r="D58" s="949" t="s">
        <v>288</v>
      </c>
      <c r="E58" s="595"/>
      <c r="F58" s="1109" t="s">
        <v>50</v>
      </c>
      <c r="G58" s="1109" t="s">
        <v>50</v>
      </c>
      <c r="H58" s="1109" t="s">
        <v>50</v>
      </c>
      <c r="I58" s="1109" t="s">
        <v>50</v>
      </c>
      <c r="J58" s="1109" t="s">
        <v>89</v>
      </c>
      <c r="K58" s="1109" t="s">
        <v>50</v>
      </c>
      <c r="L58" s="1109" t="s">
        <v>50</v>
      </c>
      <c r="M58" s="1109" t="s">
        <v>50</v>
      </c>
      <c r="N58" s="1109" t="s">
        <v>50</v>
      </c>
      <c r="O58" s="1109" t="s">
        <v>50</v>
      </c>
      <c r="P58" s="1109" t="s">
        <v>50</v>
      </c>
      <c r="Q58" s="1109" t="s">
        <v>89</v>
      </c>
      <c r="R58" s="1109" t="s">
        <v>50</v>
      </c>
      <c r="S58" s="1109" t="s">
        <v>50</v>
      </c>
      <c r="T58" s="1109" t="s">
        <v>50</v>
      </c>
      <c r="U58" s="1109" t="s">
        <v>50</v>
      </c>
      <c r="V58" s="1109" t="s">
        <v>50</v>
      </c>
      <c r="W58" s="1109" t="s">
        <v>50</v>
      </c>
      <c r="X58" s="1109" t="s">
        <v>89</v>
      </c>
      <c r="Y58" s="1109" t="s">
        <v>730</v>
      </c>
      <c r="Z58" s="1109" t="s">
        <v>50</v>
      </c>
      <c r="AA58" s="1109" t="s">
        <v>50</v>
      </c>
      <c r="AB58" s="1186" t="s">
        <v>50</v>
      </c>
      <c r="AC58" s="1109" t="s">
        <v>50</v>
      </c>
      <c r="AD58" s="1109" t="s">
        <v>50</v>
      </c>
      <c r="AE58" s="1109" t="s">
        <v>89</v>
      </c>
      <c r="AF58" s="1109" t="s">
        <v>50</v>
      </c>
      <c r="AG58" s="1109" t="s">
        <v>50</v>
      </c>
      <c r="AH58" s="1109" t="s">
        <v>50</v>
      </c>
      <c r="AI58" s="1109" t="s">
        <v>50</v>
      </c>
      <c r="AJ58" s="1109" t="s">
        <v>50</v>
      </c>
      <c r="AK58" s="888">
        <f t="shared" si="4"/>
        <v>26</v>
      </c>
      <c r="AL58" s="889">
        <f t="shared" si="5"/>
        <v>4</v>
      </c>
      <c r="AM58" s="888">
        <f t="shared" si="6"/>
        <v>0</v>
      </c>
      <c r="AN58" s="888">
        <f t="shared" si="7"/>
        <v>0</v>
      </c>
      <c r="AO58" s="888">
        <f t="shared" si="8"/>
        <v>0</v>
      </c>
      <c r="AP58" s="889">
        <f t="shared" si="9"/>
        <v>0</v>
      </c>
      <c r="AQ58" s="890">
        <f t="shared" si="10"/>
        <v>30</v>
      </c>
      <c r="AR58" s="891"/>
      <c r="AS58" s="294" t="str">
        <f>VLOOKUP(D58,'Mã số nhân viên'!B48:I120,8,0)</f>
        <v>03496</v>
      </c>
      <c r="AT58" s="886">
        <f t="shared" si="11"/>
        <v>0</v>
      </c>
    </row>
    <row r="59" spans="1:46" ht="24.75" customHeight="1">
      <c r="A59" s="595">
        <v>47</v>
      </c>
      <c r="B59" s="595">
        <v>47</v>
      </c>
      <c r="C59" s="595" t="str">
        <f>VLOOKUP(D59,'Mã số nhân viên'!B49:I180,8,0)</f>
        <v>04061</v>
      </c>
      <c r="D59" s="950" t="s">
        <v>478</v>
      </c>
      <c r="E59" s="595"/>
      <c r="F59" s="1109" t="s">
        <v>50</v>
      </c>
      <c r="G59" s="1109" t="s">
        <v>50</v>
      </c>
      <c r="H59" s="1109" t="s">
        <v>50</v>
      </c>
      <c r="I59" s="1109" t="s">
        <v>50</v>
      </c>
      <c r="J59" s="1109" t="s">
        <v>89</v>
      </c>
      <c r="K59" s="1109" t="s">
        <v>50</v>
      </c>
      <c r="L59" s="1109" t="s">
        <v>50</v>
      </c>
      <c r="M59" s="1109" t="s">
        <v>50</v>
      </c>
      <c r="N59" s="1109" t="s">
        <v>50</v>
      </c>
      <c r="O59" s="1109" t="s">
        <v>50</v>
      </c>
      <c r="P59" s="1109" t="s">
        <v>50</v>
      </c>
      <c r="Q59" s="1109" t="s">
        <v>89</v>
      </c>
      <c r="R59" s="1109" t="s">
        <v>50</v>
      </c>
      <c r="S59" s="1109" t="s">
        <v>50</v>
      </c>
      <c r="T59" s="1109" t="s">
        <v>50</v>
      </c>
      <c r="U59" s="1109" t="s">
        <v>50</v>
      </c>
      <c r="V59" s="1109" t="s">
        <v>50</v>
      </c>
      <c r="W59" s="1109" t="s">
        <v>50</v>
      </c>
      <c r="X59" s="1109" t="s">
        <v>89</v>
      </c>
      <c r="Y59" s="1109" t="s">
        <v>730</v>
      </c>
      <c r="Z59" s="1109" t="s">
        <v>50</v>
      </c>
      <c r="AA59" s="1109" t="s">
        <v>50</v>
      </c>
      <c r="AB59" s="1186" t="s">
        <v>50</v>
      </c>
      <c r="AC59" s="1109" t="s">
        <v>50</v>
      </c>
      <c r="AD59" s="1109" t="s">
        <v>50</v>
      </c>
      <c r="AE59" s="1109" t="s">
        <v>89</v>
      </c>
      <c r="AF59" s="1109" t="s">
        <v>50</v>
      </c>
      <c r="AG59" s="1109" t="s">
        <v>50</v>
      </c>
      <c r="AH59" s="1109" t="s">
        <v>50</v>
      </c>
      <c r="AI59" s="1109" t="s">
        <v>50</v>
      </c>
      <c r="AJ59" s="1109" t="s">
        <v>50</v>
      </c>
      <c r="AK59" s="888">
        <f t="shared" si="4"/>
        <v>26</v>
      </c>
      <c r="AL59" s="889">
        <f t="shared" si="5"/>
        <v>4</v>
      </c>
      <c r="AM59" s="888">
        <f t="shared" si="6"/>
        <v>0</v>
      </c>
      <c r="AN59" s="888">
        <f t="shared" si="7"/>
        <v>0</v>
      </c>
      <c r="AO59" s="888">
        <f t="shared" si="8"/>
        <v>0</v>
      </c>
      <c r="AP59" s="889">
        <f t="shared" si="9"/>
        <v>0</v>
      </c>
      <c r="AQ59" s="890">
        <f t="shared" si="10"/>
        <v>30</v>
      </c>
      <c r="AR59" s="891"/>
      <c r="AS59" s="294" t="str">
        <f>VLOOKUP(D59,'Mã số nhân viên'!B49:I121,8,0)</f>
        <v>04061</v>
      </c>
      <c r="AT59" s="886">
        <f t="shared" si="11"/>
        <v>0</v>
      </c>
    </row>
    <row r="60" spans="1:46" ht="24.75" customHeight="1">
      <c r="A60" s="595">
        <v>48</v>
      </c>
      <c r="B60" s="595">
        <v>48</v>
      </c>
      <c r="C60" s="595" t="str">
        <f>VLOOKUP(D60,'Mã số nhân viên'!B50:I181,8,0)</f>
        <v>03494</v>
      </c>
      <c r="D60" s="949" t="s">
        <v>115</v>
      </c>
      <c r="E60" s="595"/>
      <c r="F60" s="1109" t="s">
        <v>50</v>
      </c>
      <c r="G60" s="1109" t="s">
        <v>50</v>
      </c>
      <c r="H60" s="1109" t="s">
        <v>50</v>
      </c>
      <c r="I60" s="1109" t="s">
        <v>50</v>
      </c>
      <c r="J60" s="1109" t="s">
        <v>89</v>
      </c>
      <c r="K60" s="1109" t="s">
        <v>50</v>
      </c>
      <c r="L60" s="1109" t="s">
        <v>50</v>
      </c>
      <c r="M60" s="1109" t="s">
        <v>50</v>
      </c>
      <c r="N60" s="1109" t="s">
        <v>50</v>
      </c>
      <c r="O60" s="1109" t="s">
        <v>50</v>
      </c>
      <c r="P60" s="1109" t="s">
        <v>50</v>
      </c>
      <c r="Q60" s="1109" t="s">
        <v>89</v>
      </c>
      <c r="R60" s="1109" t="s">
        <v>50</v>
      </c>
      <c r="S60" s="1109" t="s">
        <v>50</v>
      </c>
      <c r="T60" s="1109" t="s">
        <v>50</v>
      </c>
      <c r="U60" s="1109" t="s">
        <v>730</v>
      </c>
      <c r="V60" s="1109" t="s">
        <v>50</v>
      </c>
      <c r="W60" s="1109" t="s">
        <v>50</v>
      </c>
      <c r="X60" s="1109" t="s">
        <v>89</v>
      </c>
      <c r="Y60" s="1109" t="s">
        <v>50</v>
      </c>
      <c r="Z60" s="1109" t="s">
        <v>50</v>
      </c>
      <c r="AA60" s="1109" t="s">
        <v>50</v>
      </c>
      <c r="AB60" s="1186" t="s">
        <v>50</v>
      </c>
      <c r="AC60" s="1109" t="s">
        <v>50</v>
      </c>
      <c r="AD60" s="1109" t="s">
        <v>50</v>
      </c>
      <c r="AE60" s="1109" t="s">
        <v>89</v>
      </c>
      <c r="AF60" s="1109" t="s">
        <v>50</v>
      </c>
      <c r="AG60" s="1109" t="s">
        <v>50</v>
      </c>
      <c r="AH60" s="1109" t="s">
        <v>50</v>
      </c>
      <c r="AI60" s="1109" t="s">
        <v>50</v>
      </c>
      <c r="AJ60" s="1109" t="s">
        <v>50</v>
      </c>
      <c r="AK60" s="888">
        <f t="shared" si="4"/>
        <v>26</v>
      </c>
      <c r="AL60" s="889">
        <f t="shared" si="5"/>
        <v>4</v>
      </c>
      <c r="AM60" s="888">
        <f t="shared" si="6"/>
        <v>0</v>
      </c>
      <c r="AN60" s="888">
        <f t="shared" si="7"/>
        <v>0</v>
      </c>
      <c r="AO60" s="888">
        <f t="shared" si="8"/>
        <v>0</v>
      </c>
      <c r="AP60" s="889">
        <f t="shared" si="9"/>
        <v>0</v>
      </c>
      <c r="AQ60" s="890">
        <f t="shared" si="10"/>
        <v>30</v>
      </c>
      <c r="AR60" s="891"/>
      <c r="AS60" s="294" t="str">
        <f>VLOOKUP(D60,'Mã số nhân viên'!B50:I122,8,0)</f>
        <v>03494</v>
      </c>
      <c r="AT60" s="886">
        <f t="shared" si="11"/>
        <v>0</v>
      </c>
    </row>
    <row r="61" spans="1:46" ht="24.75" customHeight="1">
      <c r="A61" s="595">
        <v>49</v>
      </c>
      <c r="B61" s="595">
        <v>49</v>
      </c>
      <c r="C61" s="595" t="str">
        <f>VLOOKUP(D61,'Mã số nhân viên'!B51:I182,8,0)</f>
        <v>03495</v>
      </c>
      <c r="D61" s="949" t="s">
        <v>287</v>
      </c>
      <c r="E61" s="595"/>
      <c r="F61" s="1109" t="s">
        <v>50</v>
      </c>
      <c r="G61" s="1109" t="s">
        <v>50</v>
      </c>
      <c r="H61" s="1109" t="s">
        <v>50</v>
      </c>
      <c r="I61" s="1109" t="s">
        <v>50</v>
      </c>
      <c r="J61" s="1109" t="s">
        <v>89</v>
      </c>
      <c r="K61" s="1109" t="s">
        <v>50</v>
      </c>
      <c r="L61" s="1109" t="s">
        <v>50</v>
      </c>
      <c r="M61" s="1109" t="s">
        <v>50</v>
      </c>
      <c r="N61" s="1109" t="s">
        <v>50</v>
      </c>
      <c r="O61" s="1109" t="s">
        <v>50</v>
      </c>
      <c r="P61" s="1109" t="s">
        <v>50</v>
      </c>
      <c r="Q61" s="1109" t="s">
        <v>89</v>
      </c>
      <c r="R61" s="1109" t="s">
        <v>50</v>
      </c>
      <c r="S61" s="1109" t="s">
        <v>50</v>
      </c>
      <c r="T61" s="1109" t="s">
        <v>50</v>
      </c>
      <c r="U61" s="1109" t="s">
        <v>50</v>
      </c>
      <c r="V61" s="1109" t="s">
        <v>50</v>
      </c>
      <c r="W61" s="1109" t="s">
        <v>50</v>
      </c>
      <c r="X61" s="1109" t="s">
        <v>89</v>
      </c>
      <c r="Y61" s="1109" t="s">
        <v>50</v>
      </c>
      <c r="Z61" s="1109" t="s">
        <v>50</v>
      </c>
      <c r="AA61" s="1109" t="s">
        <v>50</v>
      </c>
      <c r="AB61" s="1186" t="s">
        <v>50</v>
      </c>
      <c r="AC61" s="1109" t="s">
        <v>50</v>
      </c>
      <c r="AD61" s="1109" t="s">
        <v>50</v>
      </c>
      <c r="AE61" s="1109" t="s">
        <v>89</v>
      </c>
      <c r="AF61" s="1109" t="s">
        <v>50</v>
      </c>
      <c r="AG61" s="1109" t="s">
        <v>50</v>
      </c>
      <c r="AH61" s="1109" t="s">
        <v>50</v>
      </c>
      <c r="AI61" s="1109" t="s">
        <v>50</v>
      </c>
      <c r="AJ61" s="1109" t="s">
        <v>50</v>
      </c>
      <c r="AK61" s="888">
        <f t="shared" si="4"/>
        <v>27</v>
      </c>
      <c r="AL61" s="889">
        <f t="shared" si="5"/>
        <v>4</v>
      </c>
      <c r="AM61" s="888">
        <f t="shared" si="6"/>
        <v>0</v>
      </c>
      <c r="AN61" s="888">
        <f t="shared" si="7"/>
        <v>0</v>
      </c>
      <c r="AO61" s="888">
        <f t="shared" si="8"/>
        <v>0</v>
      </c>
      <c r="AP61" s="889">
        <f t="shared" si="9"/>
        <v>0</v>
      </c>
      <c r="AQ61" s="890">
        <f t="shared" si="10"/>
        <v>31</v>
      </c>
      <c r="AR61" s="891"/>
      <c r="AS61" s="294" t="str">
        <f>VLOOKUP(D61,'Mã số nhân viên'!B51:I123,8,0)</f>
        <v>03495</v>
      </c>
      <c r="AT61" s="886">
        <f t="shared" si="11"/>
        <v>0</v>
      </c>
    </row>
    <row r="62" spans="1:46" ht="24.75" customHeight="1">
      <c r="A62" s="595">
        <v>50</v>
      </c>
      <c r="B62" s="595">
        <v>50</v>
      </c>
      <c r="C62" s="595" t="str">
        <f>VLOOKUP(D62,'Mã số nhân viên'!B52:I183,8,0)</f>
        <v>04062</v>
      </c>
      <c r="D62" s="949" t="s">
        <v>479</v>
      </c>
      <c r="E62" s="595"/>
      <c r="F62" s="1109" t="s">
        <v>50</v>
      </c>
      <c r="G62" s="1109" t="s">
        <v>50</v>
      </c>
      <c r="H62" s="1109" t="s">
        <v>50</v>
      </c>
      <c r="I62" s="1109" t="s">
        <v>50</v>
      </c>
      <c r="J62" s="1109" t="s">
        <v>89</v>
      </c>
      <c r="K62" s="1109" t="s">
        <v>50</v>
      </c>
      <c r="L62" s="1109" t="s">
        <v>50</v>
      </c>
      <c r="M62" s="1109" t="s">
        <v>50</v>
      </c>
      <c r="N62" s="1109" t="s">
        <v>50</v>
      </c>
      <c r="O62" s="1109" t="s">
        <v>50</v>
      </c>
      <c r="P62" s="1109" t="s">
        <v>50</v>
      </c>
      <c r="Q62" s="1109" t="s">
        <v>89</v>
      </c>
      <c r="R62" s="1109" t="s">
        <v>50</v>
      </c>
      <c r="S62" s="1109" t="s">
        <v>50</v>
      </c>
      <c r="T62" s="1109" t="s">
        <v>50</v>
      </c>
      <c r="U62" s="1109" t="s">
        <v>50</v>
      </c>
      <c r="V62" s="1109" t="s">
        <v>50</v>
      </c>
      <c r="W62" s="1109" t="s">
        <v>50</v>
      </c>
      <c r="X62" s="1109" t="s">
        <v>89</v>
      </c>
      <c r="Y62" s="1109" t="s">
        <v>50</v>
      </c>
      <c r="Z62" s="1109" t="s">
        <v>50</v>
      </c>
      <c r="AA62" s="1109" t="s">
        <v>50</v>
      </c>
      <c r="AB62" s="1186" t="s">
        <v>50</v>
      </c>
      <c r="AC62" s="1109" t="s">
        <v>50</v>
      </c>
      <c r="AD62" s="1109" t="s">
        <v>50</v>
      </c>
      <c r="AE62" s="1109" t="s">
        <v>89</v>
      </c>
      <c r="AF62" s="1109" t="s">
        <v>50</v>
      </c>
      <c r="AG62" s="1109" t="s">
        <v>50</v>
      </c>
      <c r="AH62" s="1109" t="s">
        <v>50</v>
      </c>
      <c r="AI62" s="1109" t="s">
        <v>50</v>
      </c>
      <c r="AJ62" s="1109" t="s">
        <v>50</v>
      </c>
      <c r="AK62" s="888">
        <f t="shared" si="4"/>
        <v>27</v>
      </c>
      <c r="AL62" s="889">
        <f t="shared" si="5"/>
        <v>4</v>
      </c>
      <c r="AM62" s="888">
        <f t="shared" si="6"/>
        <v>0</v>
      </c>
      <c r="AN62" s="888">
        <f t="shared" si="7"/>
        <v>0</v>
      </c>
      <c r="AO62" s="888">
        <f t="shared" si="8"/>
        <v>0</v>
      </c>
      <c r="AP62" s="889">
        <f t="shared" si="9"/>
        <v>0</v>
      </c>
      <c r="AQ62" s="890">
        <f t="shared" si="10"/>
        <v>31</v>
      </c>
      <c r="AR62" s="891"/>
      <c r="AS62" s="294" t="str">
        <f>VLOOKUP(D62,'Mã số nhân viên'!B52:I124,8,0)</f>
        <v>04062</v>
      </c>
      <c r="AT62" s="886">
        <f t="shared" si="11"/>
        <v>0</v>
      </c>
    </row>
    <row r="63" spans="1:46" ht="24.75" customHeight="1">
      <c r="A63" s="595">
        <v>51</v>
      </c>
      <c r="B63" s="595">
        <v>51</v>
      </c>
      <c r="C63" s="595" t="str">
        <f>VLOOKUP(D63,'Mã số nhân viên'!B53:I184,8,0)</f>
        <v>03497</v>
      </c>
      <c r="D63" s="949" t="s">
        <v>181</v>
      </c>
      <c r="E63" s="595"/>
      <c r="F63" s="1109" t="s">
        <v>50</v>
      </c>
      <c r="G63" s="1109" t="s">
        <v>50</v>
      </c>
      <c r="H63" s="1109" t="s">
        <v>50</v>
      </c>
      <c r="I63" s="1109" t="s">
        <v>50</v>
      </c>
      <c r="J63" s="1109" t="s">
        <v>89</v>
      </c>
      <c r="K63" s="1109" t="s">
        <v>50</v>
      </c>
      <c r="L63" s="1109" t="s">
        <v>50</v>
      </c>
      <c r="M63" s="1109" t="s">
        <v>50</v>
      </c>
      <c r="N63" s="1109" t="s">
        <v>50</v>
      </c>
      <c r="O63" s="1109" t="s">
        <v>50</v>
      </c>
      <c r="P63" s="1109" t="s">
        <v>50</v>
      </c>
      <c r="Q63" s="1109" t="s">
        <v>89</v>
      </c>
      <c r="R63" s="1109" t="s">
        <v>50</v>
      </c>
      <c r="S63" s="1109" t="s">
        <v>50</v>
      </c>
      <c r="T63" s="1109" t="s">
        <v>50</v>
      </c>
      <c r="U63" s="1109" t="s">
        <v>50</v>
      </c>
      <c r="V63" s="1109" t="s">
        <v>50</v>
      </c>
      <c r="W63" s="1109" t="s">
        <v>50</v>
      </c>
      <c r="X63" s="1109" t="s">
        <v>89</v>
      </c>
      <c r="Y63" s="1109" t="s">
        <v>50</v>
      </c>
      <c r="Z63" s="1109" t="s">
        <v>50</v>
      </c>
      <c r="AA63" s="1109" t="s">
        <v>50</v>
      </c>
      <c r="AB63" s="1186" t="s">
        <v>50</v>
      </c>
      <c r="AC63" s="1109" t="s">
        <v>730</v>
      </c>
      <c r="AD63" s="1109" t="s">
        <v>50</v>
      </c>
      <c r="AE63" s="1109" t="s">
        <v>89</v>
      </c>
      <c r="AF63" s="1109" t="s">
        <v>50</v>
      </c>
      <c r="AG63" s="1109" t="s">
        <v>50</v>
      </c>
      <c r="AH63" s="1109" t="s">
        <v>50</v>
      </c>
      <c r="AI63" s="1109" t="s">
        <v>50</v>
      </c>
      <c r="AJ63" s="1109" t="s">
        <v>50</v>
      </c>
      <c r="AK63" s="888">
        <f t="shared" si="4"/>
        <v>26</v>
      </c>
      <c r="AL63" s="889">
        <f t="shared" si="5"/>
        <v>4</v>
      </c>
      <c r="AM63" s="888">
        <f t="shared" si="6"/>
        <v>0</v>
      </c>
      <c r="AN63" s="888">
        <f t="shared" si="7"/>
        <v>0</v>
      </c>
      <c r="AO63" s="888">
        <f t="shared" si="8"/>
        <v>0</v>
      </c>
      <c r="AP63" s="889">
        <f t="shared" si="9"/>
        <v>0</v>
      </c>
      <c r="AQ63" s="890">
        <f t="shared" si="10"/>
        <v>30</v>
      </c>
      <c r="AR63" s="891"/>
      <c r="AS63" s="294" t="str">
        <f>VLOOKUP(D63,'Mã số nhân viên'!B53:I125,8,0)</f>
        <v>03497</v>
      </c>
      <c r="AT63" s="886">
        <f t="shared" si="11"/>
        <v>0</v>
      </c>
    </row>
    <row r="64" spans="1:46" ht="24.75" customHeight="1">
      <c r="A64" s="595">
        <v>52</v>
      </c>
      <c r="B64" s="595">
        <v>52</v>
      </c>
      <c r="C64" s="595" t="str">
        <f>VLOOKUP(D64,'Mã số nhân viên'!B54:I185,8,0)</f>
        <v>03498</v>
      </c>
      <c r="D64" s="950" t="s">
        <v>289</v>
      </c>
      <c r="E64" s="595"/>
      <c r="F64" s="1109" t="s">
        <v>50</v>
      </c>
      <c r="G64" s="1109" t="s">
        <v>50</v>
      </c>
      <c r="H64" s="1109" t="s">
        <v>50</v>
      </c>
      <c r="I64" s="1109" t="s">
        <v>50</v>
      </c>
      <c r="J64" s="1109" t="s">
        <v>89</v>
      </c>
      <c r="K64" s="1109" t="s">
        <v>50</v>
      </c>
      <c r="L64" s="1109" t="s">
        <v>50</v>
      </c>
      <c r="M64" s="1109" t="s">
        <v>50</v>
      </c>
      <c r="N64" s="1109" t="s">
        <v>50</v>
      </c>
      <c r="O64" s="1109" t="s">
        <v>50</v>
      </c>
      <c r="P64" s="1109" t="s">
        <v>50</v>
      </c>
      <c r="Q64" s="1109" t="s">
        <v>89</v>
      </c>
      <c r="R64" s="1109" t="s">
        <v>50</v>
      </c>
      <c r="S64" s="1109" t="s">
        <v>50</v>
      </c>
      <c r="T64" s="1109" t="s">
        <v>50</v>
      </c>
      <c r="U64" s="1109" t="s">
        <v>50</v>
      </c>
      <c r="V64" s="1109" t="s">
        <v>50</v>
      </c>
      <c r="W64" s="1109" t="s">
        <v>50</v>
      </c>
      <c r="X64" s="1109" t="s">
        <v>89</v>
      </c>
      <c r="Y64" s="1109" t="s">
        <v>50</v>
      </c>
      <c r="Z64" s="1109" t="s">
        <v>50</v>
      </c>
      <c r="AA64" s="1109" t="s">
        <v>50</v>
      </c>
      <c r="AB64" s="1186" t="s">
        <v>50</v>
      </c>
      <c r="AC64" s="1109" t="s">
        <v>730</v>
      </c>
      <c r="AD64" s="1109" t="s">
        <v>50</v>
      </c>
      <c r="AE64" s="1109" t="s">
        <v>89</v>
      </c>
      <c r="AF64" s="1109" t="s">
        <v>50</v>
      </c>
      <c r="AG64" s="1109" t="s">
        <v>50</v>
      </c>
      <c r="AH64" s="1109" t="s">
        <v>50</v>
      </c>
      <c r="AI64" s="1109" t="s">
        <v>50</v>
      </c>
      <c r="AJ64" s="1109" t="s">
        <v>50</v>
      </c>
      <c r="AK64" s="888">
        <f t="shared" si="4"/>
        <v>26</v>
      </c>
      <c r="AL64" s="889">
        <f t="shared" si="5"/>
        <v>4</v>
      </c>
      <c r="AM64" s="888">
        <f t="shared" si="6"/>
        <v>0</v>
      </c>
      <c r="AN64" s="888">
        <f t="shared" si="7"/>
        <v>0</v>
      </c>
      <c r="AO64" s="888">
        <f t="shared" si="8"/>
        <v>0</v>
      </c>
      <c r="AP64" s="889">
        <f t="shared" si="9"/>
        <v>0</v>
      </c>
      <c r="AQ64" s="890">
        <f t="shared" si="10"/>
        <v>30</v>
      </c>
      <c r="AR64" s="891"/>
      <c r="AS64" s="294" t="str">
        <f>VLOOKUP(D64,'Mã số nhân viên'!B54:I126,8,0)</f>
        <v>03498</v>
      </c>
      <c r="AT64" s="886">
        <f t="shared" si="11"/>
        <v>0</v>
      </c>
    </row>
    <row r="65" spans="1:46" ht="24.75" customHeight="1">
      <c r="A65" s="595">
        <v>53</v>
      </c>
      <c r="B65" s="595">
        <v>53</v>
      </c>
      <c r="C65" s="595" t="str">
        <f>VLOOKUP(D65,'Mã số nhân viên'!B55:I186,8,0)</f>
        <v>02706</v>
      </c>
      <c r="D65" s="950" t="s">
        <v>116</v>
      </c>
      <c r="E65" s="595"/>
      <c r="F65" s="1109" t="s">
        <v>50</v>
      </c>
      <c r="G65" s="1109" t="s">
        <v>50</v>
      </c>
      <c r="H65" s="1109" t="s">
        <v>50</v>
      </c>
      <c r="I65" s="1109" t="s">
        <v>50</v>
      </c>
      <c r="J65" s="1109" t="s">
        <v>89</v>
      </c>
      <c r="K65" s="1109" t="s">
        <v>50</v>
      </c>
      <c r="L65" s="1109" t="s">
        <v>50</v>
      </c>
      <c r="M65" s="1109" t="s">
        <v>50</v>
      </c>
      <c r="N65" s="1109" t="s">
        <v>50</v>
      </c>
      <c r="O65" s="1109" t="s">
        <v>50</v>
      </c>
      <c r="P65" s="1109" t="s">
        <v>50</v>
      </c>
      <c r="Q65" s="1109" t="s">
        <v>89</v>
      </c>
      <c r="R65" s="1109" t="s">
        <v>50</v>
      </c>
      <c r="S65" s="1109" t="s">
        <v>50</v>
      </c>
      <c r="T65" s="1109" t="s">
        <v>50</v>
      </c>
      <c r="U65" s="1109" t="s">
        <v>50</v>
      </c>
      <c r="V65" s="1109" t="s">
        <v>50</v>
      </c>
      <c r="W65" s="1109" t="s">
        <v>50</v>
      </c>
      <c r="X65" s="1109" t="s">
        <v>89</v>
      </c>
      <c r="Y65" s="1109" t="s">
        <v>50</v>
      </c>
      <c r="Z65" s="1109" t="s">
        <v>50</v>
      </c>
      <c r="AA65" s="1109" t="s">
        <v>50</v>
      </c>
      <c r="AB65" s="1186" t="s">
        <v>50</v>
      </c>
      <c r="AC65" s="1109" t="s">
        <v>50</v>
      </c>
      <c r="AD65" s="1109" t="s">
        <v>50</v>
      </c>
      <c r="AE65" s="1109" t="s">
        <v>89</v>
      </c>
      <c r="AF65" s="1109" t="s">
        <v>50</v>
      </c>
      <c r="AG65" s="1109" t="s">
        <v>50</v>
      </c>
      <c r="AH65" s="1109" t="s">
        <v>50</v>
      </c>
      <c r="AI65" s="1109" t="s">
        <v>50</v>
      </c>
      <c r="AJ65" s="1109" t="s">
        <v>50</v>
      </c>
      <c r="AK65" s="888">
        <f t="shared" si="4"/>
        <v>27</v>
      </c>
      <c r="AL65" s="889">
        <f t="shared" si="5"/>
        <v>4</v>
      </c>
      <c r="AM65" s="888">
        <f t="shared" si="6"/>
        <v>0</v>
      </c>
      <c r="AN65" s="888">
        <f t="shared" si="7"/>
        <v>0</v>
      </c>
      <c r="AO65" s="888">
        <f t="shared" si="8"/>
        <v>0</v>
      </c>
      <c r="AP65" s="889">
        <f t="shared" si="9"/>
        <v>0</v>
      </c>
      <c r="AQ65" s="890">
        <f t="shared" si="10"/>
        <v>31</v>
      </c>
      <c r="AR65" s="891"/>
      <c r="AS65" s="294" t="str">
        <f>VLOOKUP(D65,'Mã số nhân viên'!B55:I127,8,0)</f>
        <v>02706</v>
      </c>
      <c r="AT65" s="886">
        <f t="shared" si="11"/>
        <v>0</v>
      </c>
    </row>
    <row r="66" spans="1:46" ht="24.75" customHeight="1">
      <c r="A66" s="595">
        <v>54</v>
      </c>
      <c r="B66" s="595">
        <v>54</v>
      </c>
      <c r="C66" s="595"/>
      <c r="D66" s="949" t="s">
        <v>739</v>
      </c>
      <c r="E66" s="595"/>
      <c r="F66" s="1109" t="s">
        <v>50</v>
      </c>
      <c r="G66" s="1109" t="s">
        <v>50</v>
      </c>
      <c r="H66" s="1109" t="s">
        <v>50</v>
      </c>
      <c r="I66" s="1109" t="s">
        <v>50</v>
      </c>
      <c r="J66" s="1109" t="s">
        <v>89</v>
      </c>
      <c r="K66" s="1109" t="s">
        <v>50</v>
      </c>
      <c r="L66" s="1109" t="s">
        <v>50</v>
      </c>
      <c r="M66" s="1109" t="s">
        <v>50</v>
      </c>
      <c r="N66" s="1109" t="s">
        <v>50</v>
      </c>
      <c r="O66" s="1109" t="s">
        <v>50</v>
      </c>
      <c r="P66" s="1109" t="s">
        <v>50</v>
      </c>
      <c r="Q66" s="1109" t="s">
        <v>89</v>
      </c>
      <c r="R66" s="1109" t="s">
        <v>50</v>
      </c>
      <c r="S66" s="1109" t="s">
        <v>50</v>
      </c>
      <c r="T66" s="1109" t="s">
        <v>50</v>
      </c>
      <c r="U66" s="1109" t="s">
        <v>50</v>
      </c>
      <c r="V66" s="1109" t="s">
        <v>50</v>
      </c>
      <c r="W66" s="1109" t="s">
        <v>50</v>
      </c>
      <c r="X66" s="1109" t="s">
        <v>89</v>
      </c>
      <c r="Y66" s="1109" t="s">
        <v>50</v>
      </c>
      <c r="Z66" s="1109" t="s">
        <v>50</v>
      </c>
      <c r="AA66" s="1109" t="s">
        <v>50</v>
      </c>
      <c r="AB66" s="1186" t="s">
        <v>50</v>
      </c>
      <c r="AC66" s="1109" t="s">
        <v>50</v>
      </c>
      <c r="AD66" s="1109" t="s">
        <v>50</v>
      </c>
      <c r="AE66" s="1109" t="s">
        <v>89</v>
      </c>
      <c r="AF66" s="1109" t="s">
        <v>50</v>
      </c>
      <c r="AG66" s="1109" t="s">
        <v>50</v>
      </c>
      <c r="AH66" s="1109" t="s">
        <v>50</v>
      </c>
      <c r="AI66" s="1109" t="s">
        <v>50</v>
      </c>
      <c r="AJ66" s="1109" t="s">
        <v>50</v>
      </c>
      <c r="AK66" s="888">
        <f t="shared" si="4"/>
        <v>27</v>
      </c>
      <c r="AL66" s="889">
        <f t="shared" si="5"/>
        <v>4</v>
      </c>
      <c r="AM66" s="888">
        <f t="shared" si="6"/>
        <v>0</v>
      </c>
      <c r="AN66" s="888">
        <f t="shared" si="7"/>
        <v>0</v>
      </c>
      <c r="AO66" s="888">
        <f t="shared" si="8"/>
        <v>0</v>
      </c>
      <c r="AP66" s="889">
        <f t="shared" si="9"/>
        <v>0</v>
      </c>
      <c r="AQ66" s="890">
        <f t="shared" si="10"/>
        <v>31</v>
      </c>
      <c r="AR66" s="891"/>
      <c r="AS66" s="294" t="e">
        <f>VLOOKUP(D66,'Mã số nhân viên'!B56:I128,8,0)</f>
        <v>#N/A</v>
      </c>
      <c r="AT66" s="886" t="e">
        <f t="shared" si="11"/>
        <v>#N/A</v>
      </c>
    </row>
    <row r="67" spans="1:46" ht="24.75" customHeight="1">
      <c r="A67" s="595">
        <v>55</v>
      </c>
      <c r="B67" s="595">
        <v>55</v>
      </c>
      <c r="C67" s="595" t="str">
        <f>VLOOKUP(D67,'Mã số nhân viên'!B57:I188,8,0)</f>
        <v>04064</v>
      </c>
      <c r="D67" s="949" t="s">
        <v>314</v>
      </c>
      <c r="E67" s="595"/>
      <c r="F67" s="1109" t="s">
        <v>50</v>
      </c>
      <c r="G67" s="1109" t="s">
        <v>50</v>
      </c>
      <c r="H67" s="1109" t="s">
        <v>50</v>
      </c>
      <c r="I67" s="1109" t="s">
        <v>50</v>
      </c>
      <c r="J67" s="1109" t="s">
        <v>89</v>
      </c>
      <c r="K67" s="1109" t="s">
        <v>50</v>
      </c>
      <c r="L67" s="1109" t="s">
        <v>50</v>
      </c>
      <c r="M67" s="1109" t="s">
        <v>50</v>
      </c>
      <c r="N67" s="1109" t="s">
        <v>50</v>
      </c>
      <c r="O67" s="1109" t="s">
        <v>50</v>
      </c>
      <c r="P67" s="1109" t="s">
        <v>50</v>
      </c>
      <c r="Q67" s="1109" t="s">
        <v>89</v>
      </c>
      <c r="R67" s="1109" t="s">
        <v>50</v>
      </c>
      <c r="S67" s="1109" t="s">
        <v>50</v>
      </c>
      <c r="T67" s="1109" t="s">
        <v>50</v>
      </c>
      <c r="U67" s="1109" t="s">
        <v>50</v>
      </c>
      <c r="V67" s="1109" t="s">
        <v>50</v>
      </c>
      <c r="W67" s="1109" t="s">
        <v>50</v>
      </c>
      <c r="X67" s="1109" t="s">
        <v>89</v>
      </c>
      <c r="Y67" s="1109" t="s">
        <v>50</v>
      </c>
      <c r="Z67" s="1109" t="s">
        <v>50</v>
      </c>
      <c r="AA67" s="1109" t="s">
        <v>50</v>
      </c>
      <c r="AB67" s="1186" t="s">
        <v>50</v>
      </c>
      <c r="AC67" s="1109" t="s">
        <v>50</v>
      </c>
      <c r="AD67" s="1109" t="s">
        <v>50</v>
      </c>
      <c r="AE67" s="1109" t="s">
        <v>89</v>
      </c>
      <c r="AF67" s="1109" t="s">
        <v>50</v>
      </c>
      <c r="AG67" s="1109" t="s">
        <v>50</v>
      </c>
      <c r="AH67" s="1109" t="s">
        <v>50</v>
      </c>
      <c r="AI67" s="1109" t="s">
        <v>50</v>
      </c>
      <c r="AJ67" s="1109" t="s">
        <v>50</v>
      </c>
      <c r="AK67" s="888">
        <f t="shared" si="4"/>
        <v>27</v>
      </c>
      <c r="AL67" s="889">
        <f t="shared" si="5"/>
        <v>4</v>
      </c>
      <c r="AM67" s="888">
        <f t="shared" si="6"/>
        <v>0</v>
      </c>
      <c r="AN67" s="888">
        <f t="shared" si="7"/>
        <v>0</v>
      </c>
      <c r="AO67" s="888">
        <f t="shared" si="8"/>
        <v>0</v>
      </c>
      <c r="AP67" s="889">
        <f t="shared" si="9"/>
        <v>0</v>
      </c>
      <c r="AQ67" s="890">
        <f t="shared" si="10"/>
        <v>31</v>
      </c>
      <c r="AR67" s="891"/>
      <c r="AS67" s="294" t="str">
        <f>VLOOKUP(D67,'Mã số nhân viên'!B57:I129,8,0)</f>
        <v>04064</v>
      </c>
      <c r="AT67" s="886">
        <f t="shared" si="11"/>
        <v>0</v>
      </c>
    </row>
    <row r="68" spans="1:46" ht="24.75" customHeight="1">
      <c r="A68" s="595">
        <v>56</v>
      </c>
      <c r="B68" s="595">
        <v>56</v>
      </c>
      <c r="C68" s="595" t="str">
        <f>VLOOKUP(D68,'Mã số nhân viên'!B58:I189,8,0)</f>
        <v>03501</v>
      </c>
      <c r="D68" s="949" t="s">
        <v>290</v>
      </c>
      <c r="E68" s="595"/>
      <c r="F68" s="1109" t="s">
        <v>50</v>
      </c>
      <c r="G68" s="1109" t="s">
        <v>50</v>
      </c>
      <c r="H68" s="1109" t="s">
        <v>50</v>
      </c>
      <c r="I68" s="1109" t="s">
        <v>730</v>
      </c>
      <c r="J68" s="1109" t="s">
        <v>89</v>
      </c>
      <c r="K68" s="1109" t="s">
        <v>50</v>
      </c>
      <c r="L68" s="1109" t="s">
        <v>50</v>
      </c>
      <c r="M68" s="1109" t="s">
        <v>50</v>
      </c>
      <c r="N68" s="1109" t="s">
        <v>50</v>
      </c>
      <c r="O68" s="1109" t="s">
        <v>50</v>
      </c>
      <c r="P68" s="1109" t="s">
        <v>50</v>
      </c>
      <c r="Q68" s="1109" t="s">
        <v>89</v>
      </c>
      <c r="R68" s="1109" t="s">
        <v>50</v>
      </c>
      <c r="S68" s="1109" t="s">
        <v>50</v>
      </c>
      <c r="T68" s="1109" t="s">
        <v>50</v>
      </c>
      <c r="U68" s="1109" t="s">
        <v>50</v>
      </c>
      <c r="V68" s="1109" t="s">
        <v>50</v>
      </c>
      <c r="W68" s="1109" t="s">
        <v>50</v>
      </c>
      <c r="X68" s="1109" t="s">
        <v>89</v>
      </c>
      <c r="Y68" s="1109" t="s">
        <v>50</v>
      </c>
      <c r="Z68" s="1109" t="s">
        <v>50</v>
      </c>
      <c r="AA68" s="1109" t="s">
        <v>50</v>
      </c>
      <c r="AB68" s="1186" t="s">
        <v>50</v>
      </c>
      <c r="AC68" s="1109" t="s">
        <v>50</v>
      </c>
      <c r="AD68" s="1109" t="s">
        <v>50</v>
      </c>
      <c r="AE68" s="1109" t="s">
        <v>89</v>
      </c>
      <c r="AF68" s="1109" t="s">
        <v>50</v>
      </c>
      <c r="AG68" s="1109" t="s">
        <v>50</v>
      </c>
      <c r="AH68" s="1109" t="s">
        <v>50</v>
      </c>
      <c r="AI68" s="1109" t="s">
        <v>50</v>
      </c>
      <c r="AJ68" s="1109" t="s">
        <v>50</v>
      </c>
      <c r="AK68" s="888">
        <f t="shared" si="4"/>
        <v>26</v>
      </c>
      <c r="AL68" s="889">
        <f t="shared" si="5"/>
        <v>4</v>
      </c>
      <c r="AM68" s="888">
        <f t="shared" si="6"/>
        <v>0</v>
      </c>
      <c r="AN68" s="888">
        <f t="shared" si="7"/>
        <v>0</v>
      </c>
      <c r="AO68" s="888">
        <f t="shared" si="8"/>
        <v>0</v>
      </c>
      <c r="AP68" s="889">
        <f t="shared" si="9"/>
        <v>0</v>
      </c>
      <c r="AQ68" s="890">
        <f t="shared" si="10"/>
        <v>30</v>
      </c>
      <c r="AR68" s="891"/>
      <c r="AS68" s="294" t="str">
        <f>VLOOKUP(D68,'Mã số nhân viên'!B58:I130,8,0)</f>
        <v>03501</v>
      </c>
      <c r="AT68" s="886">
        <f t="shared" si="11"/>
        <v>0</v>
      </c>
    </row>
    <row r="69" spans="1:46" ht="24.75" customHeight="1">
      <c r="A69" s="595">
        <v>57</v>
      </c>
      <c r="B69" s="595">
        <v>57</v>
      </c>
      <c r="C69" s="595" t="str">
        <f>VLOOKUP(D69,'Mã số nhân viên'!B59:I190,8,0)</f>
        <v>03502</v>
      </c>
      <c r="D69" s="950" t="s">
        <v>291</v>
      </c>
      <c r="E69" s="595"/>
      <c r="F69" s="1109" t="s">
        <v>50</v>
      </c>
      <c r="G69" s="1109" t="s">
        <v>50</v>
      </c>
      <c r="H69" s="1109" t="s">
        <v>50</v>
      </c>
      <c r="I69" s="1109" t="s">
        <v>50</v>
      </c>
      <c r="J69" s="1109" t="s">
        <v>89</v>
      </c>
      <c r="K69" s="1109" t="s">
        <v>50</v>
      </c>
      <c r="L69" s="1109" t="s">
        <v>50</v>
      </c>
      <c r="M69" s="1109" t="s">
        <v>50</v>
      </c>
      <c r="N69" s="1109" t="s">
        <v>50</v>
      </c>
      <c r="O69" s="1109" t="s">
        <v>50</v>
      </c>
      <c r="P69" s="1109" t="s">
        <v>50</v>
      </c>
      <c r="Q69" s="1109" t="s">
        <v>89</v>
      </c>
      <c r="R69" s="1109" t="s">
        <v>50</v>
      </c>
      <c r="S69" s="1109" t="s">
        <v>50</v>
      </c>
      <c r="T69" s="1109" t="s">
        <v>50</v>
      </c>
      <c r="U69" s="1109" t="s">
        <v>50</v>
      </c>
      <c r="V69" s="1109" t="s">
        <v>50</v>
      </c>
      <c r="W69" s="1109" t="s">
        <v>50</v>
      </c>
      <c r="X69" s="1109" t="s">
        <v>89</v>
      </c>
      <c r="Y69" s="1109" t="s">
        <v>50</v>
      </c>
      <c r="Z69" s="1109" t="s">
        <v>50</v>
      </c>
      <c r="AA69" s="1109" t="s">
        <v>50</v>
      </c>
      <c r="AB69" s="1186" t="s">
        <v>50</v>
      </c>
      <c r="AC69" s="1109" t="s">
        <v>50</v>
      </c>
      <c r="AD69" s="1109" t="s">
        <v>50</v>
      </c>
      <c r="AE69" s="1109" t="s">
        <v>89</v>
      </c>
      <c r="AF69" s="1109" t="s">
        <v>50</v>
      </c>
      <c r="AG69" s="1109" t="s">
        <v>50</v>
      </c>
      <c r="AH69" s="1109" t="s">
        <v>50</v>
      </c>
      <c r="AI69" s="1109" t="s">
        <v>50</v>
      </c>
      <c r="AJ69" s="1109" t="s">
        <v>50</v>
      </c>
      <c r="AK69" s="888">
        <f t="shared" si="4"/>
        <v>27</v>
      </c>
      <c r="AL69" s="889">
        <f t="shared" si="5"/>
        <v>4</v>
      </c>
      <c r="AM69" s="888">
        <f t="shared" si="6"/>
        <v>0</v>
      </c>
      <c r="AN69" s="888">
        <f t="shared" si="7"/>
        <v>0</v>
      </c>
      <c r="AO69" s="888">
        <f t="shared" si="8"/>
        <v>0</v>
      </c>
      <c r="AP69" s="889">
        <f t="shared" si="9"/>
        <v>0</v>
      </c>
      <c r="AQ69" s="890">
        <f t="shared" si="10"/>
        <v>31</v>
      </c>
      <c r="AR69" s="891"/>
      <c r="AS69" s="294" t="str">
        <f>VLOOKUP(D69,'Mã số nhân viên'!B59:I131,8,0)</f>
        <v>03502</v>
      </c>
      <c r="AT69" s="886">
        <f t="shared" si="11"/>
        <v>0</v>
      </c>
    </row>
    <row r="70" spans="1:46" ht="24.75" customHeight="1">
      <c r="A70" s="595">
        <v>58</v>
      </c>
      <c r="B70" s="595">
        <v>58</v>
      </c>
      <c r="C70" s="595" t="str">
        <f>VLOOKUP(D70,'Mã số nhân viên'!B60:I191,8,0)</f>
        <v>04065</v>
      </c>
      <c r="D70" s="951" t="s">
        <v>440</v>
      </c>
      <c r="E70" s="595"/>
      <c r="F70" s="1109" t="s">
        <v>50</v>
      </c>
      <c r="G70" s="1109" t="s">
        <v>50</v>
      </c>
      <c r="H70" s="1109" t="s">
        <v>50</v>
      </c>
      <c r="I70" s="1109" t="s">
        <v>50</v>
      </c>
      <c r="J70" s="1109" t="s">
        <v>89</v>
      </c>
      <c r="K70" s="1109" t="s">
        <v>50</v>
      </c>
      <c r="L70" s="1109" t="s">
        <v>50</v>
      </c>
      <c r="M70" s="1109" t="s">
        <v>50</v>
      </c>
      <c r="N70" s="1109" t="s">
        <v>50</v>
      </c>
      <c r="O70" s="1109" t="s">
        <v>50</v>
      </c>
      <c r="P70" s="1109" t="s">
        <v>50</v>
      </c>
      <c r="Q70" s="1109" t="s">
        <v>89</v>
      </c>
      <c r="R70" s="1109" t="s">
        <v>50</v>
      </c>
      <c r="S70" s="1109" t="s">
        <v>50</v>
      </c>
      <c r="T70" s="1109" t="s">
        <v>50</v>
      </c>
      <c r="U70" s="1109" t="s">
        <v>50</v>
      </c>
      <c r="V70" s="1109" t="s">
        <v>50</v>
      </c>
      <c r="W70" s="1109" t="s">
        <v>50</v>
      </c>
      <c r="X70" s="1109" t="s">
        <v>89</v>
      </c>
      <c r="Y70" s="1109" t="s">
        <v>50</v>
      </c>
      <c r="Z70" s="1109" t="s">
        <v>50</v>
      </c>
      <c r="AA70" s="1109" t="s">
        <v>50</v>
      </c>
      <c r="AB70" s="1186" t="s">
        <v>50</v>
      </c>
      <c r="AC70" s="1109" t="s">
        <v>50</v>
      </c>
      <c r="AD70" s="1109" t="s">
        <v>50</v>
      </c>
      <c r="AE70" s="1109" t="s">
        <v>89</v>
      </c>
      <c r="AF70" s="1109" t="s">
        <v>50</v>
      </c>
      <c r="AG70" s="1109" t="s">
        <v>50</v>
      </c>
      <c r="AH70" s="1109" t="s">
        <v>50</v>
      </c>
      <c r="AI70" s="1109" t="s">
        <v>50</v>
      </c>
      <c r="AJ70" s="1109" t="s">
        <v>50</v>
      </c>
      <c r="AK70" s="888">
        <f t="shared" si="4"/>
        <v>27</v>
      </c>
      <c r="AL70" s="889">
        <f t="shared" si="5"/>
        <v>4</v>
      </c>
      <c r="AM70" s="888">
        <f t="shared" si="6"/>
        <v>0</v>
      </c>
      <c r="AN70" s="888">
        <f t="shared" si="7"/>
        <v>0</v>
      </c>
      <c r="AO70" s="888">
        <f t="shared" si="8"/>
        <v>0</v>
      </c>
      <c r="AP70" s="889">
        <f t="shared" si="9"/>
        <v>0</v>
      </c>
      <c r="AQ70" s="890">
        <f t="shared" si="10"/>
        <v>31</v>
      </c>
      <c r="AR70" s="891"/>
      <c r="AS70" s="294" t="str">
        <f>VLOOKUP(D70,'Mã số nhân viên'!B60:I132,8,0)</f>
        <v>04065</v>
      </c>
      <c r="AT70" s="886">
        <f t="shared" si="11"/>
        <v>0</v>
      </c>
    </row>
    <row r="71" spans="1:46" ht="24.75" customHeight="1">
      <c r="A71" s="595">
        <v>59</v>
      </c>
      <c r="B71" s="595">
        <v>59</v>
      </c>
      <c r="C71" s="595" t="str">
        <f>VLOOKUP(D71,'Mã số nhân viên'!B61:I192,8,0)</f>
        <v>03504</v>
      </c>
      <c r="D71" s="949" t="s">
        <v>198</v>
      </c>
      <c r="E71" s="595"/>
      <c r="F71" s="1109" t="s">
        <v>50</v>
      </c>
      <c r="G71" s="1109" t="s">
        <v>50</v>
      </c>
      <c r="H71" s="1109" t="s">
        <v>50</v>
      </c>
      <c r="I71" s="1109" t="s">
        <v>50</v>
      </c>
      <c r="J71" s="1109" t="s">
        <v>89</v>
      </c>
      <c r="K71" s="1109" t="s">
        <v>50</v>
      </c>
      <c r="L71" s="1109" t="s">
        <v>50</v>
      </c>
      <c r="M71" s="1109" t="s">
        <v>50</v>
      </c>
      <c r="N71" s="1109" t="s">
        <v>50</v>
      </c>
      <c r="O71" s="1109" t="s">
        <v>50</v>
      </c>
      <c r="P71" s="1109" t="s">
        <v>50</v>
      </c>
      <c r="Q71" s="1109" t="s">
        <v>89</v>
      </c>
      <c r="R71" s="1109" t="s">
        <v>50</v>
      </c>
      <c r="S71" s="1109" t="s">
        <v>50</v>
      </c>
      <c r="T71" s="1109" t="s">
        <v>50</v>
      </c>
      <c r="U71" s="1109" t="s">
        <v>730</v>
      </c>
      <c r="V71" s="1109" t="s">
        <v>50</v>
      </c>
      <c r="W71" s="1109" t="s">
        <v>50</v>
      </c>
      <c r="X71" s="1109" t="s">
        <v>89</v>
      </c>
      <c r="Y71" s="1109" t="s">
        <v>50</v>
      </c>
      <c r="Z71" s="1109" t="s">
        <v>50</v>
      </c>
      <c r="AA71" s="1109" t="s">
        <v>50</v>
      </c>
      <c r="AB71" s="1186" t="s">
        <v>50</v>
      </c>
      <c r="AC71" s="1109" t="s">
        <v>50</v>
      </c>
      <c r="AD71" s="1109" t="s">
        <v>50</v>
      </c>
      <c r="AE71" s="1109" t="s">
        <v>89</v>
      </c>
      <c r="AF71" s="1109" t="s">
        <v>50</v>
      </c>
      <c r="AG71" s="1109" t="s">
        <v>50</v>
      </c>
      <c r="AH71" s="1109" t="s">
        <v>50</v>
      </c>
      <c r="AI71" s="1109" t="s">
        <v>50</v>
      </c>
      <c r="AJ71" s="1109" t="s">
        <v>50</v>
      </c>
      <c r="AK71" s="888">
        <f t="shared" si="4"/>
        <v>26</v>
      </c>
      <c r="AL71" s="889">
        <f t="shared" si="5"/>
        <v>4</v>
      </c>
      <c r="AM71" s="888">
        <f t="shared" si="6"/>
        <v>0</v>
      </c>
      <c r="AN71" s="888">
        <f t="shared" si="7"/>
        <v>0</v>
      </c>
      <c r="AO71" s="888">
        <f t="shared" si="8"/>
        <v>0</v>
      </c>
      <c r="AP71" s="889">
        <f t="shared" si="9"/>
        <v>0</v>
      </c>
      <c r="AQ71" s="890">
        <f t="shared" si="10"/>
        <v>30</v>
      </c>
      <c r="AR71" s="891"/>
      <c r="AS71" s="294" t="str">
        <f>VLOOKUP(D71,'Mã số nhân viên'!B61:I133,8,0)</f>
        <v>03504</v>
      </c>
      <c r="AT71" s="886">
        <f t="shared" si="11"/>
        <v>0</v>
      </c>
    </row>
    <row r="72" spans="1:46" ht="24.75" customHeight="1">
      <c r="A72" s="595">
        <v>60</v>
      </c>
      <c r="B72" s="595">
        <v>60</v>
      </c>
      <c r="C72" s="595"/>
      <c r="D72" s="949" t="s">
        <v>755</v>
      </c>
      <c r="E72" s="595"/>
      <c r="F72" s="1109" t="s">
        <v>50</v>
      </c>
      <c r="G72" s="1109" t="s">
        <v>50</v>
      </c>
      <c r="H72" s="1109" t="s">
        <v>50</v>
      </c>
      <c r="I72" s="1109" t="s">
        <v>50</v>
      </c>
      <c r="J72" s="1109" t="s">
        <v>89</v>
      </c>
      <c r="K72" s="1109" t="s">
        <v>50</v>
      </c>
      <c r="L72" s="1109" t="s">
        <v>50</v>
      </c>
      <c r="M72" s="1109" t="s">
        <v>50</v>
      </c>
      <c r="N72" s="1109" t="s">
        <v>50</v>
      </c>
      <c r="O72" s="1109" t="s">
        <v>50</v>
      </c>
      <c r="P72" s="1109" t="s">
        <v>50</v>
      </c>
      <c r="Q72" s="1109" t="s">
        <v>89</v>
      </c>
      <c r="R72" s="1109" t="s">
        <v>50</v>
      </c>
      <c r="S72" s="1109" t="s">
        <v>50</v>
      </c>
      <c r="T72" s="1109" t="s">
        <v>50</v>
      </c>
      <c r="U72" s="1109" t="s">
        <v>50</v>
      </c>
      <c r="V72" s="1109" t="s">
        <v>50</v>
      </c>
      <c r="W72" s="1109" t="s">
        <v>50</v>
      </c>
      <c r="X72" s="1109" t="s">
        <v>89</v>
      </c>
      <c r="Y72" s="1109" t="s">
        <v>50</v>
      </c>
      <c r="Z72" s="1109" t="s">
        <v>730</v>
      </c>
      <c r="AA72" s="1109" t="s">
        <v>50</v>
      </c>
      <c r="AB72" s="1186" t="s">
        <v>50</v>
      </c>
      <c r="AC72" s="1109" t="s">
        <v>50</v>
      </c>
      <c r="AD72" s="1109" t="s">
        <v>50</v>
      </c>
      <c r="AE72" s="1109" t="s">
        <v>89</v>
      </c>
      <c r="AF72" s="1109" t="s">
        <v>50</v>
      </c>
      <c r="AG72" s="1109" t="s">
        <v>50</v>
      </c>
      <c r="AH72" s="1109" t="s">
        <v>50</v>
      </c>
      <c r="AI72" s="1109" t="s">
        <v>50</v>
      </c>
      <c r="AJ72" s="1109" t="s">
        <v>50</v>
      </c>
      <c r="AK72" s="888">
        <f t="shared" si="4"/>
        <v>26</v>
      </c>
      <c r="AL72" s="889">
        <f t="shared" si="5"/>
        <v>4</v>
      </c>
      <c r="AM72" s="888">
        <f t="shared" si="6"/>
        <v>0</v>
      </c>
      <c r="AN72" s="888">
        <f t="shared" si="7"/>
        <v>0</v>
      </c>
      <c r="AO72" s="888">
        <f t="shared" si="8"/>
        <v>0</v>
      </c>
      <c r="AP72" s="889">
        <f t="shared" si="9"/>
        <v>0</v>
      </c>
      <c r="AQ72" s="890">
        <f t="shared" si="10"/>
        <v>30</v>
      </c>
      <c r="AR72" s="891"/>
      <c r="AS72" s="294" t="e">
        <f>VLOOKUP(D72,'Mã số nhân viên'!B62:I134,8,0)</f>
        <v>#N/A</v>
      </c>
      <c r="AT72" s="886" t="e">
        <f t="shared" si="11"/>
        <v>#N/A</v>
      </c>
    </row>
    <row r="73" spans="1:46" ht="24.75" customHeight="1">
      <c r="A73" s="595">
        <v>61</v>
      </c>
      <c r="B73" s="595">
        <v>61</v>
      </c>
      <c r="C73" s="595" t="str">
        <f>VLOOKUP(D73,'Mã số nhân viên'!B63:I194,8,0)</f>
        <v>03506</v>
      </c>
      <c r="D73" s="935" t="s">
        <v>219</v>
      </c>
      <c r="E73" s="595"/>
      <c r="F73" s="1109" t="s">
        <v>50</v>
      </c>
      <c r="G73" s="1109" t="s">
        <v>50</v>
      </c>
      <c r="H73" s="1109" t="s">
        <v>50</v>
      </c>
      <c r="I73" s="1109" t="s">
        <v>50</v>
      </c>
      <c r="J73" s="1109" t="s">
        <v>89</v>
      </c>
      <c r="K73" s="1109" t="s">
        <v>50</v>
      </c>
      <c r="L73" s="1109" t="s">
        <v>50</v>
      </c>
      <c r="M73" s="1109" t="s">
        <v>50</v>
      </c>
      <c r="N73" s="1109" t="s">
        <v>50</v>
      </c>
      <c r="O73" s="1109" t="s">
        <v>50</v>
      </c>
      <c r="P73" s="1109" t="s">
        <v>50</v>
      </c>
      <c r="Q73" s="1109" t="s">
        <v>89</v>
      </c>
      <c r="R73" s="1109" t="s">
        <v>50</v>
      </c>
      <c r="S73" s="1109" t="s">
        <v>50</v>
      </c>
      <c r="T73" s="1109" t="s">
        <v>50</v>
      </c>
      <c r="U73" s="1109" t="s">
        <v>50</v>
      </c>
      <c r="V73" s="1109" t="s">
        <v>50</v>
      </c>
      <c r="W73" s="1109" t="s">
        <v>50</v>
      </c>
      <c r="X73" s="1109" t="s">
        <v>89</v>
      </c>
      <c r="Y73" s="1109" t="s">
        <v>50</v>
      </c>
      <c r="Z73" s="1109" t="s">
        <v>50</v>
      </c>
      <c r="AA73" s="1109" t="s">
        <v>50</v>
      </c>
      <c r="AB73" s="1186" t="s">
        <v>50</v>
      </c>
      <c r="AC73" s="1109" t="s">
        <v>50</v>
      </c>
      <c r="AD73" s="1109" t="s">
        <v>50</v>
      </c>
      <c r="AE73" s="1109" t="s">
        <v>89</v>
      </c>
      <c r="AF73" s="1109" t="s">
        <v>50</v>
      </c>
      <c r="AG73" s="1109" t="s">
        <v>50</v>
      </c>
      <c r="AH73" s="1109" t="s">
        <v>50</v>
      </c>
      <c r="AI73" s="1109" t="s">
        <v>50</v>
      </c>
      <c r="AJ73" s="1109" t="s">
        <v>50</v>
      </c>
      <c r="AK73" s="888">
        <f t="shared" si="4"/>
        <v>27</v>
      </c>
      <c r="AL73" s="889">
        <f t="shared" si="5"/>
        <v>4</v>
      </c>
      <c r="AM73" s="888">
        <f t="shared" si="6"/>
        <v>0</v>
      </c>
      <c r="AN73" s="888">
        <f t="shared" si="7"/>
        <v>0</v>
      </c>
      <c r="AO73" s="888">
        <f t="shared" si="8"/>
        <v>0</v>
      </c>
      <c r="AP73" s="889">
        <f t="shared" si="9"/>
        <v>0</v>
      </c>
      <c r="AQ73" s="890">
        <f t="shared" si="10"/>
        <v>31</v>
      </c>
      <c r="AR73" s="891"/>
      <c r="AS73" s="294" t="str">
        <f>VLOOKUP(D73,'Mã số nhân viên'!B63:I135,8,0)</f>
        <v>03506</v>
      </c>
      <c r="AT73" s="886">
        <f t="shared" si="11"/>
        <v>0</v>
      </c>
    </row>
    <row r="74" spans="1:46" ht="24.75" customHeight="1">
      <c r="A74" s="595">
        <v>62</v>
      </c>
      <c r="B74" s="595">
        <v>62</v>
      </c>
      <c r="C74" s="595" t="str">
        <f>VLOOKUP(D74,'Mã số nhân viên'!B64:I195,8,0)</f>
        <v>04067</v>
      </c>
      <c r="D74" s="935" t="s">
        <v>482</v>
      </c>
      <c r="E74" s="595"/>
      <c r="F74" s="1109" t="s">
        <v>50</v>
      </c>
      <c r="G74" s="1109" t="s">
        <v>50</v>
      </c>
      <c r="H74" s="1109" t="s">
        <v>50</v>
      </c>
      <c r="I74" s="1109" t="s">
        <v>50</v>
      </c>
      <c r="J74" s="1109" t="s">
        <v>89</v>
      </c>
      <c r="K74" s="1109" t="s">
        <v>50</v>
      </c>
      <c r="L74" s="1109" t="s">
        <v>50</v>
      </c>
      <c r="M74" s="1109" t="s">
        <v>50</v>
      </c>
      <c r="N74" s="1109" t="s">
        <v>50</v>
      </c>
      <c r="O74" s="1109" t="s">
        <v>50</v>
      </c>
      <c r="P74" s="1109" t="s">
        <v>50</v>
      </c>
      <c r="Q74" s="1109" t="s">
        <v>89</v>
      </c>
      <c r="R74" s="1109" t="s">
        <v>50</v>
      </c>
      <c r="S74" s="1109" t="s">
        <v>730</v>
      </c>
      <c r="T74" s="1109"/>
      <c r="U74" s="1109" t="s">
        <v>50</v>
      </c>
      <c r="V74" s="1109" t="s">
        <v>50</v>
      </c>
      <c r="W74" s="1109" t="s">
        <v>50</v>
      </c>
      <c r="X74" s="1109" t="s">
        <v>89</v>
      </c>
      <c r="Y74" s="1109" t="s">
        <v>50</v>
      </c>
      <c r="Z74" s="1109" t="s">
        <v>50</v>
      </c>
      <c r="AA74" s="1109" t="s">
        <v>50</v>
      </c>
      <c r="AB74" s="1186" t="s">
        <v>50</v>
      </c>
      <c r="AC74" s="1109" t="s">
        <v>50</v>
      </c>
      <c r="AD74" s="1109" t="s">
        <v>50</v>
      </c>
      <c r="AE74" s="1109" t="s">
        <v>89</v>
      </c>
      <c r="AF74" s="1109" t="s">
        <v>50</v>
      </c>
      <c r="AG74" s="1109" t="s">
        <v>50</v>
      </c>
      <c r="AH74" s="1109" t="s">
        <v>50</v>
      </c>
      <c r="AI74" s="1109" t="s">
        <v>50</v>
      </c>
      <c r="AJ74" s="1109" t="s">
        <v>50</v>
      </c>
      <c r="AK74" s="888">
        <f t="shared" si="4"/>
        <v>25</v>
      </c>
      <c r="AL74" s="889">
        <f t="shared" si="5"/>
        <v>4</v>
      </c>
      <c r="AM74" s="888">
        <f t="shared" si="6"/>
        <v>0</v>
      </c>
      <c r="AN74" s="888">
        <f t="shared" si="7"/>
        <v>0</v>
      </c>
      <c r="AO74" s="888">
        <f t="shared" si="8"/>
        <v>0</v>
      </c>
      <c r="AP74" s="889">
        <f t="shared" si="9"/>
        <v>0</v>
      </c>
      <c r="AQ74" s="890">
        <f t="shared" si="10"/>
        <v>29</v>
      </c>
      <c r="AR74" s="891"/>
      <c r="AS74" s="294" t="str">
        <f>VLOOKUP(D74,'Mã số nhân viên'!B64:I136,8,0)</f>
        <v>04067</v>
      </c>
      <c r="AT74" s="886">
        <f t="shared" si="11"/>
        <v>0</v>
      </c>
    </row>
    <row r="75" spans="1:46" ht="24.75" customHeight="1">
      <c r="A75" s="595">
        <v>63</v>
      </c>
      <c r="B75" s="595">
        <v>63</v>
      </c>
      <c r="C75" s="595" t="str">
        <f>VLOOKUP(D75,'Mã số nhân viên'!B65:I196,8,0)</f>
        <v>03508</v>
      </c>
      <c r="D75" s="951" t="s">
        <v>292</v>
      </c>
      <c r="E75" s="595"/>
      <c r="F75" s="1109" t="s">
        <v>50</v>
      </c>
      <c r="G75" s="1109" t="s">
        <v>50</v>
      </c>
      <c r="H75" s="1109" t="s">
        <v>50</v>
      </c>
      <c r="I75" s="1109" t="s">
        <v>50</v>
      </c>
      <c r="J75" s="1109" t="s">
        <v>89</v>
      </c>
      <c r="K75" s="1109" t="s">
        <v>50</v>
      </c>
      <c r="L75" s="1109" t="s">
        <v>50</v>
      </c>
      <c r="M75" s="1109" t="s">
        <v>50</v>
      </c>
      <c r="N75" s="1109" t="s">
        <v>730</v>
      </c>
      <c r="O75" s="1109" t="s">
        <v>50</v>
      </c>
      <c r="P75" s="1109" t="s">
        <v>50</v>
      </c>
      <c r="Q75" s="1109" t="s">
        <v>89</v>
      </c>
      <c r="R75" s="1109" t="s">
        <v>50</v>
      </c>
      <c r="S75" s="1109" t="s">
        <v>50</v>
      </c>
      <c r="T75" s="1109" t="s">
        <v>50</v>
      </c>
      <c r="U75" s="1109" t="s">
        <v>50</v>
      </c>
      <c r="V75" s="1109" t="s">
        <v>730</v>
      </c>
      <c r="W75" s="1109" t="s">
        <v>730</v>
      </c>
      <c r="X75" s="1109" t="s">
        <v>730</v>
      </c>
      <c r="Y75" s="1109" t="s">
        <v>50</v>
      </c>
      <c r="Z75" s="1109" t="s">
        <v>50</v>
      </c>
      <c r="AA75" s="1109" t="s">
        <v>50</v>
      </c>
      <c r="AB75" s="1186" t="s">
        <v>50</v>
      </c>
      <c r="AC75" s="1109" t="s">
        <v>50</v>
      </c>
      <c r="AD75" s="1109" t="s">
        <v>50</v>
      </c>
      <c r="AE75" s="1109" t="s">
        <v>89</v>
      </c>
      <c r="AF75" s="1109" t="s">
        <v>50</v>
      </c>
      <c r="AG75" s="1109" t="s">
        <v>730</v>
      </c>
      <c r="AH75" s="1109" t="s">
        <v>50</v>
      </c>
      <c r="AI75" s="1109" t="s">
        <v>50</v>
      </c>
      <c r="AJ75" s="1109" t="s">
        <v>50</v>
      </c>
      <c r="AK75" s="888">
        <f t="shared" si="4"/>
        <v>23</v>
      </c>
      <c r="AL75" s="889">
        <f t="shared" si="5"/>
        <v>3</v>
      </c>
      <c r="AM75" s="888">
        <f t="shared" si="6"/>
        <v>0</v>
      </c>
      <c r="AN75" s="888">
        <f t="shared" si="7"/>
        <v>0</v>
      </c>
      <c r="AO75" s="888">
        <f t="shared" si="8"/>
        <v>0</v>
      </c>
      <c r="AP75" s="889">
        <f t="shared" si="9"/>
        <v>0</v>
      </c>
      <c r="AQ75" s="890">
        <f t="shared" si="10"/>
        <v>26</v>
      </c>
      <c r="AR75" s="891"/>
      <c r="AS75" s="294" t="str">
        <f>VLOOKUP(D75,'Mã số nhân viên'!B65:I137,8,0)</f>
        <v>03508</v>
      </c>
      <c r="AT75" s="886">
        <f t="shared" si="11"/>
        <v>0</v>
      </c>
    </row>
    <row r="76" spans="1:46" ht="24.75" customHeight="1">
      <c r="A76" s="595">
        <v>64</v>
      </c>
      <c r="B76" s="595">
        <v>64</v>
      </c>
      <c r="C76" s="595" t="str">
        <f>VLOOKUP(D76,'Mã số nhân viên'!B66:I197,8,0)</f>
        <v>03512</v>
      </c>
      <c r="D76" s="949" t="s">
        <v>293</v>
      </c>
      <c r="E76" s="595"/>
      <c r="F76" s="1109" t="s">
        <v>50</v>
      </c>
      <c r="G76" s="1109" t="s">
        <v>50</v>
      </c>
      <c r="H76" s="1109" t="s">
        <v>50</v>
      </c>
      <c r="I76" s="1109" t="s">
        <v>50</v>
      </c>
      <c r="J76" s="1109" t="s">
        <v>89</v>
      </c>
      <c r="K76" s="1109" t="s">
        <v>50</v>
      </c>
      <c r="L76" s="1109" t="s">
        <v>50</v>
      </c>
      <c r="M76" s="1109" t="s">
        <v>50</v>
      </c>
      <c r="N76" s="1109" t="s">
        <v>50</v>
      </c>
      <c r="O76" s="1109" t="s">
        <v>50</v>
      </c>
      <c r="P76" s="1109" t="s">
        <v>50</v>
      </c>
      <c r="Q76" s="1109" t="s">
        <v>89</v>
      </c>
      <c r="R76" s="1109" t="s">
        <v>50</v>
      </c>
      <c r="S76" s="1109" t="s">
        <v>50</v>
      </c>
      <c r="T76" s="1109" t="s">
        <v>50</v>
      </c>
      <c r="U76" s="1109" t="s">
        <v>50</v>
      </c>
      <c r="V76" s="1109" t="s">
        <v>50</v>
      </c>
      <c r="W76" s="1109" t="s">
        <v>50</v>
      </c>
      <c r="X76" s="1109" t="s">
        <v>730</v>
      </c>
      <c r="Y76" s="1109" t="s">
        <v>50</v>
      </c>
      <c r="Z76" s="1109" t="s">
        <v>50</v>
      </c>
      <c r="AA76" s="1109" t="s">
        <v>50</v>
      </c>
      <c r="AB76" s="1186" t="s">
        <v>50</v>
      </c>
      <c r="AC76" s="1109" t="s">
        <v>50</v>
      </c>
      <c r="AD76" s="1109" t="s">
        <v>50</v>
      </c>
      <c r="AE76" s="1109" t="s">
        <v>89</v>
      </c>
      <c r="AF76" s="1109" t="s">
        <v>50</v>
      </c>
      <c r="AG76" s="1109" t="s">
        <v>50</v>
      </c>
      <c r="AH76" s="1109" t="s">
        <v>50</v>
      </c>
      <c r="AI76" s="1109" t="s">
        <v>50</v>
      </c>
      <c r="AJ76" s="1109" t="s">
        <v>50</v>
      </c>
      <c r="AK76" s="888">
        <f t="shared" si="4"/>
        <v>27</v>
      </c>
      <c r="AL76" s="889">
        <f t="shared" si="5"/>
        <v>3</v>
      </c>
      <c r="AM76" s="888">
        <f t="shared" si="6"/>
        <v>0</v>
      </c>
      <c r="AN76" s="888">
        <f t="shared" si="7"/>
        <v>0</v>
      </c>
      <c r="AO76" s="888">
        <f t="shared" si="8"/>
        <v>0</v>
      </c>
      <c r="AP76" s="889">
        <f t="shared" si="9"/>
        <v>0</v>
      </c>
      <c r="AQ76" s="890">
        <f t="shared" si="10"/>
        <v>30</v>
      </c>
      <c r="AR76" s="891"/>
      <c r="AS76" s="294" t="str">
        <f>VLOOKUP(D76,'Mã số nhân viên'!B66:I138,8,0)</f>
        <v>03512</v>
      </c>
      <c r="AT76" s="886">
        <f t="shared" si="11"/>
        <v>0</v>
      </c>
    </row>
    <row r="77" spans="1:46" ht="24.75" customHeight="1">
      <c r="A77" s="595">
        <v>65</v>
      </c>
      <c r="B77" s="595">
        <v>65</v>
      </c>
      <c r="C77" s="595" t="str">
        <f>VLOOKUP(D77,'Mã số nhân viên'!B67:I198,8,0)</f>
        <v>04068</v>
      </c>
      <c r="D77" s="949" t="s">
        <v>359</v>
      </c>
      <c r="E77" s="595"/>
      <c r="F77" s="1109" t="s">
        <v>50</v>
      </c>
      <c r="G77" s="1109" t="s">
        <v>50</v>
      </c>
      <c r="H77" s="1109" t="s">
        <v>50</v>
      </c>
      <c r="I77" s="1109" t="s">
        <v>730</v>
      </c>
      <c r="J77" s="1109" t="s">
        <v>89</v>
      </c>
      <c r="K77" s="1109" t="s">
        <v>50</v>
      </c>
      <c r="L77" s="1109" t="s">
        <v>50</v>
      </c>
      <c r="M77" s="1109" t="s">
        <v>50</v>
      </c>
      <c r="N77" s="1109" t="s">
        <v>50</v>
      </c>
      <c r="O77" s="1109" t="s">
        <v>50</v>
      </c>
      <c r="P77" s="1109" t="s">
        <v>730</v>
      </c>
      <c r="Q77" s="1109" t="s">
        <v>89</v>
      </c>
      <c r="R77" s="1109" t="s">
        <v>50</v>
      </c>
      <c r="S77" s="1109" t="s">
        <v>50</v>
      </c>
      <c r="T77" s="1109" t="s">
        <v>50</v>
      </c>
      <c r="U77" s="1109" t="s">
        <v>50</v>
      </c>
      <c r="V77" s="1109" t="s">
        <v>50</v>
      </c>
      <c r="W77" s="1109" t="s">
        <v>50</v>
      </c>
      <c r="X77" s="1109" t="s">
        <v>89</v>
      </c>
      <c r="Y77" s="1109" t="s">
        <v>50</v>
      </c>
      <c r="Z77" s="1109" t="s">
        <v>50</v>
      </c>
      <c r="AA77" s="1109" t="s">
        <v>50</v>
      </c>
      <c r="AB77" s="1186" t="s">
        <v>50</v>
      </c>
      <c r="AC77" s="1109" t="s">
        <v>50</v>
      </c>
      <c r="AD77" s="1109" t="s">
        <v>50</v>
      </c>
      <c r="AE77" s="1109" t="s">
        <v>89</v>
      </c>
      <c r="AF77" s="1109" t="s">
        <v>50</v>
      </c>
      <c r="AG77" s="1109" t="s">
        <v>50</v>
      </c>
      <c r="AH77" s="1109" t="s">
        <v>50</v>
      </c>
      <c r="AI77" s="1109" t="s">
        <v>50</v>
      </c>
      <c r="AJ77" s="1109" t="s">
        <v>50</v>
      </c>
      <c r="AK77" s="888">
        <f t="shared" si="4"/>
        <v>25</v>
      </c>
      <c r="AL77" s="889">
        <f t="shared" si="5"/>
        <v>4</v>
      </c>
      <c r="AM77" s="888">
        <f t="shared" si="6"/>
        <v>0</v>
      </c>
      <c r="AN77" s="888">
        <f t="shared" si="7"/>
        <v>0</v>
      </c>
      <c r="AO77" s="888">
        <f t="shared" si="8"/>
        <v>0</v>
      </c>
      <c r="AP77" s="889">
        <f t="shared" si="9"/>
        <v>0</v>
      </c>
      <c r="AQ77" s="890">
        <f t="shared" si="10"/>
        <v>29</v>
      </c>
      <c r="AR77" s="891"/>
      <c r="AS77" s="294" t="str">
        <f>VLOOKUP(D77,'Mã số nhân viên'!B67:I139,8,0)</f>
        <v>04068</v>
      </c>
      <c r="AT77" s="886">
        <f t="shared" si="11"/>
        <v>0</v>
      </c>
    </row>
    <row r="78" spans="1:46" ht="24.75" customHeight="1">
      <c r="A78" s="595">
        <v>66</v>
      </c>
      <c r="B78" s="595">
        <v>66</v>
      </c>
      <c r="C78" s="595" t="str">
        <f>VLOOKUP(D78,'Mã số nhân viên'!B68:I199,8,0)</f>
        <v>04069</v>
      </c>
      <c r="D78" s="949" t="s">
        <v>386</v>
      </c>
      <c r="E78" s="595"/>
      <c r="F78" s="1109" t="s">
        <v>50</v>
      </c>
      <c r="G78" s="1109" t="s">
        <v>50</v>
      </c>
      <c r="H78" s="1109" t="s">
        <v>50</v>
      </c>
      <c r="I78" s="1109" t="s">
        <v>730</v>
      </c>
      <c r="J78" s="1109" t="s">
        <v>89</v>
      </c>
      <c r="K78" s="1109" t="s">
        <v>50</v>
      </c>
      <c r="L78" s="1109" t="s">
        <v>50</v>
      </c>
      <c r="M78" s="1109" t="s">
        <v>50</v>
      </c>
      <c r="N78" s="1109" t="s">
        <v>50</v>
      </c>
      <c r="O78" s="1109" t="s">
        <v>50</v>
      </c>
      <c r="P78" s="1109" t="s">
        <v>50</v>
      </c>
      <c r="Q78" s="1109" t="s">
        <v>89</v>
      </c>
      <c r="R78" s="1109" t="s">
        <v>50</v>
      </c>
      <c r="S78" s="1109" t="s">
        <v>50</v>
      </c>
      <c r="T78" s="1109" t="s">
        <v>50</v>
      </c>
      <c r="U78" s="1109" t="s">
        <v>50</v>
      </c>
      <c r="V78" s="1109" t="s">
        <v>50</v>
      </c>
      <c r="W78" s="1109" t="s">
        <v>50</v>
      </c>
      <c r="X78" s="1109" t="s">
        <v>730</v>
      </c>
      <c r="Y78" s="1109" t="s">
        <v>50</v>
      </c>
      <c r="Z78" s="1109" t="s">
        <v>50</v>
      </c>
      <c r="AA78" s="1109" t="s">
        <v>50</v>
      </c>
      <c r="AB78" s="1186" t="s">
        <v>50</v>
      </c>
      <c r="AC78" s="1109" t="s">
        <v>50</v>
      </c>
      <c r="AD78" s="1109" t="s">
        <v>50</v>
      </c>
      <c r="AE78" s="1109" t="s">
        <v>89</v>
      </c>
      <c r="AF78" s="1109" t="s">
        <v>50</v>
      </c>
      <c r="AG78" s="1109" t="s">
        <v>50</v>
      </c>
      <c r="AH78" s="1109" t="s">
        <v>50</v>
      </c>
      <c r="AI78" s="1109" t="s">
        <v>50</v>
      </c>
      <c r="AJ78" s="1109" t="s">
        <v>50</v>
      </c>
      <c r="AK78" s="888">
        <f t="shared" ref="AK78:AK92" si="12">SUM(COUNTIF(F78:AJ78,"x"))</f>
        <v>26</v>
      </c>
      <c r="AL78" s="889">
        <f t="shared" ref="AL78:AL92" si="13">SUM(COUNTIF(F78:AJ78,"cn"))</f>
        <v>3</v>
      </c>
      <c r="AM78" s="888">
        <f t="shared" ref="AM78:AM92" si="14">SUM(COUNTIF(F78:AJ78,"đ"))</f>
        <v>0</v>
      </c>
      <c r="AN78" s="888">
        <f t="shared" ref="AN78:AN92" si="15">SUM(COUNTIF(F78:AJ78,"đc"))</f>
        <v>0</v>
      </c>
      <c r="AO78" s="888">
        <f t="shared" ref="AO78:AO92" si="16">SUM(COUNTIF(F78:AJ78,"gt"))</f>
        <v>0</v>
      </c>
      <c r="AP78" s="889">
        <f t="shared" ref="AP78:AP92" si="17">SUM(COUNTIF(F78:AJ78,"ct"))</f>
        <v>0</v>
      </c>
      <c r="AQ78" s="890">
        <f t="shared" ref="AQ78:AQ92" si="18">AK78+AL78+AM78+AN78+AO78+AP78</f>
        <v>29</v>
      </c>
      <c r="AR78" s="891"/>
      <c r="AS78" s="294" t="str">
        <f>VLOOKUP(D78,'Mã số nhân viên'!B68:I140,8,0)</f>
        <v>04069</v>
      </c>
      <c r="AT78" s="886">
        <f t="shared" si="11"/>
        <v>0</v>
      </c>
    </row>
    <row r="79" spans="1:46" ht="24.75" customHeight="1">
      <c r="A79" s="595">
        <v>67</v>
      </c>
      <c r="B79" s="595">
        <v>67</v>
      </c>
      <c r="C79" s="595" t="str">
        <f>VLOOKUP(D79,'Mã số nhân viên'!B69:I200,8,0)</f>
        <v>03546</v>
      </c>
      <c r="D79" s="949" t="s">
        <v>177</v>
      </c>
      <c r="E79" s="595"/>
      <c r="F79" s="1109" t="s">
        <v>50</v>
      </c>
      <c r="G79" s="1109" t="s">
        <v>50</v>
      </c>
      <c r="H79" s="1109" t="s">
        <v>50</v>
      </c>
      <c r="I79" s="1109" t="s">
        <v>50</v>
      </c>
      <c r="J79" s="1109" t="s">
        <v>89</v>
      </c>
      <c r="K79" s="1109" t="s">
        <v>50</v>
      </c>
      <c r="L79" s="1109" t="s">
        <v>50</v>
      </c>
      <c r="M79" s="1109" t="s">
        <v>50</v>
      </c>
      <c r="N79" s="1109" t="s">
        <v>50</v>
      </c>
      <c r="O79" s="1109" t="s">
        <v>50</v>
      </c>
      <c r="P79" s="1109" t="s">
        <v>50</v>
      </c>
      <c r="Q79" s="1109" t="s">
        <v>89</v>
      </c>
      <c r="R79" s="1109" t="s">
        <v>50</v>
      </c>
      <c r="S79" s="1109" t="s">
        <v>50</v>
      </c>
      <c r="T79" s="1109" t="s">
        <v>50</v>
      </c>
      <c r="U79" s="1109" t="s">
        <v>730</v>
      </c>
      <c r="V79" s="1109" t="s">
        <v>50</v>
      </c>
      <c r="W79" s="1109" t="s">
        <v>50</v>
      </c>
      <c r="X79" s="1109" t="s">
        <v>89</v>
      </c>
      <c r="Y79" s="1109" t="s">
        <v>50</v>
      </c>
      <c r="Z79" s="1109"/>
      <c r="AA79" s="1109" t="s">
        <v>50</v>
      </c>
      <c r="AB79" s="1186" t="s">
        <v>50</v>
      </c>
      <c r="AC79" s="1109" t="s">
        <v>50</v>
      </c>
      <c r="AD79" s="1109" t="s">
        <v>50</v>
      </c>
      <c r="AE79" s="1109" t="s">
        <v>89</v>
      </c>
      <c r="AF79" s="1109" t="s">
        <v>50</v>
      </c>
      <c r="AG79" s="1109" t="s">
        <v>50</v>
      </c>
      <c r="AH79" s="1109" t="s">
        <v>50</v>
      </c>
      <c r="AI79" s="1109" t="s">
        <v>50</v>
      </c>
      <c r="AJ79" s="1109" t="s">
        <v>50</v>
      </c>
      <c r="AK79" s="888">
        <f t="shared" si="12"/>
        <v>25</v>
      </c>
      <c r="AL79" s="889">
        <f t="shared" si="13"/>
        <v>4</v>
      </c>
      <c r="AM79" s="888">
        <f t="shared" si="14"/>
        <v>0</v>
      </c>
      <c r="AN79" s="888">
        <f t="shared" si="15"/>
        <v>0</v>
      </c>
      <c r="AO79" s="888">
        <f t="shared" si="16"/>
        <v>0</v>
      </c>
      <c r="AP79" s="889">
        <f t="shared" si="17"/>
        <v>0</v>
      </c>
      <c r="AQ79" s="890">
        <f t="shared" si="18"/>
        <v>29</v>
      </c>
      <c r="AR79" s="891"/>
      <c r="AS79" s="294" t="str">
        <f>VLOOKUP(D79,'Mã số nhân viên'!B69:I141,8,0)</f>
        <v>03546</v>
      </c>
      <c r="AT79" s="886">
        <f t="shared" ref="AT79:AT85" si="19">C79-AS79</f>
        <v>0</v>
      </c>
    </row>
    <row r="80" spans="1:46" ht="24.75" customHeight="1">
      <c r="A80" s="595">
        <v>68</v>
      </c>
      <c r="B80" s="595">
        <v>68</v>
      </c>
      <c r="C80" s="595"/>
      <c r="D80" s="952" t="s">
        <v>829</v>
      </c>
      <c r="E80" s="595"/>
      <c r="F80" s="1109" t="s">
        <v>50</v>
      </c>
      <c r="G80" s="1109" t="s">
        <v>50</v>
      </c>
      <c r="H80" s="1109" t="s">
        <v>50</v>
      </c>
      <c r="I80" s="1109" t="s">
        <v>50</v>
      </c>
      <c r="J80" s="1109" t="s">
        <v>89</v>
      </c>
      <c r="K80" s="1109" t="s">
        <v>50</v>
      </c>
      <c r="L80" s="1109" t="s">
        <v>50</v>
      </c>
      <c r="M80" s="1109" t="s">
        <v>50</v>
      </c>
      <c r="N80" s="1109" t="s">
        <v>50</v>
      </c>
      <c r="O80" s="1109" t="s">
        <v>50</v>
      </c>
      <c r="P80" s="1109" t="s">
        <v>50</v>
      </c>
      <c r="Q80" s="1109" t="s">
        <v>89</v>
      </c>
      <c r="R80" s="1109" t="s">
        <v>50</v>
      </c>
      <c r="S80" s="1109" t="s">
        <v>50</v>
      </c>
      <c r="T80" s="1109" t="s">
        <v>50</v>
      </c>
      <c r="U80" s="1109" t="s">
        <v>50</v>
      </c>
      <c r="V80" s="1109" t="s">
        <v>50</v>
      </c>
      <c r="W80" s="1109" t="s">
        <v>50</v>
      </c>
      <c r="X80" s="1109" t="s">
        <v>89</v>
      </c>
      <c r="Y80" s="1109" t="s">
        <v>50</v>
      </c>
      <c r="Z80" s="1109" t="s">
        <v>50</v>
      </c>
      <c r="AA80" s="1109" t="s">
        <v>50</v>
      </c>
      <c r="AB80" s="1186" t="s">
        <v>50</v>
      </c>
      <c r="AC80" s="1109" t="s">
        <v>50</v>
      </c>
      <c r="AD80" s="1109" t="s">
        <v>50</v>
      </c>
      <c r="AE80" s="1109" t="s">
        <v>89</v>
      </c>
      <c r="AF80" s="1109" t="s">
        <v>50</v>
      </c>
      <c r="AG80" s="1109" t="s">
        <v>50</v>
      </c>
      <c r="AH80" s="1109" t="s">
        <v>50</v>
      </c>
      <c r="AI80" s="1109" t="s">
        <v>50</v>
      </c>
      <c r="AJ80" s="1109" t="s">
        <v>50</v>
      </c>
      <c r="AK80" s="888">
        <f t="shared" si="12"/>
        <v>27</v>
      </c>
      <c r="AL80" s="889">
        <f t="shared" si="13"/>
        <v>4</v>
      </c>
      <c r="AM80" s="888">
        <f t="shared" si="14"/>
        <v>0</v>
      </c>
      <c r="AN80" s="888">
        <f t="shared" si="15"/>
        <v>0</v>
      </c>
      <c r="AO80" s="888">
        <f t="shared" si="16"/>
        <v>0</v>
      </c>
      <c r="AP80" s="889">
        <f t="shared" si="17"/>
        <v>0</v>
      </c>
      <c r="AQ80" s="890">
        <f t="shared" si="18"/>
        <v>31</v>
      </c>
      <c r="AR80" s="891"/>
      <c r="AS80" s="294" t="e">
        <f>VLOOKUP(D80,'Mã số nhân viên'!B70:I142,8,0)</f>
        <v>#N/A</v>
      </c>
      <c r="AT80" s="886" t="e">
        <f t="shared" si="19"/>
        <v>#N/A</v>
      </c>
    </row>
    <row r="81" spans="1:47" s="879" customFormat="1" ht="24.75" customHeight="1">
      <c r="A81" s="595">
        <v>69</v>
      </c>
      <c r="B81" s="595">
        <v>69</v>
      </c>
      <c r="C81" s="943"/>
      <c r="D81" s="1160" t="s">
        <v>830</v>
      </c>
      <c r="E81" s="944"/>
      <c r="F81" s="1109" t="s">
        <v>50</v>
      </c>
      <c r="G81" s="1109" t="s">
        <v>50</v>
      </c>
      <c r="H81" s="1109" t="s">
        <v>50</v>
      </c>
      <c r="I81" s="1109" t="s">
        <v>50</v>
      </c>
      <c r="J81" s="1109" t="s">
        <v>89</v>
      </c>
      <c r="K81" s="1109" t="s">
        <v>50</v>
      </c>
      <c r="L81" s="1109" t="s">
        <v>50</v>
      </c>
      <c r="M81" s="1109" t="s">
        <v>50</v>
      </c>
      <c r="N81" s="1109" t="s">
        <v>50</v>
      </c>
      <c r="O81" s="1109" t="s">
        <v>50</v>
      </c>
      <c r="P81" s="1109" t="s">
        <v>50</v>
      </c>
      <c r="Q81" s="1109" t="s">
        <v>89</v>
      </c>
      <c r="R81" s="1109" t="s">
        <v>50</v>
      </c>
      <c r="S81" s="1109" t="s">
        <v>50</v>
      </c>
      <c r="T81" s="1109" t="s">
        <v>50</v>
      </c>
      <c r="U81" s="1109" t="s">
        <v>50</v>
      </c>
      <c r="V81" s="1109" t="s">
        <v>50</v>
      </c>
      <c r="W81" s="1109" t="s">
        <v>50</v>
      </c>
      <c r="X81" s="1109" t="s">
        <v>89</v>
      </c>
      <c r="Y81" s="1109" t="s">
        <v>50</v>
      </c>
      <c r="Z81" s="1109" t="s">
        <v>50</v>
      </c>
      <c r="AA81" s="1109" t="s">
        <v>50</v>
      </c>
      <c r="AB81" s="1186" t="s">
        <v>50</v>
      </c>
      <c r="AC81" s="1109" t="s">
        <v>50</v>
      </c>
      <c r="AD81" s="1109" t="s">
        <v>50</v>
      </c>
      <c r="AE81" s="1109" t="s">
        <v>89</v>
      </c>
      <c r="AF81" s="1109" t="s">
        <v>50</v>
      </c>
      <c r="AG81" s="1109" t="s">
        <v>50</v>
      </c>
      <c r="AH81" s="1109" t="s">
        <v>50</v>
      </c>
      <c r="AI81" s="1109" t="s">
        <v>50</v>
      </c>
      <c r="AJ81" s="1109" t="s">
        <v>50</v>
      </c>
      <c r="AK81" s="945">
        <f t="shared" si="12"/>
        <v>27</v>
      </c>
      <c r="AL81" s="946">
        <f t="shared" si="13"/>
        <v>4</v>
      </c>
      <c r="AM81" s="945">
        <f t="shared" si="14"/>
        <v>0</v>
      </c>
      <c r="AN81" s="945">
        <f t="shared" si="15"/>
        <v>0</v>
      </c>
      <c r="AO81" s="945">
        <f t="shared" si="16"/>
        <v>0</v>
      </c>
      <c r="AP81" s="946">
        <f t="shared" si="17"/>
        <v>0</v>
      </c>
      <c r="AQ81" s="947">
        <f t="shared" si="18"/>
        <v>31</v>
      </c>
      <c r="AR81" s="948"/>
      <c r="AS81" s="294" t="e">
        <f>VLOOKUP(D81,'Mã số nhân viên'!B71:I143,8,0)</f>
        <v>#N/A</v>
      </c>
      <c r="AT81" s="886" t="e">
        <f t="shared" si="19"/>
        <v>#N/A</v>
      </c>
    </row>
    <row r="82" spans="1:47" ht="24.75" customHeight="1">
      <c r="A82" s="595">
        <v>70</v>
      </c>
      <c r="B82" s="595">
        <v>70</v>
      </c>
      <c r="C82" s="595" t="str">
        <f>VLOOKUP(D82,'Mã số nhân viên'!B72:I203,8,0)</f>
        <v>03515</v>
      </c>
      <c r="D82" s="949" t="s">
        <v>294</v>
      </c>
      <c r="E82" s="595"/>
      <c r="F82" s="1109" t="s">
        <v>50</v>
      </c>
      <c r="G82" s="1109" t="s">
        <v>50</v>
      </c>
      <c r="H82" s="1109" t="s">
        <v>50</v>
      </c>
      <c r="I82" s="1109" t="s">
        <v>50</v>
      </c>
      <c r="J82" s="1109" t="s">
        <v>89</v>
      </c>
      <c r="K82" s="1109" t="s">
        <v>50</v>
      </c>
      <c r="L82" s="1109" t="s">
        <v>50</v>
      </c>
      <c r="M82" s="1109" t="s">
        <v>50</v>
      </c>
      <c r="N82" s="1109" t="s">
        <v>50</v>
      </c>
      <c r="O82" s="1109" t="s">
        <v>50</v>
      </c>
      <c r="P82" s="1109" t="s">
        <v>50</v>
      </c>
      <c r="Q82" s="1109" t="s">
        <v>89</v>
      </c>
      <c r="R82" s="1109" t="s">
        <v>50</v>
      </c>
      <c r="S82" s="1109" t="s">
        <v>50</v>
      </c>
      <c r="T82" s="1109" t="s">
        <v>50</v>
      </c>
      <c r="U82" s="1109" t="s">
        <v>50</v>
      </c>
      <c r="V82" s="1109" t="s">
        <v>50</v>
      </c>
      <c r="W82" s="1109" t="s">
        <v>50</v>
      </c>
      <c r="X82" s="1109" t="s">
        <v>89</v>
      </c>
      <c r="Y82" s="1109" t="s">
        <v>50</v>
      </c>
      <c r="Z82" s="1109" t="s">
        <v>50</v>
      </c>
      <c r="AA82" s="1109" t="s">
        <v>50</v>
      </c>
      <c r="AB82" s="1186" t="s">
        <v>50</v>
      </c>
      <c r="AC82" s="1109" t="s">
        <v>50</v>
      </c>
      <c r="AD82" s="1109" t="s">
        <v>50</v>
      </c>
      <c r="AE82" s="1109" t="s">
        <v>89</v>
      </c>
      <c r="AF82" s="1109" t="s">
        <v>50</v>
      </c>
      <c r="AG82" s="1109" t="s">
        <v>50</v>
      </c>
      <c r="AH82" s="1109" t="s">
        <v>50</v>
      </c>
      <c r="AI82" s="1109" t="s">
        <v>50</v>
      </c>
      <c r="AJ82" s="1109" t="s">
        <v>50</v>
      </c>
      <c r="AK82" s="888">
        <f t="shared" si="12"/>
        <v>27</v>
      </c>
      <c r="AL82" s="889">
        <f t="shared" si="13"/>
        <v>4</v>
      </c>
      <c r="AM82" s="888">
        <f t="shared" si="14"/>
        <v>0</v>
      </c>
      <c r="AN82" s="888">
        <f t="shared" si="15"/>
        <v>0</v>
      </c>
      <c r="AO82" s="888">
        <f t="shared" si="16"/>
        <v>0</v>
      </c>
      <c r="AP82" s="889">
        <f t="shared" si="17"/>
        <v>0</v>
      </c>
      <c r="AQ82" s="890">
        <f t="shared" si="18"/>
        <v>31</v>
      </c>
      <c r="AR82" s="891"/>
      <c r="AS82" s="294" t="str">
        <f>VLOOKUP(D82,'Mã số nhân viên'!B72:I144,8,0)</f>
        <v>03515</v>
      </c>
      <c r="AT82" s="886">
        <f t="shared" si="19"/>
        <v>0</v>
      </c>
    </row>
    <row r="83" spans="1:47" ht="24.75" customHeight="1">
      <c r="A83" s="595">
        <v>71</v>
      </c>
      <c r="B83" s="595">
        <v>71</v>
      </c>
      <c r="C83" s="595" t="str">
        <f>VLOOKUP(D83,'Mã số nhân viên'!B73:I204,8,0)</f>
        <v>03516</v>
      </c>
      <c r="D83" s="949" t="s">
        <v>197</v>
      </c>
      <c r="E83" s="595"/>
      <c r="F83" s="1109" t="s">
        <v>50</v>
      </c>
      <c r="G83" s="1109" t="s">
        <v>50</v>
      </c>
      <c r="H83" s="1109" t="s">
        <v>50</v>
      </c>
      <c r="I83" s="1109" t="s">
        <v>50</v>
      </c>
      <c r="J83" s="1109" t="s">
        <v>89</v>
      </c>
      <c r="K83" s="1109" t="s">
        <v>50</v>
      </c>
      <c r="L83" s="1109" t="s">
        <v>50</v>
      </c>
      <c r="M83" s="1109" t="s">
        <v>50</v>
      </c>
      <c r="N83" s="1109" t="s">
        <v>50</v>
      </c>
      <c r="O83" s="1109" t="s">
        <v>50</v>
      </c>
      <c r="P83" s="1109" t="s">
        <v>50</v>
      </c>
      <c r="Q83" s="1109" t="s">
        <v>89</v>
      </c>
      <c r="R83" s="1109" t="s">
        <v>50</v>
      </c>
      <c r="S83" s="1109" t="s">
        <v>50</v>
      </c>
      <c r="T83" s="1109" t="s">
        <v>50</v>
      </c>
      <c r="U83" s="1109"/>
      <c r="V83" s="1109" t="s">
        <v>50</v>
      </c>
      <c r="W83" s="1109" t="s">
        <v>50</v>
      </c>
      <c r="X83" s="1109" t="s">
        <v>89</v>
      </c>
      <c r="Y83" s="1109" t="s">
        <v>50</v>
      </c>
      <c r="Z83" s="1109" t="s">
        <v>50</v>
      </c>
      <c r="AA83" s="1109" t="s">
        <v>50</v>
      </c>
      <c r="AB83" s="1186" t="s">
        <v>50</v>
      </c>
      <c r="AC83" s="1109" t="s">
        <v>50</v>
      </c>
      <c r="AD83" s="1109" t="s">
        <v>50</v>
      </c>
      <c r="AE83" s="1109" t="s">
        <v>89</v>
      </c>
      <c r="AF83" s="1109" t="s">
        <v>50</v>
      </c>
      <c r="AG83" s="1109" t="s">
        <v>50</v>
      </c>
      <c r="AH83" s="1109" t="s">
        <v>50</v>
      </c>
      <c r="AI83" s="1109" t="s">
        <v>50</v>
      </c>
      <c r="AJ83" s="1109" t="s">
        <v>50</v>
      </c>
      <c r="AK83" s="888">
        <f t="shared" si="12"/>
        <v>26</v>
      </c>
      <c r="AL83" s="889">
        <f t="shared" si="13"/>
        <v>4</v>
      </c>
      <c r="AM83" s="888">
        <f t="shared" si="14"/>
        <v>0</v>
      </c>
      <c r="AN83" s="888">
        <f t="shared" si="15"/>
        <v>0</v>
      </c>
      <c r="AO83" s="888">
        <f t="shared" si="16"/>
        <v>0</v>
      </c>
      <c r="AP83" s="889">
        <f t="shared" si="17"/>
        <v>0</v>
      </c>
      <c r="AQ83" s="890">
        <f t="shared" si="18"/>
        <v>30</v>
      </c>
      <c r="AR83" s="891"/>
      <c r="AS83" s="294" t="str">
        <f>VLOOKUP(D83,'Mã số nhân viên'!B73:I145,8,0)</f>
        <v>03516</v>
      </c>
      <c r="AT83" s="886">
        <f t="shared" si="19"/>
        <v>0</v>
      </c>
    </row>
    <row r="84" spans="1:47" ht="24.75" customHeight="1">
      <c r="A84" s="595">
        <v>72</v>
      </c>
      <c r="B84" s="595">
        <v>72</v>
      </c>
      <c r="C84" s="595" t="str">
        <f>VLOOKUP(D84,'Mã số nhân viên'!B74:I205,8,0)</f>
        <v>03544</v>
      </c>
      <c r="D84" s="949" t="s">
        <v>236</v>
      </c>
      <c r="E84" s="595"/>
      <c r="F84" s="1109" t="s">
        <v>50</v>
      </c>
      <c r="G84" s="1109" t="s">
        <v>730</v>
      </c>
      <c r="H84" s="1109" t="s">
        <v>730</v>
      </c>
      <c r="I84" s="1109" t="s">
        <v>50</v>
      </c>
      <c r="J84" s="1109" t="s">
        <v>89</v>
      </c>
      <c r="K84" s="1109" t="s">
        <v>50</v>
      </c>
      <c r="L84" s="1109" t="s">
        <v>50</v>
      </c>
      <c r="M84" s="1109" t="s">
        <v>50</v>
      </c>
      <c r="N84" s="1109" t="s">
        <v>50</v>
      </c>
      <c r="O84" s="1109" t="s">
        <v>50</v>
      </c>
      <c r="P84" s="1109" t="s">
        <v>50</v>
      </c>
      <c r="Q84" s="1109" t="s">
        <v>89</v>
      </c>
      <c r="R84" s="1109" t="s">
        <v>50</v>
      </c>
      <c r="S84" s="1109" t="s">
        <v>50</v>
      </c>
      <c r="T84" s="1109" t="s">
        <v>50</v>
      </c>
      <c r="U84" s="1109" t="s">
        <v>50</v>
      </c>
      <c r="V84" s="1109" t="s">
        <v>50</v>
      </c>
      <c r="W84" s="1109" t="s">
        <v>50</v>
      </c>
      <c r="X84" s="1109" t="s">
        <v>89</v>
      </c>
      <c r="Y84" s="1109" t="s">
        <v>50</v>
      </c>
      <c r="Z84" s="1109" t="s">
        <v>730</v>
      </c>
      <c r="AA84" s="1109" t="s">
        <v>730</v>
      </c>
      <c r="AB84" s="1186" t="s">
        <v>730</v>
      </c>
      <c r="AC84" s="1109" t="s">
        <v>50</v>
      </c>
      <c r="AD84" s="1109" t="s">
        <v>50</v>
      </c>
      <c r="AE84" s="1109" t="s">
        <v>89</v>
      </c>
      <c r="AF84" s="1109" t="s">
        <v>50</v>
      </c>
      <c r="AG84" s="1109" t="s">
        <v>730</v>
      </c>
      <c r="AH84" s="1109" t="s">
        <v>50</v>
      </c>
      <c r="AI84" s="1109" t="s">
        <v>50</v>
      </c>
      <c r="AJ84" s="1109" t="s">
        <v>50</v>
      </c>
      <c r="AK84" s="888">
        <f t="shared" si="12"/>
        <v>21</v>
      </c>
      <c r="AL84" s="889">
        <f t="shared" si="13"/>
        <v>4</v>
      </c>
      <c r="AM84" s="888">
        <f t="shared" si="14"/>
        <v>0</v>
      </c>
      <c r="AN84" s="888">
        <f t="shared" si="15"/>
        <v>0</v>
      </c>
      <c r="AO84" s="888">
        <f t="shared" si="16"/>
        <v>0</v>
      </c>
      <c r="AP84" s="889">
        <f t="shared" si="17"/>
        <v>0</v>
      </c>
      <c r="AQ84" s="890">
        <f t="shared" si="18"/>
        <v>25</v>
      </c>
      <c r="AR84" s="891"/>
      <c r="AS84" s="294" t="str">
        <f>VLOOKUP(D84,'Mã số nhân viên'!B74:I146,8,0)</f>
        <v>03544</v>
      </c>
      <c r="AT84" s="886">
        <f t="shared" si="19"/>
        <v>0</v>
      </c>
    </row>
    <row r="85" spans="1:47" ht="24.75" customHeight="1">
      <c r="A85" s="595">
        <v>73</v>
      </c>
      <c r="B85" s="595">
        <v>73</v>
      </c>
      <c r="C85" s="595" t="str">
        <f>VLOOKUP(D85,'Mã số nhân viên'!B75:I206,8,0)</f>
        <v>04071</v>
      </c>
      <c r="D85" s="949" t="s">
        <v>483</v>
      </c>
      <c r="E85" s="595"/>
      <c r="F85" s="1109" t="s">
        <v>50</v>
      </c>
      <c r="G85" s="1109" t="s">
        <v>730</v>
      </c>
      <c r="H85" s="1109" t="s">
        <v>730</v>
      </c>
      <c r="I85" s="1109" t="s">
        <v>50</v>
      </c>
      <c r="J85" s="1109" t="s">
        <v>89</v>
      </c>
      <c r="K85" s="1109" t="s">
        <v>50</v>
      </c>
      <c r="L85" s="1109" t="s">
        <v>50</v>
      </c>
      <c r="M85" s="1109" t="s">
        <v>50</v>
      </c>
      <c r="N85" s="1109" t="s">
        <v>50</v>
      </c>
      <c r="O85" s="1109" t="s">
        <v>50</v>
      </c>
      <c r="P85" s="1109" t="s">
        <v>50</v>
      </c>
      <c r="Q85" s="1109" t="s">
        <v>89</v>
      </c>
      <c r="R85" s="1109" t="s">
        <v>50</v>
      </c>
      <c r="S85" s="1109" t="s">
        <v>50</v>
      </c>
      <c r="T85" s="1109" t="s">
        <v>50</v>
      </c>
      <c r="U85" s="1109" t="s">
        <v>50</v>
      </c>
      <c r="V85" s="1109" t="s">
        <v>50</v>
      </c>
      <c r="W85" s="1109" t="s">
        <v>50</v>
      </c>
      <c r="X85" s="1109" t="s">
        <v>89</v>
      </c>
      <c r="Y85" s="1109" t="s">
        <v>50</v>
      </c>
      <c r="Z85" s="1109" t="s">
        <v>730</v>
      </c>
      <c r="AA85" s="1109" t="s">
        <v>730</v>
      </c>
      <c r="AB85" s="1186" t="s">
        <v>730</v>
      </c>
      <c r="AC85" s="1109" t="s">
        <v>50</v>
      </c>
      <c r="AD85" s="1109" t="s">
        <v>50</v>
      </c>
      <c r="AE85" s="1109" t="s">
        <v>89</v>
      </c>
      <c r="AF85" s="1109" t="s">
        <v>50</v>
      </c>
      <c r="AG85" s="1109" t="s">
        <v>730</v>
      </c>
      <c r="AH85" s="1109" t="s">
        <v>50</v>
      </c>
      <c r="AI85" s="1109" t="s">
        <v>50</v>
      </c>
      <c r="AJ85" s="1109" t="s">
        <v>50</v>
      </c>
      <c r="AK85" s="888">
        <f t="shared" si="12"/>
        <v>21</v>
      </c>
      <c r="AL85" s="889">
        <f t="shared" si="13"/>
        <v>4</v>
      </c>
      <c r="AM85" s="888">
        <f t="shared" si="14"/>
        <v>0</v>
      </c>
      <c r="AN85" s="888">
        <f t="shared" si="15"/>
        <v>0</v>
      </c>
      <c r="AO85" s="888">
        <f t="shared" si="16"/>
        <v>0</v>
      </c>
      <c r="AP85" s="889">
        <f t="shared" si="17"/>
        <v>0</v>
      </c>
      <c r="AQ85" s="890">
        <f t="shared" si="18"/>
        <v>25</v>
      </c>
      <c r="AR85" s="891"/>
      <c r="AS85" s="294" t="str">
        <f>VLOOKUP(D85,'Mã số nhân viên'!B75:I147,8,0)</f>
        <v>04071</v>
      </c>
      <c r="AT85" s="886">
        <f t="shared" si="19"/>
        <v>0</v>
      </c>
    </row>
    <row r="86" spans="1:47" ht="24.75" customHeight="1">
      <c r="A86" s="595">
        <v>74</v>
      </c>
      <c r="B86" s="595">
        <v>74</v>
      </c>
      <c r="C86" s="595"/>
      <c r="D86" s="1161" t="s">
        <v>831</v>
      </c>
      <c r="E86" s="110"/>
      <c r="F86" s="1109"/>
      <c r="G86" s="1109"/>
      <c r="H86" s="1109" t="s">
        <v>50</v>
      </c>
      <c r="I86" s="1109" t="s">
        <v>50</v>
      </c>
      <c r="J86" s="1109"/>
      <c r="K86" s="1109"/>
      <c r="L86" s="1109" t="s">
        <v>50</v>
      </c>
      <c r="M86" s="1109" t="s">
        <v>50</v>
      </c>
      <c r="N86" s="1109"/>
      <c r="O86" s="1109"/>
      <c r="P86" s="1109" t="s">
        <v>50</v>
      </c>
      <c r="Q86" s="1109" t="s">
        <v>89</v>
      </c>
      <c r="R86" s="1109"/>
      <c r="S86" s="1109"/>
      <c r="T86" s="1109" t="s">
        <v>50</v>
      </c>
      <c r="U86" s="1109" t="s">
        <v>50</v>
      </c>
      <c r="V86" s="1109"/>
      <c r="W86" s="1109"/>
      <c r="X86" s="1109" t="s">
        <v>89</v>
      </c>
      <c r="Y86" s="1109" t="s">
        <v>50</v>
      </c>
      <c r="Z86" s="1109"/>
      <c r="AA86" s="1109"/>
      <c r="AB86" s="1186" t="s">
        <v>50</v>
      </c>
      <c r="AC86" s="1109" t="s">
        <v>50</v>
      </c>
      <c r="AD86" s="1109"/>
      <c r="AE86" s="1109"/>
      <c r="AF86" s="1109" t="s">
        <v>50</v>
      </c>
      <c r="AG86" s="1109" t="s">
        <v>50</v>
      </c>
      <c r="AH86" s="1109"/>
      <c r="AI86" s="1109"/>
      <c r="AJ86" s="1109" t="s">
        <v>50</v>
      </c>
      <c r="AK86" s="888">
        <f t="shared" si="12"/>
        <v>13</v>
      </c>
      <c r="AL86" s="889">
        <f t="shared" si="13"/>
        <v>2</v>
      </c>
      <c r="AM86" s="888">
        <f t="shared" si="14"/>
        <v>0</v>
      </c>
      <c r="AN86" s="888">
        <f t="shared" si="15"/>
        <v>0</v>
      </c>
      <c r="AO86" s="888">
        <f t="shared" si="16"/>
        <v>0</v>
      </c>
      <c r="AP86" s="889">
        <f t="shared" si="17"/>
        <v>0</v>
      </c>
      <c r="AQ86" s="890">
        <f t="shared" si="18"/>
        <v>15</v>
      </c>
      <c r="AR86" s="891"/>
    </row>
    <row r="87" spans="1:47" ht="24.75" customHeight="1">
      <c r="A87" s="595">
        <v>75</v>
      </c>
      <c r="B87" s="595">
        <v>75</v>
      </c>
      <c r="C87" s="595"/>
      <c r="D87" s="1161" t="s">
        <v>702</v>
      </c>
      <c r="E87" s="110"/>
      <c r="F87" s="1109"/>
      <c r="G87" s="1109" t="s">
        <v>50</v>
      </c>
      <c r="H87" s="1109" t="s">
        <v>50</v>
      </c>
      <c r="I87" s="1109" t="s">
        <v>50</v>
      </c>
      <c r="J87" s="1109"/>
      <c r="K87" s="1109" t="s">
        <v>50</v>
      </c>
      <c r="L87" s="1109"/>
      <c r="M87" s="1109"/>
      <c r="N87" s="1109" t="s">
        <v>50</v>
      </c>
      <c r="O87" s="1109"/>
      <c r="P87" s="1109" t="s">
        <v>50</v>
      </c>
      <c r="Q87" s="1109" t="s">
        <v>89</v>
      </c>
      <c r="R87" s="1109" t="s">
        <v>50</v>
      </c>
      <c r="S87" s="1109" t="s">
        <v>50</v>
      </c>
      <c r="T87" s="1109" t="s">
        <v>50</v>
      </c>
      <c r="U87" s="1109" t="s">
        <v>50</v>
      </c>
      <c r="V87" s="1109" t="s">
        <v>50</v>
      </c>
      <c r="W87" s="1109" t="s">
        <v>50</v>
      </c>
      <c r="X87" s="1109" t="s">
        <v>89</v>
      </c>
      <c r="Y87" s="1109" t="s">
        <v>50</v>
      </c>
      <c r="Z87" s="1109" t="s">
        <v>50</v>
      </c>
      <c r="AA87" s="1109" t="s">
        <v>50</v>
      </c>
      <c r="AB87" s="1186" t="s">
        <v>50</v>
      </c>
      <c r="AC87" s="1109" t="s">
        <v>50</v>
      </c>
      <c r="AD87" s="1109" t="s">
        <v>50</v>
      </c>
      <c r="AE87" s="1109" t="s">
        <v>89</v>
      </c>
      <c r="AF87" s="1109" t="s">
        <v>50</v>
      </c>
      <c r="AG87" s="1109" t="s">
        <v>50</v>
      </c>
      <c r="AH87" s="1109"/>
      <c r="AI87" s="1109"/>
      <c r="AJ87" s="1109"/>
      <c r="AK87" s="888">
        <f t="shared" si="12"/>
        <v>20</v>
      </c>
      <c r="AL87" s="889">
        <f t="shared" si="13"/>
        <v>3</v>
      </c>
      <c r="AM87" s="888">
        <f t="shared" si="14"/>
        <v>0</v>
      </c>
      <c r="AN87" s="888">
        <f t="shared" si="15"/>
        <v>0</v>
      </c>
      <c r="AO87" s="888">
        <f t="shared" si="16"/>
        <v>0</v>
      </c>
      <c r="AP87" s="889">
        <f t="shared" si="17"/>
        <v>0</v>
      </c>
      <c r="AQ87" s="890">
        <f t="shared" si="18"/>
        <v>23</v>
      </c>
      <c r="AR87" s="891"/>
    </row>
    <row r="88" spans="1:47" ht="24.75" customHeight="1">
      <c r="A88" s="595">
        <v>76</v>
      </c>
      <c r="B88" s="595">
        <v>76</v>
      </c>
      <c r="C88" s="595"/>
      <c r="D88" s="1161" t="s">
        <v>703</v>
      </c>
      <c r="E88" s="110"/>
      <c r="F88" s="1109"/>
      <c r="G88" s="1109" t="s">
        <v>50</v>
      </c>
      <c r="H88" s="1109" t="s">
        <v>50</v>
      </c>
      <c r="I88" s="1109" t="s">
        <v>50</v>
      </c>
      <c r="J88" s="1109"/>
      <c r="K88" s="1109"/>
      <c r="L88" s="1109"/>
      <c r="M88" s="1109"/>
      <c r="N88" s="1109"/>
      <c r="O88" s="1109"/>
      <c r="P88" s="1109" t="s">
        <v>50</v>
      </c>
      <c r="Q88" s="1109"/>
      <c r="R88" s="1109"/>
      <c r="S88" s="1109" t="s">
        <v>50</v>
      </c>
      <c r="T88" s="1109" t="s">
        <v>50</v>
      </c>
      <c r="U88" s="1109" t="s">
        <v>50</v>
      </c>
      <c r="V88" s="1109" t="s">
        <v>50</v>
      </c>
      <c r="W88" s="1109"/>
      <c r="X88" s="1109" t="s">
        <v>89</v>
      </c>
      <c r="Y88" s="1109" t="s">
        <v>50</v>
      </c>
      <c r="Z88" s="1109" t="s">
        <v>50</v>
      </c>
      <c r="AA88" s="1109" t="s">
        <v>50</v>
      </c>
      <c r="AB88" s="1186" t="s">
        <v>50</v>
      </c>
      <c r="AC88" s="1109" t="s">
        <v>50</v>
      </c>
      <c r="AD88" s="1109" t="s">
        <v>50</v>
      </c>
      <c r="AE88" s="1109" t="s">
        <v>89</v>
      </c>
      <c r="AF88" s="1109" t="s">
        <v>50</v>
      </c>
      <c r="AG88" s="1109" t="s">
        <v>50</v>
      </c>
      <c r="AH88" s="1109"/>
      <c r="AI88" s="1109"/>
      <c r="AJ88" s="1109"/>
      <c r="AK88" s="888">
        <f t="shared" si="12"/>
        <v>16</v>
      </c>
      <c r="AL88" s="889">
        <f t="shared" si="13"/>
        <v>2</v>
      </c>
      <c r="AM88" s="888">
        <f t="shared" si="14"/>
        <v>0</v>
      </c>
      <c r="AN88" s="888">
        <f t="shared" si="15"/>
        <v>0</v>
      </c>
      <c r="AO88" s="888">
        <f t="shared" si="16"/>
        <v>0</v>
      </c>
      <c r="AP88" s="889">
        <f t="shared" si="17"/>
        <v>0</v>
      </c>
      <c r="AQ88" s="890">
        <f t="shared" si="18"/>
        <v>18</v>
      </c>
      <c r="AR88" s="891"/>
    </row>
    <row r="89" spans="1:47" ht="24.75" customHeight="1">
      <c r="A89" s="595">
        <v>77</v>
      </c>
      <c r="B89" s="595">
        <v>77</v>
      </c>
      <c r="C89" s="595"/>
      <c r="D89" s="1161" t="s">
        <v>704</v>
      </c>
      <c r="E89" s="110"/>
      <c r="F89" s="1109"/>
      <c r="G89" s="1109"/>
      <c r="H89" s="1109"/>
      <c r="I89" s="1109" t="s">
        <v>50</v>
      </c>
      <c r="J89" s="1109"/>
      <c r="K89" s="1109"/>
      <c r="L89" s="1109"/>
      <c r="M89" s="1109"/>
      <c r="N89" s="1109"/>
      <c r="O89" s="1109"/>
      <c r="P89" s="1109" t="s">
        <v>50</v>
      </c>
      <c r="Q89" s="1109"/>
      <c r="R89" s="1109"/>
      <c r="S89" s="1109" t="s">
        <v>50</v>
      </c>
      <c r="T89" s="1109"/>
      <c r="U89" s="1109" t="s">
        <v>50</v>
      </c>
      <c r="V89" s="1109" t="s">
        <v>50</v>
      </c>
      <c r="W89" s="1109"/>
      <c r="X89" s="1109" t="s">
        <v>89</v>
      </c>
      <c r="Y89" s="1109" t="s">
        <v>50</v>
      </c>
      <c r="Z89" s="1109" t="s">
        <v>50</v>
      </c>
      <c r="AA89" s="1109"/>
      <c r="AB89" s="1186"/>
      <c r="AC89" s="1109" t="s">
        <v>50</v>
      </c>
      <c r="AD89" s="1109"/>
      <c r="AE89" s="1109"/>
      <c r="AF89" s="1109" t="s">
        <v>50</v>
      </c>
      <c r="AG89" s="1109" t="s">
        <v>50</v>
      </c>
      <c r="AH89" s="1109"/>
      <c r="AI89" s="1109"/>
      <c r="AJ89" s="1109"/>
      <c r="AK89" s="888">
        <f t="shared" si="12"/>
        <v>10</v>
      </c>
      <c r="AL89" s="889">
        <f t="shared" si="13"/>
        <v>1</v>
      </c>
      <c r="AM89" s="888">
        <f t="shared" si="14"/>
        <v>0</v>
      </c>
      <c r="AN89" s="888">
        <f t="shared" si="15"/>
        <v>0</v>
      </c>
      <c r="AO89" s="888">
        <f t="shared" si="16"/>
        <v>0</v>
      </c>
      <c r="AP89" s="889">
        <f t="shared" si="17"/>
        <v>0</v>
      </c>
      <c r="AQ89" s="890">
        <f t="shared" si="18"/>
        <v>11</v>
      </c>
      <c r="AR89" s="891"/>
    </row>
    <row r="90" spans="1:47" ht="24.75" customHeight="1">
      <c r="A90" s="595">
        <v>78</v>
      </c>
      <c r="B90" s="595">
        <v>78</v>
      </c>
      <c r="C90" s="595"/>
      <c r="D90" s="1162" t="s">
        <v>709</v>
      </c>
      <c r="E90" s="110"/>
      <c r="F90" s="1109"/>
      <c r="G90" s="1109"/>
      <c r="H90" s="1109"/>
      <c r="I90" s="1109" t="s">
        <v>50</v>
      </c>
      <c r="J90" s="1109"/>
      <c r="K90" s="1109"/>
      <c r="L90" s="1109"/>
      <c r="M90" s="1109"/>
      <c r="N90" s="1109"/>
      <c r="O90" s="1109"/>
      <c r="P90" s="1109"/>
      <c r="Q90" s="1109"/>
      <c r="R90" s="1109"/>
      <c r="S90" s="1109" t="s">
        <v>50</v>
      </c>
      <c r="T90" s="1109"/>
      <c r="U90" s="1109" t="s">
        <v>50</v>
      </c>
      <c r="V90" s="1109" t="s">
        <v>50</v>
      </c>
      <c r="W90" s="1109"/>
      <c r="X90" s="1109" t="s">
        <v>89</v>
      </c>
      <c r="Y90" s="1109"/>
      <c r="Z90" s="1109"/>
      <c r="AA90" s="1109"/>
      <c r="AB90" s="1186"/>
      <c r="AC90" s="1109" t="s">
        <v>50</v>
      </c>
      <c r="AD90" s="1109"/>
      <c r="AE90" s="1109"/>
      <c r="AF90" s="1109" t="s">
        <v>50</v>
      </c>
      <c r="AG90" s="1109" t="s">
        <v>50</v>
      </c>
      <c r="AH90" s="1109"/>
      <c r="AI90" s="1109"/>
      <c r="AJ90" s="1109"/>
      <c r="AK90" s="888">
        <f t="shared" si="12"/>
        <v>7</v>
      </c>
      <c r="AL90" s="889">
        <f t="shared" si="13"/>
        <v>1</v>
      </c>
      <c r="AM90" s="888">
        <f t="shared" si="14"/>
        <v>0</v>
      </c>
      <c r="AN90" s="888">
        <f t="shared" si="15"/>
        <v>0</v>
      </c>
      <c r="AO90" s="888">
        <f t="shared" si="16"/>
        <v>0</v>
      </c>
      <c r="AP90" s="889">
        <f t="shared" si="17"/>
        <v>0</v>
      </c>
      <c r="AQ90" s="890">
        <f t="shared" si="18"/>
        <v>8</v>
      </c>
      <c r="AR90" s="891"/>
    </row>
    <row r="91" spans="1:47" s="913" customFormat="1" ht="24.75" customHeight="1">
      <c r="A91" s="595">
        <v>79</v>
      </c>
      <c r="B91" s="595">
        <v>79</v>
      </c>
      <c r="C91" s="910"/>
      <c r="D91" s="1162" t="s">
        <v>705</v>
      </c>
      <c r="E91" s="911"/>
      <c r="F91" s="1109"/>
      <c r="G91" s="1109"/>
      <c r="H91" s="1109"/>
      <c r="I91" s="1109"/>
      <c r="J91" s="1109"/>
      <c r="K91" s="1109"/>
      <c r="L91" s="1109"/>
      <c r="M91" s="1109"/>
      <c r="N91" s="1109"/>
      <c r="O91" s="1109"/>
      <c r="P91" s="1109"/>
      <c r="Q91" s="1109"/>
      <c r="R91" s="1109"/>
      <c r="S91" s="1109" t="s">
        <v>50</v>
      </c>
      <c r="T91" s="1109" t="s">
        <v>50</v>
      </c>
      <c r="U91" s="1109" t="s">
        <v>50</v>
      </c>
      <c r="V91" s="1109"/>
      <c r="W91" s="1109" t="s">
        <v>50</v>
      </c>
      <c r="X91" s="1109" t="s">
        <v>89</v>
      </c>
      <c r="Y91" s="1109"/>
      <c r="Z91" s="1109"/>
      <c r="AA91" s="1109"/>
      <c r="AB91" s="1186"/>
      <c r="AC91" s="1109" t="s">
        <v>50</v>
      </c>
      <c r="AD91" s="1109"/>
      <c r="AE91" s="1109"/>
      <c r="AF91" s="1109"/>
      <c r="AG91" s="1109"/>
      <c r="AH91" s="1109"/>
      <c r="AI91" s="1109"/>
      <c r="AJ91" s="1109"/>
      <c r="AK91" s="888">
        <f t="shared" si="12"/>
        <v>5</v>
      </c>
      <c r="AL91" s="889">
        <f t="shared" si="13"/>
        <v>1</v>
      </c>
      <c r="AM91" s="888">
        <f t="shared" si="14"/>
        <v>0</v>
      </c>
      <c r="AN91" s="888">
        <f t="shared" si="15"/>
        <v>0</v>
      </c>
      <c r="AO91" s="888">
        <f t="shared" si="16"/>
        <v>0</v>
      </c>
      <c r="AP91" s="889">
        <f t="shared" si="17"/>
        <v>0</v>
      </c>
      <c r="AQ91" s="890">
        <f t="shared" si="18"/>
        <v>6</v>
      </c>
      <c r="AR91" s="912"/>
      <c r="AT91" s="914"/>
    </row>
    <row r="92" spans="1:47" s="913" customFormat="1" ht="24.75" customHeight="1">
      <c r="A92" s="595">
        <v>80</v>
      </c>
      <c r="B92" s="595">
        <v>80</v>
      </c>
      <c r="C92" s="910"/>
      <c r="D92" s="1162" t="s">
        <v>438</v>
      </c>
      <c r="E92" s="911"/>
      <c r="F92" s="1109"/>
      <c r="G92" s="1109"/>
      <c r="H92" s="1109"/>
      <c r="I92" s="1109"/>
      <c r="J92" s="1109"/>
      <c r="K92" s="1109"/>
      <c r="L92" s="1109"/>
      <c r="M92" s="1109"/>
      <c r="N92" s="1109"/>
      <c r="O92" s="1109"/>
      <c r="P92" s="1109"/>
      <c r="Q92" s="1109"/>
      <c r="R92" s="1109"/>
      <c r="S92" s="1109"/>
      <c r="T92" s="1109" t="s">
        <v>50</v>
      </c>
      <c r="U92" s="1109" t="s">
        <v>50</v>
      </c>
      <c r="V92" s="1109"/>
      <c r="W92" s="1109" t="s">
        <v>50</v>
      </c>
      <c r="X92" s="1109"/>
      <c r="Y92" s="1109"/>
      <c r="Z92" s="1109"/>
      <c r="AA92" s="1109"/>
      <c r="AB92" s="1186"/>
      <c r="AC92" s="1109" t="s">
        <v>50</v>
      </c>
      <c r="AD92" s="1109"/>
      <c r="AE92" s="1109"/>
      <c r="AF92" s="1109"/>
      <c r="AG92" s="1109"/>
      <c r="AH92" s="1109"/>
      <c r="AI92" s="1109"/>
      <c r="AJ92" s="1109"/>
      <c r="AK92" s="888">
        <f t="shared" si="12"/>
        <v>4</v>
      </c>
      <c r="AL92" s="889">
        <f t="shared" si="13"/>
        <v>0</v>
      </c>
      <c r="AM92" s="888">
        <f t="shared" si="14"/>
        <v>0</v>
      </c>
      <c r="AN92" s="888">
        <f t="shared" si="15"/>
        <v>0</v>
      </c>
      <c r="AO92" s="888">
        <f t="shared" si="16"/>
        <v>0</v>
      </c>
      <c r="AP92" s="889">
        <f t="shared" si="17"/>
        <v>0</v>
      </c>
      <c r="AQ92" s="890">
        <f t="shared" si="18"/>
        <v>4</v>
      </c>
      <c r="AR92" s="912"/>
      <c r="AT92" s="914"/>
    </row>
    <row r="93" spans="1:47" ht="24.75" hidden="1" customHeight="1">
      <c r="A93" s="595">
        <v>81</v>
      </c>
      <c r="B93" s="595">
        <v>81</v>
      </c>
      <c r="C93" s="595"/>
      <c r="D93" s="1158"/>
      <c r="E93" s="588"/>
      <c r="F93" s="887"/>
      <c r="G93" s="887"/>
      <c r="H93" s="887"/>
      <c r="I93" s="887"/>
      <c r="J93" s="887"/>
      <c r="K93" s="887"/>
      <c r="L93" s="887"/>
      <c r="M93" s="887"/>
      <c r="N93" s="887"/>
      <c r="O93" s="887"/>
      <c r="P93" s="887"/>
      <c r="Q93" s="887"/>
      <c r="R93" s="887"/>
      <c r="S93" s="887"/>
      <c r="T93" s="887"/>
      <c r="U93" s="887"/>
      <c r="V93" s="887"/>
      <c r="W93" s="887"/>
      <c r="X93" s="887"/>
      <c r="Y93" s="887"/>
      <c r="Z93" s="887"/>
      <c r="AA93" s="887"/>
      <c r="AB93" s="1187"/>
      <c r="AC93" s="887"/>
      <c r="AD93" s="887"/>
      <c r="AE93" s="887"/>
      <c r="AF93" s="887"/>
      <c r="AG93" s="887"/>
      <c r="AH93" s="887"/>
      <c r="AI93" s="887"/>
      <c r="AJ93" s="887"/>
      <c r="AK93" s="888"/>
      <c r="AL93" s="889"/>
      <c r="AM93" s="888"/>
      <c r="AN93" s="888"/>
      <c r="AO93" s="888"/>
      <c r="AP93" s="889"/>
      <c r="AQ93" s="890"/>
      <c r="AR93" s="891"/>
    </row>
    <row r="94" spans="1:47" s="894" customFormat="1" ht="24.75" customHeight="1">
      <c r="A94" s="1444" t="s">
        <v>499</v>
      </c>
      <c r="B94" s="1444"/>
      <c r="C94" s="1444"/>
      <c r="D94" s="1444"/>
      <c r="E94" s="1444"/>
      <c r="F94" s="892">
        <f>SUM(COUNTIF(F95:F156,"x"))+(COUNTIF(F95:F156,"cn"))+(COUNTIF(F95:F156,"cnđ"))+(COUNTIF(F95:F156,"đ"))</f>
        <v>58</v>
      </c>
      <c r="G94" s="892">
        <f t="shared" ref="G94:AJ94" si="20">SUM(COUNTIF(G95:G156,"x"))+(COUNTIF(G95:G156,"cn"))+(COUNTIF(G95:G156,"cnđ"))+(COUNTIF(G95:G156,"đ"))</f>
        <v>58</v>
      </c>
      <c r="H94" s="892">
        <f t="shared" si="20"/>
        <v>58</v>
      </c>
      <c r="I94" s="892">
        <f t="shared" si="20"/>
        <v>58</v>
      </c>
      <c r="J94" s="892">
        <f>SUM(COUNTIF(J95:J156,"x"))+(COUNTIF(J95:J156,"cn"))+(COUNTIF(J95:J156,"đc"))+(COUNTIF(J95:J156,"đ"))</f>
        <v>58</v>
      </c>
      <c r="K94" s="892">
        <f t="shared" si="20"/>
        <v>58</v>
      </c>
      <c r="L94" s="892">
        <f t="shared" si="20"/>
        <v>58</v>
      </c>
      <c r="M94" s="892">
        <f t="shared" si="20"/>
        <v>58</v>
      </c>
      <c r="N94" s="892">
        <f t="shared" si="20"/>
        <v>58</v>
      </c>
      <c r="O94" s="892">
        <f t="shared" si="20"/>
        <v>55</v>
      </c>
      <c r="P94" s="892">
        <f t="shared" si="20"/>
        <v>54</v>
      </c>
      <c r="Q94" s="892">
        <f>SUM(COUNTIF(Q95:Q156,"x"))+(COUNTIF(Q95:Q156,"cn"))+(COUNTIF(Q95:Q156,"đc"))+(COUNTIF(Q95:Q156,"đ"))</f>
        <v>58</v>
      </c>
      <c r="R94" s="892">
        <f t="shared" si="20"/>
        <v>57</v>
      </c>
      <c r="S94" s="892">
        <f t="shared" si="20"/>
        <v>58</v>
      </c>
      <c r="T94" s="892">
        <f t="shared" si="20"/>
        <v>58</v>
      </c>
      <c r="U94" s="892">
        <f t="shared" si="20"/>
        <v>58</v>
      </c>
      <c r="V94" s="892">
        <f t="shared" si="20"/>
        <v>58</v>
      </c>
      <c r="W94" s="892">
        <f t="shared" si="20"/>
        <v>58</v>
      </c>
      <c r="X94" s="892">
        <f>SUM(COUNTIF(X95:X156,"x"))+(COUNTIF(X95:X156,"cn"))+(COUNTIF(X95:X156,"đc"))+(COUNTIF(X95:X156,"đ"))</f>
        <v>58</v>
      </c>
      <c r="Y94" s="892">
        <f t="shared" si="20"/>
        <v>58</v>
      </c>
      <c r="Z94" s="892">
        <f t="shared" si="20"/>
        <v>58</v>
      </c>
      <c r="AA94" s="892">
        <f t="shared" si="20"/>
        <v>58</v>
      </c>
      <c r="AB94" s="1188">
        <f t="shared" si="20"/>
        <v>58</v>
      </c>
      <c r="AC94" s="892">
        <f t="shared" si="20"/>
        <v>58</v>
      </c>
      <c r="AD94" s="892">
        <f t="shared" si="20"/>
        <v>57</v>
      </c>
      <c r="AE94" s="892">
        <f t="shared" si="20"/>
        <v>58</v>
      </c>
      <c r="AF94" s="892">
        <f t="shared" si="20"/>
        <v>58</v>
      </c>
      <c r="AG94" s="892">
        <f t="shared" si="20"/>
        <v>58</v>
      </c>
      <c r="AH94" s="892">
        <f t="shared" si="20"/>
        <v>58</v>
      </c>
      <c r="AI94" s="892">
        <f t="shared" si="20"/>
        <v>58</v>
      </c>
      <c r="AJ94" s="892">
        <f t="shared" si="20"/>
        <v>58</v>
      </c>
      <c r="AK94" s="1154">
        <f>SUM(AK95:AK156)</f>
        <v>1557</v>
      </c>
      <c r="AL94" s="1154">
        <f t="shared" ref="AL94:AP94" si="21">SUM(AL95:AL156)</f>
        <v>61</v>
      </c>
      <c r="AM94" s="1154">
        <f t="shared" si="21"/>
        <v>0</v>
      </c>
      <c r="AN94" s="1154">
        <f t="shared" si="21"/>
        <v>171</v>
      </c>
      <c r="AO94" s="1154">
        <f t="shared" si="21"/>
        <v>0</v>
      </c>
      <c r="AP94" s="1154">
        <f t="shared" si="21"/>
        <v>0</v>
      </c>
      <c r="AQ94" s="1154">
        <f>SUM(AQ95:AQ156)</f>
        <v>1789</v>
      </c>
      <c r="AR94" s="893"/>
      <c r="AT94" s="895"/>
    </row>
    <row r="95" spans="1:47" ht="24.75" customHeight="1">
      <c r="A95" s="595">
        <v>81</v>
      </c>
      <c r="B95" s="896">
        <v>1</v>
      </c>
      <c r="C95" s="595" t="str">
        <f>VLOOKUP(D95,'Mã số nhân viên'!B77:I134,8,0)</f>
        <v>04072</v>
      </c>
      <c r="D95" s="935" t="s">
        <v>484</v>
      </c>
      <c r="E95" s="110"/>
      <c r="F95" s="1109" t="s">
        <v>50</v>
      </c>
      <c r="G95" s="1109" t="s">
        <v>50</v>
      </c>
      <c r="H95" s="1109" t="s">
        <v>50</v>
      </c>
      <c r="I95" s="1109" t="s">
        <v>50</v>
      </c>
      <c r="J95" s="1109" t="s">
        <v>747</v>
      </c>
      <c r="K95" s="1109" t="s">
        <v>50</v>
      </c>
      <c r="L95" s="1109" t="s">
        <v>730</v>
      </c>
      <c r="M95" s="1109" t="s">
        <v>50</v>
      </c>
      <c r="N95" s="1109" t="s">
        <v>50</v>
      </c>
      <c r="O95" s="1109" t="s">
        <v>50</v>
      </c>
      <c r="P95" s="1109" t="s">
        <v>50</v>
      </c>
      <c r="Q95" s="1109" t="s">
        <v>747</v>
      </c>
      <c r="R95" s="1109" t="s">
        <v>50</v>
      </c>
      <c r="S95" s="1109" t="s">
        <v>50</v>
      </c>
      <c r="T95" s="1109" t="s">
        <v>50</v>
      </c>
      <c r="U95" s="1109" t="s">
        <v>50</v>
      </c>
      <c r="V95" s="1109" t="s">
        <v>50</v>
      </c>
      <c r="W95" s="1109" t="s">
        <v>50</v>
      </c>
      <c r="X95" s="1109" t="s">
        <v>747</v>
      </c>
      <c r="Y95" s="1109" t="s">
        <v>50</v>
      </c>
      <c r="Z95" s="1109" t="s">
        <v>50</v>
      </c>
      <c r="AA95" s="1109" t="s">
        <v>50</v>
      </c>
      <c r="AB95" s="1186" t="s">
        <v>50</v>
      </c>
      <c r="AC95" s="1109" t="s">
        <v>50</v>
      </c>
      <c r="AD95" s="1109" t="s">
        <v>50</v>
      </c>
      <c r="AE95" s="1109" t="s">
        <v>89</v>
      </c>
      <c r="AF95" s="1109" t="s">
        <v>50</v>
      </c>
      <c r="AG95" s="1109" t="s">
        <v>50</v>
      </c>
      <c r="AH95" s="1109" t="s">
        <v>50</v>
      </c>
      <c r="AI95" s="1109" t="s">
        <v>50</v>
      </c>
      <c r="AJ95" s="1109" t="s">
        <v>50</v>
      </c>
      <c r="AK95" s="888">
        <f>SUM(COUNTIF(F95:AJ95,"x"))</f>
        <v>26</v>
      </c>
      <c r="AL95" s="889">
        <f>SUM(COUNTIF(F95:AJ95,"cn"))</f>
        <v>1</v>
      </c>
      <c r="AM95" s="888">
        <f>SUM(COUNTIF(F95:AJ95,"đ"))</f>
        <v>0</v>
      </c>
      <c r="AN95" s="888">
        <f>SUM(COUNTIF(F95:AJ95,"đc"))</f>
        <v>3</v>
      </c>
      <c r="AO95" s="888">
        <f t="shared" ref="AO95" si="22">SUM(COUNTIF(F95:AJ95,"gt"))</f>
        <v>0</v>
      </c>
      <c r="AP95" s="889">
        <f>SUM(COUNTIF(F95:AJ95,"ct"))</f>
        <v>0</v>
      </c>
      <c r="AQ95" s="890">
        <f>AK95+AL95+AM95+AN95+AO95+AP95</f>
        <v>30</v>
      </c>
      <c r="AR95" s="891"/>
      <c r="AS95" s="137" t="str">
        <f>'Mã số nhân viên'!I77</f>
        <v>04072</v>
      </c>
      <c r="AT95" s="897">
        <f t="shared" ref="AT95:AT126" si="23">C95-AS95</f>
        <v>0</v>
      </c>
      <c r="AU95" s="878">
        <v>129</v>
      </c>
    </row>
    <row r="96" spans="1:47" ht="24.75" customHeight="1">
      <c r="A96" s="595">
        <v>82</v>
      </c>
      <c r="B96" s="896">
        <v>2</v>
      </c>
      <c r="C96" s="595" t="str">
        <f>VLOOKUP(D96,'Mã số nhân viên'!B78:I135,8,0)</f>
        <v>03466</v>
      </c>
      <c r="D96" s="935" t="s">
        <v>212</v>
      </c>
      <c r="E96" s="110"/>
      <c r="F96" s="1109" t="s">
        <v>50</v>
      </c>
      <c r="G96" s="1109" t="s">
        <v>50</v>
      </c>
      <c r="H96" s="1109" t="s">
        <v>50</v>
      </c>
      <c r="I96" s="1109" t="s">
        <v>50</v>
      </c>
      <c r="J96" s="1109" t="s">
        <v>747</v>
      </c>
      <c r="K96" s="1109" t="s">
        <v>50</v>
      </c>
      <c r="L96" s="1109" t="s">
        <v>50</v>
      </c>
      <c r="M96" s="1109" t="s">
        <v>50</v>
      </c>
      <c r="N96" s="1109" t="s">
        <v>50</v>
      </c>
      <c r="O96" s="1109" t="s">
        <v>50</v>
      </c>
      <c r="P96" s="1109" t="s">
        <v>50</v>
      </c>
      <c r="Q96" s="1109" t="s">
        <v>747</v>
      </c>
      <c r="R96" s="1109" t="s">
        <v>50</v>
      </c>
      <c r="S96" s="1109" t="s">
        <v>50</v>
      </c>
      <c r="T96" s="1109" t="s">
        <v>50</v>
      </c>
      <c r="U96" s="1109" t="s">
        <v>50</v>
      </c>
      <c r="V96" s="1109" t="s">
        <v>50</v>
      </c>
      <c r="W96" s="1109" t="s">
        <v>50</v>
      </c>
      <c r="X96" s="1109" t="s">
        <v>747</v>
      </c>
      <c r="Y96" s="1109" t="s">
        <v>50</v>
      </c>
      <c r="Z96" s="1109" t="s">
        <v>730</v>
      </c>
      <c r="AA96" s="1109" t="s">
        <v>730</v>
      </c>
      <c r="AB96" s="1186" t="s">
        <v>50</v>
      </c>
      <c r="AC96" s="1109" t="s">
        <v>50</v>
      </c>
      <c r="AD96" s="1109" t="s">
        <v>50</v>
      </c>
      <c r="AE96" s="1109" t="s">
        <v>89</v>
      </c>
      <c r="AF96" s="1109" t="s">
        <v>50</v>
      </c>
      <c r="AG96" s="1109" t="s">
        <v>50</v>
      </c>
      <c r="AH96" s="1109" t="s">
        <v>50</v>
      </c>
      <c r="AI96" s="1109" t="s">
        <v>50</v>
      </c>
      <c r="AJ96" s="1109" t="s">
        <v>50</v>
      </c>
      <c r="AK96" s="888">
        <f t="shared" ref="AK96:AK156" si="24">SUM(COUNTIF(F96:AJ96,"x"))</f>
        <v>25</v>
      </c>
      <c r="AL96" s="889">
        <f t="shared" ref="AL96:AL156" si="25">SUM(COUNTIF(F96:AJ96,"cn"))</f>
        <v>1</v>
      </c>
      <c r="AM96" s="888">
        <f t="shared" ref="AM96:AM156" si="26">SUM(COUNTIF(F96:AJ96,"đ"))</f>
        <v>0</v>
      </c>
      <c r="AN96" s="888">
        <f t="shared" ref="AN96:AN156" si="27">SUM(COUNTIF(F96:AJ96,"đc"))</f>
        <v>3</v>
      </c>
      <c r="AO96" s="888">
        <f t="shared" ref="AO96:AO156" si="28">SUM(COUNTIF(F96:AJ96,"gt"))</f>
        <v>0</v>
      </c>
      <c r="AP96" s="889">
        <f t="shared" ref="AP96:AP156" si="29">SUM(COUNTIF(F96:AJ96,"ct"))</f>
        <v>0</v>
      </c>
      <c r="AQ96" s="890">
        <f t="shared" ref="AQ96:AQ156" si="30">AK96+AL96+AM96+AN96+AO96+AP96</f>
        <v>29</v>
      </c>
      <c r="AR96" s="891"/>
      <c r="AS96" s="137" t="str">
        <f>'Mã số nhân viên'!I78</f>
        <v>03466</v>
      </c>
      <c r="AT96" s="897">
        <f t="shared" si="23"/>
        <v>0</v>
      </c>
    </row>
    <row r="97" spans="1:46" ht="24.75" customHeight="1">
      <c r="A97" s="595">
        <v>83</v>
      </c>
      <c r="B97" s="896">
        <v>3</v>
      </c>
      <c r="C97" s="595" t="str">
        <f>VLOOKUP(D97,'Mã số nhân viên'!B79:I136,8,0)</f>
        <v>03590</v>
      </c>
      <c r="D97" s="936" t="s">
        <v>134</v>
      </c>
      <c r="E97" s="110"/>
      <c r="F97" s="1109" t="s">
        <v>50</v>
      </c>
      <c r="G97" s="1109" t="s">
        <v>50</v>
      </c>
      <c r="H97" s="1109" t="s">
        <v>50</v>
      </c>
      <c r="I97" s="1109" t="s">
        <v>50</v>
      </c>
      <c r="J97" s="1109" t="s">
        <v>747</v>
      </c>
      <c r="K97" s="1109" t="s">
        <v>50</v>
      </c>
      <c r="L97" s="1109" t="s">
        <v>50</v>
      </c>
      <c r="M97" s="1109" t="s">
        <v>50</v>
      </c>
      <c r="N97" s="1109" t="s">
        <v>50</v>
      </c>
      <c r="O97" s="1109" t="s">
        <v>50</v>
      </c>
      <c r="P97" s="1109" t="s">
        <v>50</v>
      </c>
      <c r="Q97" s="1109" t="s">
        <v>747</v>
      </c>
      <c r="R97" s="1109" t="s">
        <v>50</v>
      </c>
      <c r="S97" s="1109" t="s">
        <v>50</v>
      </c>
      <c r="T97" s="1109" t="s">
        <v>50</v>
      </c>
      <c r="U97" s="1109" t="s">
        <v>50</v>
      </c>
      <c r="V97" s="1109" t="s">
        <v>50</v>
      </c>
      <c r="W97" s="1109" t="s">
        <v>50</v>
      </c>
      <c r="X97" s="1109" t="s">
        <v>747</v>
      </c>
      <c r="Y97" s="1109" t="s">
        <v>50</v>
      </c>
      <c r="Z97" s="1109" t="s">
        <v>50</v>
      </c>
      <c r="AA97" s="1109" t="s">
        <v>50</v>
      </c>
      <c r="AB97" s="1186" t="s">
        <v>50</v>
      </c>
      <c r="AC97" s="1109" t="s">
        <v>50</v>
      </c>
      <c r="AD97" s="1109" t="s">
        <v>50</v>
      </c>
      <c r="AE97" s="1109" t="s">
        <v>89</v>
      </c>
      <c r="AF97" s="1109" t="s">
        <v>50</v>
      </c>
      <c r="AG97" s="1109" t="s">
        <v>50</v>
      </c>
      <c r="AH97" s="1109" t="s">
        <v>50</v>
      </c>
      <c r="AI97" s="1109" t="s">
        <v>50</v>
      </c>
      <c r="AJ97" s="1109" t="s">
        <v>50</v>
      </c>
      <c r="AK97" s="888">
        <f t="shared" si="24"/>
        <v>27</v>
      </c>
      <c r="AL97" s="889">
        <f t="shared" si="25"/>
        <v>1</v>
      </c>
      <c r="AM97" s="888">
        <f t="shared" si="26"/>
        <v>0</v>
      </c>
      <c r="AN97" s="888">
        <f t="shared" si="27"/>
        <v>3</v>
      </c>
      <c r="AO97" s="888">
        <f t="shared" si="28"/>
        <v>0</v>
      </c>
      <c r="AP97" s="889">
        <f t="shared" si="29"/>
        <v>0</v>
      </c>
      <c r="AQ97" s="890">
        <f t="shared" si="30"/>
        <v>31</v>
      </c>
      <c r="AR97" s="891"/>
      <c r="AS97" s="137" t="str">
        <f>'Mã số nhân viên'!I79</f>
        <v>03590</v>
      </c>
      <c r="AT97" s="897">
        <f t="shared" si="23"/>
        <v>0</v>
      </c>
    </row>
    <row r="98" spans="1:46" ht="24.75" customHeight="1">
      <c r="A98" s="595">
        <v>84</v>
      </c>
      <c r="B98" s="896">
        <v>4</v>
      </c>
      <c r="C98" s="595" t="str">
        <f>VLOOKUP(D98,'Mã số nhân viên'!B80:I137,8,0)</f>
        <v>03591</v>
      </c>
      <c r="D98" s="937" t="s">
        <v>213</v>
      </c>
      <c r="E98" s="110"/>
      <c r="F98" s="1109" t="s">
        <v>50</v>
      </c>
      <c r="G98" s="1109" t="s">
        <v>50</v>
      </c>
      <c r="H98" s="1109" t="s">
        <v>50</v>
      </c>
      <c r="I98" s="1109" t="s">
        <v>50</v>
      </c>
      <c r="J98" s="1109" t="s">
        <v>747</v>
      </c>
      <c r="K98" s="1109" t="s">
        <v>50</v>
      </c>
      <c r="L98" s="1109" t="s">
        <v>50</v>
      </c>
      <c r="M98" s="1109" t="s">
        <v>50</v>
      </c>
      <c r="N98" s="1109" t="s">
        <v>50</v>
      </c>
      <c r="O98" s="1109" t="s">
        <v>50</v>
      </c>
      <c r="P98" s="1109" t="s">
        <v>50</v>
      </c>
      <c r="Q98" s="1109" t="s">
        <v>747</v>
      </c>
      <c r="R98" s="1109" t="s">
        <v>50</v>
      </c>
      <c r="S98" s="1109" t="s">
        <v>50</v>
      </c>
      <c r="T98" s="1109" t="s">
        <v>50</v>
      </c>
      <c r="U98" s="1109" t="s">
        <v>50</v>
      </c>
      <c r="V98" s="1109" t="s">
        <v>50</v>
      </c>
      <c r="W98" s="1109" t="s">
        <v>50</v>
      </c>
      <c r="X98" s="1109" t="s">
        <v>747</v>
      </c>
      <c r="Y98" s="1109" t="s">
        <v>50</v>
      </c>
      <c r="Z98" s="1109" t="s">
        <v>50</v>
      </c>
      <c r="AA98" s="1109" t="s">
        <v>50</v>
      </c>
      <c r="AB98" s="1186" t="s">
        <v>730</v>
      </c>
      <c r="AC98" s="1109" t="s">
        <v>50</v>
      </c>
      <c r="AD98" s="1109" t="s">
        <v>50</v>
      </c>
      <c r="AE98" s="1109" t="s">
        <v>89</v>
      </c>
      <c r="AF98" s="1109" t="s">
        <v>50</v>
      </c>
      <c r="AG98" s="1109" t="s">
        <v>50</v>
      </c>
      <c r="AH98" s="1109" t="s">
        <v>50</v>
      </c>
      <c r="AI98" s="1109" t="s">
        <v>50</v>
      </c>
      <c r="AJ98" s="1109" t="s">
        <v>50</v>
      </c>
      <c r="AK98" s="888">
        <f t="shared" si="24"/>
        <v>26</v>
      </c>
      <c r="AL98" s="889">
        <f t="shared" si="25"/>
        <v>1</v>
      </c>
      <c r="AM98" s="888">
        <f t="shared" si="26"/>
        <v>0</v>
      </c>
      <c r="AN98" s="888">
        <f t="shared" si="27"/>
        <v>3</v>
      </c>
      <c r="AO98" s="888">
        <f t="shared" si="28"/>
        <v>0</v>
      </c>
      <c r="AP98" s="889">
        <f t="shared" si="29"/>
        <v>0</v>
      </c>
      <c r="AQ98" s="890">
        <f t="shared" si="30"/>
        <v>30</v>
      </c>
      <c r="AR98" s="891"/>
      <c r="AS98" s="137" t="str">
        <f>'Mã số nhân viên'!I80</f>
        <v>03591</v>
      </c>
      <c r="AT98" s="897">
        <f t="shared" si="23"/>
        <v>0</v>
      </c>
    </row>
    <row r="99" spans="1:46" ht="24.75" customHeight="1">
      <c r="A99" s="595">
        <v>85</v>
      </c>
      <c r="B99" s="896">
        <v>5</v>
      </c>
      <c r="C99" s="595" t="str">
        <f>VLOOKUP(D99,'Mã số nhân viên'!B81:I138,8,0)</f>
        <v>03592</v>
      </c>
      <c r="D99" s="935" t="s">
        <v>170</v>
      </c>
      <c r="E99" s="110"/>
      <c r="F99" s="1109" t="s">
        <v>50</v>
      </c>
      <c r="G99" s="1109" t="s">
        <v>50</v>
      </c>
      <c r="H99" s="1109" t="s">
        <v>50</v>
      </c>
      <c r="I99" s="1109" t="s">
        <v>50</v>
      </c>
      <c r="J99" s="1109" t="s">
        <v>747</v>
      </c>
      <c r="K99" s="1109" t="s">
        <v>50</v>
      </c>
      <c r="L99" s="1109" t="s">
        <v>50</v>
      </c>
      <c r="M99" s="1109" t="s">
        <v>50</v>
      </c>
      <c r="N99" s="1109" t="s">
        <v>50</v>
      </c>
      <c r="O99" s="1109" t="s">
        <v>50</v>
      </c>
      <c r="P99" s="1109" t="s">
        <v>50</v>
      </c>
      <c r="Q99" s="1109" t="s">
        <v>747</v>
      </c>
      <c r="R99" s="1109" t="s">
        <v>50</v>
      </c>
      <c r="S99" s="1109" t="s">
        <v>50</v>
      </c>
      <c r="T99" s="1109" t="s">
        <v>50</v>
      </c>
      <c r="U99" s="1109" t="s">
        <v>50</v>
      </c>
      <c r="V99" s="1109" t="s">
        <v>50</v>
      </c>
      <c r="W99" s="1109" t="s">
        <v>50</v>
      </c>
      <c r="X99" s="1109" t="s">
        <v>747</v>
      </c>
      <c r="Y99" s="1109" t="s">
        <v>50</v>
      </c>
      <c r="Z99" s="1109" t="s">
        <v>50</v>
      </c>
      <c r="AA99" s="1109" t="s">
        <v>50</v>
      </c>
      <c r="AB99" s="1186" t="s">
        <v>730</v>
      </c>
      <c r="AC99" s="1109" t="s">
        <v>50</v>
      </c>
      <c r="AD99" s="1109" t="s">
        <v>50</v>
      </c>
      <c r="AE99" s="1109" t="s">
        <v>89</v>
      </c>
      <c r="AF99" s="1109" t="s">
        <v>50</v>
      </c>
      <c r="AG99" s="1109" t="s">
        <v>50</v>
      </c>
      <c r="AH99" s="1109" t="s">
        <v>50</v>
      </c>
      <c r="AI99" s="1109" t="s">
        <v>50</v>
      </c>
      <c r="AJ99" s="1109" t="s">
        <v>50</v>
      </c>
      <c r="AK99" s="888">
        <f t="shared" si="24"/>
        <v>26</v>
      </c>
      <c r="AL99" s="889">
        <f t="shared" si="25"/>
        <v>1</v>
      </c>
      <c r="AM99" s="888">
        <f t="shared" si="26"/>
        <v>0</v>
      </c>
      <c r="AN99" s="888">
        <f t="shared" si="27"/>
        <v>3</v>
      </c>
      <c r="AO99" s="888">
        <f t="shared" si="28"/>
        <v>0</v>
      </c>
      <c r="AP99" s="889">
        <f t="shared" si="29"/>
        <v>0</v>
      </c>
      <c r="AQ99" s="890">
        <f t="shared" si="30"/>
        <v>30</v>
      </c>
      <c r="AR99" s="891"/>
      <c r="AS99" s="137" t="str">
        <f>'Mã số nhân viên'!I81</f>
        <v>03592</v>
      </c>
      <c r="AT99" s="897">
        <f t="shared" si="23"/>
        <v>0</v>
      </c>
    </row>
    <row r="100" spans="1:46" ht="24.75" customHeight="1">
      <c r="A100" s="595">
        <v>86</v>
      </c>
      <c r="B100" s="896">
        <v>6</v>
      </c>
      <c r="C100" s="595" t="str">
        <f>VLOOKUP(D100,'Mã số nhân viên'!B82:I139,8,0)</f>
        <v>03593</v>
      </c>
      <c r="D100" s="935" t="s">
        <v>307</v>
      </c>
      <c r="E100" s="110"/>
      <c r="F100" s="1109" t="s">
        <v>730</v>
      </c>
      <c r="G100" s="1109" t="s">
        <v>730</v>
      </c>
      <c r="H100" s="1109" t="s">
        <v>730</v>
      </c>
      <c r="I100" s="1109" t="s">
        <v>730</v>
      </c>
      <c r="J100" s="1109" t="s">
        <v>730</v>
      </c>
      <c r="K100" s="1109" t="s">
        <v>730</v>
      </c>
      <c r="L100" s="1109" t="s">
        <v>730</v>
      </c>
      <c r="M100" s="1109" t="s">
        <v>50</v>
      </c>
      <c r="N100" s="1109" t="s">
        <v>50</v>
      </c>
      <c r="O100" s="1109" t="s">
        <v>50</v>
      </c>
      <c r="P100" s="1109" t="s">
        <v>50</v>
      </c>
      <c r="Q100" s="1109" t="s">
        <v>747</v>
      </c>
      <c r="R100" s="1109" t="s">
        <v>50</v>
      </c>
      <c r="S100" s="1109" t="s">
        <v>50</v>
      </c>
      <c r="T100" s="1109" t="s">
        <v>50</v>
      </c>
      <c r="U100" s="1109" t="s">
        <v>50</v>
      </c>
      <c r="V100" s="1109" t="s">
        <v>50</v>
      </c>
      <c r="W100" s="1109" t="s">
        <v>50</v>
      </c>
      <c r="X100" s="1109" t="s">
        <v>747</v>
      </c>
      <c r="Y100" s="1109" t="s">
        <v>50</v>
      </c>
      <c r="Z100" s="1109" t="s">
        <v>50</v>
      </c>
      <c r="AA100" s="1109" t="s">
        <v>50</v>
      </c>
      <c r="AB100" s="1186" t="s">
        <v>50</v>
      </c>
      <c r="AC100" s="1109" t="s">
        <v>50</v>
      </c>
      <c r="AD100" s="1109" t="s">
        <v>50</v>
      </c>
      <c r="AE100" s="1109" t="s">
        <v>89</v>
      </c>
      <c r="AF100" s="1109" t="s">
        <v>50</v>
      </c>
      <c r="AG100" s="1109" t="s">
        <v>50</v>
      </c>
      <c r="AH100" s="1109" t="s">
        <v>50</v>
      </c>
      <c r="AI100" s="1109" t="s">
        <v>50</v>
      </c>
      <c r="AJ100" s="1109" t="s">
        <v>730</v>
      </c>
      <c r="AK100" s="888">
        <f t="shared" si="24"/>
        <v>20</v>
      </c>
      <c r="AL100" s="889">
        <f t="shared" si="25"/>
        <v>1</v>
      </c>
      <c r="AM100" s="888">
        <f t="shared" si="26"/>
        <v>0</v>
      </c>
      <c r="AN100" s="888">
        <f t="shared" si="27"/>
        <v>2</v>
      </c>
      <c r="AO100" s="888">
        <f t="shared" si="28"/>
        <v>0</v>
      </c>
      <c r="AP100" s="889">
        <f t="shared" si="29"/>
        <v>0</v>
      </c>
      <c r="AQ100" s="890">
        <f t="shared" si="30"/>
        <v>23</v>
      </c>
      <c r="AR100" s="891"/>
      <c r="AS100" s="137" t="str">
        <f>'Mã số nhân viên'!I82</f>
        <v>03593</v>
      </c>
      <c r="AT100" s="897">
        <f t="shared" si="23"/>
        <v>0</v>
      </c>
    </row>
    <row r="101" spans="1:46" ht="24.75" customHeight="1">
      <c r="A101" s="595">
        <v>87</v>
      </c>
      <c r="B101" s="896">
        <v>7</v>
      </c>
      <c r="C101" s="595" t="str">
        <f>VLOOKUP(D101,'Mã số nhân viên'!B83:I140,8,0)</f>
        <v>03594</v>
      </c>
      <c r="D101" s="935" t="s">
        <v>171</v>
      </c>
      <c r="E101" s="110"/>
      <c r="F101" s="1109" t="s">
        <v>50</v>
      </c>
      <c r="G101" s="1109" t="s">
        <v>50</v>
      </c>
      <c r="H101" s="1109" t="s">
        <v>50</v>
      </c>
      <c r="I101" s="1109" t="s">
        <v>50</v>
      </c>
      <c r="J101" s="1109" t="s">
        <v>747</v>
      </c>
      <c r="K101" s="1109" t="s">
        <v>50</v>
      </c>
      <c r="L101" s="1109" t="s">
        <v>50</v>
      </c>
      <c r="M101" s="1109" t="s">
        <v>50</v>
      </c>
      <c r="N101" s="1109" t="s">
        <v>50</v>
      </c>
      <c r="O101" s="1109" t="s">
        <v>50</v>
      </c>
      <c r="P101" s="1109" t="s">
        <v>50</v>
      </c>
      <c r="Q101" s="1109" t="s">
        <v>747</v>
      </c>
      <c r="R101" s="1109" t="s">
        <v>50</v>
      </c>
      <c r="S101" s="1109" t="s">
        <v>50</v>
      </c>
      <c r="T101" s="1109" t="s">
        <v>50</v>
      </c>
      <c r="U101" s="1109" t="s">
        <v>50</v>
      </c>
      <c r="V101" s="1109" t="s">
        <v>50</v>
      </c>
      <c r="W101" s="1109" t="s">
        <v>50</v>
      </c>
      <c r="X101" s="1109" t="s">
        <v>747</v>
      </c>
      <c r="Y101" s="1109" t="s">
        <v>50</v>
      </c>
      <c r="Z101" s="1109" t="s">
        <v>50</v>
      </c>
      <c r="AA101" s="1109" t="s">
        <v>50</v>
      </c>
      <c r="AB101" s="1186" t="s">
        <v>50</v>
      </c>
      <c r="AC101" s="1109" t="s">
        <v>50</v>
      </c>
      <c r="AD101" s="1109" t="s">
        <v>50</v>
      </c>
      <c r="AE101" s="1109" t="s">
        <v>89</v>
      </c>
      <c r="AF101" s="1109" t="s">
        <v>50</v>
      </c>
      <c r="AG101" s="1109" t="s">
        <v>50</v>
      </c>
      <c r="AH101" s="1109" t="s">
        <v>50</v>
      </c>
      <c r="AI101" s="1109" t="s">
        <v>50</v>
      </c>
      <c r="AJ101" s="1109" t="s">
        <v>50</v>
      </c>
      <c r="AK101" s="888">
        <f t="shared" si="24"/>
        <v>27</v>
      </c>
      <c r="AL101" s="889">
        <f t="shared" si="25"/>
        <v>1</v>
      </c>
      <c r="AM101" s="888">
        <f t="shared" si="26"/>
        <v>0</v>
      </c>
      <c r="AN101" s="888">
        <f t="shared" si="27"/>
        <v>3</v>
      </c>
      <c r="AO101" s="888">
        <f t="shared" si="28"/>
        <v>0</v>
      </c>
      <c r="AP101" s="889">
        <f t="shared" si="29"/>
        <v>0</v>
      </c>
      <c r="AQ101" s="890">
        <f t="shared" si="30"/>
        <v>31</v>
      </c>
      <c r="AR101" s="891"/>
      <c r="AS101" s="137" t="str">
        <f>'Mã số nhân viên'!I83</f>
        <v>03594</v>
      </c>
      <c r="AT101" s="897">
        <f t="shared" si="23"/>
        <v>0</v>
      </c>
    </row>
    <row r="102" spans="1:46" ht="24.75" customHeight="1">
      <c r="A102" s="595">
        <v>88</v>
      </c>
      <c r="B102" s="896">
        <v>8</v>
      </c>
      <c r="C102" s="595" t="str">
        <f>VLOOKUP(D102,'Mã số nhân viên'!B84:I141,8,0)</f>
        <v>04073</v>
      </c>
      <c r="D102" s="935" t="s">
        <v>485</v>
      </c>
      <c r="E102" s="110"/>
      <c r="F102" s="1109" t="s">
        <v>50</v>
      </c>
      <c r="G102" s="1109" t="s">
        <v>50</v>
      </c>
      <c r="H102" s="1109" t="s">
        <v>50</v>
      </c>
      <c r="I102" s="1109" t="s">
        <v>50</v>
      </c>
      <c r="J102" s="1109" t="s">
        <v>730</v>
      </c>
      <c r="K102" s="1109" t="s">
        <v>50</v>
      </c>
      <c r="L102" s="1109" t="s">
        <v>50</v>
      </c>
      <c r="M102" s="1109" t="s">
        <v>50</v>
      </c>
      <c r="N102" s="1109" t="s">
        <v>50</v>
      </c>
      <c r="O102" s="1109"/>
      <c r="P102" s="1109" t="s">
        <v>730</v>
      </c>
      <c r="Q102" s="1109" t="s">
        <v>746</v>
      </c>
      <c r="R102" s="1109" t="s">
        <v>50</v>
      </c>
      <c r="S102" s="1109" t="s">
        <v>50</v>
      </c>
      <c r="T102" s="1109" t="s">
        <v>50</v>
      </c>
      <c r="U102" s="1109" t="s">
        <v>50</v>
      </c>
      <c r="V102" s="1109" t="s">
        <v>730</v>
      </c>
      <c r="W102" s="1109" t="s">
        <v>50</v>
      </c>
      <c r="X102" s="1109" t="s">
        <v>730</v>
      </c>
      <c r="Y102" s="1109" t="s">
        <v>50</v>
      </c>
      <c r="Z102" s="1109" t="s">
        <v>50</v>
      </c>
      <c r="AA102" s="1109" t="s">
        <v>50</v>
      </c>
      <c r="AB102" s="1186" t="s">
        <v>50</v>
      </c>
      <c r="AC102" s="1109" t="s">
        <v>730</v>
      </c>
      <c r="AD102" s="1109" t="s">
        <v>50</v>
      </c>
      <c r="AE102" s="1109" t="s">
        <v>730</v>
      </c>
      <c r="AF102" s="1109" t="s">
        <v>50</v>
      </c>
      <c r="AG102" s="1109" t="s">
        <v>50</v>
      </c>
      <c r="AH102" s="1109" t="s">
        <v>50</v>
      </c>
      <c r="AI102" s="1109" t="s">
        <v>50</v>
      </c>
      <c r="AJ102" s="1109" t="s">
        <v>730</v>
      </c>
      <c r="AK102" s="888">
        <f t="shared" si="24"/>
        <v>22</v>
      </c>
      <c r="AL102" s="889">
        <f t="shared" si="25"/>
        <v>0</v>
      </c>
      <c r="AM102" s="888">
        <f t="shared" si="26"/>
        <v>0</v>
      </c>
      <c r="AN102" s="888">
        <f>SUM(COUNTIF(F102:AJ102,"đc"))</f>
        <v>0</v>
      </c>
      <c r="AO102" s="888">
        <f t="shared" si="28"/>
        <v>0</v>
      </c>
      <c r="AP102" s="889">
        <f t="shared" si="29"/>
        <v>0</v>
      </c>
      <c r="AQ102" s="890">
        <f t="shared" si="30"/>
        <v>22</v>
      </c>
      <c r="AR102" s="891"/>
      <c r="AS102" s="137" t="str">
        <f>'Mã số nhân viên'!I84</f>
        <v>04073</v>
      </c>
      <c r="AT102" s="897">
        <f t="shared" si="23"/>
        <v>0</v>
      </c>
    </row>
    <row r="103" spans="1:46" ht="24.75" customHeight="1">
      <c r="A103" s="595">
        <v>89</v>
      </c>
      <c r="B103" s="896">
        <v>9</v>
      </c>
      <c r="C103" s="595" t="str">
        <f>VLOOKUP(D103,'Mã số nhân viên'!B85:I142,8,0)</f>
        <v>03596</v>
      </c>
      <c r="D103" s="935" t="s">
        <v>308</v>
      </c>
      <c r="E103" s="110"/>
      <c r="F103" s="1109" t="s">
        <v>50</v>
      </c>
      <c r="G103" s="1109" t="s">
        <v>50</v>
      </c>
      <c r="H103" s="1109" t="s">
        <v>50</v>
      </c>
      <c r="I103" s="1109" t="s">
        <v>50</v>
      </c>
      <c r="J103" s="1109" t="s">
        <v>747</v>
      </c>
      <c r="K103" s="1109" t="s">
        <v>50</v>
      </c>
      <c r="L103" s="1109" t="s">
        <v>50</v>
      </c>
      <c r="M103" s="1109" t="s">
        <v>50</v>
      </c>
      <c r="N103" s="1109" t="s">
        <v>50</v>
      </c>
      <c r="O103" s="1109" t="s">
        <v>50</v>
      </c>
      <c r="P103" s="1109" t="s">
        <v>50</v>
      </c>
      <c r="Q103" s="1109" t="s">
        <v>747</v>
      </c>
      <c r="R103" s="1109" t="s">
        <v>50</v>
      </c>
      <c r="S103" s="1109" t="s">
        <v>50</v>
      </c>
      <c r="T103" s="1109" t="s">
        <v>50</v>
      </c>
      <c r="U103" s="1109" t="s">
        <v>50</v>
      </c>
      <c r="V103" s="1109" t="s">
        <v>50</v>
      </c>
      <c r="W103" s="1109" t="s">
        <v>50</v>
      </c>
      <c r="X103" s="1109" t="s">
        <v>747</v>
      </c>
      <c r="Y103" s="1109" t="s">
        <v>50</v>
      </c>
      <c r="Z103" s="1109" t="s">
        <v>50</v>
      </c>
      <c r="AA103" s="1109" t="s">
        <v>50</v>
      </c>
      <c r="AB103" s="1186" t="s">
        <v>50</v>
      </c>
      <c r="AC103" s="1109" t="s">
        <v>50</v>
      </c>
      <c r="AD103" s="1109"/>
      <c r="AE103" s="1109" t="s">
        <v>89</v>
      </c>
      <c r="AF103" s="1109" t="s">
        <v>50</v>
      </c>
      <c r="AG103" s="1109" t="s">
        <v>50</v>
      </c>
      <c r="AH103" s="1109" t="s">
        <v>50</v>
      </c>
      <c r="AI103" s="1109" t="s">
        <v>50</v>
      </c>
      <c r="AJ103" s="1109" t="s">
        <v>50</v>
      </c>
      <c r="AK103" s="888">
        <f t="shared" si="24"/>
        <v>26</v>
      </c>
      <c r="AL103" s="889">
        <f t="shared" si="25"/>
        <v>1</v>
      </c>
      <c r="AM103" s="888">
        <f t="shared" si="26"/>
        <v>0</v>
      </c>
      <c r="AN103" s="888">
        <f t="shared" si="27"/>
        <v>3</v>
      </c>
      <c r="AO103" s="888">
        <f t="shared" si="28"/>
        <v>0</v>
      </c>
      <c r="AP103" s="889">
        <f t="shared" si="29"/>
        <v>0</v>
      </c>
      <c r="AQ103" s="890">
        <f t="shared" si="30"/>
        <v>30</v>
      </c>
      <c r="AR103" s="891"/>
      <c r="AS103" s="137" t="str">
        <f>'Mã số nhân viên'!I85</f>
        <v>03596</v>
      </c>
      <c r="AT103" s="897">
        <f t="shared" si="23"/>
        <v>0</v>
      </c>
    </row>
    <row r="104" spans="1:46" ht="24.75" customHeight="1">
      <c r="A104" s="595">
        <v>90</v>
      </c>
      <c r="B104" s="896">
        <v>10</v>
      </c>
      <c r="C104" s="595" t="str">
        <f>VLOOKUP(D104,'Mã số nhân viên'!B86:I143,8,0)</f>
        <v>03597</v>
      </c>
      <c r="D104" s="935" t="s">
        <v>190</v>
      </c>
      <c r="E104" s="110"/>
      <c r="F104" s="1109" t="s">
        <v>50</v>
      </c>
      <c r="G104" s="1109" t="s">
        <v>50</v>
      </c>
      <c r="H104" s="1109" t="s">
        <v>50</v>
      </c>
      <c r="I104" s="1109" t="s">
        <v>50</v>
      </c>
      <c r="J104" s="1109" t="s">
        <v>747</v>
      </c>
      <c r="K104" s="1109" t="s">
        <v>50</v>
      </c>
      <c r="L104" s="1109" t="s">
        <v>50</v>
      </c>
      <c r="M104" s="1109" t="s">
        <v>50</v>
      </c>
      <c r="N104" s="1109" t="s">
        <v>50</v>
      </c>
      <c r="O104" s="1109" t="s">
        <v>50</v>
      </c>
      <c r="P104" s="1109" t="s">
        <v>50</v>
      </c>
      <c r="Q104" s="1109" t="s">
        <v>747</v>
      </c>
      <c r="R104" s="1109" t="s">
        <v>50</v>
      </c>
      <c r="S104" s="1109" t="s">
        <v>50</v>
      </c>
      <c r="T104" s="1109" t="s">
        <v>50</v>
      </c>
      <c r="U104" s="1109" t="s">
        <v>50</v>
      </c>
      <c r="V104" s="1109" t="s">
        <v>50</v>
      </c>
      <c r="W104" s="1109" t="s">
        <v>50</v>
      </c>
      <c r="X104" s="1109" t="s">
        <v>747</v>
      </c>
      <c r="Y104" s="1109" t="s">
        <v>50</v>
      </c>
      <c r="Z104" s="1109" t="s">
        <v>50</v>
      </c>
      <c r="AA104" s="1109" t="s">
        <v>50</v>
      </c>
      <c r="AB104" s="1186" t="s">
        <v>50</v>
      </c>
      <c r="AC104" s="1109" t="s">
        <v>50</v>
      </c>
      <c r="AD104" s="1109" t="s">
        <v>50</v>
      </c>
      <c r="AE104" s="1109" t="s">
        <v>89</v>
      </c>
      <c r="AF104" s="1109" t="s">
        <v>50</v>
      </c>
      <c r="AG104" s="1109" t="s">
        <v>50</v>
      </c>
      <c r="AH104" s="1109" t="s">
        <v>50</v>
      </c>
      <c r="AI104" s="1109" t="s">
        <v>50</v>
      </c>
      <c r="AJ104" s="1109" t="s">
        <v>50</v>
      </c>
      <c r="AK104" s="888">
        <f t="shared" si="24"/>
        <v>27</v>
      </c>
      <c r="AL104" s="889">
        <f t="shared" si="25"/>
        <v>1</v>
      </c>
      <c r="AM104" s="888">
        <f t="shared" si="26"/>
        <v>0</v>
      </c>
      <c r="AN104" s="888">
        <f t="shared" si="27"/>
        <v>3</v>
      </c>
      <c r="AO104" s="888">
        <f t="shared" si="28"/>
        <v>0</v>
      </c>
      <c r="AP104" s="889">
        <f t="shared" si="29"/>
        <v>0</v>
      </c>
      <c r="AQ104" s="890">
        <f t="shared" si="30"/>
        <v>31</v>
      </c>
      <c r="AR104" s="891"/>
      <c r="AS104" s="137" t="str">
        <f>'Mã số nhân viên'!I86</f>
        <v>03597</v>
      </c>
      <c r="AT104" s="897">
        <f t="shared" si="23"/>
        <v>0</v>
      </c>
    </row>
    <row r="105" spans="1:46" ht="24.75" customHeight="1">
      <c r="A105" s="595">
        <v>91</v>
      </c>
      <c r="B105" s="896">
        <v>11</v>
      </c>
      <c r="C105" s="595" t="str">
        <f>VLOOKUP(D105,'Mã số nhân viên'!B87:I144,8,0)</f>
        <v>03598</v>
      </c>
      <c r="D105" s="935" t="s">
        <v>172</v>
      </c>
      <c r="E105" s="110"/>
      <c r="F105" s="1109" t="s">
        <v>50</v>
      </c>
      <c r="G105" s="1109" t="s">
        <v>50</v>
      </c>
      <c r="H105" s="1109" t="s">
        <v>50</v>
      </c>
      <c r="I105" s="1109" t="s">
        <v>50</v>
      </c>
      <c r="J105" s="1109" t="s">
        <v>747</v>
      </c>
      <c r="K105" s="1109" t="s">
        <v>50</v>
      </c>
      <c r="L105" s="1109" t="s">
        <v>50</v>
      </c>
      <c r="M105" s="1109" t="s">
        <v>50</v>
      </c>
      <c r="N105" s="1109" t="s">
        <v>50</v>
      </c>
      <c r="O105" s="1109" t="s">
        <v>50</v>
      </c>
      <c r="P105" s="1109" t="s">
        <v>50</v>
      </c>
      <c r="Q105" s="1109" t="s">
        <v>747</v>
      </c>
      <c r="R105" s="1109" t="s">
        <v>50</v>
      </c>
      <c r="S105" s="1109" t="s">
        <v>50</v>
      </c>
      <c r="T105" s="1109" t="s">
        <v>50</v>
      </c>
      <c r="U105" s="1109" t="s">
        <v>50</v>
      </c>
      <c r="V105" s="1109" t="s">
        <v>50</v>
      </c>
      <c r="W105" s="1109" t="s">
        <v>50</v>
      </c>
      <c r="X105" s="1109" t="s">
        <v>747</v>
      </c>
      <c r="Y105" s="1109" t="s">
        <v>50</v>
      </c>
      <c r="Z105" s="1109" t="s">
        <v>50</v>
      </c>
      <c r="AA105" s="1109" t="s">
        <v>50</v>
      </c>
      <c r="AB105" s="1186" t="s">
        <v>50</v>
      </c>
      <c r="AC105" s="1109" t="s">
        <v>50</v>
      </c>
      <c r="AD105" s="1109" t="s">
        <v>50</v>
      </c>
      <c r="AE105" s="1109" t="s">
        <v>89</v>
      </c>
      <c r="AF105" s="1109" t="s">
        <v>50</v>
      </c>
      <c r="AG105" s="1109" t="s">
        <v>50</v>
      </c>
      <c r="AH105" s="1109" t="s">
        <v>50</v>
      </c>
      <c r="AI105" s="1109" t="s">
        <v>50</v>
      </c>
      <c r="AJ105" s="1109" t="s">
        <v>50</v>
      </c>
      <c r="AK105" s="888">
        <f t="shared" si="24"/>
        <v>27</v>
      </c>
      <c r="AL105" s="889">
        <f t="shared" si="25"/>
        <v>1</v>
      </c>
      <c r="AM105" s="888">
        <f t="shared" si="26"/>
        <v>0</v>
      </c>
      <c r="AN105" s="888">
        <f t="shared" si="27"/>
        <v>3</v>
      </c>
      <c r="AO105" s="888">
        <f t="shared" si="28"/>
        <v>0</v>
      </c>
      <c r="AP105" s="889">
        <f t="shared" si="29"/>
        <v>0</v>
      </c>
      <c r="AQ105" s="890">
        <f t="shared" si="30"/>
        <v>31</v>
      </c>
      <c r="AR105" s="891"/>
      <c r="AS105" s="137" t="str">
        <f>'Mã số nhân viên'!I87</f>
        <v>03598</v>
      </c>
      <c r="AT105" s="897">
        <f t="shared" si="23"/>
        <v>0</v>
      </c>
    </row>
    <row r="106" spans="1:46" ht="24.75" customHeight="1">
      <c r="A106" s="595">
        <v>92</v>
      </c>
      <c r="B106" s="896">
        <v>12</v>
      </c>
      <c r="C106" s="595" t="str">
        <f>VLOOKUP(D106,'Mã số nhân viên'!B88:I145,8,0)</f>
        <v>03599</v>
      </c>
      <c r="D106" s="935" t="s">
        <v>173</v>
      </c>
      <c r="E106" s="110"/>
      <c r="F106" s="1109" t="s">
        <v>50</v>
      </c>
      <c r="G106" s="1109" t="s">
        <v>50</v>
      </c>
      <c r="H106" s="1109" t="s">
        <v>50</v>
      </c>
      <c r="I106" s="1109" t="s">
        <v>50</v>
      </c>
      <c r="J106" s="1109" t="s">
        <v>747</v>
      </c>
      <c r="K106" s="1109" t="s">
        <v>50</v>
      </c>
      <c r="L106" s="1109" t="s">
        <v>50</v>
      </c>
      <c r="M106" s="1109" t="s">
        <v>50</v>
      </c>
      <c r="N106" s="1109" t="s">
        <v>50</v>
      </c>
      <c r="O106" s="1109" t="s">
        <v>50</v>
      </c>
      <c r="P106" s="1109" t="s">
        <v>50</v>
      </c>
      <c r="Q106" s="1109" t="s">
        <v>747</v>
      </c>
      <c r="R106" s="1109" t="s">
        <v>50</v>
      </c>
      <c r="S106" s="1109" t="s">
        <v>50</v>
      </c>
      <c r="T106" s="1109" t="s">
        <v>50</v>
      </c>
      <c r="U106" s="1109" t="s">
        <v>50</v>
      </c>
      <c r="V106" s="1109" t="s">
        <v>50</v>
      </c>
      <c r="W106" s="1109" t="s">
        <v>50</v>
      </c>
      <c r="X106" s="1109" t="s">
        <v>747</v>
      </c>
      <c r="Y106" s="1109" t="s">
        <v>50</v>
      </c>
      <c r="Z106" s="1109" t="s">
        <v>50</v>
      </c>
      <c r="AA106" s="1109" t="s">
        <v>50</v>
      </c>
      <c r="AB106" s="1186" t="s">
        <v>50</v>
      </c>
      <c r="AC106" s="1109" t="s">
        <v>50</v>
      </c>
      <c r="AD106" s="1109" t="s">
        <v>50</v>
      </c>
      <c r="AE106" s="1109" t="s">
        <v>730</v>
      </c>
      <c r="AF106" s="1109" t="s">
        <v>50</v>
      </c>
      <c r="AG106" s="1109" t="s">
        <v>50</v>
      </c>
      <c r="AH106" s="1109" t="s">
        <v>50</v>
      </c>
      <c r="AI106" s="1109" t="s">
        <v>50</v>
      </c>
      <c r="AJ106" s="1109" t="s">
        <v>50</v>
      </c>
      <c r="AK106" s="888">
        <f t="shared" si="24"/>
        <v>27</v>
      </c>
      <c r="AL106" s="889">
        <f t="shared" si="25"/>
        <v>0</v>
      </c>
      <c r="AM106" s="888">
        <f t="shared" si="26"/>
        <v>0</v>
      </c>
      <c r="AN106" s="888">
        <f t="shared" si="27"/>
        <v>3</v>
      </c>
      <c r="AO106" s="888">
        <f t="shared" si="28"/>
        <v>0</v>
      </c>
      <c r="AP106" s="889">
        <f t="shared" si="29"/>
        <v>0</v>
      </c>
      <c r="AQ106" s="890">
        <f t="shared" si="30"/>
        <v>30</v>
      </c>
      <c r="AR106" s="891"/>
      <c r="AS106" s="137" t="str">
        <f>'Mã số nhân viên'!I88</f>
        <v>03599</v>
      </c>
      <c r="AT106" s="897">
        <f t="shared" si="23"/>
        <v>0</v>
      </c>
    </row>
    <row r="107" spans="1:46" ht="24.75" customHeight="1">
      <c r="A107" s="595">
        <v>93</v>
      </c>
      <c r="B107" s="896">
        <v>13</v>
      </c>
      <c r="C107" s="595" t="str">
        <f>VLOOKUP(D107,'Mã số nhân viên'!B89:I146,8,0)</f>
        <v>04074</v>
      </c>
      <c r="D107" s="935" t="s">
        <v>486</v>
      </c>
      <c r="E107" s="110"/>
      <c r="F107" s="1109" t="s">
        <v>50</v>
      </c>
      <c r="G107" s="1109" t="s">
        <v>50</v>
      </c>
      <c r="H107" s="1109" t="s">
        <v>50</v>
      </c>
      <c r="I107" s="1109" t="s">
        <v>730</v>
      </c>
      <c r="J107" s="1109" t="s">
        <v>730</v>
      </c>
      <c r="K107" s="1109" t="s">
        <v>730</v>
      </c>
      <c r="L107" s="1109" t="s">
        <v>50</v>
      </c>
      <c r="M107" s="1109" t="s">
        <v>50</v>
      </c>
      <c r="N107" s="1109" t="s">
        <v>50</v>
      </c>
      <c r="O107" s="1109"/>
      <c r="P107" s="1109" t="s">
        <v>730</v>
      </c>
      <c r="Q107" s="1109" t="s">
        <v>746</v>
      </c>
      <c r="R107" s="1109" t="s">
        <v>50</v>
      </c>
      <c r="S107" s="1109" t="s">
        <v>50</v>
      </c>
      <c r="T107" s="1109" t="s">
        <v>50</v>
      </c>
      <c r="U107" s="1109" t="s">
        <v>50</v>
      </c>
      <c r="V107" s="1109" t="s">
        <v>730</v>
      </c>
      <c r="W107" s="1109" t="s">
        <v>50</v>
      </c>
      <c r="X107" s="1109" t="s">
        <v>730</v>
      </c>
      <c r="Y107" s="1109" t="s">
        <v>50</v>
      </c>
      <c r="Z107" s="1109" t="s">
        <v>50</v>
      </c>
      <c r="AA107" s="1109" t="s">
        <v>50</v>
      </c>
      <c r="AB107" s="1186" t="s">
        <v>50</v>
      </c>
      <c r="AC107" s="1109" t="s">
        <v>50</v>
      </c>
      <c r="AD107" s="1109" t="s">
        <v>50</v>
      </c>
      <c r="AE107" s="1109" t="s">
        <v>730</v>
      </c>
      <c r="AF107" s="1109" t="s">
        <v>730</v>
      </c>
      <c r="AG107" s="1109" t="s">
        <v>50</v>
      </c>
      <c r="AH107" s="1109" t="s">
        <v>50</v>
      </c>
      <c r="AI107" s="1109" t="s">
        <v>50</v>
      </c>
      <c r="AJ107" s="1109" t="s">
        <v>50</v>
      </c>
      <c r="AK107" s="888">
        <f t="shared" si="24"/>
        <v>21</v>
      </c>
      <c r="AL107" s="889">
        <f t="shared" si="25"/>
        <v>0</v>
      </c>
      <c r="AM107" s="888">
        <f t="shared" si="26"/>
        <v>0</v>
      </c>
      <c r="AN107" s="888">
        <f t="shared" si="27"/>
        <v>0</v>
      </c>
      <c r="AO107" s="888">
        <f t="shared" si="28"/>
        <v>0</v>
      </c>
      <c r="AP107" s="889">
        <f t="shared" si="29"/>
        <v>0</v>
      </c>
      <c r="AQ107" s="890">
        <f t="shared" si="30"/>
        <v>21</v>
      </c>
      <c r="AR107" s="891"/>
      <c r="AS107" s="137" t="str">
        <f>'Mã số nhân viên'!I89</f>
        <v>04074</v>
      </c>
      <c r="AT107" s="897">
        <f t="shared" si="23"/>
        <v>0</v>
      </c>
    </row>
    <row r="108" spans="1:46" ht="24.75" customHeight="1">
      <c r="A108" s="595">
        <v>94</v>
      </c>
      <c r="B108" s="896">
        <v>14</v>
      </c>
      <c r="C108" s="595" t="str">
        <f>VLOOKUP(D108,'Mã số nhân viên'!B90:I147,8,0)</f>
        <v>03601</v>
      </c>
      <c r="D108" s="911" t="s">
        <v>214</v>
      </c>
      <c r="E108" s="110"/>
      <c r="F108" s="1109" t="s">
        <v>50</v>
      </c>
      <c r="G108" s="1109" t="s">
        <v>50</v>
      </c>
      <c r="H108" s="1109" t="s">
        <v>50</v>
      </c>
      <c r="I108" s="1109" t="s">
        <v>50</v>
      </c>
      <c r="J108" s="1109" t="s">
        <v>747</v>
      </c>
      <c r="K108" s="1109" t="s">
        <v>50</v>
      </c>
      <c r="L108" s="1109" t="s">
        <v>50</v>
      </c>
      <c r="M108" s="1109" t="s">
        <v>50</v>
      </c>
      <c r="N108" s="1109" t="s">
        <v>50</v>
      </c>
      <c r="O108" s="1109" t="s">
        <v>50</v>
      </c>
      <c r="P108" s="1109" t="s">
        <v>50</v>
      </c>
      <c r="Q108" s="1109" t="s">
        <v>747</v>
      </c>
      <c r="R108" s="1109" t="s">
        <v>50</v>
      </c>
      <c r="S108" s="1109" t="s">
        <v>50</v>
      </c>
      <c r="T108" s="1109" t="s">
        <v>50</v>
      </c>
      <c r="U108" s="1109" t="s">
        <v>50</v>
      </c>
      <c r="V108" s="1109" t="s">
        <v>50</v>
      </c>
      <c r="W108" s="1109" t="s">
        <v>50</v>
      </c>
      <c r="X108" s="1109" t="s">
        <v>747</v>
      </c>
      <c r="Y108" s="1109" t="s">
        <v>50</v>
      </c>
      <c r="Z108" s="1109" t="s">
        <v>50</v>
      </c>
      <c r="AA108" s="1109" t="s">
        <v>50</v>
      </c>
      <c r="AB108" s="1186" t="s">
        <v>50</v>
      </c>
      <c r="AC108" s="1109" t="s">
        <v>50</v>
      </c>
      <c r="AD108" s="1109" t="s">
        <v>50</v>
      </c>
      <c r="AE108" s="1109" t="s">
        <v>89</v>
      </c>
      <c r="AF108" s="1109" t="s">
        <v>50</v>
      </c>
      <c r="AG108" s="1109" t="s">
        <v>50</v>
      </c>
      <c r="AH108" s="1109" t="s">
        <v>50</v>
      </c>
      <c r="AI108" s="1109" t="s">
        <v>50</v>
      </c>
      <c r="AJ108" s="1109" t="s">
        <v>50</v>
      </c>
      <c r="AK108" s="888">
        <f t="shared" si="24"/>
        <v>27</v>
      </c>
      <c r="AL108" s="889">
        <f t="shared" si="25"/>
        <v>1</v>
      </c>
      <c r="AM108" s="888">
        <f t="shared" si="26"/>
        <v>0</v>
      </c>
      <c r="AN108" s="888">
        <f t="shared" si="27"/>
        <v>3</v>
      </c>
      <c r="AO108" s="888">
        <f t="shared" si="28"/>
        <v>0</v>
      </c>
      <c r="AP108" s="889">
        <f t="shared" si="29"/>
        <v>0</v>
      </c>
      <c r="AQ108" s="890">
        <f t="shared" si="30"/>
        <v>31</v>
      </c>
      <c r="AR108" s="891"/>
      <c r="AS108" s="137" t="str">
        <f>'Mã số nhân viên'!I90</f>
        <v>03601</v>
      </c>
      <c r="AT108" s="897">
        <f t="shared" si="23"/>
        <v>0</v>
      </c>
    </row>
    <row r="109" spans="1:46" ht="24.75" customHeight="1">
      <c r="A109" s="595">
        <v>95</v>
      </c>
      <c r="B109" s="896">
        <v>15</v>
      </c>
      <c r="C109" s="595" t="str">
        <f>VLOOKUP(D109,'Mã số nhân viên'!B91:I148,8,0)</f>
        <v>03602</v>
      </c>
      <c r="D109" s="935" t="s">
        <v>174</v>
      </c>
      <c r="E109" s="110"/>
      <c r="F109" s="1109" t="s">
        <v>50</v>
      </c>
      <c r="G109" s="1109" t="s">
        <v>50</v>
      </c>
      <c r="H109" s="1109" t="s">
        <v>50</v>
      </c>
      <c r="I109" s="1109" t="s">
        <v>50</v>
      </c>
      <c r="J109" s="1109" t="s">
        <v>747</v>
      </c>
      <c r="K109" s="1109" t="s">
        <v>50</v>
      </c>
      <c r="L109" s="1109" t="s">
        <v>50</v>
      </c>
      <c r="M109" s="1109" t="s">
        <v>50</v>
      </c>
      <c r="N109" s="1109" t="s">
        <v>50</v>
      </c>
      <c r="O109" s="1109" t="s">
        <v>50</v>
      </c>
      <c r="P109" s="1109" t="s">
        <v>50</v>
      </c>
      <c r="Q109" s="1109" t="s">
        <v>747</v>
      </c>
      <c r="R109" s="1109" t="s">
        <v>50</v>
      </c>
      <c r="S109" s="1109" t="s">
        <v>50</v>
      </c>
      <c r="T109" s="1109" t="s">
        <v>50</v>
      </c>
      <c r="U109" s="1109" t="s">
        <v>50</v>
      </c>
      <c r="V109" s="1109" t="s">
        <v>50</v>
      </c>
      <c r="W109" s="1109" t="s">
        <v>50</v>
      </c>
      <c r="X109" s="1109" t="s">
        <v>747</v>
      </c>
      <c r="Y109" s="1109" t="s">
        <v>50</v>
      </c>
      <c r="Z109" s="1109" t="s">
        <v>50</v>
      </c>
      <c r="AA109" s="1109" t="s">
        <v>50</v>
      </c>
      <c r="AB109" s="1186" t="s">
        <v>50</v>
      </c>
      <c r="AC109" s="1109" t="s">
        <v>50</v>
      </c>
      <c r="AD109" s="1109" t="s">
        <v>50</v>
      </c>
      <c r="AE109" s="1109" t="s">
        <v>89</v>
      </c>
      <c r="AF109" s="1109" t="s">
        <v>50</v>
      </c>
      <c r="AG109" s="1109" t="s">
        <v>50</v>
      </c>
      <c r="AH109" s="1109" t="s">
        <v>50</v>
      </c>
      <c r="AI109" s="1109" t="s">
        <v>50</v>
      </c>
      <c r="AJ109" s="1109" t="s">
        <v>50</v>
      </c>
      <c r="AK109" s="888">
        <f t="shared" si="24"/>
        <v>27</v>
      </c>
      <c r="AL109" s="889">
        <f t="shared" si="25"/>
        <v>1</v>
      </c>
      <c r="AM109" s="888">
        <f t="shared" si="26"/>
        <v>0</v>
      </c>
      <c r="AN109" s="888">
        <f t="shared" si="27"/>
        <v>3</v>
      </c>
      <c r="AO109" s="888">
        <f t="shared" si="28"/>
        <v>0</v>
      </c>
      <c r="AP109" s="889">
        <f t="shared" si="29"/>
        <v>0</v>
      </c>
      <c r="AQ109" s="890">
        <f t="shared" si="30"/>
        <v>31</v>
      </c>
      <c r="AR109" s="891"/>
      <c r="AS109" s="137" t="str">
        <f>'Mã số nhân viên'!I91</f>
        <v>03602</v>
      </c>
      <c r="AT109" s="897">
        <f t="shared" si="23"/>
        <v>0</v>
      </c>
    </row>
    <row r="110" spans="1:46" ht="24.75" customHeight="1">
      <c r="A110" s="595">
        <v>96</v>
      </c>
      <c r="B110" s="896">
        <v>16</v>
      </c>
      <c r="C110" s="595" t="str">
        <f>VLOOKUP(D110,'Mã số nhân viên'!B92:I149,8,0)</f>
        <v>03496</v>
      </c>
      <c r="D110" s="935" t="s">
        <v>288</v>
      </c>
      <c r="E110" s="110"/>
      <c r="F110" s="1109" t="s">
        <v>50</v>
      </c>
      <c r="G110" s="1109" t="s">
        <v>50</v>
      </c>
      <c r="H110" s="1109" t="s">
        <v>50</v>
      </c>
      <c r="I110" s="1109" t="s">
        <v>50</v>
      </c>
      <c r="J110" s="1109" t="s">
        <v>747</v>
      </c>
      <c r="K110" s="1109" t="s">
        <v>50</v>
      </c>
      <c r="L110" s="1109" t="s">
        <v>50</v>
      </c>
      <c r="M110" s="1109" t="s">
        <v>50</v>
      </c>
      <c r="N110" s="1109" t="s">
        <v>50</v>
      </c>
      <c r="O110" s="1109" t="s">
        <v>50</v>
      </c>
      <c r="P110" s="1109" t="s">
        <v>50</v>
      </c>
      <c r="Q110" s="1109" t="s">
        <v>747</v>
      </c>
      <c r="R110" s="1109" t="s">
        <v>50</v>
      </c>
      <c r="S110" s="1109" t="s">
        <v>50</v>
      </c>
      <c r="T110" s="1109" t="s">
        <v>50</v>
      </c>
      <c r="U110" s="1109" t="s">
        <v>50</v>
      </c>
      <c r="V110" s="1109" t="s">
        <v>50</v>
      </c>
      <c r="W110" s="1109" t="s">
        <v>50</v>
      </c>
      <c r="X110" s="1109" t="s">
        <v>747</v>
      </c>
      <c r="Y110" s="1109" t="s">
        <v>50</v>
      </c>
      <c r="Z110" s="1109" t="s">
        <v>50</v>
      </c>
      <c r="AA110" s="1109" t="s">
        <v>50</v>
      </c>
      <c r="AB110" s="1186" t="s">
        <v>50</v>
      </c>
      <c r="AC110" s="1109" t="s">
        <v>50</v>
      </c>
      <c r="AD110" s="1109" t="s">
        <v>50</v>
      </c>
      <c r="AE110" s="1109" t="s">
        <v>89</v>
      </c>
      <c r="AF110" s="1109" t="s">
        <v>50</v>
      </c>
      <c r="AG110" s="1109" t="s">
        <v>50</v>
      </c>
      <c r="AH110" s="1109" t="s">
        <v>50</v>
      </c>
      <c r="AI110" s="1109" t="s">
        <v>50</v>
      </c>
      <c r="AJ110" s="1109" t="s">
        <v>50</v>
      </c>
      <c r="AK110" s="888">
        <f t="shared" si="24"/>
        <v>27</v>
      </c>
      <c r="AL110" s="889">
        <f t="shared" si="25"/>
        <v>1</v>
      </c>
      <c r="AM110" s="888">
        <f t="shared" si="26"/>
        <v>0</v>
      </c>
      <c r="AN110" s="888">
        <f t="shared" si="27"/>
        <v>3</v>
      </c>
      <c r="AO110" s="888">
        <f t="shared" si="28"/>
        <v>0</v>
      </c>
      <c r="AP110" s="889">
        <f t="shared" si="29"/>
        <v>0</v>
      </c>
      <c r="AQ110" s="890">
        <f t="shared" si="30"/>
        <v>31</v>
      </c>
      <c r="AR110" s="891"/>
      <c r="AS110" s="137" t="str">
        <f>'Mã số nhân viên'!I92</f>
        <v>03496</v>
      </c>
      <c r="AT110" s="897">
        <f t="shared" si="23"/>
        <v>0</v>
      </c>
    </row>
    <row r="111" spans="1:46" ht="24.75" customHeight="1">
      <c r="A111" s="595">
        <v>97</v>
      </c>
      <c r="B111" s="896">
        <v>17</v>
      </c>
      <c r="C111" s="595" t="str">
        <f>VLOOKUP(D111,'Mã số nhân viên'!B93:I150,8,0)</f>
        <v>03604</v>
      </c>
      <c r="D111" s="935" t="s">
        <v>309</v>
      </c>
      <c r="E111" s="110"/>
      <c r="F111" s="1109" t="s">
        <v>50</v>
      </c>
      <c r="G111" s="1109" t="s">
        <v>50</v>
      </c>
      <c r="H111" s="1109" t="s">
        <v>50</v>
      </c>
      <c r="I111" s="1109" t="s">
        <v>50</v>
      </c>
      <c r="J111" s="1109" t="s">
        <v>747</v>
      </c>
      <c r="K111" s="1109" t="s">
        <v>50</v>
      </c>
      <c r="L111" s="1109" t="s">
        <v>50</v>
      </c>
      <c r="M111" s="1109" t="s">
        <v>50</v>
      </c>
      <c r="N111" s="1109" t="s">
        <v>50</v>
      </c>
      <c r="O111" s="1109" t="s">
        <v>50</v>
      </c>
      <c r="P111" s="1109" t="s">
        <v>50</v>
      </c>
      <c r="Q111" s="1109" t="s">
        <v>89</v>
      </c>
      <c r="R111" s="1109" t="s">
        <v>50</v>
      </c>
      <c r="S111" s="1109" t="s">
        <v>50</v>
      </c>
      <c r="T111" s="1109" t="s">
        <v>50</v>
      </c>
      <c r="U111" s="1109" t="s">
        <v>50</v>
      </c>
      <c r="V111" s="1109" t="s">
        <v>50</v>
      </c>
      <c r="W111" s="1109" t="s">
        <v>50</v>
      </c>
      <c r="X111" s="1109" t="s">
        <v>747</v>
      </c>
      <c r="Y111" s="1109" t="s">
        <v>50</v>
      </c>
      <c r="Z111" s="1109" t="s">
        <v>50</v>
      </c>
      <c r="AA111" s="1109" t="s">
        <v>50</v>
      </c>
      <c r="AB111" s="1186" t="s">
        <v>50</v>
      </c>
      <c r="AC111" s="1109" t="s">
        <v>50</v>
      </c>
      <c r="AD111" s="1109" t="s">
        <v>50</v>
      </c>
      <c r="AE111" s="1109" t="s">
        <v>89</v>
      </c>
      <c r="AF111" s="1109" t="s">
        <v>50</v>
      </c>
      <c r="AG111" s="1109" t="s">
        <v>50</v>
      </c>
      <c r="AH111" s="1109" t="s">
        <v>50</v>
      </c>
      <c r="AI111" s="1109" t="s">
        <v>50</v>
      </c>
      <c r="AJ111" s="1109" t="s">
        <v>50</v>
      </c>
      <c r="AK111" s="888">
        <f t="shared" si="24"/>
        <v>27</v>
      </c>
      <c r="AL111" s="889">
        <f t="shared" si="25"/>
        <v>2</v>
      </c>
      <c r="AM111" s="888">
        <f t="shared" si="26"/>
        <v>0</v>
      </c>
      <c r="AN111" s="888">
        <f t="shared" si="27"/>
        <v>2</v>
      </c>
      <c r="AO111" s="888">
        <f t="shared" si="28"/>
        <v>0</v>
      </c>
      <c r="AP111" s="889">
        <f t="shared" si="29"/>
        <v>0</v>
      </c>
      <c r="AQ111" s="890">
        <f t="shared" si="30"/>
        <v>31</v>
      </c>
      <c r="AR111" s="891"/>
      <c r="AS111" s="137" t="str">
        <f>'Mã số nhân viên'!I93</f>
        <v>03604</v>
      </c>
      <c r="AT111" s="897">
        <f t="shared" si="23"/>
        <v>0</v>
      </c>
    </row>
    <row r="112" spans="1:46" ht="24.75" customHeight="1">
      <c r="A112" s="595">
        <v>98</v>
      </c>
      <c r="B112" s="896">
        <v>18</v>
      </c>
      <c r="C112" s="595" t="str">
        <f>VLOOKUP(D112,'Mã số nhân viên'!B94:I151,8,0)</f>
        <v>04075</v>
      </c>
      <c r="D112" s="935" t="s">
        <v>239</v>
      </c>
      <c r="E112" s="110"/>
      <c r="F112" s="1109" t="s">
        <v>50</v>
      </c>
      <c r="G112" s="1109" t="s">
        <v>50</v>
      </c>
      <c r="H112" s="1109" t="s">
        <v>50</v>
      </c>
      <c r="I112" s="1109" t="s">
        <v>50</v>
      </c>
      <c r="J112" s="1109" t="s">
        <v>747</v>
      </c>
      <c r="K112" s="1109" t="s">
        <v>50</v>
      </c>
      <c r="L112" s="1109" t="s">
        <v>50</v>
      </c>
      <c r="M112" s="1109" t="s">
        <v>50</v>
      </c>
      <c r="N112" s="1109" t="s">
        <v>50</v>
      </c>
      <c r="O112" s="1109" t="s">
        <v>50</v>
      </c>
      <c r="P112" s="1109" t="s">
        <v>50</v>
      </c>
      <c r="Q112" s="1109" t="s">
        <v>747</v>
      </c>
      <c r="R112" s="1109" t="s">
        <v>50</v>
      </c>
      <c r="S112" s="1109" t="s">
        <v>50</v>
      </c>
      <c r="T112" s="1109" t="s">
        <v>50</v>
      </c>
      <c r="U112" s="1109" t="s">
        <v>50</v>
      </c>
      <c r="V112" s="1109" t="s">
        <v>50</v>
      </c>
      <c r="W112" s="1109" t="s">
        <v>50</v>
      </c>
      <c r="X112" s="1109" t="s">
        <v>747</v>
      </c>
      <c r="Y112" s="1109" t="s">
        <v>50</v>
      </c>
      <c r="Z112" s="1109" t="s">
        <v>50</v>
      </c>
      <c r="AA112" s="1109" t="s">
        <v>50</v>
      </c>
      <c r="AB112" s="1186" t="s">
        <v>50</v>
      </c>
      <c r="AC112" s="1109" t="s">
        <v>50</v>
      </c>
      <c r="AD112" s="1109" t="s">
        <v>50</v>
      </c>
      <c r="AE112" s="1109" t="s">
        <v>89</v>
      </c>
      <c r="AF112" s="1109" t="s">
        <v>50</v>
      </c>
      <c r="AG112" s="1109" t="s">
        <v>50</v>
      </c>
      <c r="AH112" s="1109" t="s">
        <v>50</v>
      </c>
      <c r="AI112" s="1109" t="s">
        <v>50</v>
      </c>
      <c r="AJ112" s="1109" t="s">
        <v>50</v>
      </c>
      <c r="AK112" s="888">
        <f t="shared" si="24"/>
        <v>27</v>
      </c>
      <c r="AL112" s="889">
        <f t="shared" si="25"/>
        <v>1</v>
      </c>
      <c r="AM112" s="888">
        <f t="shared" si="26"/>
        <v>0</v>
      </c>
      <c r="AN112" s="888">
        <f t="shared" si="27"/>
        <v>3</v>
      </c>
      <c r="AO112" s="888">
        <f t="shared" si="28"/>
        <v>0</v>
      </c>
      <c r="AP112" s="889">
        <f t="shared" si="29"/>
        <v>0</v>
      </c>
      <c r="AQ112" s="890">
        <f t="shared" si="30"/>
        <v>31</v>
      </c>
      <c r="AR112" s="891"/>
      <c r="AS112" s="137" t="str">
        <f>'Mã số nhân viên'!I94</f>
        <v>04075</v>
      </c>
      <c r="AT112" s="897">
        <f t="shared" si="23"/>
        <v>0</v>
      </c>
    </row>
    <row r="113" spans="1:46" ht="24.75" customHeight="1">
      <c r="A113" s="595">
        <v>99</v>
      </c>
      <c r="B113" s="896">
        <v>19</v>
      </c>
      <c r="C113" s="595" t="str">
        <f>VLOOKUP(D113,'Mã số nhân viên'!B95:I152,8,0)</f>
        <v>03509</v>
      </c>
      <c r="D113" s="935" t="s">
        <v>211</v>
      </c>
      <c r="E113" s="110"/>
      <c r="F113" s="1109" t="s">
        <v>50</v>
      </c>
      <c r="G113" s="1109" t="s">
        <v>50</v>
      </c>
      <c r="H113" s="1109" t="s">
        <v>50</v>
      </c>
      <c r="I113" s="1109" t="s">
        <v>50</v>
      </c>
      <c r="J113" s="1109" t="s">
        <v>747</v>
      </c>
      <c r="K113" s="1109" t="s">
        <v>50</v>
      </c>
      <c r="L113" s="1109" t="s">
        <v>50</v>
      </c>
      <c r="M113" s="1109" t="s">
        <v>50</v>
      </c>
      <c r="N113" s="1109" t="s">
        <v>50</v>
      </c>
      <c r="O113" s="1109" t="s">
        <v>50</v>
      </c>
      <c r="P113" s="1109" t="s">
        <v>50</v>
      </c>
      <c r="Q113" s="1109" t="s">
        <v>747</v>
      </c>
      <c r="R113" s="1109" t="s">
        <v>50</v>
      </c>
      <c r="S113" s="1109" t="s">
        <v>50</v>
      </c>
      <c r="T113" s="1109" t="s">
        <v>50</v>
      </c>
      <c r="U113" s="1109" t="s">
        <v>50</v>
      </c>
      <c r="V113" s="1109" t="s">
        <v>50</v>
      </c>
      <c r="W113" s="1109" t="s">
        <v>50</v>
      </c>
      <c r="X113" s="1109" t="s">
        <v>747</v>
      </c>
      <c r="Y113" s="1109" t="s">
        <v>50</v>
      </c>
      <c r="Z113" s="1109" t="s">
        <v>50</v>
      </c>
      <c r="AA113" s="1109" t="s">
        <v>50</v>
      </c>
      <c r="AB113" s="1186" t="s">
        <v>50</v>
      </c>
      <c r="AC113" s="1109" t="s">
        <v>50</v>
      </c>
      <c r="AD113" s="1109" t="s">
        <v>50</v>
      </c>
      <c r="AE113" s="1109" t="s">
        <v>89</v>
      </c>
      <c r="AF113" s="1109" t="s">
        <v>50</v>
      </c>
      <c r="AG113" s="1109" t="s">
        <v>730</v>
      </c>
      <c r="AH113" s="1109" t="s">
        <v>50</v>
      </c>
      <c r="AI113" s="1109" t="s">
        <v>50</v>
      </c>
      <c r="AJ113" s="1109" t="s">
        <v>50</v>
      </c>
      <c r="AK113" s="888">
        <f t="shared" si="24"/>
        <v>26</v>
      </c>
      <c r="AL113" s="889">
        <f t="shared" si="25"/>
        <v>1</v>
      </c>
      <c r="AM113" s="888">
        <f t="shared" si="26"/>
        <v>0</v>
      </c>
      <c r="AN113" s="888">
        <f t="shared" si="27"/>
        <v>3</v>
      </c>
      <c r="AO113" s="888">
        <f t="shared" si="28"/>
        <v>0</v>
      </c>
      <c r="AP113" s="889">
        <f t="shared" si="29"/>
        <v>0</v>
      </c>
      <c r="AQ113" s="890">
        <f t="shared" si="30"/>
        <v>30</v>
      </c>
      <c r="AR113" s="891"/>
      <c r="AS113" s="137" t="str">
        <f>'Mã số nhân viên'!I95</f>
        <v>03509</v>
      </c>
      <c r="AT113" s="897">
        <f t="shared" si="23"/>
        <v>0</v>
      </c>
    </row>
    <row r="114" spans="1:46" ht="24.75" customHeight="1">
      <c r="A114" s="595">
        <v>100</v>
      </c>
      <c r="B114" s="896">
        <v>20</v>
      </c>
      <c r="C114" s="595" t="str">
        <f>VLOOKUP(D114,'Mã số nhân viên'!B96:I153,8,0)</f>
        <v>03607</v>
      </c>
      <c r="D114" s="935" t="s">
        <v>228</v>
      </c>
      <c r="E114" s="110"/>
      <c r="F114" s="1109" t="s">
        <v>50</v>
      </c>
      <c r="G114" s="1109" t="s">
        <v>50</v>
      </c>
      <c r="H114" s="1109" t="s">
        <v>50</v>
      </c>
      <c r="I114" s="1109" t="s">
        <v>50</v>
      </c>
      <c r="J114" s="1109" t="s">
        <v>747</v>
      </c>
      <c r="K114" s="1109" t="s">
        <v>50</v>
      </c>
      <c r="L114" s="1109" t="s">
        <v>50</v>
      </c>
      <c r="M114" s="1109" t="s">
        <v>730</v>
      </c>
      <c r="N114" s="1109" t="s">
        <v>50</v>
      </c>
      <c r="O114" s="1109" t="s">
        <v>50</v>
      </c>
      <c r="P114" s="1109" t="s">
        <v>50</v>
      </c>
      <c r="Q114" s="1109" t="s">
        <v>747</v>
      </c>
      <c r="R114" s="1109" t="s">
        <v>50</v>
      </c>
      <c r="S114" s="1109" t="s">
        <v>50</v>
      </c>
      <c r="T114" s="1109" t="s">
        <v>746</v>
      </c>
      <c r="U114" s="1109" t="s">
        <v>50</v>
      </c>
      <c r="V114" s="1109" t="s">
        <v>50</v>
      </c>
      <c r="W114" s="1109" t="s">
        <v>50</v>
      </c>
      <c r="X114" s="1109" t="s">
        <v>747</v>
      </c>
      <c r="Y114" s="1109" t="s">
        <v>50</v>
      </c>
      <c r="Z114" s="1109" t="s">
        <v>50</v>
      </c>
      <c r="AA114" s="1109" t="s">
        <v>50</v>
      </c>
      <c r="AB114" s="1186" t="s">
        <v>50</v>
      </c>
      <c r="AC114" s="1109" t="s">
        <v>50</v>
      </c>
      <c r="AD114" s="1109" t="s">
        <v>50</v>
      </c>
      <c r="AE114" s="1109" t="s">
        <v>89</v>
      </c>
      <c r="AF114" s="1109" t="s">
        <v>50</v>
      </c>
      <c r="AG114" s="1109" t="s">
        <v>50</v>
      </c>
      <c r="AH114" s="1109" t="s">
        <v>50</v>
      </c>
      <c r="AI114" s="1109" t="s">
        <v>50</v>
      </c>
      <c r="AJ114" s="1109" t="s">
        <v>50</v>
      </c>
      <c r="AK114" s="888">
        <f t="shared" si="24"/>
        <v>25</v>
      </c>
      <c r="AL114" s="889">
        <f t="shared" si="25"/>
        <v>1</v>
      </c>
      <c r="AM114" s="888">
        <f t="shared" si="26"/>
        <v>0</v>
      </c>
      <c r="AN114" s="888">
        <f t="shared" si="27"/>
        <v>3</v>
      </c>
      <c r="AO114" s="888">
        <f t="shared" si="28"/>
        <v>0</v>
      </c>
      <c r="AP114" s="889">
        <f t="shared" si="29"/>
        <v>0</v>
      </c>
      <c r="AQ114" s="890">
        <f t="shared" si="30"/>
        <v>29</v>
      </c>
      <c r="AR114" s="891"/>
      <c r="AS114" s="137" t="str">
        <f>'Mã số nhân viên'!I96</f>
        <v>03607</v>
      </c>
      <c r="AT114" s="897">
        <f t="shared" si="23"/>
        <v>0</v>
      </c>
    </row>
    <row r="115" spans="1:46" ht="24.75" customHeight="1">
      <c r="A115" s="595">
        <v>101</v>
      </c>
      <c r="B115" s="896">
        <v>21</v>
      </c>
      <c r="C115" s="595" t="str">
        <f>VLOOKUP(D115,'Mã số nhân viên'!B97:I154,8,0)</f>
        <v>02729</v>
      </c>
      <c r="D115" s="935" t="s">
        <v>191</v>
      </c>
      <c r="E115" s="110"/>
      <c r="F115" s="1109" t="s">
        <v>50</v>
      </c>
      <c r="G115" s="1109" t="s">
        <v>50</v>
      </c>
      <c r="H115" s="1109" t="s">
        <v>50</v>
      </c>
      <c r="I115" s="1109" t="s">
        <v>50</v>
      </c>
      <c r="J115" s="1109" t="s">
        <v>747</v>
      </c>
      <c r="K115" s="1109" t="s">
        <v>50</v>
      </c>
      <c r="L115" s="1109" t="s">
        <v>50</v>
      </c>
      <c r="M115" s="1109" t="s">
        <v>50</v>
      </c>
      <c r="N115" s="1109" t="s">
        <v>730</v>
      </c>
      <c r="O115" s="1109" t="s">
        <v>50</v>
      </c>
      <c r="P115" s="1109" t="s">
        <v>50</v>
      </c>
      <c r="Q115" s="1109" t="s">
        <v>747</v>
      </c>
      <c r="R115" s="1109" t="s">
        <v>50</v>
      </c>
      <c r="S115" s="1109" t="s">
        <v>50</v>
      </c>
      <c r="T115" s="1109" t="s">
        <v>746</v>
      </c>
      <c r="U115" s="1109" t="s">
        <v>50</v>
      </c>
      <c r="V115" s="1109" t="s">
        <v>50</v>
      </c>
      <c r="W115" s="1109" t="s">
        <v>50</v>
      </c>
      <c r="X115" s="1109" t="s">
        <v>747</v>
      </c>
      <c r="Y115" s="1109" t="s">
        <v>50</v>
      </c>
      <c r="Z115" s="1109" t="s">
        <v>50</v>
      </c>
      <c r="AA115" s="1109" t="s">
        <v>50</v>
      </c>
      <c r="AB115" s="1186" t="s">
        <v>50</v>
      </c>
      <c r="AC115" s="1109" t="s">
        <v>50</v>
      </c>
      <c r="AD115" s="1109" t="s">
        <v>50</v>
      </c>
      <c r="AE115" s="1109" t="s">
        <v>89</v>
      </c>
      <c r="AF115" s="1109" t="s">
        <v>50</v>
      </c>
      <c r="AG115" s="1109" t="s">
        <v>50</v>
      </c>
      <c r="AH115" s="1109" t="s">
        <v>50</v>
      </c>
      <c r="AI115" s="1109" t="s">
        <v>50</v>
      </c>
      <c r="AJ115" s="1109" t="s">
        <v>50</v>
      </c>
      <c r="AK115" s="888">
        <f t="shared" si="24"/>
        <v>25</v>
      </c>
      <c r="AL115" s="889">
        <f t="shared" si="25"/>
        <v>1</v>
      </c>
      <c r="AM115" s="888">
        <f t="shared" si="26"/>
        <v>0</v>
      </c>
      <c r="AN115" s="888">
        <f t="shared" si="27"/>
        <v>3</v>
      </c>
      <c r="AO115" s="888">
        <f t="shared" si="28"/>
        <v>0</v>
      </c>
      <c r="AP115" s="889">
        <f t="shared" si="29"/>
        <v>0</v>
      </c>
      <c r="AQ115" s="890">
        <f t="shared" si="30"/>
        <v>29</v>
      </c>
      <c r="AR115" s="891"/>
      <c r="AS115" s="137" t="str">
        <f>'Mã số nhân viên'!I97</f>
        <v>02729</v>
      </c>
      <c r="AT115" s="897">
        <f t="shared" si="23"/>
        <v>0</v>
      </c>
    </row>
    <row r="116" spans="1:46" ht="24.75" customHeight="1">
      <c r="A116" s="595">
        <v>102</v>
      </c>
      <c r="B116" s="896">
        <v>22</v>
      </c>
      <c r="C116" s="595" t="str">
        <f>VLOOKUP(D116,'Mã số nhân viên'!B98:I155,8,0)</f>
        <v>03608</v>
      </c>
      <c r="D116" s="935" t="s">
        <v>234</v>
      </c>
      <c r="E116" s="110"/>
      <c r="F116" s="1109" t="s">
        <v>50</v>
      </c>
      <c r="G116" s="1109" t="s">
        <v>50</v>
      </c>
      <c r="H116" s="1109" t="s">
        <v>50</v>
      </c>
      <c r="I116" s="1109" t="s">
        <v>730</v>
      </c>
      <c r="J116" s="1109" t="s">
        <v>747</v>
      </c>
      <c r="K116" s="1109" t="s">
        <v>50</v>
      </c>
      <c r="L116" s="1109" t="s">
        <v>50</v>
      </c>
      <c r="M116" s="1109" t="s">
        <v>50</v>
      </c>
      <c r="N116" s="1109" t="s">
        <v>50</v>
      </c>
      <c r="O116" s="1109" t="s">
        <v>50</v>
      </c>
      <c r="P116" s="1109" t="s">
        <v>50</v>
      </c>
      <c r="Q116" s="1109" t="s">
        <v>747</v>
      </c>
      <c r="R116" s="1109" t="s">
        <v>50</v>
      </c>
      <c r="S116" s="1109" t="s">
        <v>50</v>
      </c>
      <c r="T116" s="1109" t="s">
        <v>50</v>
      </c>
      <c r="U116" s="1109" t="s">
        <v>746</v>
      </c>
      <c r="V116" s="1109" t="s">
        <v>50</v>
      </c>
      <c r="W116" s="1109" t="s">
        <v>50</v>
      </c>
      <c r="X116" s="1109" t="s">
        <v>747</v>
      </c>
      <c r="Y116" s="1109" t="s">
        <v>50</v>
      </c>
      <c r="Z116" s="1109" t="s">
        <v>50</v>
      </c>
      <c r="AA116" s="1109" t="s">
        <v>50</v>
      </c>
      <c r="AB116" s="1186" t="s">
        <v>50</v>
      </c>
      <c r="AC116" s="1109" t="s">
        <v>50</v>
      </c>
      <c r="AD116" s="1109" t="s">
        <v>50</v>
      </c>
      <c r="AE116" s="1109" t="s">
        <v>89</v>
      </c>
      <c r="AF116" s="1109" t="s">
        <v>50</v>
      </c>
      <c r="AG116" s="1109" t="s">
        <v>50</v>
      </c>
      <c r="AH116" s="1109" t="s">
        <v>50</v>
      </c>
      <c r="AI116" s="1109" t="s">
        <v>50</v>
      </c>
      <c r="AJ116" s="1109" t="s">
        <v>50</v>
      </c>
      <c r="AK116" s="888">
        <f t="shared" si="24"/>
        <v>25</v>
      </c>
      <c r="AL116" s="889">
        <f t="shared" si="25"/>
        <v>1</v>
      </c>
      <c r="AM116" s="888">
        <f t="shared" si="26"/>
        <v>0</v>
      </c>
      <c r="AN116" s="888">
        <f t="shared" si="27"/>
        <v>3</v>
      </c>
      <c r="AO116" s="888">
        <f t="shared" si="28"/>
        <v>0</v>
      </c>
      <c r="AP116" s="889">
        <f t="shared" si="29"/>
        <v>0</v>
      </c>
      <c r="AQ116" s="890">
        <f t="shared" si="30"/>
        <v>29</v>
      </c>
      <c r="AR116" s="891"/>
      <c r="AS116" s="137" t="str">
        <f>'Mã số nhân viên'!I98</f>
        <v>03608</v>
      </c>
      <c r="AT116" s="897">
        <f t="shared" si="23"/>
        <v>0</v>
      </c>
    </row>
    <row r="117" spans="1:46" ht="24.75" customHeight="1">
      <c r="A117" s="595">
        <v>103</v>
      </c>
      <c r="B117" s="896">
        <v>23</v>
      </c>
      <c r="C117" s="595" t="str">
        <f>VLOOKUP(D117,'Mã số nhân viên'!B99:I156,8,0)</f>
        <v>03609</v>
      </c>
      <c r="D117" s="935" t="s">
        <v>215</v>
      </c>
      <c r="E117" s="110"/>
      <c r="F117" s="1109" t="s">
        <v>50</v>
      </c>
      <c r="G117" s="1109" t="s">
        <v>50</v>
      </c>
      <c r="H117" s="1109" t="s">
        <v>50</v>
      </c>
      <c r="I117" s="1109" t="s">
        <v>50</v>
      </c>
      <c r="J117" s="1109" t="s">
        <v>747</v>
      </c>
      <c r="K117" s="1109" t="s">
        <v>50</v>
      </c>
      <c r="L117" s="1109" t="s">
        <v>50</v>
      </c>
      <c r="M117" s="1109" t="s">
        <v>50</v>
      </c>
      <c r="N117" s="1109" t="s">
        <v>50</v>
      </c>
      <c r="O117" s="1109" t="s">
        <v>50</v>
      </c>
      <c r="P117" s="1109" t="s">
        <v>50</v>
      </c>
      <c r="Q117" s="1109" t="s">
        <v>747</v>
      </c>
      <c r="R117" s="1109" t="s">
        <v>50</v>
      </c>
      <c r="S117" s="1109" t="s">
        <v>50</v>
      </c>
      <c r="T117" s="1109" t="s">
        <v>50</v>
      </c>
      <c r="U117" s="1109" t="s">
        <v>50</v>
      </c>
      <c r="V117" s="1109" t="s">
        <v>50</v>
      </c>
      <c r="W117" s="1109" t="s">
        <v>50</v>
      </c>
      <c r="X117" s="1109" t="s">
        <v>747</v>
      </c>
      <c r="Y117" s="1109" t="s">
        <v>50</v>
      </c>
      <c r="Z117" s="1109" t="s">
        <v>50</v>
      </c>
      <c r="AA117" s="1109" t="s">
        <v>50</v>
      </c>
      <c r="AB117" s="1186" t="s">
        <v>50</v>
      </c>
      <c r="AC117" s="1109" t="s">
        <v>50</v>
      </c>
      <c r="AD117" s="1109" t="s">
        <v>50</v>
      </c>
      <c r="AE117" s="1109" t="s">
        <v>89</v>
      </c>
      <c r="AF117" s="1109" t="s">
        <v>50</v>
      </c>
      <c r="AG117" s="1109" t="s">
        <v>50</v>
      </c>
      <c r="AH117" s="1109" t="s">
        <v>50</v>
      </c>
      <c r="AI117" s="1109" t="s">
        <v>50</v>
      </c>
      <c r="AJ117" s="1109" t="s">
        <v>50</v>
      </c>
      <c r="AK117" s="888">
        <f t="shared" si="24"/>
        <v>27</v>
      </c>
      <c r="AL117" s="889">
        <f t="shared" si="25"/>
        <v>1</v>
      </c>
      <c r="AM117" s="888">
        <f t="shared" si="26"/>
        <v>0</v>
      </c>
      <c r="AN117" s="888">
        <f t="shared" si="27"/>
        <v>3</v>
      </c>
      <c r="AO117" s="888">
        <f t="shared" si="28"/>
        <v>0</v>
      </c>
      <c r="AP117" s="889">
        <f t="shared" si="29"/>
        <v>0</v>
      </c>
      <c r="AQ117" s="890">
        <f t="shared" si="30"/>
        <v>31</v>
      </c>
      <c r="AR117" s="891"/>
      <c r="AS117" s="137" t="str">
        <f>'Mã số nhân viên'!I99</f>
        <v>03609</v>
      </c>
      <c r="AT117" s="897">
        <f t="shared" si="23"/>
        <v>0</v>
      </c>
    </row>
    <row r="118" spans="1:46" ht="24.75" customHeight="1">
      <c r="A118" s="595">
        <v>104</v>
      </c>
      <c r="B118" s="896">
        <v>24</v>
      </c>
      <c r="C118" s="595" t="str">
        <f>VLOOKUP(D118,'Mã số nhân viên'!B100:I157,8,0)</f>
        <v>03610</v>
      </c>
      <c r="D118" s="938" t="s">
        <v>216</v>
      </c>
      <c r="E118" s="110"/>
      <c r="F118" s="1109" t="s">
        <v>50</v>
      </c>
      <c r="G118" s="1109" t="s">
        <v>50</v>
      </c>
      <c r="H118" s="1109" t="s">
        <v>50</v>
      </c>
      <c r="I118" s="1109" t="s">
        <v>50</v>
      </c>
      <c r="J118" s="1109" t="s">
        <v>747</v>
      </c>
      <c r="K118" s="1109" t="s">
        <v>50</v>
      </c>
      <c r="L118" s="1109" t="s">
        <v>50</v>
      </c>
      <c r="M118" s="1109" t="s">
        <v>50</v>
      </c>
      <c r="N118" s="1109" t="s">
        <v>50</v>
      </c>
      <c r="O118" s="1109" t="s">
        <v>50</v>
      </c>
      <c r="P118" s="1109" t="s">
        <v>50</v>
      </c>
      <c r="Q118" s="1109" t="s">
        <v>747</v>
      </c>
      <c r="R118" s="1109" t="s">
        <v>50</v>
      </c>
      <c r="S118" s="1109" t="s">
        <v>50</v>
      </c>
      <c r="T118" s="1109" t="s">
        <v>50</v>
      </c>
      <c r="U118" s="1109" t="s">
        <v>50</v>
      </c>
      <c r="V118" s="1109" t="s">
        <v>50</v>
      </c>
      <c r="W118" s="1109" t="s">
        <v>50</v>
      </c>
      <c r="X118" s="1109" t="s">
        <v>747</v>
      </c>
      <c r="Y118" s="1109" t="s">
        <v>50</v>
      </c>
      <c r="Z118" s="1109" t="s">
        <v>50</v>
      </c>
      <c r="AA118" s="1109" t="s">
        <v>50</v>
      </c>
      <c r="AB118" s="1186" t="s">
        <v>50</v>
      </c>
      <c r="AC118" s="1109" t="s">
        <v>50</v>
      </c>
      <c r="AD118" s="1109" t="s">
        <v>50</v>
      </c>
      <c r="AE118" s="1109" t="s">
        <v>89</v>
      </c>
      <c r="AF118" s="1109" t="s">
        <v>50</v>
      </c>
      <c r="AG118" s="1109" t="s">
        <v>50</v>
      </c>
      <c r="AH118" s="1109" t="s">
        <v>50</v>
      </c>
      <c r="AI118" s="1109" t="s">
        <v>50</v>
      </c>
      <c r="AJ118" s="1109" t="s">
        <v>50</v>
      </c>
      <c r="AK118" s="888">
        <f t="shared" si="24"/>
        <v>27</v>
      </c>
      <c r="AL118" s="889">
        <f t="shared" si="25"/>
        <v>1</v>
      </c>
      <c r="AM118" s="888">
        <f t="shared" si="26"/>
        <v>0</v>
      </c>
      <c r="AN118" s="888">
        <f t="shared" si="27"/>
        <v>3</v>
      </c>
      <c r="AO118" s="888">
        <f t="shared" si="28"/>
        <v>0</v>
      </c>
      <c r="AP118" s="889">
        <f t="shared" si="29"/>
        <v>0</v>
      </c>
      <c r="AQ118" s="890">
        <f t="shared" si="30"/>
        <v>31</v>
      </c>
      <c r="AR118" s="891"/>
      <c r="AS118" s="137" t="str">
        <f>'Mã số nhân viên'!I100</f>
        <v>03610</v>
      </c>
      <c r="AT118" s="897">
        <f t="shared" si="23"/>
        <v>0</v>
      </c>
    </row>
    <row r="119" spans="1:46" ht="24.75" customHeight="1">
      <c r="A119" s="595">
        <v>105</v>
      </c>
      <c r="B119" s="896">
        <v>25</v>
      </c>
      <c r="C119" s="595" t="str">
        <f>VLOOKUP(D119,'Mã số nhân viên'!B101:I158,8,0)</f>
        <v>04076</v>
      </c>
      <c r="D119" s="938" t="s">
        <v>487</v>
      </c>
      <c r="E119" s="110"/>
      <c r="F119" s="1109" t="s">
        <v>50</v>
      </c>
      <c r="G119" s="1109" t="s">
        <v>50</v>
      </c>
      <c r="H119" s="1109" t="s">
        <v>50</v>
      </c>
      <c r="I119" s="1109" t="s">
        <v>50</v>
      </c>
      <c r="J119" s="1109" t="s">
        <v>747</v>
      </c>
      <c r="K119" s="1109" t="s">
        <v>50</v>
      </c>
      <c r="L119" s="1109" t="s">
        <v>50</v>
      </c>
      <c r="M119" s="1109" t="s">
        <v>50</v>
      </c>
      <c r="N119" s="1109" t="s">
        <v>50</v>
      </c>
      <c r="O119" s="1109" t="s">
        <v>50</v>
      </c>
      <c r="P119" s="1109" t="s">
        <v>50</v>
      </c>
      <c r="Q119" s="1109" t="s">
        <v>747</v>
      </c>
      <c r="R119" s="1109" t="s">
        <v>50</v>
      </c>
      <c r="S119" s="1109" t="s">
        <v>50</v>
      </c>
      <c r="T119" s="1109" t="s">
        <v>50</v>
      </c>
      <c r="U119" s="1109" t="s">
        <v>50</v>
      </c>
      <c r="V119" s="1109" t="s">
        <v>50</v>
      </c>
      <c r="W119" s="1109" t="s">
        <v>50</v>
      </c>
      <c r="X119" s="1109" t="s">
        <v>747</v>
      </c>
      <c r="Y119" s="1109" t="s">
        <v>50</v>
      </c>
      <c r="Z119" s="1109" t="s">
        <v>50</v>
      </c>
      <c r="AA119" s="1109" t="s">
        <v>50</v>
      </c>
      <c r="AB119" s="1186" t="s">
        <v>50</v>
      </c>
      <c r="AC119" s="1109" t="s">
        <v>50</v>
      </c>
      <c r="AD119" s="1109" t="s">
        <v>50</v>
      </c>
      <c r="AE119" s="1109" t="s">
        <v>89</v>
      </c>
      <c r="AF119" s="1109" t="s">
        <v>50</v>
      </c>
      <c r="AG119" s="1109" t="s">
        <v>50</v>
      </c>
      <c r="AH119" s="1109" t="s">
        <v>50</v>
      </c>
      <c r="AI119" s="1109" t="s">
        <v>50</v>
      </c>
      <c r="AJ119" s="1109" t="s">
        <v>50</v>
      </c>
      <c r="AK119" s="888">
        <f t="shared" si="24"/>
        <v>27</v>
      </c>
      <c r="AL119" s="889">
        <f t="shared" si="25"/>
        <v>1</v>
      </c>
      <c r="AM119" s="888">
        <f t="shared" si="26"/>
        <v>0</v>
      </c>
      <c r="AN119" s="888">
        <f t="shared" si="27"/>
        <v>3</v>
      </c>
      <c r="AO119" s="888">
        <f t="shared" si="28"/>
        <v>0</v>
      </c>
      <c r="AP119" s="889">
        <f t="shared" si="29"/>
        <v>0</v>
      </c>
      <c r="AQ119" s="890">
        <f t="shared" si="30"/>
        <v>31</v>
      </c>
      <c r="AR119" s="891"/>
      <c r="AS119" s="137" t="str">
        <f>'Mã số nhân viên'!I101</f>
        <v>04076</v>
      </c>
      <c r="AT119" s="897">
        <f t="shared" si="23"/>
        <v>0</v>
      </c>
    </row>
    <row r="120" spans="1:46" ht="24.75" customHeight="1">
      <c r="A120" s="595">
        <v>106</v>
      </c>
      <c r="B120" s="896">
        <v>26</v>
      </c>
      <c r="C120" s="595" t="str">
        <f>VLOOKUP(D120,'Mã số nhân viên'!B102:I159,8,0)</f>
        <v>03612</v>
      </c>
      <c r="D120" s="938" t="s">
        <v>259</v>
      </c>
      <c r="E120" s="110"/>
      <c r="F120" s="1109" t="s">
        <v>50</v>
      </c>
      <c r="G120" s="1109" t="s">
        <v>50</v>
      </c>
      <c r="H120" s="1109" t="s">
        <v>50</v>
      </c>
      <c r="I120" s="1109" t="s">
        <v>50</v>
      </c>
      <c r="J120" s="1109" t="s">
        <v>747</v>
      </c>
      <c r="K120" s="1109" t="s">
        <v>50</v>
      </c>
      <c r="L120" s="1109" t="s">
        <v>50</v>
      </c>
      <c r="M120" s="1109" t="s">
        <v>50</v>
      </c>
      <c r="N120" s="1109" t="s">
        <v>50</v>
      </c>
      <c r="O120" s="1109" t="s">
        <v>50</v>
      </c>
      <c r="P120" s="1109" t="s">
        <v>50</v>
      </c>
      <c r="Q120" s="1109" t="s">
        <v>747</v>
      </c>
      <c r="R120" s="1109" t="s">
        <v>50</v>
      </c>
      <c r="S120" s="1109" t="s">
        <v>50</v>
      </c>
      <c r="T120" s="1109" t="s">
        <v>50</v>
      </c>
      <c r="U120" s="1109" t="s">
        <v>50</v>
      </c>
      <c r="V120" s="1109" t="s">
        <v>50</v>
      </c>
      <c r="W120" s="1109" t="s">
        <v>50</v>
      </c>
      <c r="X120" s="1109" t="s">
        <v>747</v>
      </c>
      <c r="Y120" s="1109" t="s">
        <v>50</v>
      </c>
      <c r="Z120" s="1109" t="s">
        <v>50</v>
      </c>
      <c r="AA120" s="1109" t="s">
        <v>50</v>
      </c>
      <c r="AB120" s="1186" t="s">
        <v>50</v>
      </c>
      <c r="AC120" s="1109" t="s">
        <v>50</v>
      </c>
      <c r="AD120" s="1109" t="s">
        <v>50</v>
      </c>
      <c r="AE120" s="1109" t="s">
        <v>89</v>
      </c>
      <c r="AF120" s="1109" t="s">
        <v>50</v>
      </c>
      <c r="AG120" s="1109" t="s">
        <v>50</v>
      </c>
      <c r="AH120" s="1109" t="s">
        <v>50</v>
      </c>
      <c r="AI120" s="1109" t="s">
        <v>50</v>
      </c>
      <c r="AJ120" s="1109" t="s">
        <v>50</v>
      </c>
      <c r="AK120" s="888">
        <f t="shared" si="24"/>
        <v>27</v>
      </c>
      <c r="AL120" s="889">
        <f t="shared" si="25"/>
        <v>1</v>
      </c>
      <c r="AM120" s="888">
        <f t="shared" si="26"/>
        <v>0</v>
      </c>
      <c r="AN120" s="888">
        <f t="shared" si="27"/>
        <v>3</v>
      </c>
      <c r="AO120" s="888">
        <f t="shared" si="28"/>
        <v>0</v>
      </c>
      <c r="AP120" s="889">
        <f t="shared" si="29"/>
        <v>0</v>
      </c>
      <c r="AQ120" s="890">
        <f t="shared" si="30"/>
        <v>31</v>
      </c>
      <c r="AR120" s="891"/>
      <c r="AS120" s="137" t="str">
        <f>'Mã số nhân viên'!I102</f>
        <v>03612</v>
      </c>
      <c r="AT120" s="897">
        <f t="shared" si="23"/>
        <v>0</v>
      </c>
    </row>
    <row r="121" spans="1:46" ht="24.75" customHeight="1">
      <c r="A121" s="595">
        <v>107</v>
      </c>
      <c r="B121" s="896">
        <v>27</v>
      </c>
      <c r="C121" s="595" t="str">
        <f>VLOOKUP(D121,'Mã số nhân viên'!B103:I160,8,0)</f>
        <v>03613</v>
      </c>
      <c r="D121" s="938" t="s">
        <v>240</v>
      </c>
      <c r="E121" s="110"/>
      <c r="F121" s="1109" t="s">
        <v>50</v>
      </c>
      <c r="G121" s="1109" t="s">
        <v>50</v>
      </c>
      <c r="H121" s="1109" t="s">
        <v>50</v>
      </c>
      <c r="I121" s="1109" t="s">
        <v>50</v>
      </c>
      <c r="J121" s="1109" t="s">
        <v>747</v>
      </c>
      <c r="K121" s="1109" t="s">
        <v>50</v>
      </c>
      <c r="L121" s="1109" t="s">
        <v>50</v>
      </c>
      <c r="M121" s="1109" t="s">
        <v>50</v>
      </c>
      <c r="N121" s="1109" t="s">
        <v>50</v>
      </c>
      <c r="O121" s="1109" t="s">
        <v>50</v>
      </c>
      <c r="P121" s="1109" t="s">
        <v>50</v>
      </c>
      <c r="Q121" s="1109" t="s">
        <v>747</v>
      </c>
      <c r="R121" s="1109" t="s">
        <v>50</v>
      </c>
      <c r="S121" s="1109" t="s">
        <v>50</v>
      </c>
      <c r="T121" s="1109" t="s">
        <v>50</v>
      </c>
      <c r="U121" s="1109" t="s">
        <v>50</v>
      </c>
      <c r="V121" s="1109" t="s">
        <v>50</v>
      </c>
      <c r="W121" s="1109" t="s">
        <v>50</v>
      </c>
      <c r="X121" s="1109" t="s">
        <v>747</v>
      </c>
      <c r="Y121" s="1109" t="s">
        <v>50</v>
      </c>
      <c r="Z121" s="1109" t="s">
        <v>50</v>
      </c>
      <c r="AA121" s="1109" t="s">
        <v>50</v>
      </c>
      <c r="AB121" s="1186" t="s">
        <v>50</v>
      </c>
      <c r="AC121" s="1109" t="s">
        <v>50</v>
      </c>
      <c r="AD121" s="1109" t="s">
        <v>50</v>
      </c>
      <c r="AE121" s="1109" t="s">
        <v>89</v>
      </c>
      <c r="AF121" s="1109" t="s">
        <v>50</v>
      </c>
      <c r="AG121" s="1109" t="s">
        <v>50</v>
      </c>
      <c r="AH121" s="1109" t="s">
        <v>50</v>
      </c>
      <c r="AI121" s="1109" t="s">
        <v>50</v>
      </c>
      <c r="AJ121" s="1109" t="s">
        <v>50</v>
      </c>
      <c r="AK121" s="888">
        <f t="shared" si="24"/>
        <v>27</v>
      </c>
      <c r="AL121" s="889">
        <f t="shared" si="25"/>
        <v>1</v>
      </c>
      <c r="AM121" s="888">
        <f t="shared" si="26"/>
        <v>0</v>
      </c>
      <c r="AN121" s="888">
        <f t="shared" si="27"/>
        <v>3</v>
      </c>
      <c r="AO121" s="888">
        <f t="shared" si="28"/>
        <v>0</v>
      </c>
      <c r="AP121" s="889">
        <f t="shared" si="29"/>
        <v>0</v>
      </c>
      <c r="AQ121" s="890">
        <f t="shared" si="30"/>
        <v>31</v>
      </c>
      <c r="AR121" s="891"/>
      <c r="AS121" s="137" t="str">
        <f>'Mã số nhân viên'!I103</f>
        <v>03613</v>
      </c>
      <c r="AT121" s="897">
        <f t="shared" si="23"/>
        <v>0</v>
      </c>
    </row>
    <row r="122" spans="1:46" ht="24.75" customHeight="1">
      <c r="A122" s="595">
        <v>108</v>
      </c>
      <c r="B122" s="896">
        <v>28</v>
      </c>
      <c r="C122" s="595" t="str">
        <f>VLOOKUP(D122,'Mã số nhân viên'!B104:I161,8,0)</f>
        <v>04077</v>
      </c>
      <c r="D122" s="938" t="s">
        <v>488</v>
      </c>
      <c r="E122" s="110"/>
      <c r="F122" s="1109" t="s">
        <v>50</v>
      </c>
      <c r="G122" s="1109" t="s">
        <v>50</v>
      </c>
      <c r="H122" s="1109" t="s">
        <v>50</v>
      </c>
      <c r="I122" s="1109" t="s">
        <v>50</v>
      </c>
      <c r="J122" s="1109" t="s">
        <v>747</v>
      </c>
      <c r="K122" s="1109" t="s">
        <v>50</v>
      </c>
      <c r="L122" s="1109" t="s">
        <v>50</v>
      </c>
      <c r="M122" s="1109" t="s">
        <v>50</v>
      </c>
      <c r="N122" s="1109" t="s">
        <v>50</v>
      </c>
      <c r="O122" s="1109" t="s">
        <v>50</v>
      </c>
      <c r="P122" s="1109" t="s">
        <v>50</v>
      </c>
      <c r="Q122" s="1109" t="s">
        <v>89</v>
      </c>
      <c r="R122" s="1109" t="s">
        <v>50</v>
      </c>
      <c r="S122" s="1109" t="s">
        <v>50</v>
      </c>
      <c r="T122" s="1109" t="s">
        <v>50</v>
      </c>
      <c r="U122" s="1109" t="s">
        <v>50</v>
      </c>
      <c r="V122" s="1109" t="s">
        <v>50</v>
      </c>
      <c r="W122" s="1109" t="s">
        <v>50</v>
      </c>
      <c r="X122" s="1109" t="s">
        <v>747</v>
      </c>
      <c r="Y122" s="1109" t="s">
        <v>50</v>
      </c>
      <c r="Z122" s="1109" t="s">
        <v>50</v>
      </c>
      <c r="AA122" s="1109" t="s">
        <v>50</v>
      </c>
      <c r="AB122" s="1186" t="s">
        <v>50</v>
      </c>
      <c r="AC122" s="1109" t="s">
        <v>50</v>
      </c>
      <c r="AD122" s="1109" t="s">
        <v>50</v>
      </c>
      <c r="AE122" s="1109" t="s">
        <v>89</v>
      </c>
      <c r="AF122" s="1109" t="s">
        <v>50</v>
      </c>
      <c r="AG122" s="1109" t="s">
        <v>50</v>
      </c>
      <c r="AH122" s="1109" t="s">
        <v>50</v>
      </c>
      <c r="AI122" s="1109" t="s">
        <v>50</v>
      </c>
      <c r="AJ122" s="1109" t="s">
        <v>50</v>
      </c>
      <c r="AK122" s="888">
        <f t="shared" si="24"/>
        <v>27</v>
      </c>
      <c r="AL122" s="889">
        <f t="shared" si="25"/>
        <v>2</v>
      </c>
      <c r="AM122" s="888">
        <f t="shared" si="26"/>
        <v>0</v>
      </c>
      <c r="AN122" s="888">
        <f t="shared" si="27"/>
        <v>2</v>
      </c>
      <c r="AO122" s="888">
        <f t="shared" si="28"/>
        <v>0</v>
      </c>
      <c r="AP122" s="889">
        <f t="shared" si="29"/>
        <v>0</v>
      </c>
      <c r="AQ122" s="890">
        <f t="shared" si="30"/>
        <v>31</v>
      </c>
      <c r="AR122" s="891"/>
      <c r="AS122" s="137" t="str">
        <f>'Mã số nhân viên'!I104</f>
        <v>04077</v>
      </c>
      <c r="AT122" s="897">
        <f t="shared" si="23"/>
        <v>0</v>
      </c>
    </row>
    <row r="123" spans="1:46" ht="24.75" customHeight="1">
      <c r="A123" s="595">
        <v>109</v>
      </c>
      <c r="B123" s="896">
        <v>29</v>
      </c>
      <c r="C123" s="595" t="str">
        <f>VLOOKUP(D123,'Mã số nhân viên'!B105:I162,8,0)</f>
        <v>03615</v>
      </c>
      <c r="D123" s="936" t="s">
        <v>296</v>
      </c>
      <c r="E123" s="110"/>
      <c r="F123" s="1109" t="s">
        <v>50</v>
      </c>
      <c r="G123" s="1109" t="s">
        <v>50</v>
      </c>
      <c r="H123" s="1109" t="s">
        <v>50</v>
      </c>
      <c r="I123" s="1109" t="s">
        <v>50</v>
      </c>
      <c r="J123" s="1109" t="s">
        <v>747</v>
      </c>
      <c r="K123" s="1109" t="s">
        <v>50</v>
      </c>
      <c r="L123" s="1109" t="s">
        <v>50</v>
      </c>
      <c r="M123" s="1109" t="s">
        <v>50</v>
      </c>
      <c r="N123" s="1109" t="s">
        <v>50</v>
      </c>
      <c r="O123" s="1109" t="s">
        <v>50</v>
      </c>
      <c r="P123" s="1109" t="s">
        <v>50</v>
      </c>
      <c r="Q123" s="1109" t="s">
        <v>747</v>
      </c>
      <c r="R123" s="1109" t="s">
        <v>50</v>
      </c>
      <c r="S123" s="1109" t="s">
        <v>50</v>
      </c>
      <c r="T123" s="1109" t="s">
        <v>50</v>
      </c>
      <c r="U123" s="1109" t="s">
        <v>50</v>
      </c>
      <c r="V123" s="1109" t="s">
        <v>50</v>
      </c>
      <c r="W123" s="1109" t="s">
        <v>50</v>
      </c>
      <c r="X123" s="1109" t="s">
        <v>747</v>
      </c>
      <c r="Y123" s="1109" t="s">
        <v>50</v>
      </c>
      <c r="Z123" s="1109" t="s">
        <v>50</v>
      </c>
      <c r="AA123" s="1109" t="s">
        <v>50</v>
      </c>
      <c r="AB123" s="1186" t="s">
        <v>50</v>
      </c>
      <c r="AC123" s="1109" t="s">
        <v>50</v>
      </c>
      <c r="AD123" s="1109" t="s">
        <v>50</v>
      </c>
      <c r="AE123" s="1109" t="s">
        <v>89</v>
      </c>
      <c r="AF123" s="1109" t="s">
        <v>50</v>
      </c>
      <c r="AG123" s="1109" t="s">
        <v>50</v>
      </c>
      <c r="AH123" s="1109" t="s">
        <v>50</v>
      </c>
      <c r="AI123" s="1109" t="s">
        <v>50</v>
      </c>
      <c r="AJ123" s="1109" t="s">
        <v>50</v>
      </c>
      <c r="AK123" s="888">
        <f t="shared" si="24"/>
        <v>27</v>
      </c>
      <c r="AL123" s="889">
        <f t="shared" si="25"/>
        <v>1</v>
      </c>
      <c r="AM123" s="888">
        <f t="shared" si="26"/>
        <v>0</v>
      </c>
      <c r="AN123" s="888">
        <f t="shared" si="27"/>
        <v>3</v>
      </c>
      <c r="AO123" s="888">
        <f t="shared" si="28"/>
        <v>0</v>
      </c>
      <c r="AP123" s="889">
        <f t="shared" si="29"/>
        <v>0</v>
      </c>
      <c r="AQ123" s="890">
        <f t="shared" si="30"/>
        <v>31</v>
      </c>
      <c r="AR123" s="891"/>
      <c r="AS123" s="137" t="str">
        <f>'Mã số nhân viên'!I105</f>
        <v>03615</v>
      </c>
      <c r="AT123" s="897">
        <f t="shared" si="23"/>
        <v>0</v>
      </c>
    </row>
    <row r="124" spans="1:46" ht="24.75" customHeight="1">
      <c r="A124" s="595">
        <v>110</v>
      </c>
      <c r="B124" s="896">
        <v>30</v>
      </c>
      <c r="C124" s="595" t="str">
        <f>VLOOKUP(D124,'Mã số nhân viên'!B106:I163,8,0)</f>
        <v>03616</v>
      </c>
      <c r="D124" s="938" t="s">
        <v>217</v>
      </c>
      <c r="E124" s="110"/>
      <c r="F124" s="1109" t="s">
        <v>50</v>
      </c>
      <c r="G124" s="1109" t="s">
        <v>50</v>
      </c>
      <c r="H124" s="1109" t="s">
        <v>50</v>
      </c>
      <c r="I124" s="1109" t="s">
        <v>50</v>
      </c>
      <c r="J124" s="1109" t="s">
        <v>747</v>
      </c>
      <c r="K124" s="1109" t="s">
        <v>50</v>
      </c>
      <c r="L124" s="1109" t="s">
        <v>50</v>
      </c>
      <c r="M124" s="1109" t="s">
        <v>50</v>
      </c>
      <c r="N124" s="1109" t="s">
        <v>50</v>
      </c>
      <c r="O124" s="1109" t="s">
        <v>50</v>
      </c>
      <c r="P124" s="1109" t="s">
        <v>50</v>
      </c>
      <c r="Q124" s="1109" t="s">
        <v>747</v>
      </c>
      <c r="R124" s="1109" t="s">
        <v>50</v>
      </c>
      <c r="S124" s="1109" t="s">
        <v>50</v>
      </c>
      <c r="T124" s="1109" t="s">
        <v>50</v>
      </c>
      <c r="U124" s="1109" t="s">
        <v>50</v>
      </c>
      <c r="V124" s="1109" t="s">
        <v>50</v>
      </c>
      <c r="W124" s="1109" t="s">
        <v>50</v>
      </c>
      <c r="X124" s="1109" t="s">
        <v>747</v>
      </c>
      <c r="Y124" s="1109" t="s">
        <v>50</v>
      </c>
      <c r="Z124" s="1109" t="s">
        <v>50</v>
      </c>
      <c r="AA124" s="1109" t="s">
        <v>50</v>
      </c>
      <c r="AB124" s="1186" t="s">
        <v>50</v>
      </c>
      <c r="AC124" s="1109" t="s">
        <v>50</v>
      </c>
      <c r="AD124" s="1109" t="s">
        <v>50</v>
      </c>
      <c r="AE124" s="1109" t="s">
        <v>89</v>
      </c>
      <c r="AF124" s="1109" t="s">
        <v>50</v>
      </c>
      <c r="AG124" s="1109" t="s">
        <v>50</v>
      </c>
      <c r="AH124" s="1109" t="s">
        <v>50</v>
      </c>
      <c r="AI124" s="1109" t="s">
        <v>50</v>
      </c>
      <c r="AJ124" s="1109" t="s">
        <v>50</v>
      </c>
      <c r="AK124" s="888">
        <f t="shared" si="24"/>
        <v>27</v>
      </c>
      <c r="AL124" s="889">
        <f t="shared" si="25"/>
        <v>1</v>
      </c>
      <c r="AM124" s="888">
        <f t="shared" si="26"/>
        <v>0</v>
      </c>
      <c r="AN124" s="888">
        <f t="shared" si="27"/>
        <v>3</v>
      </c>
      <c r="AO124" s="888">
        <f t="shared" si="28"/>
        <v>0</v>
      </c>
      <c r="AP124" s="889">
        <f t="shared" si="29"/>
        <v>0</v>
      </c>
      <c r="AQ124" s="890">
        <f t="shared" si="30"/>
        <v>31</v>
      </c>
      <c r="AR124" s="891"/>
      <c r="AS124" s="137" t="str">
        <f>'Mã số nhân viên'!I106</f>
        <v>03616</v>
      </c>
      <c r="AT124" s="897">
        <f t="shared" si="23"/>
        <v>0</v>
      </c>
    </row>
    <row r="125" spans="1:46" ht="24.75" customHeight="1">
      <c r="A125" s="595">
        <v>111</v>
      </c>
      <c r="B125" s="896">
        <v>31</v>
      </c>
      <c r="C125" s="595" t="str">
        <f>VLOOKUP(D125,'Mã số nhân viên'!B107:I164,8,0)</f>
        <v>03617</v>
      </c>
      <c r="D125" s="938" t="s">
        <v>297</v>
      </c>
      <c r="E125" s="110"/>
      <c r="F125" s="1109" t="s">
        <v>50</v>
      </c>
      <c r="G125" s="1109" t="s">
        <v>50</v>
      </c>
      <c r="H125" s="1109" t="s">
        <v>50</v>
      </c>
      <c r="I125" s="1109" t="s">
        <v>50</v>
      </c>
      <c r="J125" s="1109" t="s">
        <v>747</v>
      </c>
      <c r="K125" s="1109" t="s">
        <v>50</v>
      </c>
      <c r="L125" s="1109" t="s">
        <v>50</v>
      </c>
      <c r="M125" s="1109" t="s">
        <v>50</v>
      </c>
      <c r="N125" s="1109" t="s">
        <v>50</v>
      </c>
      <c r="O125" s="1109" t="s">
        <v>50</v>
      </c>
      <c r="P125" s="1109" t="s">
        <v>50</v>
      </c>
      <c r="Q125" s="1109" t="s">
        <v>747</v>
      </c>
      <c r="R125" s="1109" t="s">
        <v>50</v>
      </c>
      <c r="S125" s="1109" t="s">
        <v>50</v>
      </c>
      <c r="T125" s="1109" t="s">
        <v>50</v>
      </c>
      <c r="U125" s="1109" t="s">
        <v>50</v>
      </c>
      <c r="V125" s="1109" t="s">
        <v>50</v>
      </c>
      <c r="W125" s="1109" t="s">
        <v>50</v>
      </c>
      <c r="X125" s="1109" t="s">
        <v>747</v>
      </c>
      <c r="Y125" s="1109" t="s">
        <v>50</v>
      </c>
      <c r="Z125" s="1109" t="s">
        <v>50</v>
      </c>
      <c r="AA125" s="1109" t="s">
        <v>50</v>
      </c>
      <c r="AB125" s="1186" t="s">
        <v>50</v>
      </c>
      <c r="AC125" s="1109" t="s">
        <v>50</v>
      </c>
      <c r="AD125" s="1109" t="s">
        <v>50</v>
      </c>
      <c r="AE125" s="1109" t="s">
        <v>89</v>
      </c>
      <c r="AF125" s="1109" t="s">
        <v>50</v>
      </c>
      <c r="AG125" s="1109" t="s">
        <v>50</v>
      </c>
      <c r="AH125" s="1109" t="s">
        <v>50</v>
      </c>
      <c r="AI125" s="1109" t="s">
        <v>50</v>
      </c>
      <c r="AJ125" s="1109" t="s">
        <v>50</v>
      </c>
      <c r="AK125" s="888">
        <f t="shared" si="24"/>
        <v>27</v>
      </c>
      <c r="AL125" s="889">
        <f t="shared" si="25"/>
        <v>1</v>
      </c>
      <c r="AM125" s="888">
        <f t="shared" si="26"/>
        <v>0</v>
      </c>
      <c r="AN125" s="888">
        <f t="shared" si="27"/>
        <v>3</v>
      </c>
      <c r="AO125" s="888">
        <f t="shared" si="28"/>
        <v>0</v>
      </c>
      <c r="AP125" s="889">
        <f t="shared" si="29"/>
        <v>0</v>
      </c>
      <c r="AQ125" s="890">
        <f t="shared" si="30"/>
        <v>31</v>
      </c>
      <c r="AR125" s="891"/>
      <c r="AS125" s="137" t="str">
        <f>'Mã số nhân viên'!I107</f>
        <v>03617</v>
      </c>
      <c r="AT125" s="897">
        <f t="shared" si="23"/>
        <v>0</v>
      </c>
    </row>
    <row r="126" spans="1:46" ht="24.75" customHeight="1">
      <c r="A126" s="595">
        <v>112</v>
      </c>
      <c r="B126" s="896">
        <v>32</v>
      </c>
      <c r="C126" s="595" t="str">
        <f>VLOOKUP(D126,'Mã số nhân viên'!B108:I165,8,0)</f>
        <v>03618</v>
      </c>
      <c r="D126" s="938" t="s">
        <v>223</v>
      </c>
      <c r="E126" s="110"/>
      <c r="F126" s="1109" t="s">
        <v>50</v>
      </c>
      <c r="G126" s="1109" t="s">
        <v>50</v>
      </c>
      <c r="H126" s="1109" t="s">
        <v>50</v>
      </c>
      <c r="I126" s="1109" t="s">
        <v>50</v>
      </c>
      <c r="J126" s="1109" t="s">
        <v>747</v>
      </c>
      <c r="K126" s="1109" t="s">
        <v>50</v>
      </c>
      <c r="L126" s="1109" t="s">
        <v>50</v>
      </c>
      <c r="M126" s="1109" t="s">
        <v>50</v>
      </c>
      <c r="N126" s="1109" t="s">
        <v>50</v>
      </c>
      <c r="O126" s="1109" t="s">
        <v>50</v>
      </c>
      <c r="P126" s="1109" t="s">
        <v>50</v>
      </c>
      <c r="Q126" s="1109" t="s">
        <v>89</v>
      </c>
      <c r="R126" s="1109"/>
      <c r="S126" s="1109" t="s">
        <v>746</v>
      </c>
      <c r="T126" s="1109" t="s">
        <v>50</v>
      </c>
      <c r="U126" s="1109" t="s">
        <v>50</v>
      </c>
      <c r="V126" s="1109" t="s">
        <v>50</v>
      </c>
      <c r="W126" s="1109" t="s">
        <v>50</v>
      </c>
      <c r="X126" s="1109" t="s">
        <v>747</v>
      </c>
      <c r="Y126" s="1109" t="s">
        <v>50</v>
      </c>
      <c r="Z126" s="1109" t="s">
        <v>50</v>
      </c>
      <c r="AA126" s="1109" t="s">
        <v>50</v>
      </c>
      <c r="AB126" s="1186" t="s">
        <v>50</v>
      </c>
      <c r="AC126" s="1109" t="s">
        <v>50</v>
      </c>
      <c r="AD126" s="1109" t="s">
        <v>50</v>
      </c>
      <c r="AE126" s="1109" t="s">
        <v>89</v>
      </c>
      <c r="AF126" s="1109" t="s">
        <v>50</v>
      </c>
      <c r="AG126" s="1109" t="s">
        <v>50</v>
      </c>
      <c r="AH126" s="1109" t="s">
        <v>50</v>
      </c>
      <c r="AI126" s="1109" t="s">
        <v>50</v>
      </c>
      <c r="AJ126" s="1109" t="s">
        <v>50</v>
      </c>
      <c r="AK126" s="888">
        <f t="shared" si="24"/>
        <v>25</v>
      </c>
      <c r="AL126" s="889">
        <f t="shared" si="25"/>
        <v>2</v>
      </c>
      <c r="AM126" s="888">
        <f t="shared" si="26"/>
        <v>0</v>
      </c>
      <c r="AN126" s="888">
        <f t="shared" si="27"/>
        <v>2</v>
      </c>
      <c r="AO126" s="888">
        <f t="shared" si="28"/>
        <v>0</v>
      </c>
      <c r="AP126" s="889">
        <f t="shared" si="29"/>
        <v>0</v>
      </c>
      <c r="AQ126" s="890">
        <f t="shared" si="30"/>
        <v>29</v>
      </c>
      <c r="AR126" s="891"/>
      <c r="AS126" s="137" t="str">
        <f>'Mã số nhân viên'!I108</f>
        <v>03618</v>
      </c>
      <c r="AT126" s="897">
        <f t="shared" si="23"/>
        <v>0</v>
      </c>
    </row>
    <row r="127" spans="1:46" ht="24.75" customHeight="1">
      <c r="A127" s="595">
        <v>113</v>
      </c>
      <c r="B127" s="896">
        <v>33</v>
      </c>
      <c r="C127" s="595" t="str">
        <f>VLOOKUP(D127,'Mã số nhân viên'!B109:I166,8,0)</f>
        <v>03619</v>
      </c>
      <c r="D127" s="938" t="s">
        <v>235</v>
      </c>
      <c r="E127" s="110"/>
      <c r="F127" s="1109" t="s">
        <v>50</v>
      </c>
      <c r="G127" s="1109" t="s">
        <v>730</v>
      </c>
      <c r="H127" s="1109" t="s">
        <v>50</v>
      </c>
      <c r="I127" s="1109" t="s">
        <v>50</v>
      </c>
      <c r="J127" s="1109" t="s">
        <v>747</v>
      </c>
      <c r="K127" s="1109" t="s">
        <v>50</v>
      </c>
      <c r="L127" s="1109" t="s">
        <v>50</v>
      </c>
      <c r="M127" s="1109" t="s">
        <v>50</v>
      </c>
      <c r="N127" s="1109" t="s">
        <v>50</v>
      </c>
      <c r="O127" s="1109" t="s">
        <v>50</v>
      </c>
      <c r="P127" s="1109" t="s">
        <v>50</v>
      </c>
      <c r="Q127" s="1109" t="s">
        <v>747</v>
      </c>
      <c r="R127" s="1109" t="s">
        <v>50</v>
      </c>
      <c r="S127" s="1109" t="s">
        <v>50</v>
      </c>
      <c r="T127" s="1109" t="s">
        <v>50</v>
      </c>
      <c r="U127" s="1109" t="s">
        <v>50</v>
      </c>
      <c r="V127" s="1109" t="s">
        <v>50</v>
      </c>
      <c r="W127" s="1109" t="s">
        <v>50</v>
      </c>
      <c r="X127" s="1109" t="s">
        <v>747</v>
      </c>
      <c r="Y127" s="1109" t="s">
        <v>50</v>
      </c>
      <c r="Z127" s="1109" t="s">
        <v>50</v>
      </c>
      <c r="AA127" s="1109" t="s">
        <v>50</v>
      </c>
      <c r="AB127" s="1186" t="s">
        <v>50</v>
      </c>
      <c r="AC127" s="1109" t="s">
        <v>50</v>
      </c>
      <c r="AD127" s="1109" t="s">
        <v>50</v>
      </c>
      <c r="AE127" s="1109" t="s">
        <v>89</v>
      </c>
      <c r="AF127" s="1109" t="s">
        <v>50</v>
      </c>
      <c r="AG127" s="1109" t="s">
        <v>50</v>
      </c>
      <c r="AH127" s="1109" t="s">
        <v>50</v>
      </c>
      <c r="AI127" s="1109" t="s">
        <v>50</v>
      </c>
      <c r="AJ127" s="1109" t="s">
        <v>50</v>
      </c>
      <c r="AK127" s="888">
        <f t="shared" si="24"/>
        <v>26</v>
      </c>
      <c r="AL127" s="889">
        <f t="shared" si="25"/>
        <v>1</v>
      </c>
      <c r="AM127" s="888">
        <f t="shared" si="26"/>
        <v>0</v>
      </c>
      <c r="AN127" s="888">
        <f t="shared" si="27"/>
        <v>3</v>
      </c>
      <c r="AO127" s="888">
        <f t="shared" si="28"/>
        <v>0</v>
      </c>
      <c r="AP127" s="889">
        <f t="shared" si="29"/>
        <v>0</v>
      </c>
      <c r="AQ127" s="890">
        <f t="shared" si="30"/>
        <v>30</v>
      </c>
      <c r="AR127" s="891"/>
      <c r="AS127" s="137" t="str">
        <f>'Mã số nhân viên'!I109</f>
        <v>03619</v>
      </c>
      <c r="AT127" s="897">
        <f t="shared" ref="AT127:AT156" si="31">C127-AS127</f>
        <v>0</v>
      </c>
    </row>
    <row r="128" spans="1:46" ht="24.75" customHeight="1">
      <c r="A128" s="595">
        <v>114</v>
      </c>
      <c r="B128" s="896">
        <v>34</v>
      </c>
      <c r="C128" s="595" t="str">
        <f>VLOOKUP(D128,'Mã số nhân viên'!B110:I167,8,0)</f>
        <v>03620</v>
      </c>
      <c r="D128" s="938" t="s">
        <v>298</v>
      </c>
      <c r="E128" s="110"/>
      <c r="F128" s="1109" t="s">
        <v>50</v>
      </c>
      <c r="G128" s="1109" t="s">
        <v>50</v>
      </c>
      <c r="H128" s="1109" t="s">
        <v>50</v>
      </c>
      <c r="I128" s="1109" t="s">
        <v>50</v>
      </c>
      <c r="J128" s="1109" t="s">
        <v>747</v>
      </c>
      <c r="K128" s="1109" t="s">
        <v>50</v>
      </c>
      <c r="L128" s="1109" t="s">
        <v>50</v>
      </c>
      <c r="M128" s="1109" t="s">
        <v>50</v>
      </c>
      <c r="N128" s="1109" t="s">
        <v>730</v>
      </c>
      <c r="O128" s="1109" t="s">
        <v>730</v>
      </c>
      <c r="P128" s="1109"/>
      <c r="Q128" s="1109" t="s">
        <v>747</v>
      </c>
      <c r="R128" s="1109" t="s">
        <v>50</v>
      </c>
      <c r="S128" s="1109" t="s">
        <v>50</v>
      </c>
      <c r="T128" s="1109" t="s">
        <v>50</v>
      </c>
      <c r="U128" s="1109" t="s">
        <v>50</v>
      </c>
      <c r="V128" s="1109" t="s">
        <v>730</v>
      </c>
      <c r="W128" s="1109" t="s">
        <v>50</v>
      </c>
      <c r="X128" s="1109" t="s">
        <v>747</v>
      </c>
      <c r="Y128" s="1109" t="s">
        <v>50</v>
      </c>
      <c r="Z128" s="1109" t="s">
        <v>50</v>
      </c>
      <c r="AA128" s="1109" t="s">
        <v>50</v>
      </c>
      <c r="AB128" s="1186" t="s">
        <v>50</v>
      </c>
      <c r="AC128" s="1109" t="s">
        <v>50</v>
      </c>
      <c r="AD128" s="1109" t="s">
        <v>50</v>
      </c>
      <c r="AE128" s="1109" t="s">
        <v>89</v>
      </c>
      <c r="AF128" s="1109" t="s">
        <v>50</v>
      </c>
      <c r="AG128" s="1109" t="s">
        <v>50</v>
      </c>
      <c r="AH128" s="1109" t="s">
        <v>50</v>
      </c>
      <c r="AI128" s="1109" t="s">
        <v>50</v>
      </c>
      <c r="AJ128" s="1109" t="s">
        <v>50</v>
      </c>
      <c r="AK128" s="888">
        <f t="shared" si="24"/>
        <v>23</v>
      </c>
      <c r="AL128" s="889">
        <f t="shared" si="25"/>
        <v>1</v>
      </c>
      <c r="AM128" s="888">
        <f t="shared" si="26"/>
        <v>0</v>
      </c>
      <c r="AN128" s="888">
        <f t="shared" si="27"/>
        <v>3</v>
      </c>
      <c r="AO128" s="888">
        <f t="shared" si="28"/>
        <v>0</v>
      </c>
      <c r="AP128" s="889">
        <f t="shared" si="29"/>
        <v>0</v>
      </c>
      <c r="AQ128" s="890">
        <f t="shared" si="30"/>
        <v>27</v>
      </c>
      <c r="AR128" s="891"/>
      <c r="AS128" s="137" t="str">
        <f>'Mã số nhân viên'!I110</f>
        <v>03620</v>
      </c>
      <c r="AT128" s="897">
        <f t="shared" si="31"/>
        <v>0</v>
      </c>
    </row>
    <row r="129" spans="1:46" ht="24.75" customHeight="1">
      <c r="A129" s="595">
        <v>115</v>
      </c>
      <c r="B129" s="896">
        <v>35</v>
      </c>
      <c r="C129" s="595" t="str">
        <f>VLOOKUP(D129,'Mã số nhân viên'!B111:I168,8,0)</f>
        <v>04078</v>
      </c>
      <c r="D129" s="938" t="s">
        <v>489</v>
      </c>
      <c r="E129" s="110"/>
      <c r="F129" s="1109" t="s">
        <v>730</v>
      </c>
      <c r="G129" s="1109" t="s">
        <v>50</v>
      </c>
      <c r="H129" s="1109" t="s">
        <v>730</v>
      </c>
      <c r="I129" s="1109" t="s">
        <v>50</v>
      </c>
      <c r="J129" s="1109" t="s">
        <v>747</v>
      </c>
      <c r="K129" s="1109" t="s">
        <v>50</v>
      </c>
      <c r="L129" s="1109" t="s">
        <v>50</v>
      </c>
      <c r="M129" s="1109" t="s">
        <v>50</v>
      </c>
      <c r="N129" s="1109" t="s">
        <v>50</v>
      </c>
      <c r="O129" s="1109" t="s">
        <v>50</v>
      </c>
      <c r="P129" s="1109" t="s">
        <v>50</v>
      </c>
      <c r="Q129" s="1109" t="s">
        <v>747</v>
      </c>
      <c r="R129" s="1109" t="s">
        <v>50</v>
      </c>
      <c r="S129" s="1109" t="s">
        <v>746</v>
      </c>
      <c r="T129" s="1109" t="s">
        <v>50</v>
      </c>
      <c r="U129" s="1109" t="s">
        <v>50</v>
      </c>
      <c r="V129" s="1109" t="s">
        <v>50</v>
      </c>
      <c r="W129" s="1109" t="s">
        <v>50</v>
      </c>
      <c r="X129" s="1109" t="s">
        <v>747</v>
      </c>
      <c r="Y129" s="1109" t="s">
        <v>50</v>
      </c>
      <c r="Z129" s="1109" t="s">
        <v>50</v>
      </c>
      <c r="AA129" s="1109" t="s">
        <v>50</v>
      </c>
      <c r="AB129" s="1186" t="s">
        <v>50</v>
      </c>
      <c r="AC129" s="1109" t="s">
        <v>50</v>
      </c>
      <c r="AD129" s="1109" t="s">
        <v>50</v>
      </c>
      <c r="AE129" s="1109" t="s">
        <v>89</v>
      </c>
      <c r="AF129" s="1109" t="s">
        <v>50</v>
      </c>
      <c r="AG129" s="1109" t="s">
        <v>50</v>
      </c>
      <c r="AH129" s="1109" t="s">
        <v>50</v>
      </c>
      <c r="AI129" s="1109" t="s">
        <v>50</v>
      </c>
      <c r="AJ129" s="1109" t="s">
        <v>50</v>
      </c>
      <c r="AK129" s="888">
        <f t="shared" si="24"/>
        <v>24</v>
      </c>
      <c r="AL129" s="889">
        <f t="shared" si="25"/>
        <v>1</v>
      </c>
      <c r="AM129" s="888">
        <f t="shared" si="26"/>
        <v>0</v>
      </c>
      <c r="AN129" s="888">
        <f t="shared" si="27"/>
        <v>3</v>
      </c>
      <c r="AO129" s="888">
        <f t="shared" si="28"/>
        <v>0</v>
      </c>
      <c r="AP129" s="889">
        <f t="shared" si="29"/>
        <v>0</v>
      </c>
      <c r="AQ129" s="890">
        <f t="shared" si="30"/>
        <v>28</v>
      </c>
      <c r="AR129" s="891"/>
      <c r="AS129" s="137" t="str">
        <f>'Mã số nhân viên'!I111</f>
        <v>04078</v>
      </c>
      <c r="AT129" s="897">
        <f t="shared" si="31"/>
        <v>0</v>
      </c>
    </row>
    <row r="130" spans="1:46" ht="24.75" customHeight="1">
      <c r="A130" s="595">
        <v>116</v>
      </c>
      <c r="B130" s="896">
        <v>36</v>
      </c>
      <c r="C130" s="595" t="str">
        <f>VLOOKUP(D130,'Mã số nhân viên'!B112:I169,8,0)</f>
        <v>03622</v>
      </c>
      <c r="D130" s="938" t="s">
        <v>299</v>
      </c>
      <c r="E130" s="110"/>
      <c r="F130" s="1109" t="s">
        <v>50</v>
      </c>
      <c r="G130" s="1109" t="s">
        <v>50</v>
      </c>
      <c r="H130" s="1109" t="s">
        <v>50</v>
      </c>
      <c r="I130" s="1109" t="s">
        <v>50</v>
      </c>
      <c r="J130" s="1109" t="s">
        <v>747</v>
      </c>
      <c r="K130" s="1109" t="s">
        <v>50</v>
      </c>
      <c r="L130" s="1109" t="s">
        <v>50</v>
      </c>
      <c r="M130" s="1109" t="s">
        <v>50</v>
      </c>
      <c r="N130" s="1109" t="s">
        <v>50</v>
      </c>
      <c r="O130" s="1109" t="s">
        <v>50</v>
      </c>
      <c r="P130" s="1109" t="s">
        <v>50</v>
      </c>
      <c r="Q130" s="1109" t="s">
        <v>747</v>
      </c>
      <c r="R130" s="1109" t="s">
        <v>50</v>
      </c>
      <c r="S130" s="1109" t="s">
        <v>50</v>
      </c>
      <c r="T130" s="1109" t="s">
        <v>50</v>
      </c>
      <c r="U130" s="1109" t="s">
        <v>50</v>
      </c>
      <c r="V130" s="1109" t="s">
        <v>50</v>
      </c>
      <c r="W130" s="1109" t="s">
        <v>50</v>
      </c>
      <c r="X130" s="1109" t="s">
        <v>747</v>
      </c>
      <c r="Y130" s="1109" t="s">
        <v>50</v>
      </c>
      <c r="Z130" s="1109" t="s">
        <v>50</v>
      </c>
      <c r="AA130" s="1109" t="s">
        <v>50</v>
      </c>
      <c r="AB130" s="1186" t="s">
        <v>50</v>
      </c>
      <c r="AC130" s="1109" t="s">
        <v>50</v>
      </c>
      <c r="AD130" s="1109" t="s">
        <v>50</v>
      </c>
      <c r="AE130" s="1109" t="s">
        <v>89</v>
      </c>
      <c r="AF130" s="1109" t="s">
        <v>50</v>
      </c>
      <c r="AG130" s="1109" t="s">
        <v>50</v>
      </c>
      <c r="AH130" s="1109" t="s">
        <v>50</v>
      </c>
      <c r="AI130" s="1109" t="s">
        <v>50</v>
      </c>
      <c r="AJ130" s="1109" t="s">
        <v>50</v>
      </c>
      <c r="AK130" s="888">
        <f t="shared" si="24"/>
        <v>27</v>
      </c>
      <c r="AL130" s="889">
        <f t="shared" si="25"/>
        <v>1</v>
      </c>
      <c r="AM130" s="888">
        <f t="shared" si="26"/>
        <v>0</v>
      </c>
      <c r="AN130" s="888">
        <f t="shared" si="27"/>
        <v>3</v>
      </c>
      <c r="AO130" s="888">
        <f t="shared" si="28"/>
        <v>0</v>
      </c>
      <c r="AP130" s="889">
        <f t="shared" si="29"/>
        <v>0</v>
      </c>
      <c r="AQ130" s="890">
        <f t="shared" si="30"/>
        <v>31</v>
      </c>
      <c r="AR130" s="891"/>
      <c r="AS130" s="137" t="str">
        <f>'Mã số nhân viên'!I112</f>
        <v>03622</v>
      </c>
      <c r="AT130" s="897">
        <f t="shared" si="31"/>
        <v>0</v>
      </c>
    </row>
    <row r="131" spans="1:46" ht="24.75" customHeight="1">
      <c r="A131" s="595">
        <v>117</v>
      </c>
      <c r="B131" s="896">
        <v>37</v>
      </c>
      <c r="C131" s="595" t="str">
        <f>VLOOKUP(D131,'Mã số nhân viên'!B113:I170,8,0)</f>
        <v>03623</v>
      </c>
      <c r="D131" s="938" t="s">
        <v>224</v>
      </c>
      <c r="E131" s="110"/>
      <c r="F131" s="1109" t="s">
        <v>50</v>
      </c>
      <c r="G131" s="1109" t="s">
        <v>50</v>
      </c>
      <c r="H131" s="1109" t="s">
        <v>50</v>
      </c>
      <c r="I131" s="1109" t="s">
        <v>50</v>
      </c>
      <c r="J131" s="1109" t="s">
        <v>730</v>
      </c>
      <c r="K131" s="1109" t="s">
        <v>730</v>
      </c>
      <c r="L131" s="1109" t="s">
        <v>50</v>
      </c>
      <c r="M131" s="1109" t="s">
        <v>50</v>
      </c>
      <c r="N131" s="1109" t="s">
        <v>50</v>
      </c>
      <c r="O131" s="1109" t="s">
        <v>50</v>
      </c>
      <c r="P131" s="1109" t="s">
        <v>50</v>
      </c>
      <c r="Q131" s="1109" t="s">
        <v>747</v>
      </c>
      <c r="R131" s="1109" t="s">
        <v>50</v>
      </c>
      <c r="S131" s="1109" t="s">
        <v>50</v>
      </c>
      <c r="T131" s="1109" t="s">
        <v>50</v>
      </c>
      <c r="U131" s="1109" t="s">
        <v>50</v>
      </c>
      <c r="V131" s="1109" t="s">
        <v>50</v>
      </c>
      <c r="W131" s="1109" t="s">
        <v>50</v>
      </c>
      <c r="X131" s="1109" t="s">
        <v>747</v>
      </c>
      <c r="Y131" s="1109" t="s">
        <v>50</v>
      </c>
      <c r="Z131" s="1109" t="s">
        <v>50</v>
      </c>
      <c r="AA131" s="1109" t="s">
        <v>50</v>
      </c>
      <c r="AB131" s="1186" t="s">
        <v>50</v>
      </c>
      <c r="AC131" s="1109" t="s">
        <v>50</v>
      </c>
      <c r="AD131" s="1109" t="s">
        <v>50</v>
      </c>
      <c r="AE131" s="1109" t="s">
        <v>89</v>
      </c>
      <c r="AF131" s="1109" t="s">
        <v>50</v>
      </c>
      <c r="AG131" s="1109" t="s">
        <v>50</v>
      </c>
      <c r="AH131" s="1109" t="s">
        <v>50</v>
      </c>
      <c r="AI131" s="1109" t="s">
        <v>50</v>
      </c>
      <c r="AJ131" s="1109" t="s">
        <v>50</v>
      </c>
      <c r="AK131" s="888">
        <f t="shared" si="24"/>
        <v>26</v>
      </c>
      <c r="AL131" s="889">
        <f t="shared" si="25"/>
        <v>1</v>
      </c>
      <c r="AM131" s="888">
        <f t="shared" si="26"/>
        <v>0</v>
      </c>
      <c r="AN131" s="888">
        <f t="shared" si="27"/>
        <v>2</v>
      </c>
      <c r="AO131" s="888">
        <f t="shared" si="28"/>
        <v>0</v>
      </c>
      <c r="AP131" s="889">
        <f t="shared" si="29"/>
        <v>0</v>
      </c>
      <c r="AQ131" s="890">
        <f t="shared" si="30"/>
        <v>29</v>
      </c>
      <c r="AR131" s="891"/>
      <c r="AS131" s="137" t="str">
        <f>'Mã số nhân viên'!I113</f>
        <v>03623</v>
      </c>
      <c r="AT131" s="897">
        <f t="shared" si="31"/>
        <v>0</v>
      </c>
    </row>
    <row r="132" spans="1:46" ht="24.75" customHeight="1">
      <c r="A132" s="595">
        <v>118</v>
      </c>
      <c r="B132" s="896">
        <v>38</v>
      </c>
      <c r="C132" s="595" t="str">
        <f>VLOOKUP(D132,'Mã số nhân viên'!B114:I171,8,0)</f>
        <v>03532</v>
      </c>
      <c r="D132" s="938" t="s">
        <v>295</v>
      </c>
      <c r="E132" s="110"/>
      <c r="F132" s="1109" t="s">
        <v>50</v>
      </c>
      <c r="G132" s="1109" t="s">
        <v>50</v>
      </c>
      <c r="H132" s="1109" t="s">
        <v>50</v>
      </c>
      <c r="I132" s="1109" t="s">
        <v>50</v>
      </c>
      <c r="J132" s="1109" t="s">
        <v>747</v>
      </c>
      <c r="K132" s="1109" t="s">
        <v>50</v>
      </c>
      <c r="L132" s="1109" t="s">
        <v>50</v>
      </c>
      <c r="M132" s="1109" t="s">
        <v>50</v>
      </c>
      <c r="N132" s="1109" t="s">
        <v>50</v>
      </c>
      <c r="O132" s="1109" t="s">
        <v>50</v>
      </c>
      <c r="P132" s="1109" t="s">
        <v>50</v>
      </c>
      <c r="Q132" s="1109" t="s">
        <v>747</v>
      </c>
      <c r="R132" s="1109" t="s">
        <v>50</v>
      </c>
      <c r="S132" s="1109" t="s">
        <v>50</v>
      </c>
      <c r="T132" s="1109" t="s">
        <v>50</v>
      </c>
      <c r="U132" s="1109" t="s">
        <v>50</v>
      </c>
      <c r="V132" s="1109" t="s">
        <v>50</v>
      </c>
      <c r="W132" s="1109" t="s">
        <v>50</v>
      </c>
      <c r="X132" s="1109" t="s">
        <v>747</v>
      </c>
      <c r="Y132" s="1109" t="s">
        <v>50</v>
      </c>
      <c r="Z132" s="1109" t="s">
        <v>50</v>
      </c>
      <c r="AA132" s="1109" t="s">
        <v>50</v>
      </c>
      <c r="AB132" s="1186" t="s">
        <v>50</v>
      </c>
      <c r="AC132" s="1109" t="s">
        <v>50</v>
      </c>
      <c r="AD132" s="1109" t="s">
        <v>50</v>
      </c>
      <c r="AE132" s="1109" t="s">
        <v>89</v>
      </c>
      <c r="AF132" s="1109" t="s">
        <v>50</v>
      </c>
      <c r="AG132" s="1109" t="s">
        <v>50</v>
      </c>
      <c r="AH132" s="1109" t="s">
        <v>50</v>
      </c>
      <c r="AI132" s="1109" t="s">
        <v>50</v>
      </c>
      <c r="AJ132" s="1109" t="s">
        <v>50</v>
      </c>
      <c r="AK132" s="888">
        <f t="shared" si="24"/>
        <v>27</v>
      </c>
      <c r="AL132" s="889">
        <f t="shared" si="25"/>
        <v>1</v>
      </c>
      <c r="AM132" s="888">
        <f t="shared" si="26"/>
        <v>0</v>
      </c>
      <c r="AN132" s="888">
        <f t="shared" si="27"/>
        <v>3</v>
      </c>
      <c r="AO132" s="888">
        <f t="shared" si="28"/>
        <v>0</v>
      </c>
      <c r="AP132" s="889">
        <f t="shared" si="29"/>
        <v>0</v>
      </c>
      <c r="AQ132" s="890">
        <f t="shared" si="30"/>
        <v>31</v>
      </c>
      <c r="AR132" s="891"/>
      <c r="AS132" s="137" t="str">
        <f>'Mã số nhân viên'!I114</f>
        <v>03532</v>
      </c>
      <c r="AT132" s="897">
        <f t="shared" si="31"/>
        <v>0</v>
      </c>
    </row>
    <row r="133" spans="1:46" ht="24.75" customHeight="1">
      <c r="A133" s="595">
        <v>119</v>
      </c>
      <c r="B133" s="896">
        <v>39</v>
      </c>
      <c r="C133" s="595" t="str">
        <f>VLOOKUP(D133,'Mã số nhân viên'!B115:I172,8,0)</f>
        <v>03625</v>
      </c>
      <c r="D133" s="938" t="s">
        <v>225</v>
      </c>
      <c r="E133" s="110"/>
      <c r="F133" s="1109" t="s">
        <v>50</v>
      </c>
      <c r="G133" s="1109" t="s">
        <v>50</v>
      </c>
      <c r="H133" s="1109" t="s">
        <v>50</v>
      </c>
      <c r="I133" s="1109" t="s">
        <v>50</v>
      </c>
      <c r="J133" s="1109" t="s">
        <v>747</v>
      </c>
      <c r="K133" s="1109" t="s">
        <v>50</v>
      </c>
      <c r="L133" s="1109" t="s">
        <v>50</v>
      </c>
      <c r="M133" s="1109" t="s">
        <v>50</v>
      </c>
      <c r="N133" s="1109" t="s">
        <v>50</v>
      </c>
      <c r="O133" s="1109" t="s">
        <v>50</v>
      </c>
      <c r="P133" s="1109" t="s">
        <v>50</v>
      </c>
      <c r="Q133" s="1109" t="s">
        <v>747</v>
      </c>
      <c r="R133" s="1109" t="s">
        <v>50</v>
      </c>
      <c r="S133" s="1109" t="s">
        <v>50</v>
      </c>
      <c r="T133" s="1109" t="s">
        <v>50</v>
      </c>
      <c r="U133" s="1109" t="s">
        <v>50</v>
      </c>
      <c r="V133" s="1109" t="s">
        <v>50</v>
      </c>
      <c r="W133" s="1109" t="s">
        <v>50</v>
      </c>
      <c r="X133" s="1109" t="s">
        <v>747</v>
      </c>
      <c r="Y133" s="1109" t="s">
        <v>50</v>
      </c>
      <c r="Z133" s="1109" t="s">
        <v>50</v>
      </c>
      <c r="AA133" s="1109" t="s">
        <v>50</v>
      </c>
      <c r="AB133" s="1186" t="s">
        <v>50</v>
      </c>
      <c r="AC133" s="1109" t="s">
        <v>50</v>
      </c>
      <c r="AD133" s="1109" t="s">
        <v>50</v>
      </c>
      <c r="AE133" s="1109" t="s">
        <v>89</v>
      </c>
      <c r="AF133" s="1109" t="s">
        <v>50</v>
      </c>
      <c r="AG133" s="1109" t="s">
        <v>50</v>
      </c>
      <c r="AH133" s="1109" t="s">
        <v>50</v>
      </c>
      <c r="AI133" s="1109" t="s">
        <v>50</v>
      </c>
      <c r="AJ133" s="1109" t="s">
        <v>50</v>
      </c>
      <c r="AK133" s="888">
        <f t="shared" si="24"/>
        <v>27</v>
      </c>
      <c r="AL133" s="889">
        <f t="shared" si="25"/>
        <v>1</v>
      </c>
      <c r="AM133" s="888">
        <f t="shared" si="26"/>
        <v>0</v>
      </c>
      <c r="AN133" s="888">
        <f t="shared" si="27"/>
        <v>3</v>
      </c>
      <c r="AO133" s="888">
        <f t="shared" si="28"/>
        <v>0</v>
      </c>
      <c r="AP133" s="889">
        <f t="shared" si="29"/>
        <v>0</v>
      </c>
      <c r="AQ133" s="890">
        <f t="shared" si="30"/>
        <v>31</v>
      </c>
      <c r="AR133" s="891"/>
      <c r="AS133" s="137" t="str">
        <f>'Mã số nhân viên'!I115</f>
        <v>03625</v>
      </c>
      <c r="AT133" s="897">
        <f t="shared" si="31"/>
        <v>0</v>
      </c>
    </row>
    <row r="134" spans="1:46" ht="24.75" customHeight="1">
      <c r="A134" s="595">
        <v>120</v>
      </c>
      <c r="B134" s="896">
        <v>40</v>
      </c>
      <c r="C134" s="595" t="str">
        <f>VLOOKUP(D134,'Mã số nhân viên'!B116:I173,8,0)</f>
        <v>03587</v>
      </c>
      <c r="D134" s="936" t="s">
        <v>169</v>
      </c>
      <c r="E134" s="110"/>
      <c r="F134" s="1109" t="s">
        <v>50</v>
      </c>
      <c r="G134" s="1109" t="s">
        <v>50</v>
      </c>
      <c r="H134" s="1109" t="s">
        <v>50</v>
      </c>
      <c r="I134" s="1109" t="s">
        <v>50</v>
      </c>
      <c r="J134" s="1109" t="s">
        <v>747</v>
      </c>
      <c r="K134" s="1109" t="s">
        <v>50</v>
      </c>
      <c r="L134" s="1109" t="s">
        <v>50</v>
      </c>
      <c r="M134" s="1109" t="s">
        <v>50</v>
      </c>
      <c r="N134" s="1109" t="s">
        <v>50</v>
      </c>
      <c r="O134" s="1109" t="s">
        <v>50</v>
      </c>
      <c r="P134" s="1109" t="s">
        <v>50</v>
      </c>
      <c r="Q134" s="1109" t="s">
        <v>747</v>
      </c>
      <c r="R134" s="1109" t="s">
        <v>50</v>
      </c>
      <c r="S134" s="1109" t="s">
        <v>50</v>
      </c>
      <c r="T134" s="1109" t="s">
        <v>50</v>
      </c>
      <c r="U134" s="1109" t="s">
        <v>50</v>
      </c>
      <c r="V134" s="1109" t="s">
        <v>50</v>
      </c>
      <c r="W134" s="1109" t="s">
        <v>50</v>
      </c>
      <c r="X134" s="1109" t="s">
        <v>747</v>
      </c>
      <c r="Y134" s="1109" t="s">
        <v>50</v>
      </c>
      <c r="Z134" s="1109" t="s">
        <v>50</v>
      </c>
      <c r="AA134" s="1109" t="s">
        <v>50</v>
      </c>
      <c r="AB134" s="1186" t="s">
        <v>50</v>
      </c>
      <c r="AC134" s="1109" t="s">
        <v>50</v>
      </c>
      <c r="AD134" s="1109" t="s">
        <v>50</v>
      </c>
      <c r="AE134" s="1109" t="s">
        <v>89</v>
      </c>
      <c r="AF134" s="1109" t="s">
        <v>50</v>
      </c>
      <c r="AG134" s="1109" t="s">
        <v>50</v>
      </c>
      <c r="AH134" s="1109" t="s">
        <v>50</v>
      </c>
      <c r="AI134" s="1109" t="s">
        <v>50</v>
      </c>
      <c r="AJ134" s="1109" t="s">
        <v>50</v>
      </c>
      <c r="AK134" s="888">
        <f t="shared" si="24"/>
        <v>27</v>
      </c>
      <c r="AL134" s="889">
        <f t="shared" si="25"/>
        <v>1</v>
      </c>
      <c r="AM134" s="888">
        <f t="shared" si="26"/>
        <v>0</v>
      </c>
      <c r="AN134" s="888">
        <f t="shared" si="27"/>
        <v>3</v>
      </c>
      <c r="AO134" s="888">
        <f t="shared" si="28"/>
        <v>0</v>
      </c>
      <c r="AP134" s="889">
        <f t="shared" si="29"/>
        <v>0</v>
      </c>
      <c r="AQ134" s="890">
        <f t="shared" si="30"/>
        <v>31</v>
      </c>
      <c r="AR134" s="891"/>
      <c r="AS134" s="137" t="str">
        <f>'Mã số nhân viên'!I116</f>
        <v>03587</v>
      </c>
      <c r="AT134" s="897">
        <f t="shared" si="31"/>
        <v>0</v>
      </c>
    </row>
    <row r="135" spans="1:46" ht="24.75" customHeight="1">
      <c r="A135" s="595">
        <v>121</v>
      </c>
      <c r="B135" s="896">
        <v>41</v>
      </c>
      <c r="C135" s="595" t="str">
        <f>VLOOKUP(D135,'Mã số nhân viên'!B117:I174,8,0)</f>
        <v>04079</v>
      </c>
      <c r="D135" s="911" t="s">
        <v>490</v>
      </c>
      <c r="E135" s="110"/>
      <c r="F135" s="1109" t="s">
        <v>50</v>
      </c>
      <c r="G135" s="1109" t="s">
        <v>50</v>
      </c>
      <c r="H135" s="1109" t="s">
        <v>50</v>
      </c>
      <c r="I135" s="1109" t="s">
        <v>50</v>
      </c>
      <c r="J135" s="1109" t="s">
        <v>747</v>
      </c>
      <c r="K135" s="1109" t="s">
        <v>50</v>
      </c>
      <c r="L135" s="1109" t="s">
        <v>50</v>
      </c>
      <c r="M135" s="1109" t="s">
        <v>50</v>
      </c>
      <c r="N135" s="1109" t="s">
        <v>50</v>
      </c>
      <c r="O135" s="1109" t="s">
        <v>50</v>
      </c>
      <c r="P135" s="1109" t="s">
        <v>50</v>
      </c>
      <c r="Q135" s="1109" t="s">
        <v>747</v>
      </c>
      <c r="R135" s="1109" t="s">
        <v>50</v>
      </c>
      <c r="S135" s="1109" t="s">
        <v>50</v>
      </c>
      <c r="T135" s="1109" t="s">
        <v>50</v>
      </c>
      <c r="U135" s="1109" t="s">
        <v>50</v>
      </c>
      <c r="V135" s="1109" t="s">
        <v>50</v>
      </c>
      <c r="W135" s="1109" t="s">
        <v>50</v>
      </c>
      <c r="X135" s="1109" t="s">
        <v>747</v>
      </c>
      <c r="Y135" s="1109" t="s">
        <v>50</v>
      </c>
      <c r="Z135" s="1109" t="s">
        <v>50</v>
      </c>
      <c r="AA135" s="1109" t="s">
        <v>50</v>
      </c>
      <c r="AB135" s="1186" t="s">
        <v>50</v>
      </c>
      <c r="AC135" s="1109" t="s">
        <v>50</v>
      </c>
      <c r="AD135" s="1109" t="s">
        <v>50</v>
      </c>
      <c r="AE135" s="1109" t="s">
        <v>89</v>
      </c>
      <c r="AF135" s="1109" t="s">
        <v>50</v>
      </c>
      <c r="AG135" s="1109" t="s">
        <v>50</v>
      </c>
      <c r="AH135" s="1109" t="s">
        <v>50</v>
      </c>
      <c r="AI135" s="1109" t="s">
        <v>50</v>
      </c>
      <c r="AJ135" s="1109" t="s">
        <v>50</v>
      </c>
      <c r="AK135" s="888">
        <f t="shared" si="24"/>
        <v>27</v>
      </c>
      <c r="AL135" s="889">
        <f t="shared" si="25"/>
        <v>1</v>
      </c>
      <c r="AM135" s="888">
        <f t="shared" si="26"/>
        <v>0</v>
      </c>
      <c r="AN135" s="888">
        <f t="shared" si="27"/>
        <v>3</v>
      </c>
      <c r="AO135" s="888">
        <f t="shared" si="28"/>
        <v>0</v>
      </c>
      <c r="AP135" s="889">
        <f t="shared" si="29"/>
        <v>0</v>
      </c>
      <c r="AQ135" s="890">
        <f t="shared" si="30"/>
        <v>31</v>
      </c>
      <c r="AR135" s="891"/>
      <c r="AS135" s="137" t="str">
        <f>'Mã số nhân viên'!I117</f>
        <v>04079</v>
      </c>
      <c r="AT135" s="897">
        <f t="shared" si="31"/>
        <v>0</v>
      </c>
    </row>
    <row r="136" spans="1:46" ht="24.75" customHeight="1">
      <c r="A136" s="595">
        <v>122</v>
      </c>
      <c r="B136" s="896">
        <v>42</v>
      </c>
      <c r="C136" s="595" t="str">
        <f>VLOOKUP(D136,'Mã số nhân viên'!B118:I175,8,0)</f>
        <v>03628</v>
      </c>
      <c r="D136" s="938" t="s">
        <v>81</v>
      </c>
      <c r="E136" s="110"/>
      <c r="F136" s="1109" t="s">
        <v>50</v>
      </c>
      <c r="G136" s="1109" t="s">
        <v>50</v>
      </c>
      <c r="H136" s="1109" t="s">
        <v>50</v>
      </c>
      <c r="I136" s="1109" t="s">
        <v>50</v>
      </c>
      <c r="J136" s="1109" t="s">
        <v>747</v>
      </c>
      <c r="K136" s="1109" t="s">
        <v>50</v>
      </c>
      <c r="L136" s="1109" t="s">
        <v>50</v>
      </c>
      <c r="M136" s="1109" t="s">
        <v>50</v>
      </c>
      <c r="N136" s="1109" t="s">
        <v>50</v>
      </c>
      <c r="O136" s="1109" t="s">
        <v>730</v>
      </c>
      <c r="P136" s="1109"/>
      <c r="Q136" s="1109" t="s">
        <v>746</v>
      </c>
      <c r="R136" s="1109" t="s">
        <v>746</v>
      </c>
      <c r="S136" s="1109" t="s">
        <v>50</v>
      </c>
      <c r="T136" s="1109" t="s">
        <v>50</v>
      </c>
      <c r="U136" s="1109" t="s">
        <v>50</v>
      </c>
      <c r="V136" s="1109" t="s">
        <v>50</v>
      </c>
      <c r="W136" s="1109" t="s">
        <v>50</v>
      </c>
      <c r="X136" s="1109" t="s">
        <v>747</v>
      </c>
      <c r="Y136" s="1109" t="s">
        <v>50</v>
      </c>
      <c r="Z136" s="1109" t="s">
        <v>50</v>
      </c>
      <c r="AA136" s="1109" t="s">
        <v>50</v>
      </c>
      <c r="AB136" s="1186" t="s">
        <v>50</v>
      </c>
      <c r="AC136" s="1109" t="s">
        <v>50</v>
      </c>
      <c r="AD136" s="1109" t="s">
        <v>50</v>
      </c>
      <c r="AE136" s="1109" t="s">
        <v>89</v>
      </c>
      <c r="AF136" s="1109" t="s">
        <v>50</v>
      </c>
      <c r="AG136" s="1109" t="s">
        <v>50</v>
      </c>
      <c r="AH136" s="1109" t="s">
        <v>50</v>
      </c>
      <c r="AI136" s="1109" t="s">
        <v>50</v>
      </c>
      <c r="AJ136" s="1109" t="s">
        <v>50</v>
      </c>
      <c r="AK136" s="888">
        <f t="shared" si="24"/>
        <v>24</v>
      </c>
      <c r="AL136" s="889">
        <f t="shared" si="25"/>
        <v>1</v>
      </c>
      <c r="AM136" s="888">
        <f t="shared" si="26"/>
        <v>0</v>
      </c>
      <c r="AN136" s="888">
        <f t="shared" si="27"/>
        <v>2</v>
      </c>
      <c r="AO136" s="888">
        <f t="shared" si="28"/>
        <v>0</v>
      </c>
      <c r="AP136" s="889">
        <f t="shared" si="29"/>
        <v>0</v>
      </c>
      <c r="AQ136" s="890">
        <f t="shared" si="30"/>
        <v>27</v>
      </c>
      <c r="AR136" s="891"/>
      <c r="AS136" s="137" t="str">
        <f>'Mã số nhân viên'!I118</f>
        <v>03628</v>
      </c>
      <c r="AT136" s="897">
        <f t="shared" si="31"/>
        <v>0</v>
      </c>
    </row>
    <row r="137" spans="1:46" ht="24.75" customHeight="1">
      <c r="A137" s="595">
        <v>123</v>
      </c>
      <c r="B137" s="896">
        <v>43</v>
      </c>
      <c r="C137" s="595" t="str">
        <f>VLOOKUP(D137,'Mã số nhân viên'!B119:I176,8,0)</f>
        <v>03629</v>
      </c>
      <c r="D137" s="938" t="s">
        <v>304</v>
      </c>
      <c r="E137" s="110"/>
      <c r="F137" s="1109" t="s">
        <v>50</v>
      </c>
      <c r="G137" s="1109" t="s">
        <v>50</v>
      </c>
      <c r="H137" s="1109" t="s">
        <v>50</v>
      </c>
      <c r="I137" s="1109" t="s">
        <v>50</v>
      </c>
      <c r="J137" s="1109" t="s">
        <v>747</v>
      </c>
      <c r="K137" s="1109" t="s">
        <v>50</v>
      </c>
      <c r="L137" s="1109" t="s">
        <v>730</v>
      </c>
      <c r="M137" s="1109" t="s">
        <v>50</v>
      </c>
      <c r="N137" s="1109" t="s">
        <v>50</v>
      </c>
      <c r="O137" s="1109" t="s">
        <v>50</v>
      </c>
      <c r="P137" s="1109" t="s">
        <v>50</v>
      </c>
      <c r="Q137" s="1109" t="s">
        <v>747</v>
      </c>
      <c r="R137" s="1109" t="s">
        <v>50</v>
      </c>
      <c r="S137" s="1109" t="s">
        <v>50</v>
      </c>
      <c r="T137" s="1109" t="s">
        <v>50</v>
      </c>
      <c r="U137" s="1109" t="s">
        <v>50</v>
      </c>
      <c r="V137" s="1109" t="s">
        <v>50</v>
      </c>
      <c r="W137" s="1109" t="s">
        <v>50</v>
      </c>
      <c r="X137" s="1109" t="s">
        <v>747</v>
      </c>
      <c r="Y137" s="1109" t="s">
        <v>50</v>
      </c>
      <c r="Z137" s="1109" t="s">
        <v>50</v>
      </c>
      <c r="AA137" s="1109" t="s">
        <v>50</v>
      </c>
      <c r="AB137" s="1186" t="s">
        <v>50</v>
      </c>
      <c r="AC137" s="1109" t="s">
        <v>50</v>
      </c>
      <c r="AD137" s="1109" t="s">
        <v>50</v>
      </c>
      <c r="AE137" s="1109" t="s">
        <v>89</v>
      </c>
      <c r="AF137" s="1109" t="s">
        <v>50</v>
      </c>
      <c r="AG137" s="1109" t="s">
        <v>50</v>
      </c>
      <c r="AH137" s="1109" t="s">
        <v>50</v>
      </c>
      <c r="AI137" s="1109" t="s">
        <v>50</v>
      </c>
      <c r="AJ137" s="1109" t="s">
        <v>50</v>
      </c>
      <c r="AK137" s="888">
        <f t="shared" si="24"/>
        <v>26</v>
      </c>
      <c r="AL137" s="889">
        <f t="shared" si="25"/>
        <v>1</v>
      </c>
      <c r="AM137" s="888">
        <f t="shared" si="26"/>
        <v>0</v>
      </c>
      <c r="AN137" s="888">
        <f t="shared" si="27"/>
        <v>3</v>
      </c>
      <c r="AO137" s="888">
        <f t="shared" si="28"/>
        <v>0</v>
      </c>
      <c r="AP137" s="889">
        <f t="shared" si="29"/>
        <v>0</v>
      </c>
      <c r="AQ137" s="890">
        <f t="shared" si="30"/>
        <v>30</v>
      </c>
      <c r="AR137" s="891"/>
      <c r="AS137" s="137" t="str">
        <f>'Mã số nhân viên'!I119</f>
        <v>03629</v>
      </c>
      <c r="AT137" s="897">
        <f t="shared" si="31"/>
        <v>0</v>
      </c>
    </row>
    <row r="138" spans="1:46" ht="24.75" customHeight="1">
      <c r="A138" s="595">
        <v>124</v>
      </c>
      <c r="B138" s="896">
        <v>44</v>
      </c>
      <c r="C138" s="595" t="str">
        <f>VLOOKUP(D138,'Mã số nhân viên'!B120:I177,8,0)</f>
        <v>03630</v>
      </c>
      <c r="D138" s="938" t="s">
        <v>175</v>
      </c>
      <c r="E138" s="110"/>
      <c r="F138" s="1109" t="s">
        <v>50</v>
      </c>
      <c r="G138" s="1109" t="s">
        <v>50</v>
      </c>
      <c r="H138" s="1109" t="s">
        <v>50</v>
      </c>
      <c r="I138" s="1109" t="s">
        <v>50</v>
      </c>
      <c r="J138" s="1109" t="s">
        <v>747</v>
      </c>
      <c r="K138" s="1109" t="s">
        <v>50</v>
      </c>
      <c r="L138" s="1109" t="s">
        <v>50</v>
      </c>
      <c r="M138" s="1109" t="s">
        <v>50</v>
      </c>
      <c r="N138" s="1109" t="s">
        <v>50</v>
      </c>
      <c r="O138" s="1109" t="s">
        <v>50</v>
      </c>
      <c r="P138" s="1109"/>
      <c r="Q138" s="1109" t="s">
        <v>746</v>
      </c>
      <c r="R138" s="1109" t="s">
        <v>746</v>
      </c>
      <c r="S138" s="1109" t="s">
        <v>50</v>
      </c>
      <c r="T138" s="1109" t="s">
        <v>50</v>
      </c>
      <c r="U138" s="1109" t="s">
        <v>50</v>
      </c>
      <c r="V138" s="1109" t="s">
        <v>50</v>
      </c>
      <c r="W138" s="1109" t="s">
        <v>50</v>
      </c>
      <c r="X138" s="1109" t="s">
        <v>747</v>
      </c>
      <c r="Y138" s="1109" t="s">
        <v>50</v>
      </c>
      <c r="Z138" s="1109" t="s">
        <v>50</v>
      </c>
      <c r="AA138" s="1109" t="s">
        <v>50</v>
      </c>
      <c r="AB138" s="1186" t="s">
        <v>50</v>
      </c>
      <c r="AC138" s="1109" t="s">
        <v>50</v>
      </c>
      <c r="AD138" s="1109" t="s">
        <v>50</v>
      </c>
      <c r="AE138" s="1109" t="s">
        <v>89</v>
      </c>
      <c r="AF138" s="1109" t="s">
        <v>50</v>
      </c>
      <c r="AG138" s="1109" t="s">
        <v>50</v>
      </c>
      <c r="AH138" s="1109" t="s">
        <v>50</v>
      </c>
      <c r="AI138" s="1109" t="s">
        <v>50</v>
      </c>
      <c r="AJ138" s="1109" t="s">
        <v>50</v>
      </c>
      <c r="AK138" s="888">
        <f t="shared" si="24"/>
        <v>25</v>
      </c>
      <c r="AL138" s="889">
        <f t="shared" si="25"/>
        <v>1</v>
      </c>
      <c r="AM138" s="888">
        <f t="shared" si="26"/>
        <v>0</v>
      </c>
      <c r="AN138" s="888">
        <f t="shared" si="27"/>
        <v>2</v>
      </c>
      <c r="AO138" s="888">
        <f t="shared" si="28"/>
        <v>0</v>
      </c>
      <c r="AP138" s="889">
        <f t="shared" si="29"/>
        <v>0</v>
      </c>
      <c r="AQ138" s="890">
        <f t="shared" si="30"/>
        <v>28</v>
      </c>
      <c r="AR138" s="891"/>
      <c r="AS138" s="137" t="str">
        <f>'Mã số nhân viên'!I120</f>
        <v>03630</v>
      </c>
      <c r="AT138" s="897">
        <f t="shared" si="31"/>
        <v>0</v>
      </c>
    </row>
    <row r="139" spans="1:46" ht="24.75" customHeight="1">
      <c r="A139" s="595">
        <v>125</v>
      </c>
      <c r="B139" s="896">
        <v>45</v>
      </c>
      <c r="C139" s="595" t="str">
        <f>VLOOKUP(D139,'Mã số nhân viên'!B121:I178,8,0)</f>
        <v>03631</v>
      </c>
      <c r="D139" s="938" t="s">
        <v>300</v>
      </c>
      <c r="E139" s="110"/>
      <c r="F139" s="1109" t="s">
        <v>50</v>
      </c>
      <c r="G139" s="1109" t="s">
        <v>50</v>
      </c>
      <c r="H139" s="1109" t="s">
        <v>50</v>
      </c>
      <c r="I139" s="1109" t="s">
        <v>50</v>
      </c>
      <c r="J139" s="1109" t="s">
        <v>747</v>
      </c>
      <c r="K139" s="1109" t="s">
        <v>50</v>
      </c>
      <c r="L139" s="1109" t="s">
        <v>730</v>
      </c>
      <c r="M139" s="1109" t="s">
        <v>50</v>
      </c>
      <c r="N139" s="1109" t="s">
        <v>50</v>
      </c>
      <c r="O139" s="1109" t="s">
        <v>50</v>
      </c>
      <c r="P139" s="1109" t="s">
        <v>50</v>
      </c>
      <c r="Q139" s="1109" t="s">
        <v>747</v>
      </c>
      <c r="R139" s="1109" t="s">
        <v>50</v>
      </c>
      <c r="S139" s="1109" t="s">
        <v>50</v>
      </c>
      <c r="T139" s="1109" t="s">
        <v>50</v>
      </c>
      <c r="U139" s="1109" t="s">
        <v>50</v>
      </c>
      <c r="V139" s="1109" t="s">
        <v>50</v>
      </c>
      <c r="W139" s="1109" t="s">
        <v>50</v>
      </c>
      <c r="X139" s="1109" t="s">
        <v>747</v>
      </c>
      <c r="Y139" s="1109" t="s">
        <v>50</v>
      </c>
      <c r="Z139" s="1109" t="s">
        <v>50</v>
      </c>
      <c r="AA139" s="1109" t="s">
        <v>50</v>
      </c>
      <c r="AB139" s="1186" t="s">
        <v>50</v>
      </c>
      <c r="AC139" s="1109" t="s">
        <v>50</v>
      </c>
      <c r="AD139" s="1109" t="s">
        <v>50</v>
      </c>
      <c r="AE139" s="1109" t="s">
        <v>89</v>
      </c>
      <c r="AF139" s="1109" t="s">
        <v>50</v>
      </c>
      <c r="AG139" s="1109" t="s">
        <v>50</v>
      </c>
      <c r="AH139" s="1109" t="s">
        <v>50</v>
      </c>
      <c r="AI139" s="1109" t="s">
        <v>50</v>
      </c>
      <c r="AJ139" s="1109" t="s">
        <v>50</v>
      </c>
      <c r="AK139" s="888">
        <f t="shared" si="24"/>
        <v>26</v>
      </c>
      <c r="AL139" s="889">
        <f t="shared" si="25"/>
        <v>1</v>
      </c>
      <c r="AM139" s="888">
        <f t="shared" si="26"/>
        <v>0</v>
      </c>
      <c r="AN139" s="888">
        <f t="shared" si="27"/>
        <v>3</v>
      </c>
      <c r="AO139" s="888">
        <f t="shared" si="28"/>
        <v>0</v>
      </c>
      <c r="AP139" s="889">
        <f t="shared" si="29"/>
        <v>0</v>
      </c>
      <c r="AQ139" s="890">
        <f t="shared" si="30"/>
        <v>30</v>
      </c>
      <c r="AR139" s="891"/>
      <c r="AS139" s="137" t="str">
        <f>'Mã số nhân viên'!I121</f>
        <v>03631</v>
      </c>
      <c r="AT139" s="897">
        <f t="shared" si="31"/>
        <v>0</v>
      </c>
    </row>
    <row r="140" spans="1:46" ht="24.75" customHeight="1">
      <c r="A140" s="595">
        <v>126</v>
      </c>
      <c r="B140" s="896">
        <v>46</v>
      </c>
      <c r="C140" s="595" t="str">
        <f>VLOOKUP(D140,'Mã số nhân viên'!B122:I179,8,0)</f>
        <v>03632</v>
      </c>
      <c r="D140" s="938" t="s">
        <v>226</v>
      </c>
      <c r="E140" s="110"/>
      <c r="F140" s="1109" t="s">
        <v>50</v>
      </c>
      <c r="G140" s="1109" t="s">
        <v>50</v>
      </c>
      <c r="H140" s="1109" t="s">
        <v>50</v>
      </c>
      <c r="I140" s="1109" t="s">
        <v>50</v>
      </c>
      <c r="J140" s="1109" t="s">
        <v>747</v>
      </c>
      <c r="K140" s="1109" t="s">
        <v>50</v>
      </c>
      <c r="L140" s="1109" t="s">
        <v>50</v>
      </c>
      <c r="M140" s="1109" t="s">
        <v>50</v>
      </c>
      <c r="N140" s="1109" t="s">
        <v>50</v>
      </c>
      <c r="O140" s="1109" t="s">
        <v>50</v>
      </c>
      <c r="P140" s="1109" t="s">
        <v>50</v>
      </c>
      <c r="Q140" s="1109" t="s">
        <v>747</v>
      </c>
      <c r="R140" s="1109" t="s">
        <v>746</v>
      </c>
      <c r="S140" s="1109" t="s">
        <v>746</v>
      </c>
      <c r="T140" s="1109" t="s">
        <v>50</v>
      </c>
      <c r="U140" s="1109" t="s">
        <v>50</v>
      </c>
      <c r="V140" s="1109" t="s">
        <v>50</v>
      </c>
      <c r="W140" s="1109" t="s">
        <v>50</v>
      </c>
      <c r="X140" s="1109" t="s">
        <v>747</v>
      </c>
      <c r="Y140" s="1109" t="s">
        <v>50</v>
      </c>
      <c r="Z140" s="1109" t="s">
        <v>50</v>
      </c>
      <c r="AA140" s="1109" t="s">
        <v>50</v>
      </c>
      <c r="AB140" s="1186" t="s">
        <v>50</v>
      </c>
      <c r="AC140" s="1109" t="s">
        <v>50</v>
      </c>
      <c r="AD140" s="1109" t="s">
        <v>50</v>
      </c>
      <c r="AE140" s="1109" t="s">
        <v>89</v>
      </c>
      <c r="AF140" s="1109" t="s">
        <v>50</v>
      </c>
      <c r="AG140" s="1109" t="s">
        <v>50</v>
      </c>
      <c r="AH140" s="1109" t="s">
        <v>50</v>
      </c>
      <c r="AI140" s="1109" t="s">
        <v>50</v>
      </c>
      <c r="AJ140" s="1109" t="s">
        <v>50</v>
      </c>
      <c r="AK140" s="888">
        <f t="shared" si="24"/>
        <v>25</v>
      </c>
      <c r="AL140" s="889">
        <f t="shared" si="25"/>
        <v>1</v>
      </c>
      <c r="AM140" s="888">
        <f t="shared" si="26"/>
        <v>0</v>
      </c>
      <c r="AN140" s="888">
        <f t="shared" si="27"/>
        <v>3</v>
      </c>
      <c r="AO140" s="888">
        <f t="shared" si="28"/>
        <v>0</v>
      </c>
      <c r="AP140" s="889">
        <f t="shared" si="29"/>
        <v>0</v>
      </c>
      <c r="AQ140" s="890">
        <f t="shared" si="30"/>
        <v>29</v>
      </c>
      <c r="AR140" s="891"/>
      <c r="AS140" s="137" t="str">
        <f>'Mã số nhân viên'!I122</f>
        <v>03632</v>
      </c>
      <c r="AT140" s="897">
        <f t="shared" si="31"/>
        <v>0</v>
      </c>
    </row>
    <row r="141" spans="1:46" ht="24.75" customHeight="1">
      <c r="A141" s="595">
        <v>127</v>
      </c>
      <c r="B141" s="896">
        <v>47</v>
      </c>
      <c r="C141" s="595" t="str">
        <f>VLOOKUP(D141,'Mã số nhân viên'!B123:I180,8,0)</f>
        <v>04080</v>
      </c>
      <c r="D141" s="938" t="s">
        <v>491</v>
      </c>
      <c r="E141" s="110"/>
      <c r="F141" s="1109" t="s">
        <v>50</v>
      </c>
      <c r="G141" s="1109" t="s">
        <v>50</v>
      </c>
      <c r="H141" s="1109" t="s">
        <v>50</v>
      </c>
      <c r="I141" s="1109" t="s">
        <v>50</v>
      </c>
      <c r="J141" s="1109" t="s">
        <v>747</v>
      </c>
      <c r="K141" s="1109" t="s">
        <v>50</v>
      </c>
      <c r="L141" s="1109" t="s">
        <v>50</v>
      </c>
      <c r="M141" s="1109" t="s">
        <v>50</v>
      </c>
      <c r="N141" s="1109" t="s">
        <v>50</v>
      </c>
      <c r="O141" s="1109" t="s">
        <v>50</v>
      </c>
      <c r="P141" s="1109" t="s">
        <v>50</v>
      </c>
      <c r="Q141" s="1109" t="s">
        <v>747</v>
      </c>
      <c r="R141" s="1109" t="s">
        <v>50</v>
      </c>
      <c r="S141" s="1109" t="s">
        <v>50</v>
      </c>
      <c r="T141" s="1109" t="s">
        <v>50</v>
      </c>
      <c r="U141" s="1109" t="s">
        <v>50</v>
      </c>
      <c r="V141" s="1109" t="s">
        <v>50</v>
      </c>
      <c r="W141" s="1109" t="s">
        <v>50</v>
      </c>
      <c r="X141" s="1109" t="s">
        <v>747</v>
      </c>
      <c r="Y141" s="1109" t="s">
        <v>50</v>
      </c>
      <c r="Z141" s="1109" t="s">
        <v>50</v>
      </c>
      <c r="AA141" s="1109" t="s">
        <v>50</v>
      </c>
      <c r="AB141" s="1186" t="s">
        <v>50</v>
      </c>
      <c r="AC141" s="1109" t="s">
        <v>50</v>
      </c>
      <c r="AD141" s="1109" t="s">
        <v>50</v>
      </c>
      <c r="AE141" s="1109" t="s">
        <v>89</v>
      </c>
      <c r="AF141" s="1109" t="s">
        <v>50</v>
      </c>
      <c r="AG141" s="1109" t="s">
        <v>50</v>
      </c>
      <c r="AH141" s="1109" t="s">
        <v>50</v>
      </c>
      <c r="AI141" s="1109" t="s">
        <v>50</v>
      </c>
      <c r="AJ141" s="1109" t="s">
        <v>50</v>
      </c>
      <c r="AK141" s="888">
        <f t="shared" si="24"/>
        <v>27</v>
      </c>
      <c r="AL141" s="889">
        <f t="shared" si="25"/>
        <v>1</v>
      </c>
      <c r="AM141" s="888">
        <f t="shared" si="26"/>
        <v>0</v>
      </c>
      <c r="AN141" s="888">
        <f t="shared" si="27"/>
        <v>3</v>
      </c>
      <c r="AO141" s="888">
        <f t="shared" si="28"/>
        <v>0</v>
      </c>
      <c r="AP141" s="889">
        <f t="shared" si="29"/>
        <v>0</v>
      </c>
      <c r="AQ141" s="890">
        <f t="shared" si="30"/>
        <v>31</v>
      </c>
      <c r="AR141" s="891"/>
      <c r="AS141" s="137" t="str">
        <f>'Mã số nhân viên'!I123</f>
        <v>04080</v>
      </c>
      <c r="AT141" s="897">
        <f t="shared" si="31"/>
        <v>0</v>
      </c>
    </row>
    <row r="142" spans="1:46" ht="24.75" customHeight="1">
      <c r="A142" s="595">
        <v>128</v>
      </c>
      <c r="B142" s="896">
        <v>48</v>
      </c>
      <c r="C142" s="595" t="str">
        <f>VLOOKUP(D142,'Mã số nhân viên'!B124:I181,8,0)</f>
        <v>03634</v>
      </c>
      <c r="D142" s="938" t="s">
        <v>176</v>
      </c>
      <c r="E142" s="110"/>
      <c r="F142" s="1109" t="s">
        <v>50</v>
      </c>
      <c r="G142" s="1109" t="s">
        <v>50</v>
      </c>
      <c r="H142" s="1109" t="s">
        <v>50</v>
      </c>
      <c r="I142" s="1109" t="s">
        <v>50</v>
      </c>
      <c r="J142" s="1109" t="s">
        <v>747</v>
      </c>
      <c r="K142" s="1109" t="s">
        <v>50</v>
      </c>
      <c r="L142" s="1109" t="s">
        <v>50</v>
      </c>
      <c r="M142" s="1109" t="s">
        <v>50</v>
      </c>
      <c r="N142" s="1109" t="s">
        <v>50</v>
      </c>
      <c r="O142" s="1109" t="s">
        <v>50</v>
      </c>
      <c r="P142" s="1109" t="s">
        <v>50</v>
      </c>
      <c r="Q142" s="1109" t="s">
        <v>747</v>
      </c>
      <c r="R142" s="1109" t="s">
        <v>50</v>
      </c>
      <c r="S142" s="1109" t="s">
        <v>50</v>
      </c>
      <c r="T142" s="1109" t="s">
        <v>50</v>
      </c>
      <c r="U142" s="1109" t="s">
        <v>50</v>
      </c>
      <c r="V142" s="1109" t="s">
        <v>50</v>
      </c>
      <c r="W142" s="1109" t="s">
        <v>50</v>
      </c>
      <c r="X142" s="1109" t="s">
        <v>747</v>
      </c>
      <c r="Y142" s="1109" t="s">
        <v>50</v>
      </c>
      <c r="Z142" s="1109" t="s">
        <v>50</v>
      </c>
      <c r="AA142" s="1109" t="s">
        <v>50</v>
      </c>
      <c r="AB142" s="1186" t="s">
        <v>50</v>
      </c>
      <c r="AC142" s="1109" t="s">
        <v>50</v>
      </c>
      <c r="AD142" s="1109" t="s">
        <v>50</v>
      </c>
      <c r="AE142" s="1109" t="s">
        <v>89</v>
      </c>
      <c r="AF142" s="1109" t="s">
        <v>50</v>
      </c>
      <c r="AG142" s="1109" t="s">
        <v>50</v>
      </c>
      <c r="AH142" s="1109" t="s">
        <v>50</v>
      </c>
      <c r="AI142" s="1109" t="s">
        <v>50</v>
      </c>
      <c r="AJ142" s="1109" t="s">
        <v>50</v>
      </c>
      <c r="AK142" s="888">
        <f t="shared" si="24"/>
        <v>27</v>
      </c>
      <c r="AL142" s="889">
        <f t="shared" si="25"/>
        <v>1</v>
      </c>
      <c r="AM142" s="888">
        <f t="shared" si="26"/>
        <v>0</v>
      </c>
      <c r="AN142" s="888">
        <f t="shared" si="27"/>
        <v>3</v>
      </c>
      <c r="AO142" s="888">
        <f t="shared" si="28"/>
        <v>0</v>
      </c>
      <c r="AP142" s="889">
        <f t="shared" si="29"/>
        <v>0</v>
      </c>
      <c r="AQ142" s="890">
        <f t="shared" si="30"/>
        <v>31</v>
      </c>
      <c r="AR142" s="891"/>
      <c r="AS142" s="137" t="str">
        <f>'Mã số nhân viên'!I124</f>
        <v>03634</v>
      </c>
      <c r="AT142" s="897">
        <f t="shared" si="31"/>
        <v>0</v>
      </c>
    </row>
    <row r="143" spans="1:46" ht="24.75" customHeight="1">
      <c r="A143" s="595">
        <v>129</v>
      </c>
      <c r="B143" s="896">
        <v>49</v>
      </c>
      <c r="C143" s="595" t="str">
        <f>VLOOKUP(D143,'Mã số nhân viên'!B125:I182,8,0)</f>
        <v>03635</v>
      </c>
      <c r="D143" s="938" t="s">
        <v>227</v>
      </c>
      <c r="E143" s="110"/>
      <c r="F143" s="1109" t="s">
        <v>50</v>
      </c>
      <c r="G143" s="1109" t="s">
        <v>730</v>
      </c>
      <c r="H143" s="1109" t="s">
        <v>730</v>
      </c>
      <c r="I143" s="1109" t="s">
        <v>50</v>
      </c>
      <c r="J143" s="1109" t="s">
        <v>747</v>
      </c>
      <c r="K143" s="1109" t="s">
        <v>50</v>
      </c>
      <c r="L143" s="1109" t="s">
        <v>50</v>
      </c>
      <c r="M143" s="1109" t="s">
        <v>50</v>
      </c>
      <c r="N143" s="1109" t="s">
        <v>50</v>
      </c>
      <c r="O143" s="1109" t="s">
        <v>50</v>
      </c>
      <c r="P143" s="1109" t="s">
        <v>50</v>
      </c>
      <c r="Q143" s="1109" t="s">
        <v>747</v>
      </c>
      <c r="R143" s="1109" t="s">
        <v>50</v>
      </c>
      <c r="S143" s="1109" t="s">
        <v>50</v>
      </c>
      <c r="T143" s="1109" t="s">
        <v>50</v>
      </c>
      <c r="U143" s="1109" t="s">
        <v>50</v>
      </c>
      <c r="V143" s="1109" t="s">
        <v>50</v>
      </c>
      <c r="W143" s="1109" t="s">
        <v>50</v>
      </c>
      <c r="X143" s="1109" t="s">
        <v>747</v>
      </c>
      <c r="Y143" s="1109" t="s">
        <v>50</v>
      </c>
      <c r="Z143" s="1109" t="s">
        <v>730</v>
      </c>
      <c r="AA143" s="1109" t="s">
        <v>50</v>
      </c>
      <c r="AB143" s="1186" t="s">
        <v>50</v>
      </c>
      <c r="AC143" s="1109" t="s">
        <v>50</v>
      </c>
      <c r="AD143" s="1109" t="s">
        <v>50</v>
      </c>
      <c r="AE143" s="1109" t="s">
        <v>89</v>
      </c>
      <c r="AF143" s="1109" t="s">
        <v>50</v>
      </c>
      <c r="AG143" s="1109" t="s">
        <v>50</v>
      </c>
      <c r="AH143" s="1109" t="s">
        <v>50</v>
      </c>
      <c r="AI143" s="1109" t="s">
        <v>50</v>
      </c>
      <c r="AJ143" s="1109" t="s">
        <v>50</v>
      </c>
      <c r="AK143" s="888">
        <f t="shared" si="24"/>
        <v>24</v>
      </c>
      <c r="AL143" s="889">
        <f t="shared" si="25"/>
        <v>1</v>
      </c>
      <c r="AM143" s="888">
        <f t="shared" si="26"/>
        <v>0</v>
      </c>
      <c r="AN143" s="888">
        <f t="shared" si="27"/>
        <v>3</v>
      </c>
      <c r="AO143" s="888">
        <f t="shared" si="28"/>
        <v>0</v>
      </c>
      <c r="AP143" s="889">
        <f t="shared" si="29"/>
        <v>0</v>
      </c>
      <c r="AQ143" s="890">
        <f t="shared" si="30"/>
        <v>28</v>
      </c>
      <c r="AR143" s="891"/>
      <c r="AS143" s="137" t="str">
        <f>'Mã số nhân viên'!I125</f>
        <v>03635</v>
      </c>
      <c r="AT143" s="897">
        <f t="shared" si="31"/>
        <v>0</v>
      </c>
    </row>
    <row r="144" spans="1:46" ht="24.75" customHeight="1">
      <c r="A144" s="595">
        <v>130</v>
      </c>
      <c r="B144" s="896">
        <v>50</v>
      </c>
      <c r="C144" s="595" t="str">
        <f>VLOOKUP(D144,'Mã số nhân viên'!B126:I183,8,0)</f>
        <v>03636</v>
      </c>
      <c r="D144" s="938" t="s">
        <v>301</v>
      </c>
      <c r="E144" s="110"/>
      <c r="F144" s="1109" t="s">
        <v>50</v>
      </c>
      <c r="G144" s="1109" t="s">
        <v>50</v>
      </c>
      <c r="H144" s="1109" t="s">
        <v>50</v>
      </c>
      <c r="I144" s="1109" t="s">
        <v>50</v>
      </c>
      <c r="J144" s="1109" t="s">
        <v>747</v>
      </c>
      <c r="K144" s="1109" t="s">
        <v>50</v>
      </c>
      <c r="L144" s="1109" t="s">
        <v>50</v>
      </c>
      <c r="M144" s="1109" t="s">
        <v>50</v>
      </c>
      <c r="N144" s="1109" t="s">
        <v>50</v>
      </c>
      <c r="O144" s="1109" t="s">
        <v>50</v>
      </c>
      <c r="P144" s="1109" t="s">
        <v>50</v>
      </c>
      <c r="Q144" s="1109" t="s">
        <v>747</v>
      </c>
      <c r="R144" s="1109" t="s">
        <v>50</v>
      </c>
      <c r="S144" s="1109" t="s">
        <v>50</v>
      </c>
      <c r="T144" s="1109" t="s">
        <v>50</v>
      </c>
      <c r="U144" s="1109" t="s">
        <v>50</v>
      </c>
      <c r="V144" s="1109" t="s">
        <v>50</v>
      </c>
      <c r="W144" s="1109" t="s">
        <v>50</v>
      </c>
      <c r="X144" s="1109" t="s">
        <v>747</v>
      </c>
      <c r="Y144" s="1109" t="s">
        <v>50</v>
      </c>
      <c r="Z144" s="1109" t="s">
        <v>50</v>
      </c>
      <c r="AA144" s="1109" t="s">
        <v>50</v>
      </c>
      <c r="AB144" s="1186" t="s">
        <v>50</v>
      </c>
      <c r="AC144" s="1109" t="s">
        <v>50</v>
      </c>
      <c r="AD144" s="1109" t="s">
        <v>50</v>
      </c>
      <c r="AE144" s="1109" t="s">
        <v>89</v>
      </c>
      <c r="AF144" s="1109" t="s">
        <v>50</v>
      </c>
      <c r="AG144" s="1109" t="s">
        <v>50</v>
      </c>
      <c r="AH144" s="1109" t="s">
        <v>50</v>
      </c>
      <c r="AI144" s="1109" t="s">
        <v>50</v>
      </c>
      <c r="AJ144" s="1109" t="s">
        <v>50</v>
      </c>
      <c r="AK144" s="888">
        <f t="shared" si="24"/>
        <v>27</v>
      </c>
      <c r="AL144" s="889">
        <f t="shared" si="25"/>
        <v>1</v>
      </c>
      <c r="AM144" s="888">
        <f t="shared" si="26"/>
        <v>0</v>
      </c>
      <c r="AN144" s="888">
        <f t="shared" si="27"/>
        <v>3</v>
      </c>
      <c r="AO144" s="888">
        <f t="shared" si="28"/>
        <v>0</v>
      </c>
      <c r="AP144" s="889">
        <f t="shared" si="29"/>
        <v>0</v>
      </c>
      <c r="AQ144" s="890">
        <f t="shared" si="30"/>
        <v>31</v>
      </c>
      <c r="AR144" s="891"/>
      <c r="AS144" s="137" t="str">
        <f>'Mã số nhân viên'!I126</f>
        <v>03636</v>
      </c>
      <c r="AT144" s="897">
        <f t="shared" si="31"/>
        <v>0</v>
      </c>
    </row>
    <row r="145" spans="1:50" ht="24.75" customHeight="1">
      <c r="A145" s="595">
        <v>131</v>
      </c>
      <c r="B145" s="896">
        <v>51</v>
      </c>
      <c r="C145" s="595" t="str">
        <f>VLOOKUP(D145,'Mã số nhân viên'!B127:I184,8,0)</f>
        <v>03637</v>
      </c>
      <c r="D145" s="938" t="s">
        <v>302</v>
      </c>
      <c r="E145" s="110"/>
      <c r="F145" s="1109" t="s">
        <v>50</v>
      </c>
      <c r="G145" s="1109" t="s">
        <v>50</v>
      </c>
      <c r="H145" s="1109" t="s">
        <v>50</v>
      </c>
      <c r="I145" s="1109" t="s">
        <v>50</v>
      </c>
      <c r="J145" s="1109" t="s">
        <v>747</v>
      </c>
      <c r="K145" s="1109" t="s">
        <v>50</v>
      </c>
      <c r="L145" s="1109" t="s">
        <v>50</v>
      </c>
      <c r="M145" s="1109" t="s">
        <v>50</v>
      </c>
      <c r="N145" s="1109" t="s">
        <v>50</v>
      </c>
      <c r="O145" s="1109" t="s">
        <v>50</v>
      </c>
      <c r="P145" s="1109" t="s">
        <v>50</v>
      </c>
      <c r="Q145" s="1109" t="s">
        <v>747</v>
      </c>
      <c r="R145" s="1109" t="s">
        <v>50</v>
      </c>
      <c r="S145" s="1109" t="s">
        <v>50</v>
      </c>
      <c r="T145" s="1109" t="s">
        <v>50</v>
      </c>
      <c r="U145" s="1109" t="s">
        <v>50</v>
      </c>
      <c r="V145" s="1109" t="s">
        <v>50</v>
      </c>
      <c r="W145" s="1109" t="s">
        <v>50</v>
      </c>
      <c r="X145" s="1109" t="s">
        <v>747</v>
      </c>
      <c r="Y145" s="1109" t="s">
        <v>50</v>
      </c>
      <c r="Z145" s="1109" t="s">
        <v>50</v>
      </c>
      <c r="AA145" s="1109" t="s">
        <v>50</v>
      </c>
      <c r="AB145" s="1186" t="s">
        <v>730</v>
      </c>
      <c r="AC145" s="1109" t="s">
        <v>50</v>
      </c>
      <c r="AD145" s="1109" t="s">
        <v>50</v>
      </c>
      <c r="AE145" s="1109" t="s">
        <v>89</v>
      </c>
      <c r="AF145" s="1109" t="s">
        <v>50</v>
      </c>
      <c r="AG145" s="1109" t="s">
        <v>50</v>
      </c>
      <c r="AH145" s="1109" t="s">
        <v>50</v>
      </c>
      <c r="AI145" s="1109" t="s">
        <v>50</v>
      </c>
      <c r="AJ145" s="1109" t="s">
        <v>50</v>
      </c>
      <c r="AK145" s="888">
        <f t="shared" si="24"/>
        <v>26</v>
      </c>
      <c r="AL145" s="889">
        <f t="shared" si="25"/>
        <v>1</v>
      </c>
      <c r="AM145" s="888">
        <f t="shared" si="26"/>
        <v>0</v>
      </c>
      <c r="AN145" s="888">
        <f t="shared" si="27"/>
        <v>3</v>
      </c>
      <c r="AO145" s="888">
        <f t="shared" si="28"/>
        <v>0</v>
      </c>
      <c r="AP145" s="889">
        <f t="shared" si="29"/>
        <v>0</v>
      </c>
      <c r="AQ145" s="890">
        <f t="shared" si="30"/>
        <v>30</v>
      </c>
      <c r="AR145" s="891"/>
      <c r="AS145" s="137" t="str">
        <f>'Mã số nhân viên'!I127</f>
        <v>03637</v>
      </c>
      <c r="AT145" s="897">
        <f t="shared" si="31"/>
        <v>0</v>
      </c>
    </row>
    <row r="146" spans="1:50" ht="24.75" customHeight="1">
      <c r="A146" s="595">
        <v>132</v>
      </c>
      <c r="B146" s="896">
        <v>52</v>
      </c>
      <c r="C146" s="595" t="str">
        <f>VLOOKUP(D146,'Mã số nhân viên'!B128:I185,8,0)</f>
        <v>03638</v>
      </c>
      <c r="D146" s="938" t="s">
        <v>303</v>
      </c>
      <c r="E146" s="110"/>
      <c r="F146" s="1109" t="s">
        <v>50</v>
      </c>
      <c r="G146" s="1109" t="s">
        <v>50</v>
      </c>
      <c r="H146" s="1109" t="s">
        <v>50</v>
      </c>
      <c r="I146" s="1109" t="s">
        <v>50</v>
      </c>
      <c r="J146" s="1109" t="s">
        <v>747</v>
      </c>
      <c r="K146" s="1109" t="s">
        <v>50</v>
      </c>
      <c r="L146" s="1109" t="s">
        <v>50</v>
      </c>
      <c r="M146" s="1109" t="s">
        <v>50</v>
      </c>
      <c r="N146" s="1109" t="s">
        <v>50</v>
      </c>
      <c r="O146" s="1109" t="s">
        <v>730</v>
      </c>
      <c r="P146" s="1109" t="s">
        <v>730</v>
      </c>
      <c r="Q146" s="1109" t="s">
        <v>747</v>
      </c>
      <c r="R146" s="1109" t="s">
        <v>50</v>
      </c>
      <c r="S146" s="1109" t="s">
        <v>50</v>
      </c>
      <c r="T146" s="1109" t="s">
        <v>50</v>
      </c>
      <c r="U146" s="1109" t="s">
        <v>50</v>
      </c>
      <c r="V146" s="1109" t="s">
        <v>50</v>
      </c>
      <c r="W146" s="1109" t="s">
        <v>50</v>
      </c>
      <c r="X146" s="1109" t="s">
        <v>747</v>
      </c>
      <c r="Y146" s="1109" t="s">
        <v>50</v>
      </c>
      <c r="Z146" s="1109" t="s">
        <v>50</v>
      </c>
      <c r="AA146" s="1109" t="s">
        <v>50</v>
      </c>
      <c r="AB146" s="1186" t="s">
        <v>50</v>
      </c>
      <c r="AC146" s="1109" t="s">
        <v>50</v>
      </c>
      <c r="AD146" s="1109" t="s">
        <v>50</v>
      </c>
      <c r="AE146" s="1109" t="s">
        <v>89</v>
      </c>
      <c r="AF146" s="1109" t="s">
        <v>50</v>
      </c>
      <c r="AG146" s="1109" t="s">
        <v>50</v>
      </c>
      <c r="AH146" s="1109" t="s">
        <v>50</v>
      </c>
      <c r="AI146" s="1109" t="s">
        <v>50</v>
      </c>
      <c r="AJ146" s="1109" t="s">
        <v>50</v>
      </c>
      <c r="AK146" s="888">
        <f t="shared" si="24"/>
        <v>25</v>
      </c>
      <c r="AL146" s="889">
        <f t="shared" si="25"/>
        <v>1</v>
      </c>
      <c r="AM146" s="888">
        <f t="shared" si="26"/>
        <v>0</v>
      </c>
      <c r="AN146" s="888">
        <f t="shared" si="27"/>
        <v>3</v>
      </c>
      <c r="AO146" s="888">
        <f t="shared" si="28"/>
        <v>0</v>
      </c>
      <c r="AP146" s="889">
        <f t="shared" si="29"/>
        <v>0</v>
      </c>
      <c r="AQ146" s="890">
        <f t="shared" si="30"/>
        <v>29</v>
      </c>
      <c r="AR146" s="891"/>
      <c r="AS146" s="137" t="str">
        <f>'Mã số nhân viên'!I128</f>
        <v>03638</v>
      </c>
      <c r="AT146" s="897">
        <f t="shared" si="31"/>
        <v>0</v>
      </c>
    </row>
    <row r="147" spans="1:50" ht="24.75" customHeight="1">
      <c r="A147" s="595">
        <v>133</v>
      </c>
      <c r="B147" s="896">
        <v>53</v>
      </c>
      <c r="C147" s="595" t="str">
        <f>VLOOKUP(D147,'Mã số nhân viên'!B129:I186,8,0)</f>
        <v>04081</v>
      </c>
      <c r="D147" s="938" t="s">
        <v>492</v>
      </c>
      <c r="E147" s="110"/>
      <c r="F147" s="1109" t="s">
        <v>50</v>
      </c>
      <c r="G147" s="1109" t="s">
        <v>50</v>
      </c>
      <c r="H147" s="1109" t="s">
        <v>50</v>
      </c>
      <c r="I147" s="1109" t="s">
        <v>50</v>
      </c>
      <c r="J147" s="1109" t="s">
        <v>747</v>
      </c>
      <c r="K147" s="1109" t="s">
        <v>50</v>
      </c>
      <c r="L147" s="1109" t="s">
        <v>50</v>
      </c>
      <c r="M147" s="1109" t="s">
        <v>50</v>
      </c>
      <c r="N147" s="1109" t="s">
        <v>50</v>
      </c>
      <c r="O147" s="1109" t="s">
        <v>730</v>
      </c>
      <c r="P147" s="1109" t="s">
        <v>730</v>
      </c>
      <c r="Q147" s="1109" t="s">
        <v>747</v>
      </c>
      <c r="R147" s="1109" t="s">
        <v>50</v>
      </c>
      <c r="S147" s="1109" t="s">
        <v>50</v>
      </c>
      <c r="T147" s="1109" t="s">
        <v>50</v>
      </c>
      <c r="U147" s="1109" t="s">
        <v>50</v>
      </c>
      <c r="V147" s="1109" t="s">
        <v>50</v>
      </c>
      <c r="W147" s="1109" t="s">
        <v>50</v>
      </c>
      <c r="X147" s="1109" t="s">
        <v>747</v>
      </c>
      <c r="Y147" s="1109" t="s">
        <v>50</v>
      </c>
      <c r="Z147" s="1109" t="s">
        <v>50</v>
      </c>
      <c r="AA147" s="1109" t="s">
        <v>50</v>
      </c>
      <c r="AB147" s="1186" t="s">
        <v>50</v>
      </c>
      <c r="AC147" s="1109" t="s">
        <v>50</v>
      </c>
      <c r="AD147" s="1109" t="s">
        <v>50</v>
      </c>
      <c r="AE147" s="1109" t="s">
        <v>89</v>
      </c>
      <c r="AF147" s="1109" t="s">
        <v>50</v>
      </c>
      <c r="AG147" s="1109" t="s">
        <v>50</v>
      </c>
      <c r="AH147" s="1109" t="s">
        <v>50</v>
      </c>
      <c r="AI147" s="1109" t="s">
        <v>50</v>
      </c>
      <c r="AJ147" s="1109" t="s">
        <v>50</v>
      </c>
      <c r="AK147" s="888">
        <f t="shared" si="24"/>
        <v>25</v>
      </c>
      <c r="AL147" s="889">
        <f t="shared" si="25"/>
        <v>1</v>
      </c>
      <c r="AM147" s="888">
        <f t="shared" si="26"/>
        <v>0</v>
      </c>
      <c r="AN147" s="888">
        <f t="shared" si="27"/>
        <v>3</v>
      </c>
      <c r="AO147" s="888">
        <f t="shared" si="28"/>
        <v>0</v>
      </c>
      <c r="AP147" s="889">
        <f t="shared" si="29"/>
        <v>0</v>
      </c>
      <c r="AQ147" s="890">
        <f t="shared" si="30"/>
        <v>29</v>
      </c>
      <c r="AR147" s="891"/>
      <c r="AS147" s="137" t="str">
        <f>'Mã số nhân viên'!I129</f>
        <v>04081</v>
      </c>
      <c r="AT147" s="897">
        <f t="shared" si="31"/>
        <v>0</v>
      </c>
    </row>
    <row r="148" spans="1:50" ht="24.75" customHeight="1">
      <c r="A148" s="595">
        <v>134</v>
      </c>
      <c r="B148" s="896">
        <v>54</v>
      </c>
      <c r="C148" s="595" t="str">
        <f>VLOOKUP(D148,'Mã số nhân viên'!B130:I187,8,0)</f>
        <v>04082</v>
      </c>
      <c r="D148" s="938" t="s">
        <v>310</v>
      </c>
      <c r="E148" s="110"/>
      <c r="F148" s="1109" t="s">
        <v>730</v>
      </c>
      <c r="G148" s="1109" t="s">
        <v>50</v>
      </c>
      <c r="H148" s="1109" t="s">
        <v>50</v>
      </c>
      <c r="I148" s="1109" t="s">
        <v>50</v>
      </c>
      <c r="J148" s="1109" t="s">
        <v>747</v>
      </c>
      <c r="K148" s="1109" t="s">
        <v>50</v>
      </c>
      <c r="L148" s="1109" t="s">
        <v>50</v>
      </c>
      <c r="M148" s="1109" t="s">
        <v>50</v>
      </c>
      <c r="N148" s="1109" t="s">
        <v>730</v>
      </c>
      <c r="O148" s="1109" t="s">
        <v>50</v>
      </c>
      <c r="P148" s="1109" t="s">
        <v>50</v>
      </c>
      <c r="Q148" s="1109" t="s">
        <v>747</v>
      </c>
      <c r="R148" s="1109" t="s">
        <v>746</v>
      </c>
      <c r="S148" s="1109" t="s">
        <v>50</v>
      </c>
      <c r="T148" s="1109" t="s">
        <v>50</v>
      </c>
      <c r="U148" s="1109" t="s">
        <v>50</v>
      </c>
      <c r="V148" s="1109" t="s">
        <v>50</v>
      </c>
      <c r="W148" s="1109" t="s">
        <v>50</v>
      </c>
      <c r="X148" s="1109" t="s">
        <v>747</v>
      </c>
      <c r="Y148" s="1109" t="s">
        <v>50</v>
      </c>
      <c r="Z148" s="1109" t="s">
        <v>50</v>
      </c>
      <c r="AA148" s="1109" t="s">
        <v>50</v>
      </c>
      <c r="AB148" s="1186" t="s">
        <v>50</v>
      </c>
      <c r="AC148" s="1109" t="s">
        <v>50</v>
      </c>
      <c r="AD148" s="1109" t="s">
        <v>50</v>
      </c>
      <c r="AE148" s="1109" t="s">
        <v>89</v>
      </c>
      <c r="AF148" s="1109" t="s">
        <v>50</v>
      </c>
      <c r="AG148" s="1109" t="s">
        <v>50</v>
      </c>
      <c r="AH148" s="1109" t="s">
        <v>50</v>
      </c>
      <c r="AI148" s="1109" t="s">
        <v>50</v>
      </c>
      <c r="AJ148" s="1109" t="s">
        <v>50</v>
      </c>
      <c r="AK148" s="888">
        <f t="shared" si="24"/>
        <v>24</v>
      </c>
      <c r="AL148" s="889">
        <f t="shared" si="25"/>
        <v>1</v>
      </c>
      <c r="AM148" s="888">
        <f t="shared" si="26"/>
        <v>0</v>
      </c>
      <c r="AN148" s="888">
        <f t="shared" si="27"/>
        <v>3</v>
      </c>
      <c r="AO148" s="888">
        <f t="shared" si="28"/>
        <v>0</v>
      </c>
      <c r="AP148" s="889">
        <f t="shared" si="29"/>
        <v>0</v>
      </c>
      <c r="AQ148" s="890">
        <f t="shared" si="30"/>
        <v>28</v>
      </c>
      <c r="AR148" s="891"/>
      <c r="AS148" s="137" t="str">
        <f>'Mã số nhân viên'!I130</f>
        <v>04082</v>
      </c>
      <c r="AT148" s="897">
        <f t="shared" si="31"/>
        <v>0</v>
      </c>
    </row>
    <row r="149" spans="1:50" ht="24.75" customHeight="1">
      <c r="A149" s="595">
        <v>135</v>
      </c>
      <c r="B149" s="896">
        <v>55</v>
      </c>
      <c r="C149" s="595" t="str">
        <f>VLOOKUP(D149,'Mã số nhân viên'!B131:I188,8,0)</f>
        <v>04083</v>
      </c>
      <c r="D149" s="938" t="s">
        <v>493</v>
      </c>
      <c r="E149" s="110"/>
      <c r="F149" s="1109" t="s">
        <v>50</v>
      </c>
      <c r="G149" s="1109" t="s">
        <v>730</v>
      </c>
      <c r="H149" s="1109" t="s">
        <v>730</v>
      </c>
      <c r="I149" s="1109" t="s">
        <v>50</v>
      </c>
      <c r="J149" s="1109" t="s">
        <v>747</v>
      </c>
      <c r="K149" s="1109" t="s">
        <v>50</v>
      </c>
      <c r="L149" s="1109" t="s">
        <v>50</v>
      </c>
      <c r="M149" s="1109" t="s">
        <v>50</v>
      </c>
      <c r="N149" s="1109" t="s">
        <v>50</v>
      </c>
      <c r="O149" s="1109" t="s">
        <v>50</v>
      </c>
      <c r="P149" s="1109" t="s">
        <v>50</v>
      </c>
      <c r="Q149" s="1109" t="s">
        <v>747</v>
      </c>
      <c r="R149" s="1109" t="s">
        <v>50</v>
      </c>
      <c r="S149" s="1109" t="s">
        <v>746</v>
      </c>
      <c r="T149" s="1109" t="s">
        <v>50</v>
      </c>
      <c r="U149" s="1109" t="s">
        <v>50</v>
      </c>
      <c r="V149" s="1109" t="s">
        <v>50</v>
      </c>
      <c r="W149" s="1109" t="s">
        <v>50</v>
      </c>
      <c r="X149" s="1109" t="s">
        <v>747</v>
      </c>
      <c r="Y149" s="1109" t="s">
        <v>50</v>
      </c>
      <c r="Z149" s="1109" t="s">
        <v>50</v>
      </c>
      <c r="AA149" s="1109" t="s">
        <v>50</v>
      </c>
      <c r="AB149" s="1186" t="s">
        <v>50</v>
      </c>
      <c r="AC149" s="1109" t="s">
        <v>50</v>
      </c>
      <c r="AD149" s="1109" t="s">
        <v>50</v>
      </c>
      <c r="AE149" s="1109" t="s">
        <v>89</v>
      </c>
      <c r="AF149" s="1109" t="s">
        <v>50</v>
      </c>
      <c r="AG149" s="1109" t="s">
        <v>50</v>
      </c>
      <c r="AH149" s="1109" t="s">
        <v>50</v>
      </c>
      <c r="AI149" s="1109" t="s">
        <v>50</v>
      </c>
      <c r="AJ149" s="1109" t="s">
        <v>50</v>
      </c>
      <c r="AK149" s="888">
        <f t="shared" si="24"/>
        <v>24</v>
      </c>
      <c r="AL149" s="889">
        <f t="shared" si="25"/>
        <v>1</v>
      </c>
      <c r="AM149" s="888">
        <f t="shared" si="26"/>
        <v>0</v>
      </c>
      <c r="AN149" s="888">
        <f t="shared" si="27"/>
        <v>3</v>
      </c>
      <c r="AO149" s="888">
        <f t="shared" si="28"/>
        <v>0</v>
      </c>
      <c r="AP149" s="889">
        <f t="shared" si="29"/>
        <v>0</v>
      </c>
      <c r="AQ149" s="890">
        <f t="shared" si="30"/>
        <v>28</v>
      </c>
      <c r="AR149" s="891"/>
      <c r="AS149" s="137" t="str">
        <f>'Mã số nhân viên'!I131</f>
        <v>04083</v>
      </c>
      <c r="AT149" s="897">
        <f t="shared" si="31"/>
        <v>0</v>
      </c>
    </row>
    <row r="150" spans="1:50" ht="24.75" customHeight="1">
      <c r="A150" s="595">
        <v>136</v>
      </c>
      <c r="B150" s="896">
        <v>56</v>
      </c>
      <c r="C150" s="595" t="str">
        <f>VLOOKUP(D150,'Mã số nhân viên'!B132:I189,8,0)</f>
        <v>03642</v>
      </c>
      <c r="D150" s="938" t="s">
        <v>237</v>
      </c>
      <c r="E150" s="110"/>
      <c r="F150" s="1109" t="s">
        <v>730</v>
      </c>
      <c r="G150" s="1109" t="s">
        <v>50</v>
      </c>
      <c r="H150" s="1109" t="s">
        <v>50</v>
      </c>
      <c r="I150" s="1109" t="s">
        <v>50</v>
      </c>
      <c r="J150" s="1109" t="s">
        <v>747</v>
      </c>
      <c r="K150" s="1109" t="s">
        <v>50</v>
      </c>
      <c r="L150" s="1109" t="s">
        <v>50</v>
      </c>
      <c r="M150" s="1109" t="s">
        <v>50</v>
      </c>
      <c r="N150" s="1109" t="s">
        <v>730</v>
      </c>
      <c r="O150" s="1109" t="s">
        <v>50</v>
      </c>
      <c r="P150" s="1109" t="s">
        <v>50</v>
      </c>
      <c r="Q150" s="1109" t="s">
        <v>747</v>
      </c>
      <c r="R150" s="1109" t="s">
        <v>50</v>
      </c>
      <c r="S150" s="1109" t="s">
        <v>50</v>
      </c>
      <c r="T150" s="1109" t="s">
        <v>50</v>
      </c>
      <c r="U150" s="1109" t="s">
        <v>50</v>
      </c>
      <c r="V150" s="1109" t="s">
        <v>50</v>
      </c>
      <c r="W150" s="1109" t="s">
        <v>50</v>
      </c>
      <c r="X150" s="1109" t="s">
        <v>747</v>
      </c>
      <c r="Y150" s="1109" t="s">
        <v>50</v>
      </c>
      <c r="Z150" s="1109" t="s">
        <v>50</v>
      </c>
      <c r="AA150" s="1109" t="s">
        <v>50</v>
      </c>
      <c r="AB150" s="1186" t="s">
        <v>50</v>
      </c>
      <c r="AC150" s="1109" t="s">
        <v>50</v>
      </c>
      <c r="AD150" s="1109" t="s">
        <v>50</v>
      </c>
      <c r="AE150" s="1109" t="s">
        <v>89</v>
      </c>
      <c r="AF150" s="1109" t="s">
        <v>50</v>
      </c>
      <c r="AG150" s="1109" t="s">
        <v>50</v>
      </c>
      <c r="AH150" s="1109" t="s">
        <v>50</v>
      </c>
      <c r="AI150" s="1109" t="s">
        <v>50</v>
      </c>
      <c r="AJ150" s="1109" t="s">
        <v>50</v>
      </c>
      <c r="AK150" s="888">
        <f t="shared" si="24"/>
        <v>25</v>
      </c>
      <c r="AL150" s="889">
        <f t="shared" si="25"/>
        <v>1</v>
      </c>
      <c r="AM150" s="888">
        <f t="shared" si="26"/>
        <v>0</v>
      </c>
      <c r="AN150" s="888">
        <f t="shared" si="27"/>
        <v>3</v>
      </c>
      <c r="AO150" s="888">
        <f t="shared" si="28"/>
        <v>0</v>
      </c>
      <c r="AP150" s="889">
        <f t="shared" si="29"/>
        <v>0</v>
      </c>
      <c r="AQ150" s="890">
        <f t="shared" si="30"/>
        <v>29</v>
      </c>
      <c r="AR150" s="891"/>
      <c r="AS150" s="137" t="str">
        <f>'Mã số nhân viên'!I132</f>
        <v>03642</v>
      </c>
      <c r="AT150" s="897">
        <f t="shared" si="31"/>
        <v>0</v>
      </c>
    </row>
    <row r="151" spans="1:50" ht="24.75" customHeight="1">
      <c r="A151" s="595">
        <v>137</v>
      </c>
      <c r="B151" s="896">
        <v>57</v>
      </c>
      <c r="C151" s="595" t="str">
        <f>VLOOKUP(D151,'Mã số nhân viên'!B133:I190,8,0)</f>
        <v>04084</v>
      </c>
      <c r="D151" s="938" t="s">
        <v>494</v>
      </c>
      <c r="E151" s="110"/>
      <c r="F151" s="1109" t="s">
        <v>50</v>
      </c>
      <c r="G151" s="1109" t="s">
        <v>50</v>
      </c>
      <c r="H151" s="1109" t="s">
        <v>50</v>
      </c>
      <c r="I151" s="1109" t="s">
        <v>730</v>
      </c>
      <c r="J151" s="1109" t="s">
        <v>747</v>
      </c>
      <c r="K151" s="1109" t="s">
        <v>730</v>
      </c>
      <c r="L151" s="1109" t="s">
        <v>50</v>
      </c>
      <c r="M151" s="1109" t="s">
        <v>50</v>
      </c>
      <c r="N151" s="1109" t="s">
        <v>50</v>
      </c>
      <c r="O151" s="1109" t="s">
        <v>50</v>
      </c>
      <c r="P151" s="1109" t="s">
        <v>50</v>
      </c>
      <c r="Q151" s="1109" t="s">
        <v>747</v>
      </c>
      <c r="R151" s="1109" t="s">
        <v>50</v>
      </c>
      <c r="S151" s="1109" t="s">
        <v>50</v>
      </c>
      <c r="T151" s="1109" t="s">
        <v>50</v>
      </c>
      <c r="U151" s="1109" t="s">
        <v>50</v>
      </c>
      <c r="V151" s="1109" t="s">
        <v>50</v>
      </c>
      <c r="W151" s="1109" t="s">
        <v>50</v>
      </c>
      <c r="X151" s="1109" t="s">
        <v>747</v>
      </c>
      <c r="Y151" s="1109" t="s">
        <v>50</v>
      </c>
      <c r="Z151" s="1109" t="s">
        <v>50</v>
      </c>
      <c r="AA151" s="1109" t="s">
        <v>50</v>
      </c>
      <c r="AB151" s="1186" t="s">
        <v>50</v>
      </c>
      <c r="AC151" s="1109" t="s">
        <v>50</v>
      </c>
      <c r="AD151" s="1109" t="s">
        <v>50</v>
      </c>
      <c r="AE151" s="1109" t="s">
        <v>89</v>
      </c>
      <c r="AF151" s="1109" t="s">
        <v>50</v>
      </c>
      <c r="AG151" s="1109" t="s">
        <v>50</v>
      </c>
      <c r="AH151" s="1109" t="s">
        <v>50</v>
      </c>
      <c r="AI151" s="1109" t="s">
        <v>50</v>
      </c>
      <c r="AJ151" s="1109" t="s">
        <v>50</v>
      </c>
      <c r="AK151" s="888">
        <f t="shared" si="24"/>
        <v>25</v>
      </c>
      <c r="AL151" s="889">
        <f t="shared" si="25"/>
        <v>1</v>
      </c>
      <c r="AM151" s="888">
        <f t="shared" si="26"/>
        <v>0</v>
      </c>
      <c r="AN151" s="888">
        <f t="shared" si="27"/>
        <v>3</v>
      </c>
      <c r="AO151" s="888">
        <f t="shared" si="28"/>
        <v>0</v>
      </c>
      <c r="AP151" s="889">
        <f t="shared" si="29"/>
        <v>0</v>
      </c>
      <c r="AQ151" s="890">
        <f t="shared" si="30"/>
        <v>29</v>
      </c>
      <c r="AR151" s="891"/>
      <c r="AS151" s="137" t="str">
        <f>'Mã số nhân viên'!I133</f>
        <v>04084</v>
      </c>
      <c r="AT151" s="897">
        <f t="shared" si="31"/>
        <v>0</v>
      </c>
    </row>
    <row r="152" spans="1:50" ht="24.75" customHeight="1">
      <c r="A152" s="595">
        <v>138</v>
      </c>
      <c r="B152" s="896">
        <v>58</v>
      </c>
      <c r="C152" s="595" t="str">
        <f>VLOOKUP(D152,'Mã số nhân viên'!B134:I191,8,0)</f>
        <v>04085</v>
      </c>
      <c r="D152" s="938" t="s">
        <v>495</v>
      </c>
      <c r="E152" s="110"/>
      <c r="F152" s="1109" t="s">
        <v>50</v>
      </c>
      <c r="G152" s="1109" t="s">
        <v>50</v>
      </c>
      <c r="H152" s="1109" t="s">
        <v>50</v>
      </c>
      <c r="I152" s="1109" t="s">
        <v>50</v>
      </c>
      <c r="J152" s="1109" t="s">
        <v>747</v>
      </c>
      <c r="K152" s="1109" t="s">
        <v>50</v>
      </c>
      <c r="L152" s="1109" t="s">
        <v>50</v>
      </c>
      <c r="M152" s="1109" t="s">
        <v>50</v>
      </c>
      <c r="N152" s="1109" t="s">
        <v>50</v>
      </c>
      <c r="O152" s="1109"/>
      <c r="P152" s="1109"/>
      <c r="Q152" s="1109" t="s">
        <v>747</v>
      </c>
      <c r="R152" s="1109" t="s">
        <v>50</v>
      </c>
      <c r="S152" s="1109" t="s">
        <v>50</v>
      </c>
      <c r="T152" s="1109" t="s">
        <v>50</v>
      </c>
      <c r="U152" s="1109" t="s">
        <v>50</v>
      </c>
      <c r="V152" s="1109" t="s">
        <v>50</v>
      </c>
      <c r="W152" s="1109" t="s">
        <v>50</v>
      </c>
      <c r="X152" s="1109" t="s">
        <v>747</v>
      </c>
      <c r="Y152" s="1109" t="s">
        <v>50</v>
      </c>
      <c r="Z152" s="1109" t="s">
        <v>50</v>
      </c>
      <c r="AA152" s="1109" t="s">
        <v>50</v>
      </c>
      <c r="AB152" s="1186" t="s">
        <v>50</v>
      </c>
      <c r="AC152" s="1109" t="s">
        <v>50</v>
      </c>
      <c r="AD152" s="1109" t="s">
        <v>50</v>
      </c>
      <c r="AE152" s="1109" t="s">
        <v>89</v>
      </c>
      <c r="AF152" s="1109" t="s">
        <v>50</v>
      </c>
      <c r="AG152" s="1109" t="s">
        <v>50</v>
      </c>
      <c r="AH152" s="1109" t="s">
        <v>50</v>
      </c>
      <c r="AI152" s="1109" t="s">
        <v>50</v>
      </c>
      <c r="AJ152" s="1109" t="s">
        <v>50</v>
      </c>
      <c r="AK152" s="888">
        <f t="shared" si="24"/>
        <v>25</v>
      </c>
      <c r="AL152" s="889">
        <f t="shared" si="25"/>
        <v>1</v>
      </c>
      <c r="AM152" s="888">
        <f t="shared" si="26"/>
        <v>0</v>
      </c>
      <c r="AN152" s="888">
        <f t="shared" si="27"/>
        <v>3</v>
      </c>
      <c r="AO152" s="888">
        <f t="shared" si="28"/>
        <v>0</v>
      </c>
      <c r="AP152" s="889">
        <f t="shared" si="29"/>
        <v>0</v>
      </c>
      <c r="AQ152" s="890">
        <f t="shared" si="30"/>
        <v>29</v>
      </c>
      <c r="AR152" s="891"/>
      <c r="AS152" s="137" t="str">
        <f>'Mã số nhân viên'!I134</f>
        <v>04085</v>
      </c>
      <c r="AT152" s="897">
        <f t="shared" si="31"/>
        <v>0</v>
      </c>
    </row>
    <row r="153" spans="1:50" ht="24.75" customHeight="1">
      <c r="A153" s="595">
        <v>139</v>
      </c>
      <c r="B153" s="896">
        <v>59</v>
      </c>
      <c r="C153" s="896"/>
      <c r="D153" s="911" t="s">
        <v>253</v>
      </c>
      <c r="E153" s="110"/>
      <c r="F153" s="1109" t="s">
        <v>50</v>
      </c>
      <c r="G153" s="1109" t="s">
        <v>50</v>
      </c>
      <c r="H153" s="1109" t="s">
        <v>50</v>
      </c>
      <c r="I153" s="1109" t="s">
        <v>50</v>
      </c>
      <c r="J153" s="1109" t="s">
        <v>747</v>
      </c>
      <c r="K153" s="1109" t="s">
        <v>50</v>
      </c>
      <c r="L153" s="1109" t="s">
        <v>50</v>
      </c>
      <c r="M153" s="1109" t="s">
        <v>50</v>
      </c>
      <c r="N153" s="1109" t="s">
        <v>50</v>
      </c>
      <c r="O153" s="1109" t="s">
        <v>50</v>
      </c>
      <c r="P153" s="1109" t="s">
        <v>50</v>
      </c>
      <c r="Q153" s="1109" t="s">
        <v>747</v>
      </c>
      <c r="R153" s="1109" t="s">
        <v>50</v>
      </c>
      <c r="S153" s="1109" t="s">
        <v>50</v>
      </c>
      <c r="T153" s="1109" t="s">
        <v>50</v>
      </c>
      <c r="U153" s="1109" t="s">
        <v>50</v>
      </c>
      <c r="V153" s="1109" t="s">
        <v>50</v>
      </c>
      <c r="W153" s="1109"/>
      <c r="X153" s="1109" t="s">
        <v>747</v>
      </c>
      <c r="Y153" s="1109"/>
      <c r="Z153" s="1109" t="s">
        <v>50</v>
      </c>
      <c r="AA153" s="1109" t="s">
        <v>50</v>
      </c>
      <c r="AB153" s="1186" t="s">
        <v>50</v>
      </c>
      <c r="AC153" s="1109" t="s">
        <v>50</v>
      </c>
      <c r="AD153" s="1109"/>
      <c r="AE153" s="1109" t="s">
        <v>89</v>
      </c>
      <c r="AF153" s="1109" t="s">
        <v>50</v>
      </c>
      <c r="AG153" s="1109" t="s">
        <v>50</v>
      </c>
      <c r="AH153" s="1109"/>
      <c r="AI153" s="1109"/>
      <c r="AJ153" s="1109" t="s">
        <v>50</v>
      </c>
      <c r="AK153" s="888">
        <f t="shared" si="24"/>
        <v>22</v>
      </c>
      <c r="AL153" s="889">
        <f t="shared" si="25"/>
        <v>1</v>
      </c>
      <c r="AM153" s="888">
        <f t="shared" si="26"/>
        <v>0</v>
      </c>
      <c r="AN153" s="888">
        <f t="shared" si="27"/>
        <v>3</v>
      </c>
      <c r="AO153" s="888">
        <f t="shared" si="28"/>
        <v>0</v>
      </c>
      <c r="AP153" s="889">
        <f t="shared" si="29"/>
        <v>0</v>
      </c>
      <c r="AQ153" s="890">
        <f t="shared" si="30"/>
        <v>26</v>
      </c>
      <c r="AR153" s="891"/>
      <c r="AS153" s="137">
        <f>'Mã số nhân viên'!I135</f>
        <v>0</v>
      </c>
      <c r="AT153" s="897">
        <f t="shared" si="31"/>
        <v>0</v>
      </c>
    </row>
    <row r="154" spans="1:50" ht="24.75" customHeight="1">
      <c r="A154" s="595">
        <v>140</v>
      </c>
      <c r="B154" s="896">
        <v>60</v>
      </c>
      <c r="C154" s="896"/>
      <c r="D154" s="938" t="s">
        <v>315</v>
      </c>
      <c r="E154" s="110"/>
      <c r="F154" s="1109" t="s">
        <v>50</v>
      </c>
      <c r="G154" s="1109" t="s">
        <v>50</v>
      </c>
      <c r="H154" s="1109" t="s">
        <v>50</v>
      </c>
      <c r="I154" s="1109" t="s">
        <v>50</v>
      </c>
      <c r="J154" s="1109" t="s">
        <v>747</v>
      </c>
      <c r="K154" s="1109" t="s">
        <v>50</v>
      </c>
      <c r="L154" s="1109" t="s">
        <v>50</v>
      </c>
      <c r="M154" s="1109"/>
      <c r="N154" s="1109" t="s">
        <v>50</v>
      </c>
      <c r="O154" s="1109" t="s">
        <v>50</v>
      </c>
      <c r="P154" s="1109" t="s">
        <v>50</v>
      </c>
      <c r="Q154" s="1109" t="s">
        <v>747</v>
      </c>
      <c r="R154" s="1109" t="s">
        <v>50</v>
      </c>
      <c r="S154" s="1109" t="s">
        <v>50</v>
      </c>
      <c r="T154" s="1109" t="s">
        <v>50</v>
      </c>
      <c r="U154" s="1109"/>
      <c r="V154" s="1109" t="s">
        <v>50</v>
      </c>
      <c r="W154" s="1109"/>
      <c r="X154" s="1109" t="s">
        <v>747</v>
      </c>
      <c r="Y154" s="1109"/>
      <c r="Z154" s="1109" t="s">
        <v>50</v>
      </c>
      <c r="AA154" s="1109"/>
      <c r="AB154" s="1186" t="s">
        <v>50</v>
      </c>
      <c r="AC154" s="1109"/>
      <c r="AD154" s="1109"/>
      <c r="AE154" s="1109" t="s">
        <v>89</v>
      </c>
      <c r="AF154" s="1109"/>
      <c r="AG154" s="1109"/>
      <c r="AH154" s="1109"/>
      <c r="AI154" s="1109"/>
      <c r="AJ154" s="1109" t="s">
        <v>50</v>
      </c>
      <c r="AK154" s="888">
        <f t="shared" si="24"/>
        <v>16</v>
      </c>
      <c r="AL154" s="889">
        <f t="shared" si="25"/>
        <v>1</v>
      </c>
      <c r="AM154" s="888">
        <f t="shared" si="26"/>
        <v>0</v>
      </c>
      <c r="AN154" s="888">
        <f t="shared" si="27"/>
        <v>3</v>
      </c>
      <c r="AO154" s="888">
        <f t="shared" si="28"/>
        <v>0</v>
      </c>
      <c r="AP154" s="889">
        <f t="shared" si="29"/>
        <v>0</v>
      </c>
      <c r="AQ154" s="890">
        <f t="shared" si="30"/>
        <v>20</v>
      </c>
      <c r="AR154" s="891"/>
      <c r="AS154" s="137">
        <f>'Mã số nhân viên'!I136</f>
        <v>0</v>
      </c>
      <c r="AT154" s="897">
        <f t="shared" si="31"/>
        <v>0</v>
      </c>
    </row>
    <row r="155" spans="1:50" ht="24.75" customHeight="1">
      <c r="A155" s="595">
        <v>141</v>
      </c>
      <c r="B155" s="896">
        <v>61</v>
      </c>
      <c r="C155" s="896"/>
      <c r="D155" s="1159" t="s">
        <v>325</v>
      </c>
      <c r="E155" s="110"/>
      <c r="F155" s="1109" t="s">
        <v>50</v>
      </c>
      <c r="G155" s="1109" t="s">
        <v>50</v>
      </c>
      <c r="H155" s="1109" t="s">
        <v>50</v>
      </c>
      <c r="I155" s="1109" t="s">
        <v>50</v>
      </c>
      <c r="J155" s="1109" t="s">
        <v>747</v>
      </c>
      <c r="K155" s="1109" t="s">
        <v>50</v>
      </c>
      <c r="L155" s="1109" t="s">
        <v>50</v>
      </c>
      <c r="M155" s="1109"/>
      <c r="N155" s="1109" t="s">
        <v>50</v>
      </c>
      <c r="O155" s="1109" t="s">
        <v>50</v>
      </c>
      <c r="P155" s="1109" t="s">
        <v>50</v>
      </c>
      <c r="Q155" s="1109" t="s">
        <v>747</v>
      </c>
      <c r="R155" s="1109" t="s">
        <v>50</v>
      </c>
      <c r="S155" s="1109" t="s">
        <v>50</v>
      </c>
      <c r="T155" s="1109"/>
      <c r="U155" s="1109"/>
      <c r="V155" s="1109" t="s">
        <v>50</v>
      </c>
      <c r="W155" s="1109"/>
      <c r="X155" s="1109"/>
      <c r="Y155" s="1109"/>
      <c r="Z155" s="1109"/>
      <c r="AA155" s="1109"/>
      <c r="AB155" s="1186" t="s">
        <v>50</v>
      </c>
      <c r="AC155" s="1109"/>
      <c r="AD155" s="1109"/>
      <c r="AE155" s="1109" t="s">
        <v>89</v>
      </c>
      <c r="AF155" s="1109"/>
      <c r="AG155" s="1109"/>
      <c r="AH155" s="1109"/>
      <c r="AI155" s="1109"/>
      <c r="AJ155" s="1109"/>
      <c r="AK155" s="888">
        <f t="shared" si="24"/>
        <v>13</v>
      </c>
      <c r="AL155" s="889">
        <f t="shared" si="25"/>
        <v>1</v>
      </c>
      <c r="AM155" s="888">
        <f t="shared" si="26"/>
        <v>0</v>
      </c>
      <c r="AN155" s="888">
        <f t="shared" si="27"/>
        <v>2</v>
      </c>
      <c r="AO155" s="888">
        <f t="shared" si="28"/>
        <v>0</v>
      </c>
      <c r="AP155" s="889">
        <f t="shared" si="29"/>
        <v>0</v>
      </c>
      <c r="AQ155" s="890">
        <f t="shared" si="30"/>
        <v>16</v>
      </c>
      <c r="AR155" s="891"/>
      <c r="AS155" s="137">
        <f>'Mã số nhân viên'!I137</f>
        <v>0</v>
      </c>
      <c r="AT155" s="897">
        <f t="shared" si="31"/>
        <v>0</v>
      </c>
    </row>
    <row r="156" spans="1:50" ht="24.75" customHeight="1">
      <c r="A156" s="595">
        <v>142</v>
      </c>
      <c r="B156" s="896">
        <v>62</v>
      </c>
      <c r="C156" s="896"/>
      <c r="D156" s="1159" t="s">
        <v>326</v>
      </c>
      <c r="E156" s="110"/>
      <c r="F156" s="1109" t="s">
        <v>50</v>
      </c>
      <c r="G156" s="1109" t="s">
        <v>50</v>
      </c>
      <c r="H156" s="1109" t="s">
        <v>50</v>
      </c>
      <c r="I156" s="1109" t="s">
        <v>50</v>
      </c>
      <c r="J156" s="1109" t="s">
        <v>747</v>
      </c>
      <c r="K156" s="1109" t="s">
        <v>50</v>
      </c>
      <c r="L156" s="1109" t="s">
        <v>50</v>
      </c>
      <c r="M156" s="1109"/>
      <c r="N156" s="1109" t="s">
        <v>50</v>
      </c>
      <c r="O156" s="1109" t="s">
        <v>50</v>
      </c>
      <c r="P156" s="1109" t="s">
        <v>50</v>
      </c>
      <c r="Q156" s="1109" t="s">
        <v>747</v>
      </c>
      <c r="R156" s="1109" t="s">
        <v>50</v>
      </c>
      <c r="S156" s="1109" t="s">
        <v>50</v>
      </c>
      <c r="T156" s="1109"/>
      <c r="U156" s="1109"/>
      <c r="V156" s="1109"/>
      <c r="W156" s="1109"/>
      <c r="X156" s="1109"/>
      <c r="Y156" s="1109"/>
      <c r="Z156" s="1109"/>
      <c r="AA156" s="1109"/>
      <c r="AB156" s="1186"/>
      <c r="AC156" s="1109"/>
      <c r="AD156" s="1109"/>
      <c r="AE156" s="1109"/>
      <c r="AF156" s="1109"/>
      <c r="AG156" s="1109"/>
      <c r="AH156" s="1109"/>
      <c r="AI156" s="1109"/>
      <c r="AJ156" s="1109"/>
      <c r="AK156" s="888">
        <f t="shared" si="24"/>
        <v>11</v>
      </c>
      <c r="AL156" s="889">
        <f t="shared" si="25"/>
        <v>0</v>
      </c>
      <c r="AM156" s="888">
        <f t="shared" si="26"/>
        <v>0</v>
      </c>
      <c r="AN156" s="888">
        <f t="shared" si="27"/>
        <v>2</v>
      </c>
      <c r="AO156" s="888">
        <f t="shared" si="28"/>
        <v>0</v>
      </c>
      <c r="AP156" s="889">
        <f t="shared" si="29"/>
        <v>0</v>
      </c>
      <c r="AQ156" s="890">
        <f t="shared" si="30"/>
        <v>13</v>
      </c>
      <c r="AR156" s="891"/>
      <c r="AS156" s="137">
        <f>'Mã số nhân viên'!I138</f>
        <v>0</v>
      </c>
      <c r="AT156" s="897">
        <f t="shared" si="31"/>
        <v>0</v>
      </c>
    </row>
    <row r="157" spans="1:50" ht="24.75" customHeight="1">
      <c r="A157" s="1449" t="s">
        <v>55</v>
      </c>
      <c r="B157" s="1449"/>
      <c r="C157" s="1449"/>
      <c r="D157" s="1449"/>
      <c r="E157" s="1449"/>
      <c r="F157" s="898">
        <f t="shared" ref="F157:AJ157" si="32">F94+F12</f>
        <v>131</v>
      </c>
      <c r="G157" s="898">
        <f t="shared" si="32"/>
        <v>131</v>
      </c>
      <c r="H157" s="898">
        <f t="shared" si="32"/>
        <v>132</v>
      </c>
      <c r="I157" s="898">
        <f t="shared" si="32"/>
        <v>132</v>
      </c>
      <c r="J157" s="898">
        <f t="shared" si="32"/>
        <v>131</v>
      </c>
      <c r="K157" s="898">
        <f t="shared" si="32"/>
        <v>131</v>
      </c>
      <c r="L157" s="898">
        <f t="shared" si="32"/>
        <v>132</v>
      </c>
      <c r="M157" s="898">
        <f t="shared" si="32"/>
        <v>132</v>
      </c>
      <c r="N157" s="898">
        <f t="shared" si="32"/>
        <v>131</v>
      </c>
      <c r="O157" s="898">
        <f t="shared" si="32"/>
        <v>128</v>
      </c>
      <c r="P157" s="898">
        <f t="shared" si="32"/>
        <v>128</v>
      </c>
      <c r="Q157" s="898">
        <f t="shared" si="32"/>
        <v>132</v>
      </c>
      <c r="R157" s="898">
        <f t="shared" si="32"/>
        <v>130</v>
      </c>
      <c r="S157" s="898">
        <f t="shared" si="32"/>
        <v>131</v>
      </c>
      <c r="T157" s="898">
        <f t="shared" si="32"/>
        <v>127</v>
      </c>
      <c r="U157" s="898">
        <f t="shared" si="32"/>
        <v>129</v>
      </c>
      <c r="V157" s="898">
        <f t="shared" si="32"/>
        <v>131</v>
      </c>
      <c r="W157" s="898">
        <f t="shared" si="32"/>
        <v>131</v>
      </c>
      <c r="X157" s="898">
        <f t="shared" si="32"/>
        <v>132</v>
      </c>
      <c r="Y157" s="898">
        <f t="shared" si="32"/>
        <v>132</v>
      </c>
      <c r="Z157" s="898">
        <f t="shared" si="32"/>
        <v>130</v>
      </c>
      <c r="AA157" s="898">
        <f t="shared" si="32"/>
        <v>131</v>
      </c>
      <c r="AB157" s="1189">
        <f t="shared" si="32"/>
        <v>131</v>
      </c>
      <c r="AC157" s="898">
        <f t="shared" si="32"/>
        <v>132</v>
      </c>
      <c r="AD157" s="898">
        <f t="shared" si="32"/>
        <v>130</v>
      </c>
      <c r="AE157" s="898">
        <f t="shared" si="32"/>
        <v>131</v>
      </c>
      <c r="AF157" s="898">
        <f t="shared" si="32"/>
        <v>132</v>
      </c>
      <c r="AG157" s="898">
        <f t="shared" si="32"/>
        <v>132</v>
      </c>
      <c r="AH157" s="898">
        <f t="shared" si="32"/>
        <v>131</v>
      </c>
      <c r="AI157" s="898">
        <f t="shared" si="32"/>
        <v>131</v>
      </c>
      <c r="AJ157" s="898">
        <f t="shared" si="32"/>
        <v>132</v>
      </c>
      <c r="AK157" s="899">
        <f>SUM(AK12+AK94)</f>
        <v>3531</v>
      </c>
      <c r="AL157" s="899">
        <f t="shared" ref="AL157:AQ157" si="33">SUM(AL12+AL94)</f>
        <v>355</v>
      </c>
      <c r="AM157" s="899">
        <f t="shared" si="33"/>
        <v>0</v>
      </c>
      <c r="AN157" s="899">
        <f t="shared" si="33"/>
        <v>171</v>
      </c>
      <c r="AO157" s="899">
        <f t="shared" si="33"/>
        <v>0</v>
      </c>
      <c r="AP157" s="899">
        <f t="shared" si="33"/>
        <v>0</v>
      </c>
      <c r="AQ157" s="899">
        <f t="shared" si="33"/>
        <v>4057</v>
      </c>
    </row>
    <row r="158" spans="1:50" ht="16.5">
      <c r="B158" s="135"/>
      <c r="C158" s="1439" t="s">
        <v>397</v>
      </c>
      <c r="D158" s="1439"/>
      <c r="E158" s="24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450"/>
      <c r="Z158" s="1450"/>
      <c r="AA158" s="1450"/>
      <c r="AB158" s="1450"/>
      <c r="AC158" s="1450"/>
      <c r="AD158" s="1450"/>
      <c r="AE158" s="1450"/>
      <c r="AF158" s="1450"/>
      <c r="AG158" s="1450"/>
      <c r="AH158" s="1450"/>
      <c r="AI158" s="1450"/>
      <c r="AJ158" s="1450"/>
      <c r="AK158" s="1450"/>
      <c r="AL158" s="1450"/>
      <c r="AM158" s="1450"/>
      <c r="AN158" s="1450"/>
      <c r="AO158" s="1450"/>
      <c r="AP158" s="1450"/>
      <c r="AQ158" s="1450"/>
      <c r="AX158" s="878">
        <f t="shared" ref="AX158" si="34">SUM(AT158:AW158)</f>
        <v>0</v>
      </c>
    </row>
    <row r="159" spans="1:50" ht="16.5">
      <c r="B159" s="135"/>
      <c r="C159" s="900" t="s">
        <v>398</v>
      </c>
      <c r="D159" s="4"/>
      <c r="E159" s="24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876"/>
      <c r="Z159" s="876"/>
      <c r="AA159" s="876"/>
      <c r="AB159" s="1190"/>
      <c r="AC159" s="876"/>
      <c r="AD159" s="876"/>
      <c r="AE159" s="876"/>
      <c r="AF159" s="876"/>
      <c r="AG159" s="876"/>
      <c r="AH159" s="876"/>
      <c r="AI159" s="876"/>
      <c r="AJ159" s="876"/>
      <c r="AK159" s="876"/>
      <c r="AL159" s="876"/>
      <c r="AM159" s="876"/>
      <c r="AN159" s="876"/>
      <c r="AO159" s="876"/>
      <c r="AP159" s="876"/>
      <c r="AQ159" s="876"/>
    </row>
    <row r="160" spans="1:50" ht="16.5">
      <c r="B160" s="135"/>
      <c r="C160" s="900" t="s">
        <v>399</v>
      </c>
      <c r="D160" s="4"/>
      <c r="E160" s="24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876"/>
      <c r="Z160" s="876"/>
      <c r="AA160" s="876"/>
      <c r="AB160" s="1190"/>
      <c r="AC160" s="876"/>
      <c r="AD160" s="876"/>
      <c r="AE160" s="876"/>
      <c r="AF160" s="876"/>
      <c r="AG160" s="876"/>
      <c r="AH160" s="876"/>
      <c r="AI160" s="876"/>
      <c r="AJ160" s="876"/>
      <c r="AK160" s="876"/>
      <c r="AL160" s="876"/>
      <c r="AM160" s="876"/>
      <c r="AN160" s="876"/>
      <c r="AO160" s="876"/>
      <c r="AP160" s="876"/>
      <c r="AQ160" s="876"/>
    </row>
    <row r="161" spans="1:45" ht="16.5">
      <c r="B161" s="135"/>
      <c r="C161" s="900" t="s">
        <v>736</v>
      </c>
      <c r="D161" s="655"/>
      <c r="E161" s="24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450" t="s">
        <v>800</v>
      </c>
      <c r="Z161" s="1450"/>
      <c r="AA161" s="1450"/>
      <c r="AB161" s="1450"/>
      <c r="AC161" s="1450"/>
      <c r="AD161" s="1450"/>
      <c r="AE161" s="1450"/>
      <c r="AF161" s="1450"/>
      <c r="AG161" s="1450"/>
      <c r="AH161" s="1450"/>
      <c r="AI161" s="1450"/>
      <c r="AJ161" s="1450"/>
      <c r="AK161" s="1450"/>
      <c r="AL161" s="1450"/>
      <c r="AM161" s="1450"/>
      <c r="AN161" s="1450"/>
      <c r="AO161" s="1450"/>
      <c r="AP161" s="1450"/>
      <c r="AQ161" s="1450"/>
    </row>
    <row r="162" spans="1:45" ht="16.5">
      <c r="B162" s="135"/>
      <c r="C162" s="900" t="s">
        <v>404</v>
      </c>
      <c r="D162" s="655"/>
      <c r="E162" s="24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876"/>
      <c r="Z162" s="876"/>
      <c r="AA162" s="876"/>
      <c r="AB162" s="1190"/>
      <c r="AC162" s="876"/>
      <c r="AD162" s="876"/>
      <c r="AE162" s="876"/>
      <c r="AF162" s="876"/>
      <c r="AG162" s="876"/>
      <c r="AH162" s="876"/>
      <c r="AI162" s="876"/>
      <c r="AJ162" s="876"/>
      <c r="AK162" s="876"/>
      <c r="AL162" s="876"/>
      <c r="AM162" s="876"/>
      <c r="AN162" s="876"/>
      <c r="AO162" s="876"/>
      <c r="AP162" s="876"/>
      <c r="AQ162" s="876"/>
    </row>
    <row r="163" spans="1:45" ht="16.5">
      <c r="A163" s="1451" t="s">
        <v>729</v>
      </c>
      <c r="B163" s="1451"/>
      <c r="C163" s="1451"/>
      <c r="D163" s="1451"/>
      <c r="E163" s="1451"/>
      <c r="F163" s="1451"/>
      <c r="G163" s="1451"/>
      <c r="H163" s="1451"/>
      <c r="I163" s="1451"/>
      <c r="J163" s="1451"/>
      <c r="K163" s="1451"/>
      <c r="L163" s="1451"/>
      <c r="M163" s="1451"/>
      <c r="N163" s="1451"/>
      <c r="O163" s="1451"/>
      <c r="P163" s="1451"/>
      <c r="Q163" s="1451"/>
      <c r="R163" s="1451"/>
      <c r="S163" s="1451"/>
      <c r="T163" s="1451"/>
      <c r="U163" s="1451"/>
      <c r="V163" s="1451"/>
      <c r="W163" s="1451"/>
      <c r="X163" s="1451"/>
      <c r="Y163" s="1451"/>
      <c r="Z163" s="1451"/>
      <c r="AA163" s="1451"/>
      <c r="AB163" s="1451"/>
      <c r="AC163" s="1451"/>
      <c r="AD163" s="1451"/>
      <c r="AE163" s="1451"/>
      <c r="AF163" s="1451"/>
      <c r="AG163" s="1451"/>
      <c r="AH163" s="1451"/>
      <c r="AI163" s="1451"/>
      <c r="AJ163" s="1451"/>
      <c r="AK163" s="1451"/>
      <c r="AL163" s="1451"/>
      <c r="AM163" s="1451"/>
      <c r="AN163" s="1451"/>
      <c r="AO163" s="1451"/>
      <c r="AP163" s="1451"/>
      <c r="AQ163" s="1451"/>
    </row>
    <row r="164" spans="1:45" ht="16.5">
      <c r="B164" s="135"/>
      <c r="C164" s="135"/>
      <c r="D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191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9"/>
    </row>
    <row r="165" spans="1:45" ht="15.75" customHeight="1">
      <c r="D165" s="137"/>
      <c r="F165" s="137"/>
      <c r="G165" s="137"/>
      <c r="H165" s="137"/>
      <c r="I165" s="137"/>
      <c r="J165" s="140"/>
      <c r="K165" s="140"/>
      <c r="L165" s="137"/>
      <c r="M165" s="137"/>
      <c r="N165" s="140"/>
      <c r="O165" s="140"/>
      <c r="P165" s="137"/>
      <c r="Q165" s="137"/>
      <c r="R165" s="140"/>
      <c r="S165" s="137"/>
      <c r="T165" s="137"/>
      <c r="U165" s="139"/>
      <c r="V165" s="137"/>
      <c r="W165" s="137"/>
      <c r="X165" s="137"/>
      <c r="Y165" s="137"/>
      <c r="Z165" s="137"/>
      <c r="AA165" s="137"/>
      <c r="AB165" s="1191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S165" s="902"/>
    </row>
    <row r="166" spans="1:45" ht="16.5">
      <c r="D166" s="137"/>
      <c r="F166" s="137"/>
      <c r="G166" s="137"/>
      <c r="H166" s="137"/>
      <c r="I166" s="137"/>
      <c r="J166" s="140"/>
      <c r="K166" s="140"/>
      <c r="L166" s="140"/>
      <c r="M166" s="137"/>
      <c r="N166" s="137"/>
      <c r="O166" s="137"/>
      <c r="P166" s="137"/>
      <c r="Q166" s="137"/>
      <c r="R166" s="140"/>
      <c r="S166" s="137"/>
      <c r="T166" s="137"/>
      <c r="U166" s="139"/>
      <c r="V166" s="137"/>
      <c r="W166" s="137"/>
      <c r="X166" s="137"/>
      <c r="Y166" s="137"/>
      <c r="Z166" s="137"/>
      <c r="AA166" s="137"/>
      <c r="AB166" s="1191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</row>
    <row r="167" spans="1:45" ht="16.5">
      <c r="D167" s="137"/>
      <c r="E167" s="137"/>
      <c r="F167" s="137"/>
      <c r="G167" s="137"/>
      <c r="H167" s="137"/>
      <c r="I167" s="137"/>
      <c r="J167" s="140"/>
      <c r="K167" s="140"/>
      <c r="L167" s="140"/>
      <c r="M167" s="137"/>
      <c r="N167" s="137"/>
      <c r="O167" s="137"/>
      <c r="P167" s="137"/>
      <c r="Q167" s="137"/>
      <c r="R167" s="137"/>
      <c r="S167" s="137"/>
      <c r="T167" s="137"/>
      <c r="U167" s="139"/>
      <c r="V167" s="137"/>
      <c r="W167" s="137"/>
      <c r="X167" s="137"/>
      <c r="Y167" s="137"/>
      <c r="Z167" s="137"/>
      <c r="AA167" s="137"/>
      <c r="AB167" s="1191"/>
      <c r="AC167" s="137"/>
      <c r="AD167" s="137"/>
      <c r="AF167" s="137"/>
      <c r="AQ167" s="137"/>
    </row>
    <row r="168" spans="1:45">
      <c r="J168" s="136"/>
      <c r="K168" s="136"/>
      <c r="L168" s="136"/>
      <c r="M168" s="135"/>
      <c r="N168" s="135"/>
      <c r="O168" s="135"/>
      <c r="P168" s="135"/>
      <c r="Q168" s="135"/>
      <c r="U168" s="903"/>
    </row>
    <row r="169" spans="1:45" ht="16.5"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</row>
    <row r="172" spans="1:45" ht="16.5">
      <c r="B172" s="1448"/>
      <c r="C172" s="1448"/>
      <c r="D172" s="1448"/>
    </row>
    <row r="173" spans="1:45" ht="16.5">
      <c r="B173" s="596"/>
      <c r="C173" s="596"/>
      <c r="D173" s="596"/>
    </row>
    <row r="174" spans="1:45" ht="16.5">
      <c r="B174" s="596"/>
      <c r="C174" s="596"/>
      <c r="D174" s="596"/>
    </row>
    <row r="175" spans="1:45" ht="16.5">
      <c r="B175" s="596"/>
      <c r="C175" s="596"/>
      <c r="D175" s="596"/>
    </row>
    <row r="176" spans="1:45" ht="16.5">
      <c r="B176" s="596"/>
      <c r="C176" s="596"/>
      <c r="D176" s="596"/>
    </row>
    <row r="177" spans="2:37" ht="16.5">
      <c r="B177" s="596"/>
      <c r="C177" s="596"/>
      <c r="D177" s="596"/>
    </row>
    <row r="178" spans="2:37" ht="16.5">
      <c r="B178" s="596"/>
      <c r="C178" s="596"/>
      <c r="D178" s="596"/>
    </row>
    <row r="179" spans="2:37" ht="16.5">
      <c r="B179" s="596"/>
      <c r="C179" s="596"/>
      <c r="D179" s="596"/>
    </row>
    <row r="180" spans="2:37" ht="16.5">
      <c r="B180" s="137"/>
      <c r="C180" s="137"/>
      <c r="D180" s="1439" t="s">
        <v>397</v>
      </c>
      <c r="E180" s="1439"/>
      <c r="F180" s="901"/>
      <c r="G180" s="901"/>
      <c r="H180" s="901"/>
      <c r="I180" s="901"/>
      <c r="J180" s="904"/>
      <c r="K180" s="137"/>
      <c r="L180" s="1448"/>
      <c r="M180" s="1448"/>
      <c r="N180" s="1448"/>
      <c r="O180" s="1448"/>
      <c r="P180" s="1448"/>
      <c r="Q180" s="1448"/>
    </row>
    <row r="181" spans="2:37" ht="16.5">
      <c r="B181" s="386"/>
      <c r="C181" s="386"/>
      <c r="D181" s="900" t="s">
        <v>398</v>
      </c>
      <c r="E181" s="901"/>
      <c r="F181" s="901"/>
      <c r="G181" s="901"/>
      <c r="H181" s="901"/>
      <c r="I181" s="901"/>
      <c r="J181" s="904"/>
      <c r="K181" s="137"/>
      <c r="L181" s="1448"/>
      <c r="M181" s="1448"/>
      <c r="N181" s="1448"/>
      <c r="O181" s="1448"/>
      <c r="P181" s="1448"/>
      <c r="Q181" s="1448"/>
    </row>
    <row r="182" spans="2:37" ht="16.5">
      <c r="B182" s="386"/>
      <c r="C182" s="386"/>
      <c r="D182" s="900" t="s">
        <v>399</v>
      </c>
      <c r="E182" s="901"/>
      <c r="F182" s="901"/>
      <c r="G182" s="901"/>
      <c r="H182" s="901"/>
      <c r="I182" s="901"/>
      <c r="J182" s="904"/>
      <c r="K182" s="137"/>
      <c r="L182" s="596"/>
      <c r="M182" s="596"/>
      <c r="N182" s="596"/>
      <c r="O182" s="596"/>
      <c r="P182" s="596"/>
      <c r="Q182" s="596"/>
    </row>
    <row r="183" spans="2:37" ht="16.5">
      <c r="B183" s="386"/>
      <c r="C183" s="386"/>
      <c r="D183" s="900" t="s">
        <v>403</v>
      </c>
      <c r="E183" s="901"/>
      <c r="F183" s="901"/>
      <c r="G183" s="901"/>
      <c r="H183" s="901"/>
      <c r="I183" s="901"/>
      <c r="J183" s="904"/>
      <c r="K183" s="137"/>
      <c r="L183" s="1448"/>
      <c r="M183" s="1448"/>
      <c r="N183" s="1448"/>
      <c r="O183" s="1448"/>
      <c r="P183" s="1448"/>
      <c r="Q183" s="1448"/>
    </row>
    <row r="184" spans="2:37" ht="16.5">
      <c r="B184" s="386"/>
      <c r="C184" s="386"/>
      <c r="D184" s="900" t="s">
        <v>404</v>
      </c>
      <c r="E184" s="901"/>
      <c r="F184" s="901"/>
      <c r="G184" s="901"/>
      <c r="H184" s="901"/>
      <c r="I184" s="901"/>
      <c r="J184" s="904"/>
      <c r="K184" s="137"/>
      <c r="L184" s="596"/>
      <c r="M184" s="596"/>
      <c r="N184" s="596"/>
      <c r="O184" s="596"/>
      <c r="P184" s="596"/>
      <c r="Q184" s="596"/>
    </row>
    <row r="185" spans="2:37" ht="16.5">
      <c r="B185" s="386"/>
      <c r="C185" s="386"/>
      <c r="D185" s="900" t="s">
        <v>405</v>
      </c>
      <c r="E185" s="901"/>
      <c r="F185" s="901"/>
      <c r="G185" s="901"/>
      <c r="H185" s="901"/>
      <c r="I185" s="901"/>
      <c r="J185" s="904"/>
      <c r="K185" s="137"/>
      <c r="L185" s="1448"/>
      <c r="M185" s="1448"/>
      <c r="N185" s="1448"/>
      <c r="O185" s="1448"/>
      <c r="P185" s="1448"/>
      <c r="Q185" s="1448"/>
    </row>
    <row r="186" spans="2:37" ht="16.5">
      <c r="B186" s="137"/>
      <c r="C186" s="137"/>
      <c r="D186" s="900" t="s">
        <v>406</v>
      </c>
      <c r="E186" s="901"/>
      <c r="F186" s="901"/>
      <c r="G186" s="901"/>
      <c r="H186" s="901"/>
      <c r="I186" s="901"/>
    </row>
    <row r="187" spans="2:37" ht="16.5">
      <c r="B187" s="386"/>
      <c r="C187" s="386"/>
      <c r="D187" s="1448"/>
      <c r="E187" s="1448"/>
      <c r="F187" s="1448"/>
      <c r="G187" s="1448"/>
      <c r="H187" s="1448"/>
      <c r="I187" s="1448"/>
    </row>
    <row r="188" spans="2:37" ht="16.5">
      <c r="B188" s="386"/>
      <c r="C188" s="386"/>
      <c r="D188" s="1448"/>
      <c r="E188" s="1448"/>
      <c r="F188" s="1448"/>
      <c r="G188" s="1448"/>
      <c r="H188" s="1448"/>
      <c r="I188" s="1448"/>
    </row>
    <row r="189" spans="2:37" ht="16.5">
      <c r="B189" s="386"/>
      <c r="C189" s="386"/>
      <c r="D189" s="1448"/>
      <c r="E189" s="1448"/>
      <c r="F189" s="1448"/>
      <c r="G189" s="1448"/>
      <c r="H189" s="1448"/>
      <c r="I189" s="1448"/>
      <c r="AK189" s="878" t="s">
        <v>695</v>
      </c>
    </row>
    <row r="190" spans="2:37" ht="16.5">
      <c r="B190" s="905"/>
      <c r="C190" s="905"/>
      <c r="D190" s="1448"/>
      <c r="E190" s="1448"/>
      <c r="F190" s="1448"/>
      <c r="G190" s="1448"/>
      <c r="H190" s="1448"/>
      <c r="I190" s="1448"/>
    </row>
  </sheetData>
  <mergeCells count="36">
    <mergeCell ref="D10:D11"/>
    <mergeCell ref="AM10:AM11"/>
    <mergeCell ref="AL10:AL11"/>
    <mergeCell ref="AP10:AP11"/>
    <mergeCell ref="AN10:AN11"/>
    <mergeCell ref="AO10:AO11"/>
    <mergeCell ref="L185:Q185"/>
    <mergeCell ref="Y158:AQ158"/>
    <mergeCell ref="L180:Q180"/>
    <mergeCell ref="L181:Q181"/>
    <mergeCell ref="D180:E180"/>
    <mergeCell ref="L183:Q183"/>
    <mergeCell ref="Y161:AQ161"/>
    <mergeCell ref="A163:AQ163"/>
    <mergeCell ref="D190:I190"/>
    <mergeCell ref="A157:E157"/>
    <mergeCell ref="D189:I189"/>
    <mergeCell ref="D187:I187"/>
    <mergeCell ref="D188:I188"/>
    <mergeCell ref="B172:D172"/>
    <mergeCell ref="B7:AQ7"/>
    <mergeCell ref="A8:AQ8"/>
    <mergeCell ref="C158:D158"/>
    <mergeCell ref="B1:AQ1"/>
    <mergeCell ref="B2:AQ2"/>
    <mergeCell ref="B3:AQ3"/>
    <mergeCell ref="B5:P5"/>
    <mergeCell ref="B6:P6"/>
    <mergeCell ref="A12:E12"/>
    <mergeCell ref="A94:E94"/>
    <mergeCell ref="A10:B11"/>
    <mergeCell ref="C10:C11"/>
    <mergeCell ref="AQ10:AQ11"/>
    <mergeCell ref="F10:AJ10"/>
    <mergeCell ref="AK10:AK11"/>
    <mergeCell ref="E10:E11"/>
  </mergeCells>
  <phoneticPr fontId="24" type="noConversion"/>
  <conditionalFormatting sqref="F13:AC92">
    <cfRule type="containsBlanks" dxfId="2818" priority="482">
      <formula>LEN(TRIM(F13))=0</formula>
    </cfRule>
    <cfRule type="containsBlanks" dxfId="2817" priority="483">
      <formula>LEN(TRIM(F13))=0</formula>
    </cfRule>
  </conditionalFormatting>
  <conditionalFormatting sqref="F95:AC156">
    <cfRule type="containsBlanks" dxfId="2816" priority="2816">
      <formula>LEN(TRIM(F95))=0</formula>
    </cfRule>
    <cfRule type="containsBlanks" dxfId="2815" priority="2817">
      <formula>LEN(TRIM(F95))=0</formula>
    </cfRule>
  </conditionalFormatting>
  <conditionalFormatting sqref="K13:K85">
    <cfRule type="containsBlanks" dxfId="2814" priority="445">
      <formula>LEN(TRIM(K13))=0</formula>
    </cfRule>
    <cfRule type="containsBlanks" dxfId="2813" priority="446">
      <formula>LEN(TRIM(K13))=0</formula>
    </cfRule>
  </conditionalFormatting>
  <conditionalFormatting sqref="K95:K156">
    <cfRule type="containsBlanks" dxfId="2812" priority="2784">
      <formula>LEN(TRIM(K95))=0</formula>
    </cfRule>
    <cfRule type="containsBlanks" dxfId="2811" priority="2785">
      <formula>LEN(TRIM(K95))=0</formula>
    </cfRule>
  </conditionalFormatting>
  <conditionalFormatting sqref="K104">
    <cfRule type="containsBlanks" dxfId="2810" priority="1908">
      <formula>LEN(TRIM(K104))=0</formula>
    </cfRule>
    <cfRule type="containsBlanks" dxfId="2809" priority="1911">
      <formula>LEN(TRIM(K104))=0</formula>
    </cfRule>
    <cfRule type="containsBlanks" dxfId="2808" priority="1910">
      <formula>LEN(TRIM(K104))=0</formula>
    </cfRule>
    <cfRule type="containsBlanks" dxfId="2807" priority="1909">
      <formula>LEN(TRIM(K104))=0</formula>
    </cfRule>
  </conditionalFormatting>
  <conditionalFormatting sqref="K107">
    <cfRule type="containsBlanks" dxfId="2806" priority="2783">
      <formula>LEN(TRIM(K107))=0</formula>
    </cfRule>
    <cfRule type="containsBlanks" dxfId="2805" priority="2782">
      <formula>LEN(TRIM(K107))=0</formula>
    </cfRule>
  </conditionalFormatting>
  <conditionalFormatting sqref="K110:K156">
    <cfRule type="containsBlanks" dxfId="2804" priority="2778">
      <formula>LEN(TRIM(K110))=0</formula>
    </cfRule>
    <cfRule type="containsBlanks" dxfId="2803" priority="2779">
      <formula>LEN(TRIM(K110))=0</formula>
    </cfRule>
  </conditionalFormatting>
  <conditionalFormatting sqref="K138:K156">
    <cfRule type="containsBlanks" dxfId="2802" priority="2776">
      <formula>LEN(TRIM(K138))=0</formula>
    </cfRule>
    <cfRule type="containsBlanks" dxfId="2801" priority="2777">
      <formula>LEN(TRIM(K138))=0</formula>
    </cfRule>
  </conditionalFormatting>
  <conditionalFormatting sqref="K146">
    <cfRule type="containsBlanks" dxfId="2800" priority="2780">
      <formula>LEN(TRIM(K146))=0</formula>
    </cfRule>
    <cfRule type="containsBlanks" dxfId="2799" priority="2781">
      <formula>LEN(TRIM(K146))=0</formula>
    </cfRule>
  </conditionalFormatting>
  <conditionalFormatting sqref="K25:N25">
    <cfRule type="containsBlanks" dxfId="2798" priority="443">
      <formula>LEN(TRIM(K25))=0</formula>
    </cfRule>
    <cfRule type="containsBlanks" dxfId="2797" priority="444">
      <formula>LEN(TRIM(K25))=0</formula>
    </cfRule>
  </conditionalFormatting>
  <conditionalFormatting sqref="K28:N82">
    <cfRule type="containsBlanks" dxfId="2796" priority="435">
      <formula>LEN(TRIM(K28))=0</formula>
    </cfRule>
    <cfRule type="containsBlanks" dxfId="2795" priority="436">
      <formula>LEN(TRIM(K28))=0</formula>
    </cfRule>
  </conditionalFormatting>
  <conditionalFormatting sqref="K56:N85">
    <cfRule type="containsBlanks" dxfId="2794" priority="434">
      <formula>LEN(TRIM(K56))=0</formula>
    </cfRule>
    <cfRule type="containsBlanks" dxfId="2793" priority="433">
      <formula>LEN(TRIM(K56))=0</formula>
    </cfRule>
  </conditionalFormatting>
  <conditionalFormatting sqref="K64:N64">
    <cfRule type="containsBlanks" dxfId="2792" priority="442">
      <formula>LEN(TRIM(K64))=0</formula>
    </cfRule>
    <cfRule type="containsBlanks" dxfId="2791" priority="441">
      <formula>LEN(TRIM(K64))=0</formula>
    </cfRule>
  </conditionalFormatting>
  <conditionalFormatting sqref="K81:N81">
    <cfRule type="containsBlanks" dxfId="2790" priority="152">
      <formula>LEN(TRIM(K81))=0</formula>
    </cfRule>
    <cfRule type="containsBlanks" dxfId="2789" priority="150">
      <formula>LEN(TRIM(K81))=0</formula>
    </cfRule>
    <cfRule type="containsBlanks" dxfId="2788" priority="149">
      <formula>LEN(TRIM(K81))=0</formula>
    </cfRule>
    <cfRule type="containsBlanks" dxfId="2787" priority="148">
      <formula>LEN(TRIM(K81))=0</formula>
    </cfRule>
    <cfRule type="containsBlanks" dxfId="2786" priority="147">
      <formula>LEN(TRIM(K81))=0</formula>
    </cfRule>
    <cfRule type="containsBlanks" dxfId="2785" priority="151">
      <formula>LEN(TRIM(K81))=0</formula>
    </cfRule>
  </conditionalFormatting>
  <conditionalFormatting sqref="L13:L86">
    <cfRule type="containsBlanks" dxfId="2784" priority="440">
      <formula>LEN(TRIM(L13))=0</formula>
    </cfRule>
    <cfRule type="containsBlanks" dxfId="2783" priority="439">
      <formula>LEN(TRIM(L13))=0</formula>
    </cfRule>
  </conditionalFormatting>
  <conditionalFormatting sqref="L95">
    <cfRule type="containsBlanks" dxfId="2782" priority="1749">
      <formula>LEN(TRIM(L95))=0</formula>
    </cfRule>
    <cfRule type="containsBlanks" dxfId="2781" priority="1748">
      <formula>LEN(TRIM(L95))=0</formula>
    </cfRule>
  </conditionalFormatting>
  <conditionalFormatting sqref="L95:L156">
    <cfRule type="containsBlanks" dxfId="2780" priority="1912">
      <formula>LEN(TRIM(L95))=0</formula>
    </cfRule>
    <cfRule type="containsBlanks" dxfId="2779" priority="2775">
      <formula>LEN(TRIM(L95))=0</formula>
    </cfRule>
    <cfRule type="containsBlanks" dxfId="2778" priority="2774">
      <formula>LEN(TRIM(L95))=0</formula>
    </cfRule>
    <cfRule type="containsBlanks" dxfId="2777" priority="1913">
      <formula>LEN(TRIM(L95))=0</formula>
    </cfRule>
  </conditionalFormatting>
  <conditionalFormatting sqref="L100">
    <cfRule type="containsBlanks" dxfId="2776" priority="1906">
      <formula>LEN(TRIM(L100))=0</formula>
    </cfRule>
    <cfRule type="containsBlanks" dxfId="2775" priority="1907">
      <formula>LEN(TRIM(L100))=0</formula>
    </cfRule>
  </conditionalFormatting>
  <conditionalFormatting sqref="L128">
    <cfRule type="containsBlanks" dxfId="2774" priority="2766">
      <formula>LEN(TRIM(L128))=0</formula>
    </cfRule>
    <cfRule type="containsBlanks" dxfId="2773" priority="2769">
      <formula>LEN(TRIM(L128))=0</formula>
    </cfRule>
    <cfRule type="containsBlanks" dxfId="2772" priority="2768">
      <formula>LEN(TRIM(L128))=0</formula>
    </cfRule>
    <cfRule type="containsBlanks" dxfId="2771" priority="2767">
      <formula>LEN(TRIM(L128))=0</formula>
    </cfRule>
  </conditionalFormatting>
  <conditionalFormatting sqref="L131">
    <cfRule type="containsBlanks" dxfId="2770" priority="1790">
      <formula>LEN(TRIM(L131))=0</formula>
    </cfRule>
    <cfRule type="containsBlanks" dxfId="2769" priority="1791">
      <formula>LEN(TRIM(L131))=0</formula>
    </cfRule>
    <cfRule type="containsBlanks" dxfId="2768" priority="1792">
      <formula>LEN(TRIM(L131))=0</formula>
    </cfRule>
    <cfRule type="containsBlanks" dxfId="2767" priority="1793">
      <formula>LEN(TRIM(L131))=0</formula>
    </cfRule>
  </conditionalFormatting>
  <conditionalFormatting sqref="L137">
    <cfRule type="containsBlanks" dxfId="2766" priority="1904">
      <formula>LEN(TRIM(L137))=0</formula>
    </cfRule>
    <cfRule type="containsBlanks" dxfId="2765" priority="1905">
      <formula>LEN(TRIM(L137))=0</formula>
    </cfRule>
  </conditionalFormatting>
  <conditionalFormatting sqref="L139">
    <cfRule type="containsBlanks" dxfId="2764" priority="1902">
      <formula>LEN(TRIM(L139))=0</formula>
    </cfRule>
    <cfRule type="containsBlanks" dxfId="2763" priority="1903">
      <formula>LEN(TRIM(L139))=0</formula>
    </cfRule>
  </conditionalFormatting>
  <conditionalFormatting sqref="L140">
    <cfRule type="containsBlanks" dxfId="2762" priority="2773">
      <formula>LEN(TRIM(L140))=0</formula>
    </cfRule>
    <cfRule type="containsBlanks" dxfId="2761" priority="2770">
      <formula>LEN(TRIM(L140))=0</formula>
    </cfRule>
    <cfRule type="containsBlanks" dxfId="2760" priority="2771">
      <formula>LEN(TRIM(L140))=0</formula>
    </cfRule>
    <cfRule type="containsBlanks" dxfId="2759" priority="2772">
      <formula>LEN(TRIM(L140))=0</formula>
    </cfRule>
  </conditionalFormatting>
  <conditionalFormatting sqref="L146">
    <cfRule type="containsBlanks" dxfId="2758" priority="1899">
      <formula>LEN(TRIM(L146))=0</formula>
    </cfRule>
    <cfRule type="containsBlanks" dxfId="2757" priority="1898">
      <formula>LEN(TRIM(L146))=0</formula>
    </cfRule>
    <cfRule type="containsBlanks" dxfId="2756" priority="1897">
      <formula>LEN(TRIM(L146))=0</formula>
    </cfRule>
    <cfRule type="containsBlanks" dxfId="2755" priority="1896">
      <formula>LEN(TRIM(L146))=0</formula>
    </cfRule>
    <cfRule type="containsBlanks" dxfId="2754" priority="1901">
      <formula>LEN(TRIM(L146))=0</formula>
    </cfRule>
    <cfRule type="containsBlanks" dxfId="2753" priority="1900">
      <formula>LEN(TRIM(L146))=0</formula>
    </cfRule>
  </conditionalFormatting>
  <conditionalFormatting sqref="M95:M153">
    <cfRule type="containsBlanks" dxfId="2752" priority="1893">
      <formula>LEN(TRIM(M95))=0</formula>
    </cfRule>
    <cfRule type="containsBlanks" dxfId="2751" priority="1892">
      <formula>LEN(TRIM(M95))=0</formula>
    </cfRule>
    <cfRule type="containsBlanks" dxfId="2750" priority="1894">
      <formula>LEN(TRIM(M95))=0</formula>
    </cfRule>
    <cfRule type="containsBlanks" dxfId="2749" priority="2042">
      <formula>LEN(TRIM(M95))=0</formula>
    </cfRule>
    <cfRule type="containsBlanks" dxfId="2748" priority="2043">
      <formula>LEN(TRIM(M95))=0</formula>
    </cfRule>
    <cfRule type="containsBlanks" dxfId="2747" priority="1895">
      <formula>LEN(TRIM(M95))=0</formula>
    </cfRule>
  </conditionalFormatting>
  <conditionalFormatting sqref="M95:M156">
    <cfRule type="containsBlanks" dxfId="2746" priority="2764">
      <formula>LEN(TRIM(M95))=0</formula>
    </cfRule>
    <cfRule type="containsBlanks" dxfId="2745" priority="2765">
      <formula>LEN(TRIM(M95))=0</formula>
    </cfRule>
  </conditionalFormatting>
  <conditionalFormatting sqref="M110">
    <cfRule type="containsBlanks" dxfId="2744" priority="2755">
      <formula>LEN(TRIM(M110))=0</formula>
    </cfRule>
    <cfRule type="containsBlanks" dxfId="2743" priority="2754">
      <formula>LEN(TRIM(M110))=0</formula>
    </cfRule>
    <cfRule type="containsBlanks" dxfId="2742" priority="2753">
      <formula>LEN(TRIM(M110))=0</formula>
    </cfRule>
    <cfRule type="containsBlanks" dxfId="2741" priority="2752">
      <formula>LEN(TRIM(M110))=0</formula>
    </cfRule>
  </conditionalFormatting>
  <conditionalFormatting sqref="M114">
    <cfRule type="containsBlanks" dxfId="2740" priority="1850">
      <formula>LEN(TRIM(M114))=0</formula>
    </cfRule>
    <cfRule type="containsBlanks" dxfId="2739" priority="1851">
      <formula>LEN(TRIM(M114))=0</formula>
    </cfRule>
    <cfRule type="containsBlanks" dxfId="2738" priority="1852">
      <formula>LEN(TRIM(M114))=0</formula>
    </cfRule>
    <cfRule type="containsBlanks" dxfId="2737" priority="1853">
      <formula>LEN(TRIM(M114))=0</formula>
    </cfRule>
    <cfRule type="containsBlanks" dxfId="2736" priority="1854">
      <formula>LEN(TRIM(M114))=0</formula>
    </cfRule>
    <cfRule type="containsBlanks" dxfId="2735" priority="1855">
      <formula>LEN(TRIM(M114))=0</formula>
    </cfRule>
    <cfRule type="containsBlanks" dxfId="2734" priority="1856">
      <formula>LEN(TRIM(M114))=0</formula>
    </cfRule>
    <cfRule type="containsBlanks" dxfId="2733" priority="1857">
      <formula>LEN(TRIM(M114))=0</formula>
    </cfRule>
    <cfRule type="containsBlanks" dxfId="2732" priority="1858">
      <formula>LEN(TRIM(M114))=0</formula>
    </cfRule>
    <cfRule type="containsBlanks" dxfId="2731" priority="1859">
      <formula>LEN(TRIM(M114))=0</formula>
    </cfRule>
    <cfRule type="containsBlanks" dxfId="2730" priority="1860">
      <formula>LEN(TRIM(M114))=0</formula>
    </cfRule>
    <cfRule type="containsBlanks" dxfId="2729" priority="1866">
      <formula>LEN(TRIM(M114))=0</formula>
    </cfRule>
    <cfRule type="containsBlanks" dxfId="2728" priority="1863">
      <formula>LEN(TRIM(M114))=0</formula>
    </cfRule>
    <cfRule type="containsBlanks" dxfId="2727" priority="1867">
      <formula>LEN(TRIM(M114))=0</formula>
    </cfRule>
    <cfRule type="containsBlanks" dxfId="2726" priority="1868">
      <formula>LEN(TRIM(M114))=0</formula>
    </cfRule>
    <cfRule type="containsBlanks" dxfId="2725" priority="1869">
      <formula>LEN(TRIM(M114))=0</formula>
    </cfRule>
    <cfRule type="containsBlanks" dxfId="2724" priority="1862">
      <formula>LEN(TRIM(M114))=0</formula>
    </cfRule>
    <cfRule type="containsBlanks" dxfId="2723" priority="1864">
      <formula>LEN(TRIM(M114))=0</formula>
    </cfRule>
    <cfRule type="containsBlanks" dxfId="2722" priority="1865">
      <formula>LEN(TRIM(M114))=0</formula>
    </cfRule>
    <cfRule type="containsBlanks" dxfId="2721" priority="1861">
      <formula>LEN(TRIM(M114))=0</formula>
    </cfRule>
  </conditionalFormatting>
  <conditionalFormatting sqref="M146:M147">
    <cfRule type="containsBlanks" dxfId="2720" priority="2760">
      <formula>LEN(TRIM(M146))=0</formula>
    </cfRule>
    <cfRule type="containsBlanks" dxfId="2719" priority="2761">
      <formula>LEN(TRIM(M146))=0</formula>
    </cfRule>
    <cfRule type="containsBlanks" dxfId="2718" priority="2763">
      <formula>LEN(TRIM(M146))=0</formula>
    </cfRule>
    <cfRule type="containsBlanks" dxfId="2717" priority="2762">
      <formula>LEN(TRIM(M146))=0</formula>
    </cfRule>
  </conditionalFormatting>
  <conditionalFormatting sqref="M151">
    <cfRule type="containsBlanks" dxfId="2716" priority="2756">
      <formula>LEN(TRIM(M151))=0</formula>
    </cfRule>
    <cfRule type="containsBlanks" dxfId="2715" priority="2758">
      <formula>LEN(TRIM(M151))=0</formula>
    </cfRule>
    <cfRule type="containsBlanks" dxfId="2714" priority="2757">
      <formula>LEN(TRIM(M151))=0</formula>
    </cfRule>
    <cfRule type="containsBlanks" dxfId="2713" priority="2759">
      <formula>LEN(TRIM(M151))=0</formula>
    </cfRule>
  </conditionalFormatting>
  <conditionalFormatting sqref="M14:N85">
    <cfRule type="containsBlanks" dxfId="2712" priority="438">
      <formula>LEN(TRIM(M14))=0</formula>
    </cfRule>
    <cfRule type="containsBlanks" dxfId="2711" priority="437">
      <formula>LEN(TRIM(M14))=0</formula>
    </cfRule>
  </conditionalFormatting>
  <conditionalFormatting sqref="N95:N156">
    <cfRule type="containsBlanks" dxfId="2710" priority="1891">
      <formula>LEN(TRIM(N95))=0</formula>
    </cfRule>
    <cfRule type="containsBlanks" dxfId="2709" priority="1889">
      <formula>LEN(TRIM(N95))=0</formula>
    </cfRule>
    <cfRule type="containsBlanks" dxfId="2708" priority="1888">
      <formula>LEN(TRIM(N95))=0</formula>
    </cfRule>
    <cfRule type="containsBlanks" dxfId="2707" priority="2751">
      <formula>LEN(TRIM(N95))=0</formula>
    </cfRule>
    <cfRule type="containsBlanks" dxfId="2706" priority="2750">
      <formula>LEN(TRIM(N95))=0</formula>
    </cfRule>
    <cfRule type="containsBlanks" dxfId="2705" priority="1887">
      <formula>LEN(TRIM(N95))=0</formula>
    </cfRule>
    <cfRule type="containsBlanks" dxfId="2704" priority="1886">
      <formula>LEN(TRIM(N95))=0</formula>
    </cfRule>
    <cfRule type="containsBlanks" dxfId="2703" priority="1885">
      <formula>LEN(TRIM(N95))=0</formula>
    </cfRule>
    <cfRule type="containsBlanks" dxfId="2702" priority="1884">
      <formula>LEN(TRIM(N95))=0</formula>
    </cfRule>
  </conditionalFormatting>
  <conditionalFormatting sqref="N103:N152">
    <cfRule type="containsBlanks" dxfId="2701" priority="2040">
      <formula>LEN(TRIM(N103))=0</formula>
    </cfRule>
    <cfRule type="containsBlanks" dxfId="2700" priority="2041">
      <formula>LEN(TRIM(N103))=0</formula>
    </cfRule>
  </conditionalFormatting>
  <conditionalFormatting sqref="N115">
    <cfRule type="containsBlanks" dxfId="2699" priority="1874">
      <formula>LEN(TRIM(N115))=0</formula>
    </cfRule>
    <cfRule type="containsBlanks" dxfId="2698" priority="1873">
      <formula>LEN(TRIM(N115))=0</formula>
    </cfRule>
    <cfRule type="containsBlanks" dxfId="2697" priority="1872">
      <formula>LEN(TRIM(N115))=0</formula>
    </cfRule>
    <cfRule type="containsBlanks" dxfId="2696" priority="1870">
      <formula>LEN(TRIM(N115))=0</formula>
    </cfRule>
    <cfRule type="containsBlanks" dxfId="2695" priority="1871">
      <formula>LEN(TRIM(N115))=0</formula>
    </cfRule>
    <cfRule type="containsBlanks" dxfId="2694" priority="1875">
      <formula>LEN(TRIM(N115))=0</formula>
    </cfRule>
  </conditionalFormatting>
  <conditionalFormatting sqref="N148">
    <cfRule type="containsBlanks" dxfId="2693" priority="1880">
      <formula>LEN(TRIM(N148))=0</formula>
    </cfRule>
    <cfRule type="containsBlanks" dxfId="2692" priority="1883">
      <formula>LEN(TRIM(N148))=0</formula>
    </cfRule>
    <cfRule type="containsBlanks" dxfId="2691" priority="1882">
      <formula>LEN(TRIM(N148))=0</formula>
    </cfRule>
    <cfRule type="containsBlanks" dxfId="2690" priority="1881">
      <formula>LEN(TRIM(N148))=0</formula>
    </cfRule>
  </conditionalFormatting>
  <conditionalFormatting sqref="N150">
    <cfRule type="containsBlanks" dxfId="2689" priority="1879">
      <formula>LEN(TRIM(N150))=0</formula>
    </cfRule>
    <cfRule type="containsBlanks" dxfId="2688" priority="1878">
      <formula>LEN(TRIM(N150))=0</formula>
    </cfRule>
    <cfRule type="containsBlanks" dxfId="2687" priority="1877">
      <formula>LEN(TRIM(N150))=0</formula>
    </cfRule>
    <cfRule type="containsBlanks" dxfId="2686" priority="1876">
      <formula>LEN(TRIM(N150))=0</formula>
    </cfRule>
  </conditionalFormatting>
  <conditionalFormatting sqref="N95:O102 O103:O156">
    <cfRule type="containsBlanks" dxfId="2685" priority="2009">
      <formula>LEN(TRIM(N95))=0</formula>
    </cfRule>
  </conditionalFormatting>
  <conditionalFormatting sqref="N95:O102">
    <cfRule type="containsBlanks" dxfId="2684" priority="2008">
      <formula>LEN(TRIM(N95))=0</formula>
    </cfRule>
  </conditionalFormatting>
  <conditionalFormatting sqref="N95:O152">
    <cfRule type="containsBlanks" dxfId="2683" priority="2014">
      <formula>LEN(TRIM(N95))=0</formula>
    </cfRule>
    <cfRule type="containsBlanks" dxfId="2682" priority="2015">
      <formula>LEN(TRIM(N95))=0</formula>
    </cfRule>
  </conditionalFormatting>
  <conditionalFormatting sqref="N95:O156">
    <cfRule type="containsBlanks" dxfId="2681" priority="1890">
      <formula>LEN(TRIM(N95))=0</formula>
    </cfRule>
  </conditionalFormatting>
  <conditionalFormatting sqref="N128:O128">
    <cfRule type="containsBlanks" dxfId="2680" priority="1764">
      <formula>LEN(TRIM(N128))=0</formula>
    </cfRule>
    <cfRule type="containsBlanks" dxfId="2679" priority="1765">
      <formula>LEN(TRIM(N128))=0</formula>
    </cfRule>
    <cfRule type="containsBlanks" dxfId="2678" priority="1767">
      <formula>LEN(TRIM(N128))=0</formula>
    </cfRule>
    <cfRule type="containsBlanks" dxfId="2677" priority="1763">
      <formula>LEN(TRIM(N128))=0</formula>
    </cfRule>
    <cfRule type="containsBlanks" dxfId="2676" priority="1761">
      <formula>LEN(TRIM(N128))=0</formula>
    </cfRule>
    <cfRule type="containsBlanks" dxfId="2675" priority="1766">
      <formula>LEN(TRIM(N128))=0</formula>
    </cfRule>
    <cfRule type="containsBlanks" dxfId="2674" priority="1760">
      <formula>LEN(TRIM(N128))=0</formula>
    </cfRule>
    <cfRule type="containsBlanks" dxfId="2673" priority="1762">
      <formula>LEN(TRIM(N128))=0</formula>
    </cfRule>
  </conditionalFormatting>
  <conditionalFormatting sqref="N136:O136">
    <cfRule type="containsBlanks" dxfId="2672" priority="2748">
      <formula>LEN(TRIM(N136))=0</formula>
    </cfRule>
    <cfRule type="containsBlanks" dxfId="2671" priority="2745">
      <formula>LEN(TRIM(N136))=0</formula>
    </cfRule>
    <cfRule type="containsBlanks" dxfId="2670" priority="2746">
      <formula>LEN(TRIM(N136))=0</formula>
    </cfRule>
    <cfRule type="containsBlanks" dxfId="2669" priority="2744">
      <formula>LEN(TRIM(N136))=0</formula>
    </cfRule>
    <cfRule type="containsBlanks" dxfId="2668" priority="2747">
      <formula>LEN(TRIM(N136))=0</formula>
    </cfRule>
    <cfRule type="containsBlanks" dxfId="2667" priority="2749">
      <formula>LEN(TRIM(N136))=0</formula>
    </cfRule>
  </conditionalFormatting>
  <conditionalFormatting sqref="N138:O138">
    <cfRule type="containsBlanks" dxfId="2666" priority="2738">
      <formula>LEN(TRIM(N138))=0</formula>
    </cfRule>
    <cfRule type="containsBlanks" dxfId="2665" priority="2739">
      <formula>LEN(TRIM(N138))=0</formula>
    </cfRule>
    <cfRule type="containsBlanks" dxfId="2664" priority="2740">
      <formula>LEN(TRIM(N138))=0</formula>
    </cfRule>
    <cfRule type="containsBlanks" dxfId="2663" priority="2741">
      <formula>LEN(TRIM(N138))=0</formula>
    </cfRule>
    <cfRule type="containsBlanks" dxfId="2662" priority="2742">
      <formula>LEN(TRIM(N138))=0</formula>
    </cfRule>
    <cfRule type="containsBlanks" dxfId="2661" priority="2743">
      <formula>LEN(TRIM(N138))=0</formula>
    </cfRule>
  </conditionalFormatting>
  <conditionalFormatting sqref="O95:O152">
    <cfRule type="containsBlanks" dxfId="2660" priority="2011">
      <formula>LEN(TRIM(O95))=0</formula>
    </cfRule>
    <cfRule type="containsBlanks" dxfId="2659" priority="2010">
      <formula>LEN(TRIM(O95))=0</formula>
    </cfRule>
  </conditionalFormatting>
  <conditionalFormatting sqref="O95:O155">
    <cfRule type="containsBlanks" dxfId="2658" priority="2037">
      <formula>LEN(TRIM(O95))=0</formula>
    </cfRule>
    <cfRule type="containsBlanks" dxfId="2657" priority="2036">
      <formula>LEN(TRIM(O95))=0</formula>
    </cfRule>
    <cfRule type="containsBlanks" dxfId="2656" priority="2039">
      <formula>LEN(TRIM(O95))=0</formula>
    </cfRule>
    <cfRule type="containsBlanks" dxfId="2655" priority="2038">
      <formula>LEN(TRIM(O95))=0</formula>
    </cfRule>
    <cfRule type="containsBlanks" dxfId="2654" priority="2034">
      <formula>LEN(TRIM(O95))=0</formula>
    </cfRule>
    <cfRule type="containsBlanks" dxfId="2653" priority="2035">
      <formula>LEN(TRIM(O95))=0</formula>
    </cfRule>
  </conditionalFormatting>
  <conditionalFormatting sqref="O95:O156">
    <cfRule type="containsBlanks" dxfId="2652" priority="1844">
      <formula>LEN(TRIM(O95))=0</formula>
    </cfRule>
    <cfRule type="containsBlanks" dxfId="2651" priority="1847">
      <formula>LEN(TRIM(O95))=0</formula>
    </cfRule>
    <cfRule type="containsBlanks" dxfId="2650" priority="1846">
      <formula>LEN(TRIM(O95))=0</formula>
    </cfRule>
    <cfRule type="containsBlanks" dxfId="2649" priority="1845">
      <formula>LEN(TRIM(O95))=0</formula>
    </cfRule>
    <cfRule type="containsBlanks" dxfId="2648" priority="1843">
      <formula>LEN(TRIM(O95))=0</formula>
    </cfRule>
    <cfRule type="containsBlanks" dxfId="2647" priority="1842">
      <formula>LEN(TRIM(O95))=0</formula>
    </cfRule>
    <cfRule type="containsBlanks" dxfId="2646" priority="1841">
      <formula>LEN(TRIM(O95))=0</formula>
    </cfRule>
    <cfRule type="containsBlanks" dxfId="2645" priority="1840">
      <formula>LEN(TRIM(O95))=0</formula>
    </cfRule>
    <cfRule type="containsBlanks" dxfId="2644" priority="1849">
      <formula>LEN(TRIM(O95))=0</formula>
    </cfRule>
    <cfRule type="containsBlanks" dxfId="2643" priority="1848">
      <formula>LEN(TRIM(O95))=0</formula>
    </cfRule>
  </conditionalFormatting>
  <conditionalFormatting sqref="O103:O156">
    <cfRule type="containsBlanks" dxfId="2642" priority="2013">
      <formula>LEN(TRIM(O103))=0</formula>
    </cfRule>
    <cfRule type="containsBlanks" dxfId="2641" priority="2012">
      <formula>LEN(TRIM(O103))=0</formula>
    </cfRule>
  </conditionalFormatting>
  <conditionalFormatting sqref="O114:O115">
    <cfRule type="containsBlanks" dxfId="2640" priority="2030">
      <formula>LEN(TRIM(O114))=0</formula>
    </cfRule>
    <cfRule type="containsBlanks" dxfId="2639" priority="2031">
      <formula>LEN(TRIM(O114))=0</formula>
    </cfRule>
  </conditionalFormatting>
  <conditionalFormatting sqref="O128">
    <cfRule type="containsBlanks" dxfId="2638" priority="1757">
      <formula>LEN(TRIM(O128))=0</formula>
    </cfRule>
    <cfRule type="containsBlanks" dxfId="2637" priority="1756">
      <formula>LEN(TRIM(O128))=0</formula>
    </cfRule>
    <cfRule type="containsBlanks" dxfId="2636" priority="1755">
      <formula>LEN(TRIM(O128))=0</formula>
    </cfRule>
    <cfRule type="containsBlanks" dxfId="2635" priority="1754">
      <formula>LEN(TRIM(O128))=0</formula>
    </cfRule>
    <cfRule type="containsBlanks" dxfId="2634" priority="1753">
      <formula>LEN(TRIM(O128))=0</formula>
    </cfRule>
    <cfRule type="containsBlanks" dxfId="2633" priority="1752">
      <formula>LEN(TRIM(O128))=0</formula>
    </cfRule>
    <cfRule type="containsBlanks" dxfId="2632" priority="1751">
      <formula>LEN(TRIM(O128))=0</formula>
    </cfRule>
    <cfRule type="containsBlanks" dxfId="2631" priority="1750">
      <formula>LEN(TRIM(O128))=0</formula>
    </cfRule>
    <cfRule type="containsBlanks" dxfId="2630" priority="1758">
      <formula>LEN(TRIM(O128))=0</formula>
    </cfRule>
    <cfRule type="containsBlanks" dxfId="2629" priority="1759">
      <formula>LEN(TRIM(O128))=0</formula>
    </cfRule>
  </conditionalFormatting>
  <conditionalFormatting sqref="O136">
    <cfRule type="containsBlanks" dxfId="2628" priority="1658">
      <formula>LEN(TRIM(O136))=0</formula>
    </cfRule>
    <cfRule type="containsBlanks" dxfId="2627" priority="1661">
      <formula>LEN(TRIM(O136))=0</formula>
    </cfRule>
    <cfRule type="containsBlanks" dxfId="2626" priority="1660">
      <formula>LEN(TRIM(O136))=0</formula>
    </cfRule>
    <cfRule type="containsBlanks" dxfId="2625" priority="1659">
      <formula>LEN(TRIM(O136))=0</formula>
    </cfRule>
    <cfRule type="containsBlanks" dxfId="2624" priority="1836">
      <formula>LEN(TRIM(O136))=0</formula>
    </cfRule>
    <cfRule type="containsBlanks" dxfId="2623" priority="1835">
      <formula>LEN(TRIM(O136))=0</formula>
    </cfRule>
    <cfRule type="containsBlanks" dxfId="2622" priority="1833">
      <formula>LEN(TRIM(O136))=0</formula>
    </cfRule>
    <cfRule type="containsBlanks" dxfId="2621" priority="1657">
      <formula>LEN(TRIM(O136))=0</formula>
    </cfRule>
    <cfRule type="containsBlanks" dxfId="2620" priority="1656">
      <formula>LEN(TRIM(O136))=0</formula>
    </cfRule>
    <cfRule type="containsBlanks" dxfId="2619" priority="1828">
      <formula>LEN(TRIM(O136))=0</formula>
    </cfRule>
    <cfRule type="containsBlanks" dxfId="2618" priority="1829">
      <formula>LEN(TRIM(O136))=0</formula>
    </cfRule>
    <cfRule type="containsBlanks" dxfId="2617" priority="1834">
      <formula>LEN(TRIM(O136))=0</formula>
    </cfRule>
    <cfRule type="containsBlanks" dxfId="2616" priority="1667">
      <formula>LEN(TRIM(O136))=0</formula>
    </cfRule>
    <cfRule type="containsBlanks" dxfId="2615" priority="1832">
      <formula>LEN(TRIM(O136))=0</formula>
    </cfRule>
    <cfRule type="containsBlanks" dxfId="2614" priority="1662">
      <formula>LEN(TRIM(O136))=0</formula>
    </cfRule>
    <cfRule type="containsBlanks" dxfId="2613" priority="1839">
      <formula>LEN(TRIM(O136))=0</formula>
    </cfRule>
    <cfRule type="containsBlanks" dxfId="2612" priority="1831">
      <formula>LEN(TRIM(O136))=0</formula>
    </cfRule>
    <cfRule type="containsBlanks" dxfId="2611" priority="1830">
      <formula>LEN(TRIM(O136))=0</formula>
    </cfRule>
    <cfRule type="containsBlanks" dxfId="2610" priority="1837">
      <formula>LEN(TRIM(O136))=0</formula>
    </cfRule>
    <cfRule type="containsBlanks" dxfId="2609" priority="1666">
      <formula>LEN(TRIM(O136))=0</formula>
    </cfRule>
    <cfRule type="containsBlanks" dxfId="2608" priority="1665">
      <formula>LEN(TRIM(O136))=0</formula>
    </cfRule>
    <cfRule type="containsBlanks" dxfId="2607" priority="1664">
      <formula>LEN(TRIM(O136))=0</formula>
    </cfRule>
    <cfRule type="containsBlanks" dxfId="2606" priority="1663">
      <formula>LEN(TRIM(O136))=0</formula>
    </cfRule>
    <cfRule type="containsBlanks" dxfId="2605" priority="1827">
      <formula>LEN(TRIM(O136))=0</formula>
    </cfRule>
    <cfRule type="containsBlanks" dxfId="2604" priority="1668">
      <formula>LEN(TRIM(O136))=0</formula>
    </cfRule>
    <cfRule type="containsBlanks" dxfId="2603" priority="1838">
      <formula>LEN(TRIM(O136))=0</formula>
    </cfRule>
    <cfRule type="containsBlanks" dxfId="2602" priority="1824">
      <formula>LEN(TRIM(O136))=0</formula>
    </cfRule>
    <cfRule type="containsBlanks" dxfId="2601" priority="1825">
      <formula>LEN(TRIM(O136))=0</formula>
    </cfRule>
    <cfRule type="containsBlanks" dxfId="2600" priority="1826">
      <formula>LEN(TRIM(O136))=0</formula>
    </cfRule>
    <cfRule type="containsBlanks" dxfId="2599" priority="1671">
      <formula>LEN(TRIM(O136))=0</formula>
    </cfRule>
    <cfRule type="containsBlanks" dxfId="2598" priority="1670">
      <formula>LEN(TRIM(O136))=0</formula>
    </cfRule>
    <cfRule type="containsBlanks" dxfId="2597" priority="1669">
      <formula>LEN(TRIM(O136))=0</formula>
    </cfRule>
  </conditionalFormatting>
  <conditionalFormatting sqref="O138">
    <cfRule type="containsBlanks" dxfId="2596" priority="1819">
      <formula>LEN(TRIM(O138))=0</formula>
    </cfRule>
    <cfRule type="containsBlanks" dxfId="2595" priority="1809">
      <formula>LEN(TRIM(O138))=0</formula>
    </cfRule>
    <cfRule type="containsBlanks" dxfId="2594" priority="1810">
      <formula>LEN(TRIM(O138))=0</formula>
    </cfRule>
    <cfRule type="containsBlanks" dxfId="2593" priority="1811">
      <formula>LEN(TRIM(O138))=0</formula>
    </cfRule>
    <cfRule type="containsBlanks" dxfId="2592" priority="1812">
      <formula>LEN(TRIM(O138))=0</formula>
    </cfRule>
    <cfRule type="containsBlanks" dxfId="2591" priority="1813">
      <formula>LEN(TRIM(O138))=0</formula>
    </cfRule>
    <cfRule type="containsBlanks" dxfId="2590" priority="1815">
      <formula>LEN(TRIM(O138))=0</formula>
    </cfRule>
    <cfRule type="containsBlanks" dxfId="2589" priority="1814">
      <formula>LEN(TRIM(O138))=0</formula>
    </cfRule>
    <cfRule type="containsBlanks" dxfId="2588" priority="1820">
      <formula>LEN(TRIM(O138))=0</formula>
    </cfRule>
    <cfRule type="containsBlanks" dxfId="2587" priority="1808">
      <formula>LEN(TRIM(O138))=0</formula>
    </cfRule>
    <cfRule type="containsBlanks" dxfId="2586" priority="1821">
      <formula>LEN(TRIM(O138))=0</formula>
    </cfRule>
    <cfRule type="containsBlanks" dxfId="2585" priority="1822">
      <formula>LEN(TRIM(O138))=0</formula>
    </cfRule>
    <cfRule type="containsBlanks" dxfId="2584" priority="1823">
      <formula>LEN(TRIM(O138))=0</formula>
    </cfRule>
    <cfRule type="containsBlanks" dxfId="2583" priority="1816">
      <formula>LEN(TRIM(O138))=0</formula>
    </cfRule>
    <cfRule type="containsBlanks" dxfId="2582" priority="1817">
      <formula>LEN(TRIM(O138))=0</formula>
    </cfRule>
    <cfRule type="containsBlanks" dxfId="2581" priority="1818">
      <formula>LEN(TRIM(O138))=0</formula>
    </cfRule>
  </conditionalFormatting>
  <conditionalFormatting sqref="O146:O147">
    <cfRule type="containsBlanks" dxfId="2580" priority="1801">
      <formula>LEN(TRIM(O146))=0</formula>
    </cfRule>
    <cfRule type="containsBlanks" dxfId="2579" priority="1802">
      <formula>LEN(TRIM(O146))=0</formula>
    </cfRule>
    <cfRule type="containsBlanks" dxfId="2578" priority="1803">
      <formula>LEN(TRIM(O146))=0</formula>
    </cfRule>
    <cfRule type="containsBlanks" dxfId="2577" priority="1804">
      <formula>LEN(TRIM(O146))=0</formula>
    </cfRule>
    <cfRule type="containsBlanks" dxfId="2576" priority="1805">
      <formula>LEN(TRIM(O146))=0</formula>
    </cfRule>
    <cfRule type="containsBlanks" dxfId="2575" priority="1796">
      <formula>LEN(TRIM(O146))=0</formula>
    </cfRule>
    <cfRule type="containsBlanks" dxfId="2574" priority="1797">
      <formula>LEN(TRIM(O146))=0</formula>
    </cfRule>
    <cfRule type="containsBlanks" dxfId="2573" priority="1795">
      <formula>LEN(TRIM(O146))=0</formula>
    </cfRule>
    <cfRule type="containsBlanks" dxfId="2572" priority="1794">
      <formula>LEN(TRIM(O146))=0</formula>
    </cfRule>
    <cfRule type="containsBlanks" dxfId="2571" priority="1807">
      <formula>LEN(TRIM(O146))=0</formula>
    </cfRule>
    <cfRule type="containsBlanks" dxfId="2570" priority="1800">
      <formula>LEN(TRIM(O146))=0</formula>
    </cfRule>
    <cfRule type="containsBlanks" dxfId="2569" priority="1798">
      <formula>LEN(TRIM(O146))=0</formula>
    </cfRule>
    <cfRule type="containsBlanks" dxfId="2568" priority="1799">
      <formula>LEN(TRIM(O146))=0</formula>
    </cfRule>
    <cfRule type="containsBlanks" dxfId="2567" priority="1806">
      <formula>LEN(TRIM(O146))=0</formula>
    </cfRule>
  </conditionalFormatting>
  <conditionalFormatting sqref="O110:P110">
    <cfRule type="containsBlanks" dxfId="2566" priority="2059">
      <formula>LEN(TRIM(O110))=0</formula>
    </cfRule>
    <cfRule type="containsBlanks" dxfId="2565" priority="2060">
      <formula>LEN(TRIM(O110))=0</formula>
    </cfRule>
    <cfRule type="containsBlanks" dxfId="2564" priority="2061">
      <formula>LEN(TRIM(O110))=0</formula>
    </cfRule>
    <cfRule type="containsBlanks" dxfId="2563" priority="2062">
      <formula>LEN(TRIM(O110))=0</formula>
    </cfRule>
    <cfRule type="containsBlanks" dxfId="2562" priority="2063">
      <formula>LEN(TRIM(O110))=0</formula>
    </cfRule>
    <cfRule type="containsBlanks" dxfId="2561" priority="2058">
      <formula>LEN(TRIM(O110))=0</formula>
    </cfRule>
  </conditionalFormatting>
  <conditionalFormatting sqref="O114:P114">
    <cfRule type="containsBlanks" dxfId="2560" priority="2032">
      <formula>LEN(TRIM(O114))=0</formula>
    </cfRule>
    <cfRule type="containsBlanks" dxfId="2559" priority="2033">
      <formula>LEN(TRIM(O114))=0</formula>
    </cfRule>
  </conditionalFormatting>
  <conditionalFormatting sqref="O115:P115">
    <cfRule type="containsBlanks" dxfId="2558" priority="2028">
      <formula>LEN(TRIM(O115))=0</formula>
    </cfRule>
    <cfRule type="containsBlanks" dxfId="2557" priority="2029">
      <formula>LEN(TRIM(O115))=0</formula>
    </cfRule>
  </conditionalFormatting>
  <conditionalFormatting sqref="O123:P123">
    <cfRule type="containsBlanks" dxfId="2556" priority="2050">
      <formula>LEN(TRIM(O123))=0</formula>
    </cfRule>
    <cfRule type="containsBlanks" dxfId="2555" priority="2049">
      <formula>LEN(TRIM(O123))=0</formula>
    </cfRule>
    <cfRule type="containsBlanks" dxfId="2554" priority="2051">
      <formula>LEN(TRIM(O123))=0</formula>
    </cfRule>
    <cfRule type="containsBlanks" dxfId="2553" priority="2048">
      <formula>LEN(TRIM(O123))=0</formula>
    </cfRule>
    <cfRule type="containsBlanks" dxfId="2552" priority="2047">
      <formula>LEN(TRIM(O123))=0</formula>
    </cfRule>
    <cfRule type="containsBlanks" dxfId="2551" priority="2046">
      <formula>LEN(TRIM(O123))=0</formula>
    </cfRule>
  </conditionalFormatting>
  <conditionalFormatting sqref="O142:P142">
    <cfRule type="containsBlanks" dxfId="2550" priority="2052">
      <formula>LEN(TRIM(O142))=0</formula>
    </cfRule>
    <cfRule type="containsBlanks" dxfId="2549" priority="2053">
      <formula>LEN(TRIM(O142))=0</formula>
    </cfRule>
    <cfRule type="containsBlanks" dxfId="2548" priority="2057">
      <formula>LEN(TRIM(O142))=0</formula>
    </cfRule>
    <cfRule type="containsBlanks" dxfId="2547" priority="2027">
      <formula>LEN(TRIM(O142))=0</formula>
    </cfRule>
    <cfRule type="containsBlanks" dxfId="2546" priority="2026">
      <formula>LEN(TRIM(O142))=0</formula>
    </cfRule>
    <cfRule type="containsBlanks" dxfId="2545" priority="2056">
      <formula>LEN(TRIM(O142))=0</formula>
    </cfRule>
    <cfRule type="containsBlanks" dxfId="2544" priority="2055">
      <formula>LEN(TRIM(O142))=0</formula>
    </cfRule>
    <cfRule type="containsBlanks" dxfId="2543" priority="2054">
      <formula>LEN(TRIM(O142))=0</formula>
    </cfRule>
    <cfRule type="containsBlanks" dxfId="2542" priority="2024">
      <formula>LEN(TRIM(O142))=0</formula>
    </cfRule>
    <cfRule type="containsBlanks" dxfId="2541" priority="2025">
      <formula>LEN(TRIM(O142))=0</formula>
    </cfRule>
  </conditionalFormatting>
  <conditionalFormatting sqref="O146:P147">
    <cfRule type="containsBlanks" dxfId="2540" priority="1710">
      <formula>LEN(TRIM(O146))=0</formula>
    </cfRule>
    <cfRule type="containsBlanks" dxfId="2539" priority="1711">
      <formula>LEN(TRIM(O146))=0</formula>
    </cfRule>
  </conditionalFormatting>
  <conditionalFormatting sqref="O140:Q140">
    <cfRule type="containsBlanks" dxfId="2538" priority="2721">
      <formula>LEN(TRIM(O140))=0</formula>
    </cfRule>
    <cfRule type="containsBlanks" dxfId="2537" priority="2720">
      <formula>LEN(TRIM(O140))=0</formula>
    </cfRule>
  </conditionalFormatting>
  <conditionalFormatting sqref="O107:AC107">
    <cfRule type="containsBlanks" dxfId="2536" priority="2811">
      <formula>LEN(TRIM(O107))=0</formula>
    </cfRule>
    <cfRule type="containsBlanks" dxfId="2535" priority="2810">
      <formula>LEN(TRIM(O107))=0</formula>
    </cfRule>
  </conditionalFormatting>
  <conditionalFormatting sqref="O25:AF25 AH25:AI25">
    <cfRule type="containsBlanks" dxfId="2534" priority="475">
      <formula>LEN(TRIM(O25))=0</formula>
    </cfRule>
    <cfRule type="containsBlanks" dxfId="2533" priority="474">
      <formula>LEN(TRIM(O25))=0</formula>
    </cfRule>
  </conditionalFormatting>
  <conditionalFormatting sqref="P89">
    <cfRule type="containsBlanks" dxfId="2532" priority="467">
      <formula>LEN(TRIM(P89))=0</formula>
    </cfRule>
    <cfRule type="containsBlanks" dxfId="2531" priority="466">
      <formula>LEN(TRIM(P89))=0</formula>
    </cfRule>
  </conditionalFormatting>
  <conditionalFormatting sqref="P95:P156">
    <cfRule type="containsBlanks" dxfId="2530" priority="1782">
      <formula>LEN(TRIM(P95))=0</formula>
    </cfRule>
    <cfRule type="containsBlanks" dxfId="2529" priority="1781">
      <formula>LEN(TRIM(P95))=0</formula>
    </cfRule>
    <cfRule type="containsBlanks" dxfId="2528" priority="1780">
      <formula>LEN(TRIM(P95))=0</formula>
    </cfRule>
    <cfRule type="containsBlanks" dxfId="2527" priority="1779">
      <formula>LEN(TRIM(P95))=0</formula>
    </cfRule>
    <cfRule type="containsBlanks" dxfId="2526" priority="1778">
      <formula>LEN(TRIM(P95))=0</formula>
    </cfRule>
    <cfRule type="containsBlanks" dxfId="2525" priority="1777">
      <formula>LEN(TRIM(P95))=0</formula>
    </cfRule>
    <cfRule type="containsBlanks" dxfId="2524" priority="1787">
      <formula>LEN(TRIM(P95))=0</formula>
    </cfRule>
    <cfRule type="containsBlanks" dxfId="2523" priority="1786">
      <formula>LEN(TRIM(P95))=0</formula>
    </cfRule>
    <cfRule type="containsBlanks" dxfId="2522" priority="1789">
      <formula>LEN(TRIM(P95))=0</formula>
    </cfRule>
    <cfRule type="containsBlanks" dxfId="2521" priority="2023">
      <formula>LEN(TRIM(P95))=0</formula>
    </cfRule>
    <cfRule type="containsBlanks" dxfId="2520" priority="2022">
      <formula>LEN(TRIM(P95))=0</formula>
    </cfRule>
    <cfRule type="containsBlanks" dxfId="2519" priority="2021">
      <formula>LEN(TRIM(P95))=0</formula>
    </cfRule>
    <cfRule type="containsBlanks" dxfId="2518" priority="2020">
      <formula>LEN(TRIM(P95))=0</formula>
    </cfRule>
    <cfRule type="containsBlanks" dxfId="2517" priority="2019">
      <formula>LEN(TRIM(P95))=0</formula>
    </cfRule>
    <cfRule type="containsBlanks" dxfId="2516" priority="2018">
      <formula>LEN(TRIM(P95))=0</formula>
    </cfRule>
    <cfRule type="containsBlanks" dxfId="2515" priority="1788">
      <formula>LEN(TRIM(P95))=0</formula>
    </cfRule>
    <cfRule type="containsBlanks" dxfId="2514" priority="1776">
      <formula>LEN(TRIM(P95))=0</formula>
    </cfRule>
    <cfRule type="containsBlanks" dxfId="2513" priority="1775">
      <formula>LEN(TRIM(P95))=0</formula>
    </cfRule>
    <cfRule type="containsBlanks" dxfId="2512" priority="1774">
      <formula>LEN(TRIM(P95))=0</formula>
    </cfRule>
    <cfRule type="containsBlanks" dxfId="2511" priority="1773">
      <formula>LEN(TRIM(P95))=0</formula>
    </cfRule>
    <cfRule type="containsBlanks" dxfId="2510" priority="1772">
      <formula>LEN(TRIM(P95))=0</formula>
    </cfRule>
    <cfRule type="containsBlanks" dxfId="2509" priority="1771">
      <formula>LEN(TRIM(P95))=0</formula>
    </cfRule>
    <cfRule type="containsBlanks" dxfId="2508" priority="1770">
      <formula>LEN(TRIM(P95))=0</formula>
    </cfRule>
    <cfRule type="containsBlanks" dxfId="2507" priority="1769">
      <formula>LEN(TRIM(P95))=0</formula>
    </cfRule>
    <cfRule type="containsBlanks" dxfId="2506" priority="1768">
      <formula>LEN(TRIM(P95))=0</formula>
    </cfRule>
    <cfRule type="containsBlanks" dxfId="2505" priority="1784">
      <formula>LEN(TRIM(P95))=0</formula>
    </cfRule>
    <cfRule type="containsBlanks" dxfId="2504" priority="1783">
      <formula>LEN(TRIM(P95))=0</formula>
    </cfRule>
    <cfRule type="containsBlanks" dxfId="2503" priority="1785">
      <formula>LEN(TRIM(P95))=0</formula>
    </cfRule>
  </conditionalFormatting>
  <conditionalFormatting sqref="P102">
    <cfRule type="containsBlanks" dxfId="2502" priority="1634">
      <formula>LEN(TRIM(P102))=0</formula>
    </cfRule>
    <cfRule type="containsBlanks" dxfId="2501" priority="1633">
      <formula>LEN(TRIM(P102))=0</formula>
    </cfRule>
    <cfRule type="containsBlanks" dxfId="2500" priority="1632">
      <formula>LEN(TRIM(P102))=0</formula>
    </cfRule>
    <cfRule type="containsBlanks" dxfId="2499" priority="1631">
      <formula>LEN(TRIM(P102))=0</formula>
    </cfRule>
    <cfRule type="containsBlanks" dxfId="2498" priority="1630">
      <formula>LEN(TRIM(P102))=0</formula>
    </cfRule>
    <cfRule type="containsBlanks" dxfId="2497" priority="1629">
      <formula>LEN(TRIM(P102))=0</formula>
    </cfRule>
    <cfRule type="containsBlanks" dxfId="2496" priority="1628">
      <formula>LEN(TRIM(P102))=0</formula>
    </cfRule>
    <cfRule type="containsBlanks" dxfId="2495" priority="1627">
      <formula>LEN(TRIM(P102))=0</formula>
    </cfRule>
    <cfRule type="containsBlanks" dxfId="2494" priority="1626">
      <formula>LEN(TRIM(P102))=0</formula>
    </cfRule>
    <cfRule type="containsBlanks" dxfId="2493" priority="1625">
      <formula>LEN(TRIM(P102))=0</formula>
    </cfRule>
    <cfRule type="containsBlanks" dxfId="2492" priority="1623">
      <formula>LEN(TRIM(P102))=0</formula>
    </cfRule>
    <cfRule type="containsBlanks" dxfId="2491" priority="1622">
      <formula>LEN(TRIM(P102))=0</formula>
    </cfRule>
    <cfRule type="containsBlanks" dxfId="2490" priority="1621">
      <formula>LEN(TRIM(P102))=0</formula>
    </cfRule>
    <cfRule type="containsBlanks" dxfId="2489" priority="1620">
      <formula>LEN(TRIM(P102))=0</formula>
    </cfRule>
    <cfRule type="containsBlanks" dxfId="2488" priority="1619">
      <formula>LEN(TRIM(P102))=0</formula>
    </cfRule>
    <cfRule type="containsBlanks" dxfId="2487" priority="1618">
      <formula>LEN(TRIM(P102))=0</formula>
    </cfRule>
    <cfRule type="containsBlanks" dxfId="2486" priority="1617">
      <formula>LEN(TRIM(P102))=0</formula>
    </cfRule>
    <cfRule type="containsBlanks" dxfId="2485" priority="1616">
      <formula>LEN(TRIM(P102))=0</formula>
    </cfRule>
    <cfRule type="containsBlanks" dxfId="2484" priority="1639">
      <formula>LEN(TRIM(P102))=0</formula>
    </cfRule>
    <cfRule type="containsBlanks" dxfId="2483" priority="1653">
      <formula>LEN(TRIM(P102))=0</formula>
    </cfRule>
    <cfRule type="containsBlanks" dxfId="2482" priority="1652">
      <formula>LEN(TRIM(P102))=0</formula>
    </cfRule>
    <cfRule type="containsBlanks" dxfId="2481" priority="1651">
      <formula>LEN(TRIM(P102))=0</formula>
    </cfRule>
    <cfRule type="containsBlanks" dxfId="2480" priority="1650">
      <formula>LEN(TRIM(P102))=0</formula>
    </cfRule>
    <cfRule type="containsBlanks" dxfId="2479" priority="1649">
      <formula>LEN(TRIM(P102))=0</formula>
    </cfRule>
    <cfRule type="containsBlanks" dxfId="2478" priority="1648">
      <formula>LEN(TRIM(P102))=0</formula>
    </cfRule>
    <cfRule type="containsBlanks" dxfId="2477" priority="1647">
      <formula>LEN(TRIM(P102))=0</formula>
    </cfRule>
    <cfRule type="containsBlanks" dxfId="2476" priority="1646">
      <formula>LEN(TRIM(P102))=0</formula>
    </cfRule>
    <cfRule type="containsBlanks" dxfId="2475" priority="1645">
      <formula>LEN(TRIM(P102))=0</formula>
    </cfRule>
    <cfRule type="containsBlanks" dxfId="2474" priority="1644">
      <formula>LEN(TRIM(P102))=0</formula>
    </cfRule>
    <cfRule type="containsBlanks" dxfId="2473" priority="1643">
      <formula>LEN(TRIM(P102))=0</formula>
    </cfRule>
    <cfRule type="containsBlanks" dxfId="2472" priority="1642">
      <formula>LEN(TRIM(P102))=0</formula>
    </cfRule>
    <cfRule type="containsBlanks" dxfId="2471" priority="1641">
      <formula>LEN(TRIM(P102))=0</formula>
    </cfRule>
    <cfRule type="containsBlanks" dxfId="2470" priority="1640">
      <formula>LEN(TRIM(P102))=0</formula>
    </cfRule>
    <cfRule type="containsBlanks" dxfId="2469" priority="1624">
      <formula>LEN(TRIM(P102))=0</formula>
    </cfRule>
    <cfRule type="containsBlanks" dxfId="2468" priority="1638">
      <formula>LEN(TRIM(P102))=0</formula>
    </cfRule>
    <cfRule type="containsBlanks" dxfId="2467" priority="1637">
      <formula>LEN(TRIM(P102))=0</formula>
    </cfRule>
    <cfRule type="containsBlanks" dxfId="2466" priority="1636">
      <formula>LEN(TRIM(P102))=0</formula>
    </cfRule>
    <cfRule type="containsBlanks" dxfId="2465" priority="1635">
      <formula>LEN(TRIM(P102))=0</formula>
    </cfRule>
  </conditionalFormatting>
  <conditionalFormatting sqref="P107">
    <cfRule type="containsBlanks" dxfId="2464" priority="1609">
      <formula>LEN(TRIM(P107))=0</formula>
    </cfRule>
    <cfRule type="containsBlanks" dxfId="2463" priority="1614">
      <formula>LEN(TRIM(P107))=0</formula>
    </cfRule>
    <cfRule type="containsBlanks" dxfId="2462" priority="1576">
      <formula>LEN(TRIM(P107))=0</formula>
    </cfRule>
    <cfRule type="containsBlanks" dxfId="2461" priority="1577">
      <formula>LEN(TRIM(P107))=0</formula>
    </cfRule>
    <cfRule type="containsBlanks" dxfId="2460" priority="1578">
      <formula>LEN(TRIM(P107))=0</formula>
    </cfRule>
    <cfRule type="containsBlanks" dxfId="2459" priority="1579">
      <formula>LEN(TRIM(P107))=0</formula>
    </cfRule>
    <cfRule type="containsBlanks" dxfId="2458" priority="1605">
      <formula>LEN(TRIM(P107))=0</formula>
    </cfRule>
    <cfRule type="containsBlanks" dxfId="2457" priority="1604">
      <formula>LEN(TRIM(P107))=0</formula>
    </cfRule>
    <cfRule type="containsBlanks" dxfId="2456" priority="1603">
      <formula>LEN(TRIM(P107))=0</formula>
    </cfRule>
    <cfRule type="containsBlanks" dxfId="2455" priority="1602">
      <formula>LEN(TRIM(P107))=0</formula>
    </cfRule>
    <cfRule type="containsBlanks" dxfId="2454" priority="1581">
      <formula>LEN(TRIM(P107))=0</formula>
    </cfRule>
    <cfRule type="containsBlanks" dxfId="2453" priority="1601">
      <formula>LEN(TRIM(P107))=0</formula>
    </cfRule>
    <cfRule type="containsBlanks" dxfId="2452" priority="1600">
      <formula>LEN(TRIM(P107))=0</formula>
    </cfRule>
    <cfRule type="containsBlanks" dxfId="2451" priority="1599">
      <formula>LEN(TRIM(P107))=0</formula>
    </cfRule>
    <cfRule type="containsBlanks" dxfId="2450" priority="1613">
      <formula>LEN(TRIM(P107))=0</formula>
    </cfRule>
    <cfRule type="containsBlanks" dxfId="2449" priority="1612">
      <formula>LEN(TRIM(P107))=0</formula>
    </cfRule>
    <cfRule type="containsBlanks" dxfId="2448" priority="1611">
      <formula>LEN(TRIM(P107))=0</formula>
    </cfRule>
    <cfRule type="containsBlanks" dxfId="2447" priority="1610">
      <formula>LEN(TRIM(P107))=0</formula>
    </cfRule>
    <cfRule type="containsBlanks" dxfId="2446" priority="1580">
      <formula>LEN(TRIM(P107))=0</formula>
    </cfRule>
    <cfRule type="containsBlanks" dxfId="2445" priority="1608">
      <formula>LEN(TRIM(P107))=0</formula>
    </cfRule>
    <cfRule type="containsBlanks" dxfId="2444" priority="1598">
      <formula>LEN(TRIM(P107))=0</formula>
    </cfRule>
    <cfRule type="containsBlanks" dxfId="2443" priority="1607">
      <formula>LEN(TRIM(P107))=0</formula>
    </cfRule>
    <cfRule type="containsBlanks" dxfId="2442" priority="1606">
      <formula>LEN(TRIM(P107))=0</formula>
    </cfRule>
    <cfRule type="containsBlanks" dxfId="2441" priority="1597">
      <formula>LEN(TRIM(P107))=0</formula>
    </cfRule>
    <cfRule type="containsBlanks" dxfId="2440" priority="1596">
      <formula>LEN(TRIM(P107))=0</formula>
    </cfRule>
    <cfRule type="containsBlanks" dxfId="2439" priority="1595">
      <formula>LEN(TRIM(P107))=0</formula>
    </cfRule>
    <cfRule type="containsBlanks" dxfId="2438" priority="1594">
      <formula>LEN(TRIM(P107))=0</formula>
    </cfRule>
    <cfRule type="containsBlanks" dxfId="2437" priority="1593">
      <formula>LEN(TRIM(P107))=0</formula>
    </cfRule>
    <cfRule type="containsBlanks" dxfId="2436" priority="1592">
      <formula>LEN(TRIM(P107))=0</formula>
    </cfRule>
    <cfRule type="containsBlanks" dxfId="2435" priority="1591">
      <formula>LEN(TRIM(P107))=0</formula>
    </cfRule>
    <cfRule type="containsBlanks" dxfId="2434" priority="1590">
      <formula>LEN(TRIM(P107))=0</formula>
    </cfRule>
    <cfRule type="containsBlanks" dxfId="2433" priority="1589">
      <formula>LEN(TRIM(P107))=0</formula>
    </cfRule>
    <cfRule type="containsBlanks" dxfId="2432" priority="1588">
      <formula>LEN(TRIM(P107))=0</formula>
    </cfRule>
    <cfRule type="containsBlanks" dxfId="2431" priority="1587">
      <formula>LEN(TRIM(P107))=0</formula>
    </cfRule>
    <cfRule type="containsBlanks" dxfId="2430" priority="1586">
      <formula>LEN(TRIM(P107))=0</formula>
    </cfRule>
    <cfRule type="containsBlanks" dxfId="2429" priority="1585">
      <formula>LEN(TRIM(P107))=0</formula>
    </cfRule>
    <cfRule type="containsBlanks" dxfId="2428" priority="1584">
      <formula>LEN(TRIM(P107))=0</formula>
    </cfRule>
    <cfRule type="containsBlanks" dxfId="2427" priority="1583">
      <formula>LEN(TRIM(P107))=0</formula>
    </cfRule>
    <cfRule type="containsBlanks" dxfId="2426" priority="1582">
      <formula>LEN(TRIM(P107))=0</formula>
    </cfRule>
    <cfRule type="containsBlanks" dxfId="2425" priority="1615">
      <formula>LEN(TRIM(P107))=0</formula>
    </cfRule>
  </conditionalFormatting>
  <conditionalFormatting sqref="P114:P115">
    <cfRule type="containsBlanks" dxfId="2424" priority="2016">
      <formula>LEN(TRIM(P114))=0</formula>
    </cfRule>
    <cfRule type="containsBlanks" dxfId="2423" priority="2017">
      <formula>LEN(TRIM(P114))=0</formula>
    </cfRule>
  </conditionalFormatting>
  <conditionalFormatting sqref="P146:P147">
    <cfRule type="containsBlanks" dxfId="2422" priority="1673">
      <formula>LEN(TRIM(P146))=0</formula>
    </cfRule>
    <cfRule type="containsBlanks" dxfId="2421" priority="1672">
      <formula>LEN(TRIM(P146))=0</formula>
    </cfRule>
    <cfRule type="containsBlanks" dxfId="2420" priority="1693">
      <formula>LEN(TRIM(P146))=0</formula>
    </cfRule>
    <cfRule type="containsBlanks" dxfId="2419" priority="1692">
      <formula>LEN(TRIM(P146))=0</formula>
    </cfRule>
    <cfRule type="containsBlanks" dxfId="2418" priority="1691">
      <formula>LEN(TRIM(P146))=0</formula>
    </cfRule>
    <cfRule type="containsBlanks" dxfId="2417" priority="1690">
      <formula>LEN(TRIM(P146))=0</formula>
    </cfRule>
    <cfRule type="containsBlanks" dxfId="2416" priority="1689">
      <formula>LEN(TRIM(P146))=0</formula>
    </cfRule>
    <cfRule type="containsBlanks" dxfId="2415" priority="1688">
      <formula>LEN(TRIM(P146))=0</formula>
    </cfRule>
    <cfRule type="containsBlanks" dxfId="2414" priority="1709">
      <formula>LEN(TRIM(P146))=0</formula>
    </cfRule>
    <cfRule type="containsBlanks" dxfId="2413" priority="1708">
      <formula>LEN(TRIM(P146))=0</formula>
    </cfRule>
    <cfRule type="containsBlanks" dxfId="2412" priority="1707">
      <formula>LEN(TRIM(P146))=0</formula>
    </cfRule>
    <cfRule type="containsBlanks" dxfId="2411" priority="1706">
      <formula>LEN(TRIM(P146))=0</formula>
    </cfRule>
    <cfRule type="containsBlanks" dxfId="2410" priority="1705">
      <formula>LEN(TRIM(P146))=0</formula>
    </cfRule>
    <cfRule type="containsBlanks" dxfId="2409" priority="1704">
      <formula>LEN(TRIM(P146))=0</formula>
    </cfRule>
    <cfRule type="containsBlanks" dxfId="2408" priority="1703">
      <formula>LEN(TRIM(P146))=0</formula>
    </cfRule>
    <cfRule type="containsBlanks" dxfId="2407" priority="1702">
      <formula>LEN(TRIM(P146))=0</formula>
    </cfRule>
    <cfRule type="containsBlanks" dxfId="2406" priority="1700">
      <formula>LEN(TRIM(P146))=0</formula>
    </cfRule>
    <cfRule type="containsBlanks" dxfId="2405" priority="1699">
      <formula>LEN(TRIM(P146))=0</formula>
    </cfRule>
    <cfRule type="containsBlanks" dxfId="2404" priority="1698">
      <formula>LEN(TRIM(P146))=0</formula>
    </cfRule>
    <cfRule type="containsBlanks" dxfId="2403" priority="1697">
      <formula>LEN(TRIM(P146))=0</formula>
    </cfRule>
    <cfRule type="containsBlanks" dxfId="2402" priority="1696">
      <formula>LEN(TRIM(P146))=0</formula>
    </cfRule>
    <cfRule type="containsBlanks" dxfId="2401" priority="1695">
      <formula>LEN(TRIM(P146))=0</formula>
    </cfRule>
    <cfRule type="containsBlanks" dxfId="2400" priority="1679">
      <formula>LEN(TRIM(P146))=0</formula>
    </cfRule>
    <cfRule type="containsBlanks" dxfId="2399" priority="1687">
      <formula>LEN(TRIM(P146))=0</formula>
    </cfRule>
    <cfRule type="containsBlanks" dxfId="2398" priority="1686">
      <formula>LEN(TRIM(P146))=0</formula>
    </cfRule>
    <cfRule type="containsBlanks" dxfId="2397" priority="1685">
      <formula>LEN(TRIM(P146))=0</formula>
    </cfRule>
    <cfRule type="containsBlanks" dxfId="2396" priority="1684">
      <formula>LEN(TRIM(P146))=0</formula>
    </cfRule>
    <cfRule type="containsBlanks" dxfId="2395" priority="1683">
      <formula>LEN(TRIM(P146))=0</formula>
    </cfRule>
    <cfRule type="containsBlanks" dxfId="2394" priority="1682">
      <formula>LEN(TRIM(P146))=0</formula>
    </cfRule>
    <cfRule type="containsBlanks" dxfId="2393" priority="1694">
      <formula>LEN(TRIM(P146))=0</formula>
    </cfRule>
    <cfRule type="containsBlanks" dxfId="2392" priority="1701">
      <formula>LEN(TRIM(P146))=0</formula>
    </cfRule>
    <cfRule type="containsBlanks" dxfId="2391" priority="1681">
      <formula>LEN(TRIM(P146))=0</formula>
    </cfRule>
    <cfRule type="containsBlanks" dxfId="2390" priority="1680">
      <formula>LEN(TRIM(P146))=0</formula>
    </cfRule>
    <cfRule type="containsBlanks" dxfId="2389" priority="1678">
      <formula>LEN(TRIM(P146))=0</formula>
    </cfRule>
    <cfRule type="containsBlanks" dxfId="2388" priority="1677">
      <formula>LEN(TRIM(P146))=0</formula>
    </cfRule>
    <cfRule type="containsBlanks" dxfId="2387" priority="1676">
      <formula>LEN(TRIM(P146))=0</formula>
    </cfRule>
    <cfRule type="containsBlanks" dxfId="2386" priority="1675">
      <formula>LEN(TRIM(P146))=0</formula>
    </cfRule>
    <cfRule type="containsBlanks" dxfId="2385" priority="1674">
      <formula>LEN(TRIM(P146))=0</formula>
    </cfRule>
  </conditionalFormatting>
  <conditionalFormatting sqref="P95:Q156">
    <cfRule type="containsBlanks" dxfId="2384" priority="2737">
      <formula>LEN(TRIM(P95))=0</formula>
    </cfRule>
    <cfRule type="containsBlanks" dxfId="2383" priority="2736">
      <formula>LEN(TRIM(P95))=0</formula>
    </cfRule>
  </conditionalFormatting>
  <conditionalFormatting sqref="P102:Q102">
    <cfRule type="containsBlanks" dxfId="2382" priority="1655">
      <formula>LEN(TRIM(P102))=0</formula>
    </cfRule>
    <cfRule type="containsBlanks" dxfId="2381" priority="1654">
      <formula>LEN(TRIM(P102))=0</formula>
    </cfRule>
  </conditionalFormatting>
  <conditionalFormatting sqref="P14:R85 Q86:Q87">
    <cfRule type="containsBlanks" dxfId="2380" priority="428">
      <formula>LEN(TRIM(P14))=0</formula>
    </cfRule>
    <cfRule type="containsBlanks" dxfId="2379" priority="427">
      <formula>LEN(TRIM(P14))=0</formula>
    </cfRule>
  </conditionalFormatting>
  <conditionalFormatting sqref="P28:S82">
    <cfRule type="containsBlanks" dxfId="2378" priority="424">
      <formula>LEN(TRIM(P28))=0</formula>
    </cfRule>
    <cfRule type="containsBlanks" dxfId="2377" priority="423">
      <formula>LEN(TRIM(P28))=0</formula>
    </cfRule>
  </conditionalFormatting>
  <conditionalFormatting sqref="P56:S85">
    <cfRule type="containsBlanks" dxfId="2376" priority="421">
      <formula>LEN(TRIM(P56))=0</formula>
    </cfRule>
    <cfRule type="containsBlanks" dxfId="2375" priority="422">
      <formula>LEN(TRIM(P56))=0</formula>
    </cfRule>
  </conditionalFormatting>
  <conditionalFormatting sqref="P81:S81">
    <cfRule type="containsBlanks" dxfId="2374" priority="141">
      <formula>LEN(TRIM(P81))=0</formula>
    </cfRule>
    <cfRule type="containsBlanks" dxfId="2373" priority="142">
      <formula>LEN(TRIM(P81))=0</formula>
    </cfRule>
    <cfRule type="containsBlanks" dxfId="2372" priority="143">
      <formula>LEN(TRIM(P81))=0</formula>
    </cfRule>
    <cfRule type="containsBlanks" dxfId="2371" priority="144">
      <formula>LEN(TRIM(P81))=0</formula>
    </cfRule>
    <cfRule type="containsBlanks" dxfId="2370" priority="145">
      <formula>LEN(TRIM(P81))=0</formula>
    </cfRule>
    <cfRule type="containsBlanks" dxfId="2369" priority="146">
      <formula>LEN(TRIM(P81))=0</formula>
    </cfRule>
  </conditionalFormatting>
  <conditionalFormatting sqref="P25:AC25">
    <cfRule type="containsBlanks" dxfId="2368" priority="432">
      <formula>LEN(TRIM(P25))=0</formula>
    </cfRule>
    <cfRule type="containsBlanks" dxfId="2367" priority="431">
      <formula>LEN(TRIM(P25))=0</formula>
    </cfRule>
  </conditionalFormatting>
  <conditionalFormatting sqref="P64:AC64">
    <cfRule type="containsBlanks" dxfId="2366" priority="429">
      <formula>LEN(TRIM(P64))=0</formula>
    </cfRule>
    <cfRule type="containsBlanks" dxfId="2365" priority="430">
      <formula>LEN(TRIM(P64))=0</formula>
    </cfRule>
  </conditionalFormatting>
  <conditionalFormatting sqref="P146:AC146">
    <cfRule type="containsBlanks" dxfId="2364" priority="2809">
      <formula>LEN(TRIM(P146))=0</formula>
    </cfRule>
    <cfRule type="containsBlanks" dxfId="2363" priority="2808">
      <formula>LEN(TRIM(P146))=0</formula>
    </cfRule>
  </conditionalFormatting>
  <conditionalFormatting sqref="P64:AF64 AH64:AI64">
    <cfRule type="containsBlanks" dxfId="2362" priority="472">
      <formula>LEN(TRIM(P64))=0</formula>
    </cfRule>
    <cfRule type="containsBlanks" dxfId="2361" priority="473">
      <formula>LEN(TRIM(P64))=0</formula>
    </cfRule>
  </conditionalFormatting>
  <conditionalFormatting sqref="Q95:Q152">
    <cfRule type="containsBlanks" dxfId="2360" priority="1736">
      <formula>LEN(TRIM(Q95))=0</formula>
    </cfRule>
    <cfRule type="containsBlanks" dxfId="2359" priority="1735">
      <formula>LEN(TRIM(Q95))=0</formula>
    </cfRule>
    <cfRule type="containsBlanks" dxfId="2358" priority="1733">
      <formula>LEN(TRIM(Q95))=0</formula>
    </cfRule>
    <cfRule type="containsBlanks" dxfId="2357" priority="1732">
      <formula>LEN(TRIM(Q95))=0</formula>
    </cfRule>
    <cfRule type="containsBlanks" dxfId="2356" priority="1731">
      <formula>LEN(TRIM(Q95))=0</formula>
    </cfRule>
    <cfRule type="containsBlanks" dxfId="2355" priority="1730">
      <formula>LEN(TRIM(Q95))=0</formula>
    </cfRule>
    <cfRule type="containsBlanks" dxfId="2354" priority="1719">
      <formula>LEN(TRIM(Q95))=0</formula>
    </cfRule>
    <cfRule type="containsBlanks" dxfId="2353" priority="1718">
      <formula>LEN(TRIM(Q95))=0</formula>
    </cfRule>
    <cfRule type="containsBlanks" dxfId="2352" priority="1734">
      <formula>LEN(TRIM(Q95))=0</formula>
    </cfRule>
    <cfRule type="containsBlanks" dxfId="2351" priority="1727">
      <formula>LEN(TRIM(Q95))=0</formula>
    </cfRule>
    <cfRule type="containsBlanks" dxfId="2350" priority="1728">
      <formula>LEN(TRIM(Q95))=0</formula>
    </cfRule>
    <cfRule type="containsBlanks" dxfId="2349" priority="1745">
      <formula>LEN(TRIM(Q95))=0</formula>
    </cfRule>
    <cfRule type="containsBlanks" dxfId="2348" priority="1744">
      <formula>LEN(TRIM(Q95))=0</formula>
    </cfRule>
    <cfRule type="containsBlanks" dxfId="2347" priority="1743">
      <formula>LEN(TRIM(Q95))=0</formula>
    </cfRule>
    <cfRule type="containsBlanks" dxfId="2346" priority="1742">
      <formula>LEN(TRIM(Q95))=0</formula>
    </cfRule>
    <cfRule type="containsBlanks" dxfId="2345" priority="1725">
      <formula>LEN(TRIM(Q95))=0</formula>
    </cfRule>
    <cfRule type="containsBlanks" dxfId="2344" priority="1726">
      <formula>LEN(TRIM(Q95))=0</formula>
    </cfRule>
    <cfRule type="containsBlanks" dxfId="2343" priority="1741">
      <formula>LEN(TRIM(Q95))=0</formula>
    </cfRule>
    <cfRule type="containsBlanks" dxfId="2342" priority="1740">
      <formula>LEN(TRIM(Q95))=0</formula>
    </cfRule>
    <cfRule type="containsBlanks" dxfId="2341" priority="1739">
      <formula>LEN(TRIM(Q95))=0</formula>
    </cfRule>
    <cfRule type="containsBlanks" dxfId="2340" priority="1724">
      <formula>LEN(TRIM(Q95))=0</formula>
    </cfRule>
    <cfRule type="containsBlanks" dxfId="2339" priority="1738">
      <formula>LEN(TRIM(Q95))=0</formula>
    </cfRule>
    <cfRule type="containsBlanks" dxfId="2338" priority="1737">
      <formula>LEN(TRIM(Q95))=0</formula>
    </cfRule>
    <cfRule type="containsBlanks" dxfId="2337" priority="1723">
      <formula>LEN(TRIM(Q95))=0</formula>
    </cfRule>
    <cfRule type="containsBlanks" dxfId="2336" priority="1722">
      <formula>LEN(TRIM(Q95))=0</formula>
    </cfRule>
    <cfRule type="containsBlanks" dxfId="2335" priority="1729">
      <formula>LEN(TRIM(Q95))=0</formula>
    </cfRule>
    <cfRule type="containsBlanks" dxfId="2334" priority="1720">
      <formula>LEN(TRIM(Q95))=0</formula>
    </cfRule>
    <cfRule type="containsBlanks" dxfId="2333" priority="1721">
      <formula>LEN(TRIM(Q95))=0</formula>
    </cfRule>
  </conditionalFormatting>
  <conditionalFormatting sqref="Q102">
    <cfRule type="containsBlanks" dxfId="2332" priority="2731">
      <formula>LEN(TRIM(Q102))=0</formula>
    </cfRule>
    <cfRule type="containsBlanks" dxfId="2331" priority="2732">
      <formula>LEN(TRIM(Q102))=0</formula>
    </cfRule>
    <cfRule type="containsBlanks" dxfId="2330" priority="2733">
      <formula>LEN(TRIM(Q102))=0</formula>
    </cfRule>
    <cfRule type="containsBlanks" dxfId="2329" priority="2734">
      <formula>LEN(TRIM(Q102))=0</formula>
    </cfRule>
    <cfRule type="containsBlanks" dxfId="2328" priority="2730">
      <formula>LEN(TRIM(Q102))=0</formula>
    </cfRule>
    <cfRule type="containsBlanks" dxfId="2327" priority="2735">
      <formula>LEN(TRIM(Q102))=0</formula>
    </cfRule>
    <cfRule type="containsBlanks" dxfId="2326" priority="1713">
      <formula>LEN(TRIM(Q102))=0</formula>
    </cfRule>
    <cfRule type="containsBlanks" dxfId="2325" priority="1712">
      <formula>LEN(TRIM(Q102))=0</formula>
    </cfRule>
    <cfRule type="containsBlanks" dxfId="2324" priority="1715">
      <formula>LEN(TRIM(Q102))=0</formula>
    </cfRule>
    <cfRule type="containsBlanks" dxfId="2323" priority="1714">
      <formula>LEN(TRIM(Q102))=0</formula>
    </cfRule>
    <cfRule type="containsBlanks" dxfId="2322" priority="1717">
      <formula>LEN(TRIM(Q102))=0</formula>
    </cfRule>
    <cfRule type="containsBlanks" dxfId="2321" priority="1716">
      <formula>LEN(TRIM(Q102))=0</formula>
    </cfRule>
  </conditionalFormatting>
  <conditionalFormatting sqref="Q107">
    <cfRule type="containsBlanks" dxfId="2320" priority="2726">
      <formula>LEN(TRIM(Q107))=0</formula>
    </cfRule>
    <cfRule type="containsBlanks" dxfId="2319" priority="2724">
      <formula>LEN(TRIM(Q107))=0</formula>
    </cfRule>
    <cfRule type="containsBlanks" dxfId="2318" priority="2725">
      <formula>LEN(TRIM(Q107))=0</formula>
    </cfRule>
    <cfRule type="containsBlanks" dxfId="2317" priority="2729">
      <formula>LEN(TRIM(Q107))=0</formula>
    </cfRule>
    <cfRule type="containsBlanks" dxfId="2316" priority="2728">
      <formula>LEN(TRIM(Q107))=0</formula>
    </cfRule>
    <cfRule type="containsBlanks" dxfId="2315" priority="2727">
      <formula>LEN(TRIM(Q107))=0</formula>
    </cfRule>
  </conditionalFormatting>
  <conditionalFormatting sqref="Q140">
    <cfRule type="containsBlanks" dxfId="2314" priority="2723">
      <formula>LEN(TRIM(Q140))=0</formula>
    </cfRule>
    <cfRule type="containsBlanks" dxfId="2313" priority="2722">
      <formula>LEN(TRIM(Q140))=0</formula>
    </cfRule>
  </conditionalFormatting>
  <conditionalFormatting sqref="Q95:R152 R153:R156">
    <cfRule type="containsBlanks" dxfId="2312" priority="1746">
      <formula>LEN(TRIM(Q95))=0</formula>
    </cfRule>
    <cfRule type="containsBlanks" dxfId="2311" priority="1747">
      <formula>LEN(TRIM(Q95))=0</formula>
    </cfRule>
  </conditionalFormatting>
  <conditionalFormatting sqref="Q140:S140">
    <cfRule type="containsBlanks" dxfId="2310" priority="2686">
      <formula>LEN(TRIM(Q140))=0</formula>
    </cfRule>
    <cfRule type="containsBlanks" dxfId="2309" priority="2687">
      <formula>LEN(TRIM(Q140))=0</formula>
    </cfRule>
  </conditionalFormatting>
  <conditionalFormatting sqref="R13:R85">
    <cfRule type="containsBlanks" dxfId="2308" priority="452">
      <formula>LEN(TRIM(R13))=0</formula>
    </cfRule>
    <cfRule type="containsBlanks" dxfId="2307" priority="451">
      <formula>LEN(TRIM(R13))=0</formula>
    </cfRule>
  </conditionalFormatting>
  <conditionalFormatting sqref="R28:R82">
    <cfRule type="containsBlanks" dxfId="2306" priority="450">
      <formula>LEN(TRIM(R28))=0</formula>
    </cfRule>
    <cfRule type="containsBlanks" dxfId="2305" priority="449">
      <formula>LEN(TRIM(R28))=0</formula>
    </cfRule>
  </conditionalFormatting>
  <conditionalFormatting sqref="R56:R85">
    <cfRule type="containsBlanks" dxfId="2304" priority="447">
      <formula>LEN(TRIM(R56))=0</formula>
    </cfRule>
    <cfRule type="containsBlanks" dxfId="2303" priority="448">
      <formula>LEN(TRIM(R56))=0</formula>
    </cfRule>
  </conditionalFormatting>
  <conditionalFormatting sqref="R81">
    <cfRule type="containsBlanks" dxfId="2302" priority="153">
      <formula>LEN(TRIM(R81))=0</formula>
    </cfRule>
    <cfRule type="containsBlanks" dxfId="2301" priority="154">
      <formula>LEN(TRIM(R81))=0</formula>
    </cfRule>
    <cfRule type="containsBlanks" dxfId="2300" priority="155">
      <formula>LEN(TRIM(R81))=0</formula>
    </cfRule>
    <cfRule type="containsBlanks" dxfId="2299" priority="156">
      <formula>LEN(TRIM(R81))=0</formula>
    </cfRule>
    <cfRule type="containsBlanks" dxfId="2298" priority="157">
      <formula>LEN(TRIM(R81))=0</formula>
    </cfRule>
    <cfRule type="containsBlanks" dxfId="2297" priority="158">
      <formula>LEN(TRIM(R81))=0</formula>
    </cfRule>
  </conditionalFormatting>
  <conditionalFormatting sqref="R95:R156">
    <cfRule type="containsBlanks" dxfId="2296" priority="2695">
      <formula>LEN(TRIM(R95))=0</formula>
    </cfRule>
    <cfRule type="containsBlanks" dxfId="2295" priority="2002">
      <formula>LEN(TRIM(R95))=0</formula>
    </cfRule>
    <cfRule type="containsBlanks" dxfId="2294" priority="2719">
      <formula>LEN(TRIM(R95))=0</formula>
    </cfRule>
    <cfRule type="containsBlanks" dxfId="2293" priority="2718">
      <formula>LEN(TRIM(R95))=0</formula>
    </cfRule>
    <cfRule type="containsBlanks" dxfId="2292" priority="2694">
      <formula>LEN(TRIM(R95))=0</formula>
    </cfRule>
    <cfRule type="containsBlanks" dxfId="2291" priority="2693">
      <formula>LEN(TRIM(R95))=0</formula>
    </cfRule>
    <cfRule type="containsBlanks" dxfId="2290" priority="2692">
      <formula>LEN(TRIM(R95))=0</formula>
    </cfRule>
    <cfRule type="containsBlanks" dxfId="2289" priority="2691">
      <formula>LEN(TRIM(R95))=0</formula>
    </cfRule>
    <cfRule type="containsBlanks" dxfId="2288" priority="2690">
      <formula>LEN(TRIM(R95))=0</formula>
    </cfRule>
    <cfRule type="containsBlanks" dxfId="2287" priority="2688">
      <formula>LEN(TRIM(R95))=0</formula>
    </cfRule>
    <cfRule type="containsBlanks" dxfId="2286" priority="2791">
      <formula>LEN(TRIM(R95))=0</formula>
    </cfRule>
    <cfRule type="containsBlanks" dxfId="2285" priority="2790">
      <formula>LEN(TRIM(R95))=0</formula>
    </cfRule>
    <cfRule type="containsBlanks" dxfId="2284" priority="2697">
      <formula>LEN(TRIM(R95))=0</formula>
    </cfRule>
    <cfRule type="containsBlanks" dxfId="2283" priority="2003">
      <formula>LEN(TRIM(R95))=0</formula>
    </cfRule>
    <cfRule type="containsBlanks" dxfId="2282" priority="2004">
      <formula>LEN(TRIM(R95))=0</formula>
    </cfRule>
    <cfRule type="containsBlanks" dxfId="2281" priority="2005">
      <formula>LEN(TRIM(R95))=0</formula>
    </cfRule>
    <cfRule type="containsBlanks" dxfId="2280" priority="2689">
      <formula>LEN(TRIM(R95))=0</formula>
    </cfRule>
    <cfRule type="containsBlanks" dxfId="2279" priority="2696">
      <formula>LEN(TRIM(R95))=0</formula>
    </cfRule>
  </conditionalFormatting>
  <conditionalFormatting sqref="R109:R156">
    <cfRule type="containsBlanks" dxfId="2278" priority="2788">
      <formula>LEN(TRIM(R109))=0</formula>
    </cfRule>
    <cfRule type="containsBlanks" dxfId="2277" priority="2789">
      <formula>LEN(TRIM(R109))=0</formula>
    </cfRule>
  </conditionalFormatting>
  <conditionalFormatting sqref="R136">
    <cfRule type="containsBlanks" dxfId="2276" priority="1562">
      <formula>LEN(TRIM(R136))=0</formula>
    </cfRule>
    <cfRule type="containsBlanks" dxfId="2275" priority="1563">
      <formula>LEN(TRIM(R136))=0</formula>
    </cfRule>
    <cfRule type="containsBlanks" dxfId="2274" priority="1564">
      <formula>LEN(TRIM(R136))=0</formula>
    </cfRule>
    <cfRule type="containsBlanks" dxfId="2273" priority="1565">
      <formula>LEN(TRIM(R136))=0</formula>
    </cfRule>
    <cfRule type="containsBlanks" dxfId="2272" priority="1566">
      <formula>LEN(TRIM(R136))=0</formula>
    </cfRule>
    <cfRule type="containsBlanks" dxfId="2271" priority="1567">
      <formula>LEN(TRIM(R136))=0</formula>
    </cfRule>
    <cfRule type="containsBlanks" dxfId="2270" priority="1568">
      <formula>LEN(TRIM(R136))=0</formula>
    </cfRule>
    <cfRule type="containsBlanks" dxfId="2269" priority="1569">
      <formula>LEN(TRIM(R136))=0</formula>
    </cfRule>
    <cfRule type="containsBlanks" dxfId="2268" priority="1556">
      <formula>LEN(TRIM(R136))=0</formula>
    </cfRule>
    <cfRule type="containsBlanks" dxfId="2267" priority="1571">
      <formula>LEN(TRIM(R136))=0</formula>
    </cfRule>
    <cfRule type="containsBlanks" dxfId="2266" priority="1573">
      <formula>LEN(TRIM(R136))=0</formula>
    </cfRule>
    <cfRule type="containsBlanks" dxfId="2265" priority="1574">
      <formula>LEN(TRIM(R136))=0</formula>
    </cfRule>
    <cfRule type="containsBlanks" dxfId="2264" priority="1555">
      <formula>LEN(TRIM(R136))=0</formula>
    </cfRule>
    <cfRule type="containsBlanks" dxfId="2263" priority="1575">
      <formula>LEN(TRIM(R136))=0</formula>
    </cfRule>
    <cfRule type="containsBlanks" dxfId="2262" priority="1557">
      <formula>LEN(TRIM(R136))=0</formula>
    </cfRule>
    <cfRule type="containsBlanks" dxfId="2261" priority="1558">
      <formula>LEN(TRIM(R136))=0</formula>
    </cfRule>
    <cfRule type="containsBlanks" dxfId="2260" priority="1560">
      <formula>LEN(TRIM(R136))=0</formula>
    </cfRule>
    <cfRule type="containsBlanks" dxfId="2259" priority="1561">
      <formula>LEN(TRIM(R136))=0</formula>
    </cfRule>
    <cfRule type="containsBlanks" dxfId="2258" priority="1554">
      <formula>LEN(TRIM(R136))=0</formula>
    </cfRule>
    <cfRule type="containsBlanks" dxfId="2257" priority="1553">
      <formula>LEN(TRIM(R136))=0</formula>
    </cfRule>
    <cfRule type="containsBlanks" dxfId="2256" priority="1552">
      <formula>LEN(TRIM(R136))=0</formula>
    </cfRule>
    <cfRule type="containsBlanks" dxfId="2255" priority="1551">
      <formula>LEN(TRIM(R136))=0</formula>
    </cfRule>
    <cfRule type="containsBlanks" dxfId="2254" priority="1550">
      <formula>LEN(TRIM(R136))=0</formula>
    </cfRule>
    <cfRule type="containsBlanks" dxfId="2253" priority="1559">
      <formula>LEN(TRIM(R136))=0</formula>
    </cfRule>
    <cfRule type="containsBlanks" dxfId="2252" priority="1548">
      <formula>LEN(TRIM(R136))=0</formula>
    </cfRule>
    <cfRule type="containsBlanks" dxfId="2251" priority="1547">
      <formula>LEN(TRIM(R136))=0</formula>
    </cfRule>
    <cfRule type="containsBlanks" dxfId="2250" priority="1546">
      <formula>LEN(TRIM(R136))=0</formula>
    </cfRule>
    <cfRule type="containsBlanks" dxfId="2249" priority="1570">
      <formula>LEN(TRIM(R136))=0</formula>
    </cfRule>
    <cfRule type="containsBlanks" dxfId="2248" priority="1572">
      <formula>LEN(TRIM(R136))=0</formula>
    </cfRule>
    <cfRule type="containsBlanks" dxfId="2247" priority="1549">
      <formula>LEN(TRIM(R136))=0</formula>
    </cfRule>
  </conditionalFormatting>
  <conditionalFormatting sqref="R138">
    <cfRule type="containsBlanks" dxfId="2246" priority="1540">
      <formula>LEN(TRIM(R138))=0</formula>
    </cfRule>
    <cfRule type="containsBlanks" dxfId="2245" priority="1539">
      <formula>LEN(TRIM(R138))=0</formula>
    </cfRule>
    <cfRule type="containsBlanks" dxfId="2244" priority="1538">
      <formula>LEN(TRIM(R138))=0</formula>
    </cfRule>
    <cfRule type="containsBlanks" dxfId="2243" priority="1537">
      <formula>LEN(TRIM(R138))=0</formula>
    </cfRule>
    <cfRule type="containsBlanks" dxfId="2242" priority="1536">
      <formula>LEN(TRIM(R138))=0</formula>
    </cfRule>
    <cfRule type="containsBlanks" dxfId="2241" priority="1535">
      <formula>LEN(TRIM(R138))=0</formula>
    </cfRule>
    <cfRule type="containsBlanks" dxfId="2240" priority="1534">
      <formula>LEN(TRIM(R138))=0</formula>
    </cfRule>
    <cfRule type="containsBlanks" dxfId="2239" priority="1533">
      <formula>LEN(TRIM(R138))=0</formula>
    </cfRule>
    <cfRule type="containsBlanks" dxfId="2238" priority="1532">
      <formula>LEN(TRIM(R138))=0</formula>
    </cfRule>
    <cfRule type="containsBlanks" dxfId="2237" priority="1531">
      <formula>LEN(TRIM(R138))=0</formula>
    </cfRule>
    <cfRule type="containsBlanks" dxfId="2236" priority="1530">
      <formula>LEN(TRIM(R138))=0</formula>
    </cfRule>
    <cfRule type="containsBlanks" dxfId="2235" priority="1529">
      <formula>LEN(TRIM(R138))=0</formula>
    </cfRule>
    <cfRule type="containsBlanks" dxfId="2234" priority="1528">
      <formula>LEN(TRIM(R138))=0</formula>
    </cfRule>
    <cfRule type="containsBlanks" dxfId="2233" priority="1527">
      <formula>LEN(TRIM(R138))=0</formula>
    </cfRule>
    <cfRule type="containsBlanks" dxfId="2232" priority="1526">
      <formula>LEN(TRIM(R138))=0</formula>
    </cfRule>
    <cfRule type="containsBlanks" dxfId="2231" priority="1525">
      <formula>LEN(TRIM(R138))=0</formula>
    </cfRule>
    <cfRule type="containsBlanks" dxfId="2230" priority="1524">
      <formula>LEN(TRIM(R138))=0</formula>
    </cfRule>
    <cfRule type="containsBlanks" dxfId="2229" priority="1523">
      <formula>LEN(TRIM(R138))=0</formula>
    </cfRule>
    <cfRule type="containsBlanks" dxfId="2228" priority="1522">
      <formula>LEN(TRIM(R138))=0</formula>
    </cfRule>
    <cfRule type="containsBlanks" dxfId="2227" priority="1521">
      <formula>LEN(TRIM(R138))=0</formula>
    </cfRule>
    <cfRule type="containsBlanks" dxfId="2226" priority="1520">
      <formula>LEN(TRIM(R138))=0</formula>
    </cfRule>
    <cfRule type="containsBlanks" dxfId="2225" priority="1519">
      <formula>LEN(TRIM(R138))=0</formula>
    </cfRule>
    <cfRule type="containsBlanks" dxfId="2224" priority="1518">
      <formula>LEN(TRIM(R138))=0</formula>
    </cfRule>
    <cfRule type="containsBlanks" dxfId="2223" priority="1517">
      <formula>LEN(TRIM(R138))=0</formula>
    </cfRule>
    <cfRule type="containsBlanks" dxfId="2222" priority="1516">
      <formula>LEN(TRIM(R138))=0</formula>
    </cfRule>
    <cfRule type="containsBlanks" dxfId="2221" priority="1544">
      <formula>LEN(TRIM(R138))=0</formula>
    </cfRule>
    <cfRule type="containsBlanks" dxfId="2220" priority="1545">
      <formula>LEN(TRIM(R138))=0</formula>
    </cfRule>
    <cfRule type="containsBlanks" dxfId="2219" priority="1543">
      <formula>LEN(TRIM(R138))=0</formula>
    </cfRule>
    <cfRule type="containsBlanks" dxfId="2218" priority="1542">
      <formula>LEN(TRIM(R138))=0</formula>
    </cfRule>
    <cfRule type="containsBlanks" dxfId="2217" priority="1541">
      <formula>LEN(TRIM(R138))=0</formula>
    </cfRule>
  </conditionalFormatting>
  <conditionalFormatting sqref="R138:R156">
    <cfRule type="containsBlanks" dxfId="2216" priority="2786">
      <formula>LEN(TRIM(R138))=0</formula>
    </cfRule>
    <cfRule type="containsBlanks" dxfId="2215" priority="2787">
      <formula>LEN(TRIM(R138))=0</formula>
    </cfRule>
  </conditionalFormatting>
  <conditionalFormatting sqref="R143">
    <cfRule type="containsBlanks" dxfId="2214" priority="2678">
      <formula>LEN(TRIM(R143))=0</formula>
    </cfRule>
    <cfRule type="containsBlanks" dxfId="2213" priority="2679">
      <formula>LEN(TRIM(R143))=0</formula>
    </cfRule>
    <cfRule type="containsBlanks" dxfId="2212" priority="2677">
      <formula>LEN(TRIM(R143))=0</formula>
    </cfRule>
    <cfRule type="containsBlanks" dxfId="2211" priority="2672">
      <formula>LEN(TRIM(R143))=0</formula>
    </cfRule>
    <cfRule type="containsBlanks" dxfId="2210" priority="2673">
      <formula>LEN(TRIM(R143))=0</formula>
    </cfRule>
    <cfRule type="containsBlanks" dxfId="2209" priority="2674">
      <formula>LEN(TRIM(R143))=0</formula>
    </cfRule>
    <cfRule type="containsBlanks" dxfId="2208" priority="2675">
      <formula>LEN(TRIM(R143))=0</formula>
    </cfRule>
    <cfRule type="containsBlanks" dxfId="2207" priority="2676">
      <formula>LEN(TRIM(R143))=0</formula>
    </cfRule>
  </conditionalFormatting>
  <conditionalFormatting sqref="R148">
    <cfRule type="containsBlanks" dxfId="2206" priority="1443">
      <formula>LEN(TRIM(R148))=0</formula>
    </cfRule>
    <cfRule type="containsBlanks" dxfId="2205" priority="2713">
      <formula>LEN(TRIM(R148))=0</formula>
    </cfRule>
    <cfRule type="containsBlanks" dxfId="2204" priority="1445">
      <formula>LEN(TRIM(R148))=0</formula>
    </cfRule>
    <cfRule type="containsBlanks" dxfId="2203" priority="2708">
      <formula>LEN(TRIM(R148))=0</formula>
    </cfRule>
    <cfRule type="containsBlanks" dxfId="2202" priority="2709">
      <formula>LEN(TRIM(R148))=0</formula>
    </cfRule>
    <cfRule type="containsBlanks" dxfId="2201" priority="2710">
      <formula>LEN(TRIM(R148))=0</formula>
    </cfRule>
    <cfRule type="containsBlanks" dxfId="2200" priority="2711">
      <formula>LEN(TRIM(R148))=0</formula>
    </cfRule>
    <cfRule type="containsBlanks" dxfId="2199" priority="2712">
      <formula>LEN(TRIM(R148))=0</formula>
    </cfRule>
    <cfRule type="containsBlanks" dxfId="2198" priority="2714">
      <formula>LEN(TRIM(R148))=0</formula>
    </cfRule>
    <cfRule type="containsBlanks" dxfId="2197" priority="2715">
      <formula>LEN(TRIM(R148))=0</formula>
    </cfRule>
    <cfRule type="containsBlanks" dxfId="2196" priority="2717">
      <formula>LEN(TRIM(R148))=0</formula>
    </cfRule>
    <cfRule type="containsBlanks" dxfId="2195" priority="1442">
      <formula>LEN(TRIM(R148))=0</formula>
    </cfRule>
    <cfRule type="containsBlanks" dxfId="2194" priority="1441">
      <formula>LEN(TRIM(R148))=0</formula>
    </cfRule>
    <cfRule type="containsBlanks" dxfId="2193" priority="1440">
      <formula>LEN(TRIM(R148))=0</formula>
    </cfRule>
    <cfRule type="containsBlanks" dxfId="2192" priority="1439">
      <formula>LEN(TRIM(R148))=0</formula>
    </cfRule>
    <cfRule type="containsBlanks" dxfId="2191" priority="2716">
      <formula>LEN(TRIM(R148))=0</formula>
    </cfRule>
    <cfRule type="containsBlanks" dxfId="2190" priority="1437">
      <formula>LEN(TRIM(R148))=0</formula>
    </cfRule>
    <cfRule type="containsBlanks" dxfId="2189" priority="1436">
      <formula>LEN(TRIM(R148))=0</formula>
    </cfRule>
    <cfRule type="containsBlanks" dxfId="2188" priority="1435">
      <formula>LEN(TRIM(R148))=0</formula>
    </cfRule>
    <cfRule type="containsBlanks" dxfId="2187" priority="1434">
      <formula>LEN(TRIM(R148))=0</formula>
    </cfRule>
    <cfRule type="containsBlanks" dxfId="2186" priority="1433">
      <formula>LEN(TRIM(R148))=0</formula>
    </cfRule>
    <cfRule type="containsBlanks" dxfId="2185" priority="1438">
      <formula>LEN(TRIM(R148))=0</formula>
    </cfRule>
    <cfRule type="containsBlanks" dxfId="2184" priority="1431">
      <formula>LEN(TRIM(R148))=0</formula>
    </cfRule>
    <cfRule type="containsBlanks" dxfId="2183" priority="1430">
      <formula>LEN(TRIM(R148))=0</formula>
    </cfRule>
    <cfRule type="containsBlanks" dxfId="2182" priority="1429">
      <formula>LEN(TRIM(R148))=0</formula>
    </cfRule>
    <cfRule type="containsBlanks" dxfId="2181" priority="1428">
      <formula>LEN(TRIM(R148))=0</formula>
    </cfRule>
    <cfRule type="containsBlanks" dxfId="2180" priority="1426">
      <formula>LEN(TRIM(R148))=0</formula>
    </cfRule>
    <cfRule type="containsBlanks" dxfId="2179" priority="1450">
      <formula>LEN(TRIM(R148))=0</formula>
    </cfRule>
    <cfRule type="containsBlanks" dxfId="2178" priority="1454">
      <formula>LEN(TRIM(R148))=0</formula>
    </cfRule>
    <cfRule type="containsBlanks" dxfId="2177" priority="1455">
      <formula>LEN(TRIM(R148))=0</formula>
    </cfRule>
    <cfRule type="containsBlanks" dxfId="2176" priority="1427">
      <formula>LEN(TRIM(R148))=0</formula>
    </cfRule>
    <cfRule type="containsBlanks" dxfId="2175" priority="1448">
      <formula>LEN(TRIM(R148))=0</formula>
    </cfRule>
    <cfRule type="containsBlanks" dxfId="2174" priority="1447">
      <formula>LEN(TRIM(R148))=0</formula>
    </cfRule>
    <cfRule type="containsBlanks" dxfId="2173" priority="1451">
      <formula>LEN(TRIM(R148))=0</formula>
    </cfRule>
    <cfRule type="containsBlanks" dxfId="2172" priority="1452">
      <formula>LEN(TRIM(R148))=0</formula>
    </cfRule>
    <cfRule type="containsBlanks" dxfId="2171" priority="1449">
      <formula>LEN(TRIM(R148))=0</formula>
    </cfRule>
    <cfRule type="containsBlanks" dxfId="2170" priority="1453">
      <formula>LEN(TRIM(R148))=0</formula>
    </cfRule>
    <cfRule type="containsBlanks" dxfId="2169" priority="1446">
      <formula>LEN(TRIM(R148))=0</formula>
    </cfRule>
    <cfRule type="containsBlanks" dxfId="2168" priority="1444">
      <formula>LEN(TRIM(R148))=0</formula>
    </cfRule>
    <cfRule type="containsBlanks" dxfId="2167" priority="1432">
      <formula>LEN(TRIM(R148))=0</formula>
    </cfRule>
  </conditionalFormatting>
  <conditionalFormatting sqref="R150:R151">
    <cfRule type="containsBlanks" dxfId="2166" priority="2699">
      <formula>LEN(TRIM(R150))=0</formula>
    </cfRule>
    <cfRule type="containsBlanks" dxfId="2165" priority="2707">
      <formula>LEN(TRIM(R150))=0</formula>
    </cfRule>
    <cfRule type="containsBlanks" dxfId="2164" priority="2706">
      <formula>LEN(TRIM(R150))=0</formula>
    </cfRule>
    <cfRule type="containsBlanks" dxfId="2163" priority="2705">
      <formula>LEN(TRIM(R150))=0</formula>
    </cfRule>
    <cfRule type="containsBlanks" dxfId="2162" priority="2704">
      <formula>LEN(TRIM(R150))=0</formula>
    </cfRule>
    <cfRule type="containsBlanks" dxfId="2161" priority="2703">
      <formula>LEN(TRIM(R150))=0</formula>
    </cfRule>
    <cfRule type="containsBlanks" dxfId="2160" priority="2702">
      <formula>LEN(TRIM(R150))=0</formula>
    </cfRule>
    <cfRule type="containsBlanks" dxfId="2159" priority="2701">
      <formula>LEN(TRIM(R150))=0</formula>
    </cfRule>
    <cfRule type="containsBlanks" dxfId="2158" priority="2700">
      <formula>LEN(TRIM(R150))=0</formula>
    </cfRule>
    <cfRule type="containsBlanks" dxfId="2157" priority="2698">
      <formula>LEN(TRIM(R150))=0</formula>
    </cfRule>
  </conditionalFormatting>
  <conditionalFormatting sqref="R95:S156">
    <cfRule type="containsBlanks" dxfId="2156" priority="2006">
      <formula>LEN(TRIM(R95))=0</formula>
    </cfRule>
    <cfRule type="containsBlanks" dxfId="2155" priority="2007">
      <formula>LEN(TRIM(R95))=0</formula>
    </cfRule>
  </conditionalFormatting>
  <conditionalFormatting sqref="R140:S140">
    <cfRule type="containsBlanks" dxfId="2154" priority="1504">
      <formula>LEN(TRIM(R140))=0</formula>
    </cfRule>
    <cfRule type="containsBlanks" dxfId="2153" priority="1505">
      <formula>LEN(TRIM(R140))=0</formula>
    </cfRule>
    <cfRule type="containsBlanks" dxfId="2152" priority="1512">
      <formula>LEN(TRIM(R140))=0</formula>
    </cfRule>
    <cfRule type="containsBlanks" dxfId="2151" priority="1506">
      <formula>LEN(TRIM(R140))=0</formula>
    </cfRule>
    <cfRule type="containsBlanks" dxfId="2150" priority="1507">
      <formula>LEN(TRIM(R140))=0</formula>
    </cfRule>
    <cfRule type="containsBlanks" dxfId="2149" priority="1499">
      <formula>LEN(TRIM(R140))=0</formula>
    </cfRule>
    <cfRule type="containsBlanks" dxfId="2148" priority="1500">
      <formula>LEN(TRIM(R140))=0</formula>
    </cfRule>
    <cfRule type="containsBlanks" dxfId="2147" priority="1501">
      <formula>LEN(TRIM(R140))=0</formula>
    </cfRule>
    <cfRule type="containsBlanks" dxfId="2146" priority="1481">
      <formula>LEN(TRIM(R140))=0</formula>
    </cfRule>
    <cfRule type="containsBlanks" dxfId="2145" priority="1502">
      <formula>LEN(TRIM(R140))=0</formula>
    </cfRule>
    <cfRule type="containsBlanks" dxfId="2144" priority="1503">
      <formula>LEN(TRIM(R140))=0</formula>
    </cfRule>
    <cfRule type="containsBlanks" dxfId="2143" priority="1480">
      <formula>LEN(TRIM(R140))=0</formula>
    </cfRule>
    <cfRule type="containsBlanks" dxfId="2142" priority="1479">
      <formula>LEN(TRIM(R140))=0</formula>
    </cfRule>
    <cfRule type="containsBlanks" dxfId="2141" priority="1478">
      <formula>LEN(TRIM(R140))=0</formula>
    </cfRule>
    <cfRule type="containsBlanks" dxfId="2140" priority="1477">
      <formula>LEN(TRIM(R140))=0</formula>
    </cfRule>
    <cfRule type="containsBlanks" dxfId="2139" priority="1476">
      <formula>LEN(TRIM(R140))=0</formula>
    </cfRule>
    <cfRule type="containsBlanks" dxfId="2138" priority="1475">
      <formula>LEN(TRIM(R140))=0</formula>
    </cfRule>
    <cfRule type="containsBlanks" dxfId="2137" priority="1474">
      <formula>LEN(TRIM(R140))=0</formula>
    </cfRule>
    <cfRule type="containsBlanks" dxfId="2136" priority="1473">
      <formula>LEN(TRIM(R140))=0</formula>
    </cfRule>
    <cfRule type="containsBlanks" dxfId="2135" priority="1472">
      <formula>LEN(TRIM(R140))=0</formula>
    </cfRule>
    <cfRule type="containsBlanks" dxfId="2134" priority="1471">
      <formula>LEN(TRIM(R140))=0</formula>
    </cfRule>
    <cfRule type="containsBlanks" dxfId="2133" priority="1470">
      <formula>LEN(TRIM(R140))=0</formula>
    </cfRule>
    <cfRule type="containsBlanks" dxfId="2132" priority="1469">
      <formula>LEN(TRIM(R140))=0</formula>
    </cfRule>
    <cfRule type="containsBlanks" dxfId="2131" priority="1468">
      <formula>LEN(TRIM(R140))=0</formula>
    </cfRule>
    <cfRule type="containsBlanks" dxfId="2130" priority="1467">
      <formula>LEN(TRIM(R140))=0</formula>
    </cfRule>
    <cfRule type="containsBlanks" dxfId="2129" priority="1466">
      <formula>LEN(TRIM(R140))=0</formula>
    </cfRule>
    <cfRule type="containsBlanks" dxfId="2128" priority="1465">
      <formula>LEN(TRIM(R140))=0</formula>
    </cfRule>
    <cfRule type="containsBlanks" dxfId="2127" priority="1464">
      <formula>LEN(TRIM(R140))=0</formula>
    </cfRule>
    <cfRule type="containsBlanks" dxfId="2126" priority="1463">
      <formula>LEN(TRIM(R140))=0</formula>
    </cfRule>
    <cfRule type="containsBlanks" dxfId="2125" priority="1462">
      <formula>LEN(TRIM(R140))=0</formula>
    </cfRule>
    <cfRule type="containsBlanks" dxfId="2124" priority="1461">
      <formula>LEN(TRIM(R140))=0</formula>
    </cfRule>
    <cfRule type="containsBlanks" dxfId="2123" priority="1460">
      <formula>LEN(TRIM(R140))=0</formula>
    </cfRule>
    <cfRule type="containsBlanks" dxfId="2122" priority="1508">
      <formula>LEN(TRIM(R140))=0</formula>
    </cfRule>
    <cfRule type="containsBlanks" dxfId="2121" priority="1458">
      <formula>LEN(TRIM(R140))=0</formula>
    </cfRule>
    <cfRule type="containsBlanks" dxfId="2120" priority="1457">
      <formula>LEN(TRIM(R140))=0</formula>
    </cfRule>
    <cfRule type="containsBlanks" dxfId="2119" priority="1456">
      <formula>LEN(TRIM(R140))=0</formula>
    </cfRule>
    <cfRule type="containsBlanks" dxfId="2118" priority="1509">
      <formula>LEN(TRIM(R140))=0</formula>
    </cfRule>
    <cfRule type="containsBlanks" dxfId="2117" priority="1510">
      <formula>LEN(TRIM(R140))=0</formula>
    </cfRule>
    <cfRule type="containsBlanks" dxfId="2116" priority="1511">
      <formula>LEN(TRIM(R140))=0</formula>
    </cfRule>
    <cfRule type="containsBlanks" dxfId="2115" priority="1513">
      <formula>LEN(TRIM(R140))=0</formula>
    </cfRule>
    <cfRule type="containsBlanks" dxfId="2114" priority="1514">
      <formula>LEN(TRIM(R140))=0</formula>
    </cfRule>
    <cfRule type="containsBlanks" dxfId="2113" priority="1515">
      <formula>LEN(TRIM(R140))=0</formula>
    </cfRule>
    <cfRule type="containsBlanks" dxfId="2112" priority="2680">
      <formula>LEN(TRIM(R140))=0</formula>
    </cfRule>
    <cfRule type="containsBlanks" dxfId="2111" priority="2681">
      <formula>LEN(TRIM(R140))=0</formula>
    </cfRule>
    <cfRule type="containsBlanks" dxfId="2110" priority="2682">
      <formula>LEN(TRIM(R140))=0</formula>
    </cfRule>
    <cfRule type="containsBlanks" dxfId="2109" priority="2683">
      <formula>LEN(TRIM(R140))=0</formula>
    </cfRule>
    <cfRule type="containsBlanks" dxfId="2108" priority="2684">
      <formula>LEN(TRIM(R140))=0</formula>
    </cfRule>
    <cfRule type="containsBlanks" dxfId="2107" priority="2685">
      <formula>LEN(TRIM(R140))=0</formula>
    </cfRule>
    <cfRule type="containsBlanks" dxfId="2106" priority="1482">
      <formula>LEN(TRIM(R140))=0</formula>
    </cfRule>
    <cfRule type="containsBlanks" dxfId="2105" priority="1483">
      <formula>LEN(TRIM(R140))=0</formula>
    </cfRule>
    <cfRule type="containsBlanks" dxfId="2104" priority="1484">
      <formula>LEN(TRIM(R140))=0</formula>
    </cfRule>
    <cfRule type="containsBlanks" dxfId="2103" priority="1485">
      <formula>LEN(TRIM(R140))=0</formula>
    </cfRule>
    <cfRule type="containsBlanks" dxfId="2102" priority="1486">
      <formula>LEN(TRIM(R140))=0</formula>
    </cfRule>
    <cfRule type="containsBlanks" dxfId="2101" priority="1487">
      <formula>LEN(TRIM(R140))=0</formula>
    </cfRule>
    <cfRule type="containsBlanks" dxfId="2100" priority="1488">
      <formula>LEN(TRIM(R140))=0</formula>
    </cfRule>
    <cfRule type="containsBlanks" dxfId="2099" priority="1489">
      <formula>LEN(TRIM(R140))=0</formula>
    </cfRule>
    <cfRule type="containsBlanks" dxfId="2098" priority="1490">
      <formula>LEN(TRIM(R140))=0</formula>
    </cfRule>
    <cfRule type="containsBlanks" dxfId="2097" priority="1491">
      <formula>LEN(TRIM(R140))=0</formula>
    </cfRule>
    <cfRule type="containsBlanks" dxfId="2096" priority="1492">
      <formula>LEN(TRIM(R140))=0</formula>
    </cfRule>
    <cfRule type="containsBlanks" dxfId="2095" priority="1494">
      <formula>LEN(TRIM(R140))=0</formula>
    </cfRule>
    <cfRule type="containsBlanks" dxfId="2094" priority="1493">
      <formula>LEN(TRIM(R140))=0</formula>
    </cfRule>
    <cfRule type="containsBlanks" dxfId="2093" priority="1459">
      <formula>LEN(TRIM(R140))=0</formula>
    </cfRule>
    <cfRule type="containsBlanks" dxfId="2092" priority="1495">
      <formula>LEN(TRIM(R140))=0</formula>
    </cfRule>
    <cfRule type="containsBlanks" dxfId="2091" priority="1496">
      <formula>LEN(TRIM(R140))=0</formula>
    </cfRule>
    <cfRule type="containsBlanks" dxfId="2090" priority="1497">
      <formula>LEN(TRIM(R140))=0</formula>
    </cfRule>
    <cfRule type="containsBlanks" dxfId="2089" priority="1498">
      <formula>LEN(TRIM(R140))=0</formula>
    </cfRule>
  </conditionalFormatting>
  <conditionalFormatting sqref="R140:T140">
    <cfRule type="containsBlanks" dxfId="2088" priority="2668">
      <formula>LEN(TRIM(R140))=0</formula>
    </cfRule>
    <cfRule type="containsBlanks" dxfId="2087" priority="2669">
      <formula>LEN(TRIM(R140))=0</formula>
    </cfRule>
  </conditionalFormatting>
  <conditionalFormatting sqref="S13:S89">
    <cfRule type="containsBlanks" dxfId="2086" priority="426">
      <formula>LEN(TRIM(S13))=0</formula>
    </cfRule>
    <cfRule type="containsBlanks" dxfId="2085" priority="425">
      <formula>LEN(TRIM(S13))=0</formula>
    </cfRule>
  </conditionalFormatting>
  <conditionalFormatting sqref="S14:S85">
    <cfRule type="containsBlanks" dxfId="2084" priority="420">
      <formula>LEN(TRIM(S14))=0</formula>
    </cfRule>
    <cfRule type="containsBlanks" dxfId="2083" priority="419">
      <formula>LEN(TRIM(S14))=0</formula>
    </cfRule>
  </conditionalFormatting>
  <conditionalFormatting sqref="S87:S89">
    <cfRule type="containsBlanks" dxfId="2082" priority="106">
      <formula>LEN(TRIM(S87))=0</formula>
    </cfRule>
    <cfRule type="containsBlanks" dxfId="2081" priority="105">
      <formula>LEN(TRIM(S87))=0</formula>
    </cfRule>
  </conditionalFormatting>
  <conditionalFormatting sqref="S95:S156">
    <cfRule type="containsBlanks" dxfId="2080" priority="1409">
      <formula>LEN(TRIM(S95))=0</formula>
    </cfRule>
    <cfRule type="containsBlanks" dxfId="2079" priority="1408">
      <formula>LEN(TRIM(S95))=0</formula>
    </cfRule>
    <cfRule type="containsBlanks" dxfId="2078" priority="1407">
      <formula>LEN(TRIM(S95))=0</formula>
    </cfRule>
    <cfRule type="containsBlanks" dxfId="2077" priority="1406">
      <formula>LEN(TRIM(S95))=0</formula>
    </cfRule>
    <cfRule type="containsBlanks" dxfId="2076" priority="1405">
      <formula>LEN(TRIM(S95))=0</formula>
    </cfRule>
    <cfRule type="containsBlanks" dxfId="2075" priority="1418">
      <formula>LEN(TRIM(S95))=0</formula>
    </cfRule>
    <cfRule type="containsBlanks" dxfId="2074" priority="1417">
      <formula>LEN(TRIM(S95))=0</formula>
    </cfRule>
    <cfRule type="containsBlanks" dxfId="2073" priority="1416">
      <formula>LEN(TRIM(S95))=0</formula>
    </cfRule>
    <cfRule type="containsBlanks" dxfId="2072" priority="1415">
      <formula>LEN(TRIM(S95))=0</formula>
    </cfRule>
    <cfRule type="containsBlanks" dxfId="2071" priority="1414">
      <formula>LEN(TRIM(S95))=0</formula>
    </cfRule>
    <cfRule type="containsBlanks" dxfId="2070" priority="1413">
      <formula>LEN(TRIM(S95))=0</formula>
    </cfRule>
    <cfRule type="containsBlanks" dxfId="2069" priority="1412">
      <formula>LEN(TRIM(S95))=0</formula>
    </cfRule>
    <cfRule type="containsBlanks" dxfId="2068" priority="1411">
      <formula>LEN(TRIM(S95))=0</formula>
    </cfRule>
    <cfRule type="containsBlanks" dxfId="2067" priority="1404">
      <formula>LEN(TRIM(S95))=0</formula>
    </cfRule>
    <cfRule type="containsBlanks" dxfId="2066" priority="1425">
      <formula>LEN(TRIM(S95))=0</formula>
    </cfRule>
    <cfRule type="containsBlanks" dxfId="2065" priority="1410">
      <formula>LEN(TRIM(S95))=0</formula>
    </cfRule>
    <cfRule type="containsBlanks" dxfId="2064" priority="1424">
      <formula>LEN(TRIM(S95))=0</formula>
    </cfRule>
    <cfRule type="containsBlanks" dxfId="2063" priority="1423">
      <formula>LEN(TRIM(S95))=0</formula>
    </cfRule>
    <cfRule type="containsBlanks" dxfId="2062" priority="1422">
      <formula>LEN(TRIM(S95))=0</formula>
    </cfRule>
    <cfRule type="containsBlanks" dxfId="2061" priority="1421">
      <formula>LEN(TRIM(S95))=0</formula>
    </cfRule>
    <cfRule type="containsBlanks" dxfId="2060" priority="1420">
      <formula>LEN(TRIM(S95))=0</formula>
    </cfRule>
    <cfRule type="containsBlanks" dxfId="2059" priority="1419">
      <formula>LEN(TRIM(S95))=0</formula>
    </cfRule>
  </conditionalFormatting>
  <conditionalFormatting sqref="S113:S115">
    <cfRule type="containsBlanks" dxfId="2058" priority="1931">
      <formula>LEN(TRIM(S113))=0</formula>
    </cfRule>
    <cfRule type="containsBlanks" dxfId="2057" priority="1930">
      <formula>LEN(TRIM(S113))=0</formula>
    </cfRule>
    <cfRule type="containsBlanks" dxfId="2056" priority="1929">
      <formula>LEN(TRIM(S113))=0</formula>
    </cfRule>
    <cfRule type="containsBlanks" dxfId="2055" priority="1928">
      <formula>LEN(TRIM(S113))=0</formula>
    </cfRule>
    <cfRule type="containsBlanks" dxfId="2054" priority="1927">
      <formula>LEN(TRIM(S113))=0</formula>
    </cfRule>
    <cfRule type="containsBlanks" dxfId="2053" priority="1926">
      <formula>LEN(TRIM(S113))=0</formula>
    </cfRule>
    <cfRule type="containsBlanks" dxfId="2052" priority="1925">
      <formula>LEN(TRIM(S113))=0</formula>
    </cfRule>
    <cfRule type="containsBlanks" dxfId="2051" priority="1924">
      <formula>LEN(TRIM(S113))=0</formula>
    </cfRule>
    <cfRule type="containsBlanks" dxfId="2050" priority="1923">
      <formula>LEN(TRIM(S113))=0</formula>
    </cfRule>
    <cfRule type="containsBlanks" dxfId="2049" priority="1922">
      <formula>LEN(TRIM(S113))=0</formula>
    </cfRule>
    <cfRule type="containsBlanks" dxfId="2048" priority="1921">
      <formula>LEN(TRIM(S113))=0</formula>
    </cfRule>
    <cfRule type="containsBlanks" dxfId="2047" priority="1920">
      <formula>LEN(TRIM(S113))=0</formula>
    </cfRule>
    <cfRule type="containsBlanks" dxfId="2046" priority="1919">
      <formula>LEN(TRIM(S113))=0</formula>
    </cfRule>
    <cfRule type="containsBlanks" dxfId="2045" priority="1918">
      <formula>LEN(TRIM(S113))=0</formula>
    </cfRule>
    <cfRule type="containsBlanks" dxfId="2044" priority="1951">
      <formula>LEN(TRIM(S113))=0</formula>
    </cfRule>
    <cfRule type="containsBlanks" dxfId="2043" priority="1950">
      <formula>LEN(TRIM(S113))=0</formula>
    </cfRule>
    <cfRule type="containsBlanks" dxfId="2042" priority="1949">
      <formula>LEN(TRIM(S113))=0</formula>
    </cfRule>
    <cfRule type="containsBlanks" dxfId="2041" priority="1948">
      <formula>LEN(TRIM(S113))=0</formula>
    </cfRule>
    <cfRule type="containsBlanks" dxfId="2040" priority="1947">
      <formula>LEN(TRIM(S113))=0</formula>
    </cfRule>
    <cfRule type="containsBlanks" dxfId="2039" priority="1946">
      <formula>LEN(TRIM(S113))=0</formula>
    </cfRule>
    <cfRule type="containsBlanks" dxfId="2038" priority="1945">
      <formula>LEN(TRIM(S113))=0</formula>
    </cfRule>
    <cfRule type="containsBlanks" dxfId="2037" priority="1944">
      <formula>LEN(TRIM(S113))=0</formula>
    </cfRule>
    <cfRule type="containsBlanks" dxfId="2036" priority="1943">
      <formula>LEN(TRIM(S113))=0</formula>
    </cfRule>
    <cfRule type="containsBlanks" dxfId="2035" priority="1942">
      <formula>LEN(TRIM(S113))=0</formula>
    </cfRule>
    <cfRule type="containsBlanks" dxfId="2034" priority="1941">
      <formula>LEN(TRIM(S113))=0</formula>
    </cfRule>
    <cfRule type="containsBlanks" dxfId="2033" priority="1940">
      <formula>LEN(TRIM(S113))=0</formula>
    </cfRule>
    <cfRule type="containsBlanks" dxfId="2032" priority="1939">
      <formula>LEN(TRIM(S113))=0</formula>
    </cfRule>
    <cfRule type="containsBlanks" dxfId="2031" priority="1938">
      <formula>LEN(TRIM(S113))=0</formula>
    </cfRule>
    <cfRule type="containsBlanks" dxfId="2030" priority="1937">
      <formula>LEN(TRIM(S113))=0</formula>
    </cfRule>
    <cfRule type="containsBlanks" dxfId="2029" priority="1936">
      <formula>LEN(TRIM(S113))=0</formula>
    </cfRule>
    <cfRule type="containsBlanks" dxfId="2028" priority="1935">
      <formula>LEN(TRIM(S113))=0</formula>
    </cfRule>
    <cfRule type="containsBlanks" dxfId="2027" priority="1934">
      <formula>LEN(TRIM(S113))=0</formula>
    </cfRule>
    <cfRule type="containsBlanks" dxfId="2026" priority="1933">
      <formula>LEN(TRIM(S113))=0</formula>
    </cfRule>
    <cfRule type="containsBlanks" dxfId="2025" priority="1932">
      <formula>LEN(TRIM(S113))=0</formula>
    </cfRule>
  </conditionalFormatting>
  <conditionalFormatting sqref="S126">
    <cfRule type="containsBlanks" dxfId="2024" priority="1393">
      <formula>LEN(TRIM(S126))=0</formula>
    </cfRule>
    <cfRule type="containsBlanks" dxfId="2023" priority="1392">
      <formula>LEN(TRIM(S126))=0</formula>
    </cfRule>
    <cfRule type="containsBlanks" dxfId="2022" priority="1391">
      <formula>LEN(TRIM(S126))=0</formula>
    </cfRule>
    <cfRule type="containsBlanks" dxfId="2021" priority="1384">
      <formula>LEN(TRIM(S126))=0</formula>
    </cfRule>
    <cfRule type="containsBlanks" dxfId="2020" priority="1383">
      <formula>LEN(TRIM(S126))=0</formula>
    </cfRule>
    <cfRule type="containsBlanks" dxfId="2019" priority="1382">
      <formula>LEN(TRIM(S126))=0</formula>
    </cfRule>
    <cfRule type="containsBlanks" dxfId="2018" priority="1381">
      <formula>LEN(TRIM(S126))=0</formula>
    </cfRule>
    <cfRule type="containsBlanks" dxfId="2017" priority="1380">
      <formula>LEN(TRIM(S126))=0</formula>
    </cfRule>
    <cfRule type="containsBlanks" dxfId="2016" priority="1379">
      <formula>LEN(TRIM(S126))=0</formula>
    </cfRule>
    <cfRule type="containsBlanks" dxfId="2015" priority="1378">
      <formula>LEN(TRIM(S126))=0</formula>
    </cfRule>
    <cfRule type="containsBlanks" dxfId="2014" priority="1377">
      <formula>LEN(TRIM(S126))=0</formula>
    </cfRule>
    <cfRule type="containsBlanks" dxfId="2013" priority="1376">
      <formula>LEN(TRIM(S126))=0</formula>
    </cfRule>
    <cfRule type="containsBlanks" dxfId="2012" priority="1375">
      <formula>LEN(TRIM(S126))=0</formula>
    </cfRule>
    <cfRule type="containsBlanks" dxfId="2011" priority="1374">
      <formula>LEN(TRIM(S126))=0</formula>
    </cfRule>
    <cfRule type="containsBlanks" dxfId="2010" priority="1373">
      <formula>LEN(TRIM(S126))=0</formula>
    </cfRule>
    <cfRule type="containsBlanks" dxfId="2009" priority="1372">
      <formula>LEN(TRIM(S126))=0</formula>
    </cfRule>
    <cfRule type="containsBlanks" dxfId="2008" priority="1390">
      <formula>LEN(TRIM(S126))=0</formula>
    </cfRule>
    <cfRule type="containsBlanks" dxfId="2007" priority="1370">
      <formula>LEN(TRIM(S126))=0</formula>
    </cfRule>
    <cfRule type="containsBlanks" dxfId="2006" priority="1369">
      <formula>LEN(TRIM(S126))=0</formula>
    </cfRule>
    <cfRule type="containsBlanks" dxfId="2005" priority="1368">
      <formula>LEN(TRIM(S126))=0</formula>
    </cfRule>
    <cfRule type="containsBlanks" dxfId="2004" priority="1367">
      <formula>LEN(TRIM(S126))=0</formula>
    </cfRule>
    <cfRule type="containsBlanks" dxfId="2003" priority="1366">
      <formula>LEN(TRIM(S126))=0</formula>
    </cfRule>
    <cfRule type="containsBlanks" dxfId="2002" priority="1365">
      <formula>LEN(TRIM(S126))=0</formula>
    </cfRule>
    <cfRule type="containsBlanks" dxfId="2001" priority="1364">
      <formula>LEN(TRIM(S126))=0</formula>
    </cfRule>
    <cfRule type="containsBlanks" dxfId="2000" priority="1398">
      <formula>LEN(TRIM(S126))=0</formula>
    </cfRule>
    <cfRule type="containsBlanks" dxfId="1999" priority="1399">
      <formula>LEN(TRIM(S126))=0</formula>
    </cfRule>
    <cfRule type="containsBlanks" dxfId="1998" priority="1400">
      <formula>LEN(TRIM(S126))=0</formula>
    </cfRule>
    <cfRule type="containsBlanks" dxfId="1997" priority="1401">
      <formula>LEN(TRIM(S126))=0</formula>
    </cfRule>
    <cfRule type="containsBlanks" dxfId="1996" priority="1402">
      <formula>LEN(TRIM(S126))=0</formula>
    </cfRule>
    <cfRule type="containsBlanks" dxfId="1995" priority="1403">
      <formula>LEN(TRIM(S126))=0</formula>
    </cfRule>
    <cfRule type="containsBlanks" dxfId="1994" priority="1385">
      <formula>LEN(TRIM(S126))=0</formula>
    </cfRule>
    <cfRule type="containsBlanks" dxfId="1993" priority="1386">
      <formula>LEN(TRIM(S126))=0</formula>
    </cfRule>
    <cfRule type="containsBlanks" dxfId="1992" priority="1387">
      <formula>LEN(TRIM(S126))=0</formula>
    </cfRule>
    <cfRule type="containsBlanks" dxfId="1991" priority="1388">
      <formula>LEN(TRIM(S126))=0</formula>
    </cfRule>
    <cfRule type="containsBlanks" dxfId="1990" priority="1389">
      <formula>LEN(TRIM(S126))=0</formula>
    </cfRule>
    <cfRule type="containsBlanks" dxfId="1989" priority="1371">
      <formula>LEN(TRIM(S126))=0</formula>
    </cfRule>
    <cfRule type="containsBlanks" dxfId="1988" priority="1394">
      <formula>LEN(TRIM(S126))=0</formula>
    </cfRule>
    <cfRule type="containsBlanks" dxfId="1987" priority="1395">
      <formula>LEN(TRIM(S126))=0</formula>
    </cfRule>
    <cfRule type="containsBlanks" dxfId="1986" priority="1396">
      <formula>LEN(TRIM(S126))=0</formula>
    </cfRule>
    <cfRule type="containsBlanks" dxfId="1985" priority="1397">
      <formula>LEN(TRIM(S126))=0</formula>
    </cfRule>
  </conditionalFormatting>
  <conditionalFormatting sqref="S129">
    <cfRule type="containsBlanks" dxfId="1984" priority="901">
      <formula>LEN(TRIM(S129))=0</formula>
    </cfRule>
    <cfRule type="containsBlanks" dxfId="1983" priority="902">
      <formula>LEN(TRIM(S129))=0</formula>
    </cfRule>
    <cfRule type="containsBlanks" dxfId="1982" priority="903">
      <formula>LEN(TRIM(S129))=0</formula>
    </cfRule>
    <cfRule type="containsBlanks" dxfId="1981" priority="904">
      <formula>LEN(TRIM(S129))=0</formula>
    </cfRule>
    <cfRule type="containsBlanks" dxfId="1980" priority="905">
      <formula>LEN(TRIM(S129))=0</formula>
    </cfRule>
    <cfRule type="containsBlanks" dxfId="1979" priority="906">
      <formula>LEN(TRIM(S129))=0</formula>
    </cfRule>
    <cfRule type="containsBlanks" dxfId="1978" priority="907">
      <formula>LEN(TRIM(S129))=0</formula>
    </cfRule>
    <cfRule type="containsBlanks" dxfId="1977" priority="908">
      <formula>LEN(TRIM(S129))=0</formula>
    </cfRule>
    <cfRule type="containsBlanks" dxfId="1976" priority="909">
      <formula>LEN(TRIM(S129))=0</formula>
    </cfRule>
    <cfRule type="containsBlanks" dxfId="1975" priority="910">
      <formula>LEN(TRIM(S129))=0</formula>
    </cfRule>
    <cfRule type="containsBlanks" dxfId="1974" priority="911">
      <formula>LEN(TRIM(S129))=0</formula>
    </cfRule>
    <cfRule type="containsBlanks" dxfId="1973" priority="855">
      <formula>LEN(TRIM(S129))=0</formula>
    </cfRule>
    <cfRule type="containsBlanks" dxfId="1972" priority="846">
      <formula>LEN(TRIM(S129))=0</formula>
    </cfRule>
    <cfRule type="containsBlanks" dxfId="1971" priority="847">
      <formula>LEN(TRIM(S129))=0</formula>
    </cfRule>
    <cfRule type="containsBlanks" dxfId="1970" priority="848">
      <formula>LEN(TRIM(S129))=0</formula>
    </cfRule>
    <cfRule type="containsBlanks" dxfId="1969" priority="849">
      <formula>LEN(TRIM(S129))=0</formula>
    </cfRule>
    <cfRule type="containsBlanks" dxfId="1968" priority="850">
      <formula>LEN(TRIM(S129))=0</formula>
    </cfRule>
    <cfRule type="containsBlanks" dxfId="1967" priority="851">
      <formula>LEN(TRIM(S129))=0</formula>
    </cfRule>
    <cfRule type="containsBlanks" dxfId="1966" priority="852">
      <formula>LEN(TRIM(S129))=0</formula>
    </cfRule>
    <cfRule type="containsBlanks" dxfId="1965" priority="853">
      <formula>LEN(TRIM(S129))=0</formula>
    </cfRule>
    <cfRule type="containsBlanks" dxfId="1964" priority="854">
      <formula>LEN(TRIM(S129))=0</formula>
    </cfRule>
    <cfRule type="containsBlanks" dxfId="1963" priority="856">
      <formula>LEN(TRIM(S129))=0</formula>
    </cfRule>
    <cfRule type="containsBlanks" dxfId="1962" priority="857">
      <formula>LEN(TRIM(S129))=0</formula>
    </cfRule>
    <cfRule type="containsBlanks" dxfId="1961" priority="858">
      <formula>LEN(TRIM(S129))=0</formula>
    </cfRule>
    <cfRule type="containsBlanks" dxfId="1960" priority="859">
      <formula>LEN(TRIM(S129))=0</formula>
    </cfRule>
    <cfRule type="containsBlanks" dxfId="1959" priority="860">
      <formula>LEN(TRIM(S129))=0</formula>
    </cfRule>
    <cfRule type="containsBlanks" dxfId="1958" priority="861">
      <formula>LEN(TRIM(S129))=0</formula>
    </cfRule>
    <cfRule type="containsBlanks" dxfId="1957" priority="862">
      <formula>LEN(TRIM(S129))=0</formula>
    </cfRule>
    <cfRule type="containsBlanks" dxfId="1956" priority="863">
      <formula>LEN(TRIM(S129))=0</formula>
    </cfRule>
    <cfRule type="containsBlanks" dxfId="1955" priority="864">
      <formula>LEN(TRIM(S129))=0</formula>
    </cfRule>
    <cfRule type="containsBlanks" dxfId="1954" priority="865">
      <formula>LEN(TRIM(S129))=0</formula>
    </cfRule>
    <cfRule type="containsBlanks" dxfId="1953" priority="866">
      <formula>LEN(TRIM(S129))=0</formula>
    </cfRule>
    <cfRule type="containsBlanks" dxfId="1952" priority="867">
      <formula>LEN(TRIM(S129))=0</formula>
    </cfRule>
    <cfRule type="containsBlanks" dxfId="1951" priority="868">
      <formula>LEN(TRIM(S129))=0</formula>
    </cfRule>
    <cfRule type="containsBlanks" dxfId="1950" priority="869">
      <formula>LEN(TRIM(S129))=0</formula>
    </cfRule>
    <cfRule type="containsBlanks" dxfId="1949" priority="870">
      <formula>LEN(TRIM(S129))=0</formula>
    </cfRule>
    <cfRule type="containsBlanks" dxfId="1948" priority="871">
      <formula>LEN(TRIM(S129))=0</formula>
    </cfRule>
    <cfRule type="containsBlanks" dxfId="1947" priority="872">
      <formula>LEN(TRIM(S129))=0</formula>
    </cfRule>
    <cfRule type="containsBlanks" dxfId="1946" priority="873">
      <formula>LEN(TRIM(S129))=0</formula>
    </cfRule>
    <cfRule type="containsBlanks" dxfId="1945" priority="874">
      <formula>LEN(TRIM(S129))=0</formula>
    </cfRule>
    <cfRule type="containsBlanks" dxfId="1944" priority="875">
      <formula>LEN(TRIM(S129))=0</formula>
    </cfRule>
    <cfRule type="containsBlanks" dxfId="1943" priority="876">
      <formula>LEN(TRIM(S129))=0</formula>
    </cfRule>
    <cfRule type="containsBlanks" dxfId="1942" priority="877">
      <formula>LEN(TRIM(S129))=0</formula>
    </cfRule>
    <cfRule type="containsBlanks" dxfId="1941" priority="878">
      <formula>LEN(TRIM(S129))=0</formula>
    </cfRule>
    <cfRule type="containsBlanks" dxfId="1940" priority="879">
      <formula>LEN(TRIM(S129))=0</formula>
    </cfRule>
    <cfRule type="containsBlanks" dxfId="1939" priority="880">
      <formula>LEN(TRIM(S129))=0</formula>
    </cfRule>
    <cfRule type="containsBlanks" dxfId="1938" priority="881">
      <formula>LEN(TRIM(S129))=0</formula>
    </cfRule>
    <cfRule type="containsBlanks" dxfId="1937" priority="882">
      <formula>LEN(TRIM(S129))=0</formula>
    </cfRule>
    <cfRule type="containsBlanks" dxfId="1936" priority="883">
      <formula>LEN(TRIM(S129))=0</formula>
    </cfRule>
    <cfRule type="containsBlanks" dxfId="1935" priority="884">
      <formula>LEN(TRIM(S129))=0</formula>
    </cfRule>
    <cfRule type="containsBlanks" dxfId="1934" priority="885">
      <formula>LEN(TRIM(S129))=0</formula>
    </cfRule>
    <cfRule type="containsBlanks" dxfId="1933" priority="886">
      <formula>LEN(TRIM(S129))=0</formula>
    </cfRule>
    <cfRule type="containsBlanks" dxfId="1932" priority="887">
      <formula>LEN(TRIM(S129))=0</formula>
    </cfRule>
    <cfRule type="containsBlanks" dxfId="1931" priority="888">
      <formula>LEN(TRIM(S129))=0</formula>
    </cfRule>
    <cfRule type="containsBlanks" dxfId="1930" priority="889">
      <formula>LEN(TRIM(S129))=0</formula>
    </cfRule>
    <cfRule type="containsBlanks" dxfId="1929" priority="890">
      <formula>LEN(TRIM(S129))=0</formula>
    </cfRule>
    <cfRule type="containsBlanks" dxfId="1928" priority="891">
      <formula>LEN(TRIM(S129))=0</formula>
    </cfRule>
    <cfRule type="containsBlanks" dxfId="1927" priority="892">
      <formula>LEN(TRIM(S129))=0</formula>
    </cfRule>
    <cfRule type="containsBlanks" dxfId="1926" priority="893">
      <formula>LEN(TRIM(S129))=0</formula>
    </cfRule>
    <cfRule type="containsBlanks" dxfId="1925" priority="894">
      <formula>LEN(TRIM(S129))=0</formula>
    </cfRule>
    <cfRule type="containsBlanks" dxfId="1924" priority="895">
      <formula>LEN(TRIM(S129))=0</formula>
    </cfRule>
    <cfRule type="containsBlanks" dxfId="1923" priority="896">
      <formula>LEN(TRIM(S129))=0</formula>
    </cfRule>
    <cfRule type="containsBlanks" dxfId="1922" priority="897">
      <formula>LEN(TRIM(S129))=0</formula>
    </cfRule>
    <cfRule type="containsBlanks" dxfId="1921" priority="898">
      <formula>LEN(TRIM(S129))=0</formula>
    </cfRule>
    <cfRule type="containsBlanks" dxfId="1920" priority="899">
      <formula>LEN(TRIM(S129))=0</formula>
    </cfRule>
    <cfRule type="containsBlanks" dxfId="1919" priority="900">
      <formula>LEN(TRIM(S129))=0</formula>
    </cfRule>
  </conditionalFormatting>
  <conditionalFormatting sqref="S140">
    <cfRule type="containsBlanks" dxfId="1918" priority="1363">
      <formula>LEN(TRIM(S140))=0</formula>
    </cfRule>
    <cfRule type="containsBlanks" dxfId="1917" priority="1362">
      <formula>LEN(TRIM(S140))=0</formula>
    </cfRule>
    <cfRule type="containsBlanks" dxfId="1916" priority="1361">
      <formula>LEN(TRIM(S140))=0</formula>
    </cfRule>
    <cfRule type="containsBlanks" dxfId="1915" priority="1360">
      <formula>LEN(TRIM(S140))=0</formula>
    </cfRule>
    <cfRule type="containsBlanks" dxfId="1914" priority="1359">
      <formula>LEN(TRIM(S140))=0</formula>
    </cfRule>
    <cfRule type="containsBlanks" dxfId="1913" priority="1358">
      <formula>LEN(TRIM(S140))=0</formula>
    </cfRule>
    <cfRule type="containsBlanks" dxfId="1912" priority="1357">
      <formula>LEN(TRIM(S140))=0</formula>
    </cfRule>
    <cfRule type="containsBlanks" dxfId="1911" priority="1356">
      <formula>LEN(TRIM(S140))=0</formula>
    </cfRule>
    <cfRule type="containsBlanks" dxfId="1910" priority="1355">
      <formula>LEN(TRIM(S140))=0</formula>
    </cfRule>
    <cfRule type="containsBlanks" dxfId="1909" priority="1354">
      <formula>LEN(TRIM(S140))=0</formula>
    </cfRule>
    <cfRule type="containsBlanks" dxfId="1908" priority="1353">
      <formula>LEN(TRIM(S140))=0</formula>
    </cfRule>
    <cfRule type="containsBlanks" dxfId="1907" priority="1352">
      <formula>LEN(TRIM(S140))=0</formula>
    </cfRule>
    <cfRule type="containsBlanks" dxfId="1906" priority="1339">
      <formula>LEN(TRIM(S140))=0</formula>
    </cfRule>
    <cfRule type="containsBlanks" dxfId="1905" priority="1340">
      <formula>LEN(TRIM(S140))=0</formula>
    </cfRule>
    <cfRule type="containsBlanks" dxfId="1904" priority="1341">
      <formula>LEN(TRIM(S140))=0</formula>
    </cfRule>
    <cfRule type="containsBlanks" dxfId="1903" priority="1342">
      <formula>LEN(TRIM(S140))=0</formula>
    </cfRule>
    <cfRule type="containsBlanks" dxfId="1902" priority="1343">
      <formula>LEN(TRIM(S140))=0</formula>
    </cfRule>
    <cfRule type="containsBlanks" dxfId="1901" priority="1344">
      <formula>LEN(TRIM(S140))=0</formula>
    </cfRule>
    <cfRule type="containsBlanks" dxfId="1900" priority="1345">
      <formula>LEN(TRIM(S140))=0</formula>
    </cfRule>
    <cfRule type="containsBlanks" dxfId="1899" priority="1346">
      <formula>LEN(TRIM(S140))=0</formula>
    </cfRule>
    <cfRule type="containsBlanks" dxfId="1898" priority="1347">
      <formula>LEN(TRIM(S140))=0</formula>
    </cfRule>
    <cfRule type="containsBlanks" dxfId="1897" priority="1348">
      <formula>LEN(TRIM(S140))=0</formula>
    </cfRule>
    <cfRule type="containsBlanks" dxfId="1896" priority="1349">
      <formula>LEN(TRIM(S140))=0</formula>
    </cfRule>
    <cfRule type="containsBlanks" dxfId="1895" priority="1350">
      <formula>LEN(TRIM(S140))=0</formula>
    </cfRule>
    <cfRule type="containsBlanks" dxfId="1894" priority="1351">
      <formula>LEN(TRIM(S140))=0</formula>
    </cfRule>
    <cfRule type="containsBlanks" dxfId="1893" priority="1338">
      <formula>LEN(TRIM(S140))=0</formula>
    </cfRule>
  </conditionalFormatting>
  <conditionalFormatting sqref="S149">
    <cfRule type="containsBlanks" dxfId="1892" priority="927">
      <formula>LEN(TRIM(S149))=0</formula>
    </cfRule>
    <cfRule type="containsBlanks" dxfId="1891" priority="928">
      <formula>LEN(TRIM(S149))=0</formula>
    </cfRule>
    <cfRule type="containsBlanks" dxfId="1890" priority="929">
      <formula>LEN(TRIM(S149))=0</formula>
    </cfRule>
    <cfRule type="containsBlanks" dxfId="1889" priority="930">
      <formula>LEN(TRIM(S149))=0</formula>
    </cfRule>
    <cfRule type="containsBlanks" dxfId="1888" priority="931">
      <formula>LEN(TRIM(S149))=0</formula>
    </cfRule>
    <cfRule type="containsBlanks" dxfId="1887" priority="932">
      <formula>LEN(TRIM(S149))=0</formula>
    </cfRule>
    <cfRule type="containsBlanks" dxfId="1886" priority="933">
      <formula>LEN(TRIM(S149))=0</formula>
    </cfRule>
    <cfRule type="containsBlanks" dxfId="1885" priority="934">
      <formula>LEN(TRIM(S149))=0</formula>
    </cfRule>
    <cfRule type="containsBlanks" dxfId="1884" priority="935">
      <formula>LEN(TRIM(S149))=0</formula>
    </cfRule>
    <cfRule type="containsBlanks" dxfId="1883" priority="936">
      <formula>LEN(TRIM(S149))=0</formula>
    </cfRule>
    <cfRule type="containsBlanks" dxfId="1882" priority="937">
      <formula>LEN(TRIM(S149))=0</formula>
    </cfRule>
    <cfRule type="containsBlanks" dxfId="1881" priority="938">
      <formula>LEN(TRIM(S149))=0</formula>
    </cfRule>
    <cfRule type="containsBlanks" dxfId="1880" priority="939">
      <formula>LEN(TRIM(S149))=0</formula>
    </cfRule>
    <cfRule type="containsBlanks" dxfId="1879" priority="940">
      <formula>LEN(TRIM(S149))=0</formula>
    </cfRule>
    <cfRule type="containsBlanks" dxfId="1878" priority="941">
      <formula>LEN(TRIM(S149))=0</formula>
    </cfRule>
    <cfRule type="containsBlanks" dxfId="1877" priority="942">
      <formula>LEN(TRIM(S149))=0</formula>
    </cfRule>
    <cfRule type="containsBlanks" dxfId="1876" priority="943">
      <formula>LEN(TRIM(S149))=0</formula>
    </cfRule>
    <cfRule type="containsBlanks" dxfId="1875" priority="944">
      <formula>LEN(TRIM(S149))=0</formula>
    </cfRule>
    <cfRule type="containsBlanks" dxfId="1874" priority="945">
      <formula>LEN(TRIM(S149))=0</formula>
    </cfRule>
    <cfRule type="containsBlanks" dxfId="1873" priority="946">
      <formula>LEN(TRIM(S149))=0</formula>
    </cfRule>
    <cfRule type="containsBlanks" dxfId="1872" priority="947">
      <formula>LEN(TRIM(S149))=0</formula>
    </cfRule>
    <cfRule type="containsBlanks" dxfId="1871" priority="948">
      <formula>LEN(TRIM(S149))=0</formula>
    </cfRule>
    <cfRule type="containsBlanks" dxfId="1870" priority="949">
      <formula>LEN(TRIM(S149))=0</formula>
    </cfRule>
    <cfRule type="containsBlanks" dxfId="1869" priority="950">
      <formula>LEN(TRIM(S149))=0</formula>
    </cfRule>
    <cfRule type="containsBlanks" dxfId="1868" priority="951">
      <formula>LEN(TRIM(S149))=0</formula>
    </cfRule>
    <cfRule type="containsBlanks" dxfId="1867" priority="952">
      <formula>LEN(TRIM(S149))=0</formula>
    </cfRule>
    <cfRule type="containsBlanks" dxfId="1866" priority="953">
      <formula>LEN(TRIM(S149))=0</formula>
    </cfRule>
    <cfRule type="containsBlanks" dxfId="1865" priority="954">
      <formula>LEN(TRIM(S149))=0</formula>
    </cfRule>
    <cfRule type="containsBlanks" dxfId="1864" priority="955">
      <formula>LEN(TRIM(S149))=0</formula>
    </cfRule>
    <cfRule type="containsBlanks" dxfId="1863" priority="956">
      <formula>LEN(TRIM(S149))=0</formula>
    </cfRule>
    <cfRule type="containsBlanks" dxfId="1862" priority="957">
      <formula>LEN(TRIM(S149))=0</formula>
    </cfRule>
    <cfRule type="containsBlanks" dxfId="1861" priority="958">
      <formula>LEN(TRIM(S149))=0</formula>
    </cfRule>
    <cfRule type="containsBlanks" dxfId="1860" priority="959">
      <formula>LEN(TRIM(S149))=0</formula>
    </cfRule>
    <cfRule type="containsBlanks" dxfId="1859" priority="960">
      <formula>LEN(TRIM(S149))=0</formula>
    </cfRule>
    <cfRule type="containsBlanks" dxfId="1858" priority="961">
      <formula>LEN(TRIM(S149))=0</formula>
    </cfRule>
    <cfRule type="containsBlanks" dxfId="1857" priority="962">
      <formula>LEN(TRIM(S149))=0</formula>
    </cfRule>
    <cfRule type="containsBlanks" dxfId="1856" priority="963">
      <formula>LEN(TRIM(S149))=0</formula>
    </cfRule>
    <cfRule type="containsBlanks" dxfId="1855" priority="964">
      <formula>LEN(TRIM(S149))=0</formula>
    </cfRule>
    <cfRule type="containsBlanks" dxfId="1854" priority="965">
      <formula>LEN(TRIM(S149))=0</formula>
    </cfRule>
    <cfRule type="containsBlanks" dxfId="1853" priority="966">
      <formula>LEN(TRIM(S149))=0</formula>
    </cfRule>
    <cfRule type="containsBlanks" dxfId="1852" priority="967">
      <formula>LEN(TRIM(S149))=0</formula>
    </cfRule>
    <cfRule type="containsBlanks" dxfId="1851" priority="968">
      <formula>LEN(TRIM(S149))=0</formula>
    </cfRule>
    <cfRule type="containsBlanks" dxfId="1850" priority="969">
      <formula>LEN(TRIM(S149))=0</formula>
    </cfRule>
    <cfRule type="containsBlanks" dxfId="1849" priority="970">
      <formula>LEN(TRIM(S149))=0</formula>
    </cfRule>
    <cfRule type="containsBlanks" dxfId="1848" priority="971">
      <formula>LEN(TRIM(S149))=0</formula>
    </cfRule>
    <cfRule type="containsBlanks" dxfId="1847" priority="972">
      <formula>LEN(TRIM(S149))=0</formula>
    </cfRule>
    <cfRule type="containsBlanks" dxfId="1846" priority="973">
      <formula>LEN(TRIM(S149))=0</formula>
    </cfRule>
    <cfRule type="containsBlanks" dxfId="1845" priority="974">
      <formula>LEN(TRIM(S149))=0</formula>
    </cfRule>
    <cfRule type="containsBlanks" dxfId="1844" priority="975">
      <formula>LEN(TRIM(S149))=0</formula>
    </cfRule>
    <cfRule type="containsBlanks" dxfId="1843" priority="976">
      <formula>LEN(TRIM(S149))=0</formula>
    </cfRule>
    <cfRule type="containsBlanks" dxfId="1842" priority="977">
      <formula>LEN(TRIM(S149))=0</formula>
    </cfRule>
    <cfRule type="containsBlanks" dxfId="1841" priority="912">
      <formula>LEN(TRIM(S149))=0</formula>
    </cfRule>
    <cfRule type="containsBlanks" dxfId="1840" priority="913">
      <formula>LEN(TRIM(S149))=0</formula>
    </cfRule>
    <cfRule type="containsBlanks" dxfId="1839" priority="914">
      <formula>LEN(TRIM(S149))=0</formula>
    </cfRule>
    <cfRule type="containsBlanks" dxfId="1838" priority="915">
      <formula>LEN(TRIM(S149))=0</formula>
    </cfRule>
    <cfRule type="containsBlanks" dxfId="1837" priority="916">
      <formula>LEN(TRIM(S149))=0</formula>
    </cfRule>
    <cfRule type="containsBlanks" dxfId="1836" priority="917">
      <formula>LEN(TRIM(S149))=0</formula>
    </cfRule>
    <cfRule type="containsBlanks" dxfId="1835" priority="918">
      <formula>LEN(TRIM(S149))=0</formula>
    </cfRule>
    <cfRule type="containsBlanks" dxfId="1834" priority="919">
      <formula>LEN(TRIM(S149))=0</formula>
    </cfRule>
    <cfRule type="containsBlanks" dxfId="1833" priority="920">
      <formula>LEN(TRIM(S149))=0</formula>
    </cfRule>
    <cfRule type="containsBlanks" dxfId="1832" priority="921">
      <formula>LEN(TRIM(S149))=0</formula>
    </cfRule>
    <cfRule type="containsBlanks" dxfId="1831" priority="922">
      <formula>LEN(TRIM(S149))=0</formula>
    </cfRule>
    <cfRule type="containsBlanks" dxfId="1830" priority="923">
      <formula>LEN(TRIM(S149))=0</formula>
    </cfRule>
    <cfRule type="containsBlanks" dxfId="1829" priority="924">
      <formula>LEN(TRIM(S149))=0</formula>
    </cfRule>
    <cfRule type="containsBlanks" dxfId="1828" priority="925">
      <formula>LEN(TRIM(S149))=0</formula>
    </cfRule>
    <cfRule type="containsBlanks" dxfId="1827" priority="926">
      <formula>LEN(TRIM(S149))=0</formula>
    </cfRule>
  </conditionalFormatting>
  <conditionalFormatting sqref="S28:T82">
    <cfRule type="containsBlanks" dxfId="1826" priority="415">
      <formula>LEN(TRIM(S28))=0</formula>
    </cfRule>
    <cfRule type="containsBlanks" dxfId="1825" priority="416">
      <formula>LEN(TRIM(S28))=0</formula>
    </cfRule>
  </conditionalFormatting>
  <conditionalFormatting sqref="S56:T85">
    <cfRule type="containsBlanks" dxfId="1824" priority="414">
      <formula>LEN(TRIM(S56))=0</formula>
    </cfRule>
    <cfRule type="containsBlanks" dxfId="1823" priority="413">
      <formula>LEN(TRIM(S56))=0</formula>
    </cfRule>
  </conditionalFormatting>
  <conditionalFormatting sqref="S81:T81">
    <cfRule type="containsBlanks" dxfId="1822" priority="135">
      <formula>LEN(TRIM(S81))=0</formula>
    </cfRule>
    <cfRule type="containsBlanks" dxfId="1821" priority="136">
      <formula>LEN(TRIM(S81))=0</formula>
    </cfRule>
    <cfRule type="containsBlanks" dxfId="1820" priority="137">
      <formula>LEN(TRIM(S81))=0</formula>
    </cfRule>
    <cfRule type="containsBlanks" dxfId="1819" priority="138">
      <formula>LEN(TRIM(S81))=0</formula>
    </cfRule>
    <cfRule type="containsBlanks" dxfId="1818" priority="139">
      <formula>LEN(TRIM(S81))=0</formula>
    </cfRule>
    <cfRule type="containsBlanks" dxfId="1817" priority="140">
      <formula>LEN(TRIM(S81))=0</formula>
    </cfRule>
  </conditionalFormatting>
  <conditionalFormatting sqref="T13:T85">
    <cfRule type="containsBlanks" dxfId="1816" priority="418">
      <formula>LEN(TRIM(T13))=0</formula>
    </cfRule>
    <cfRule type="containsBlanks" dxfId="1815" priority="417">
      <formula>LEN(TRIM(T13))=0</formula>
    </cfRule>
    <cfRule type="containsBlanks" dxfId="1814" priority="303">
      <formula>LEN(TRIM(T13))=0</formula>
    </cfRule>
    <cfRule type="containsBlanks" dxfId="1813" priority="304">
      <formula>LEN(TRIM(T13))=0</formula>
    </cfRule>
  </conditionalFormatting>
  <conditionalFormatting sqref="T14:T85">
    <cfRule type="containsBlanks" dxfId="1812" priority="298">
      <formula>LEN(TRIM(T14))=0</formula>
    </cfRule>
    <cfRule type="containsBlanks" dxfId="1811" priority="297">
      <formula>LEN(TRIM(T14))=0</formula>
    </cfRule>
    <cfRule type="containsBlanks" dxfId="1810" priority="412">
      <formula>LEN(TRIM(T14))=0</formula>
    </cfRule>
    <cfRule type="containsBlanks" dxfId="1809" priority="411">
      <formula>LEN(TRIM(T14))=0</formula>
    </cfRule>
  </conditionalFormatting>
  <conditionalFormatting sqref="T28:T82">
    <cfRule type="containsBlanks" dxfId="1808" priority="302">
      <formula>LEN(TRIM(T28))=0</formula>
    </cfRule>
    <cfRule type="containsBlanks" dxfId="1807" priority="301">
      <formula>LEN(TRIM(T28))=0</formula>
    </cfRule>
  </conditionalFormatting>
  <conditionalFormatting sqref="T56:T85">
    <cfRule type="containsBlanks" dxfId="1806" priority="300">
      <formula>LEN(TRIM(T56))=0</formula>
    </cfRule>
    <cfRule type="containsBlanks" dxfId="1805" priority="299">
      <formula>LEN(TRIM(T56))=0</formula>
    </cfRule>
  </conditionalFormatting>
  <conditionalFormatting sqref="T81">
    <cfRule type="containsBlanks" dxfId="1804" priority="119">
      <formula>LEN(TRIM(T81))=0</formula>
    </cfRule>
    <cfRule type="containsBlanks" dxfId="1803" priority="120">
      <formula>LEN(TRIM(T81))=0</formula>
    </cfRule>
    <cfRule type="containsBlanks" dxfId="1802" priority="122">
      <formula>LEN(TRIM(T81))=0</formula>
    </cfRule>
    <cfRule type="containsBlanks" dxfId="1801" priority="121">
      <formula>LEN(TRIM(T81))=0</formula>
    </cfRule>
  </conditionalFormatting>
  <conditionalFormatting sqref="T95:T154">
    <cfRule type="containsBlanks" dxfId="1800" priority="1994">
      <formula>LEN(TRIM(T95))=0</formula>
    </cfRule>
    <cfRule type="containsBlanks" dxfId="1799" priority="1337">
      <formula>LEN(TRIM(T95))=0</formula>
    </cfRule>
    <cfRule type="containsBlanks" dxfId="1798" priority="1336">
      <formula>LEN(TRIM(T95))=0</formula>
    </cfRule>
    <cfRule type="containsBlanks" dxfId="1797" priority="1335">
      <formula>LEN(TRIM(T95))=0</formula>
    </cfRule>
    <cfRule type="containsBlanks" dxfId="1796" priority="1334">
      <formula>LEN(TRIM(T95))=0</formula>
    </cfRule>
    <cfRule type="containsBlanks" dxfId="1795" priority="1333">
      <formula>LEN(TRIM(T95))=0</formula>
    </cfRule>
    <cfRule type="containsBlanks" dxfId="1794" priority="1332">
      <formula>LEN(TRIM(T95))=0</formula>
    </cfRule>
    <cfRule type="containsBlanks" dxfId="1793" priority="1331">
      <formula>LEN(TRIM(T95))=0</formula>
    </cfRule>
    <cfRule type="containsBlanks" dxfId="1792" priority="1330">
      <formula>LEN(TRIM(T95))=0</formula>
    </cfRule>
    <cfRule type="containsBlanks" dxfId="1791" priority="1329">
      <formula>LEN(TRIM(T95))=0</formula>
    </cfRule>
    <cfRule type="containsBlanks" dxfId="1790" priority="1328">
      <formula>LEN(TRIM(T95))=0</formula>
    </cfRule>
    <cfRule type="containsBlanks" dxfId="1789" priority="1327">
      <formula>LEN(TRIM(T95))=0</formula>
    </cfRule>
    <cfRule type="containsBlanks" dxfId="1788" priority="1326">
      <formula>LEN(TRIM(T95))=0</formula>
    </cfRule>
    <cfRule type="containsBlanks" dxfId="1787" priority="1325">
      <formula>LEN(TRIM(T95))=0</formula>
    </cfRule>
    <cfRule type="containsBlanks" dxfId="1786" priority="1323">
      <formula>LEN(TRIM(T95))=0</formula>
    </cfRule>
    <cfRule type="containsBlanks" dxfId="1785" priority="1322">
      <formula>LEN(TRIM(T95))=0</formula>
    </cfRule>
    <cfRule type="containsBlanks" dxfId="1784" priority="1321">
      <formula>LEN(TRIM(T95))=0</formula>
    </cfRule>
    <cfRule type="containsBlanks" dxfId="1783" priority="1320">
      <formula>LEN(TRIM(T95))=0</formula>
    </cfRule>
    <cfRule type="containsBlanks" dxfId="1782" priority="1319">
      <formula>LEN(TRIM(T95))=0</formula>
    </cfRule>
    <cfRule type="containsBlanks" dxfId="1781" priority="1318">
      <formula>LEN(TRIM(T95))=0</formula>
    </cfRule>
    <cfRule type="containsBlanks" dxfId="1780" priority="1316">
      <formula>LEN(TRIM(T95))=0</formula>
    </cfRule>
    <cfRule type="containsBlanks" dxfId="1779" priority="1324">
      <formula>LEN(TRIM(T95))=0</formula>
    </cfRule>
    <cfRule type="containsBlanks" dxfId="1778" priority="1995">
      <formula>LEN(TRIM(T95))=0</formula>
    </cfRule>
    <cfRule type="containsBlanks" dxfId="1777" priority="1996">
      <formula>LEN(TRIM(T95))=0</formula>
    </cfRule>
    <cfRule type="containsBlanks" dxfId="1776" priority="1997">
      <formula>LEN(TRIM(T95))=0</formula>
    </cfRule>
    <cfRule type="containsBlanks" dxfId="1775" priority="1998">
      <formula>LEN(TRIM(T95))=0</formula>
    </cfRule>
    <cfRule type="containsBlanks" dxfId="1774" priority="1999">
      <formula>LEN(TRIM(T95))=0</formula>
    </cfRule>
    <cfRule type="containsBlanks" dxfId="1773" priority="2000">
      <formula>LEN(TRIM(T95))=0</formula>
    </cfRule>
    <cfRule type="containsBlanks" dxfId="1772" priority="2001">
      <formula>LEN(TRIM(T95))=0</formula>
    </cfRule>
    <cfRule type="containsBlanks" dxfId="1771" priority="1982">
      <formula>LEN(TRIM(T95))=0</formula>
    </cfRule>
    <cfRule type="containsBlanks" dxfId="1770" priority="1980">
      <formula>LEN(TRIM(T95))=0</formula>
    </cfRule>
    <cfRule type="containsBlanks" dxfId="1769" priority="1981">
      <formula>LEN(TRIM(T95))=0</formula>
    </cfRule>
    <cfRule type="containsBlanks" dxfId="1768" priority="1317">
      <formula>LEN(TRIM(T95))=0</formula>
    </cfRule>
    <cfRule type="containsBlanks" dxfId="1767" priority="1993">
      <formula>LEN(TRIM(T95))=0</formula>
    </cfRule>
    <cfRule type="containsBlanks" dxfId="1766" priority="1983">
      <formula>LEN(TRIM(T95))=0</formula>
    </cfRule>
    <cfRule type="containsBlanks" dxfId="1765" priority="1984">
      <formula>LEN(TRIM(T95))=0</formula>
    </cfRule>
    <cfRule type="containsBlanks" dxfId="1764" priority="1985">
      <formula>LEN(TRIM(T95))=0</formula>
    </cfRule>
    <cfRule type="containsBlanks" dxfId="1763" priority="1986">
      <formula>LEN(TRIM(T95))=0</formula>
    </cfRule>
    <cfRule type="containsBlanks" dxfId="1762" priority="1987">
      <formula>LEN(TRIM(T95))=0</formula>
    </cfRule>
    <cfRule type="containsBlanks" dxfId="1761" priority="1988">
      <formula>LEN(TRIM(T95))=0</formula>
    </cfRule>
    <cfRule type="containsBlanks" dxfId="1760" priority="1989">
      <formula>LEN(TRIM(T95))=0</formula>
    </cfRule>
    <cfRule type="containsBlanks" dxfId="1759" priority="1990">
      <formula>LEN(TRIM(T95))=0</formula>
    </cfRule>
    <cfRule type="containsBlanks" dxfId="1758" priority="1991">
      <formula>LEN(TRIM(T95))=0</formula>
    </cfRule>
    <cfRule type="containsBlanks" dxfId="1757" priority="1992">
      <formula>LEN(TRIM(T95))=0</formula>
    </cfRule>
  </conditionalFormatting>
  <conditionalFormatting sqref="T102">
    <cfRule type="containsBlanks" dxfId="1756" priority="1957">
      <formula>LEN(TRIM(T102))=0</formula>
    </cfRule>
    <cfRule type="containsBlanks" dxfId="1755" priority="1956">
      <formula>LEN(TRIM(T102))=0</formula>
    </cfRule>
    <cfRule type="containsBlanks" dxfId="1754" priority="1958">
      <formula>LEN(TRIM(T102))=0</formula>
    </cfRule>
    <cfRule type="containsBlanks" dxfId="1753" priority="1959">
      <formula>LEN(TRIM(T102))=0</formula>
    </cfRule>
    <cfRule type="containsBlanks" dxfId="1752" priority="1960">
      <formula>LEN(TRIM(T102))=0</formula>
    </cfRule>
    <cfRule type="containsBlanks" dxfId="1751" priority="1961">
      <formula>LEN(TRIM(T102))=0</formula>
    </cfRule>
    <cfRule type="containsBlanks" dxfId="1750" priority="1962">
      <formula>LEN(TRIM(T102))=0</formula>
    </cfRule>
    <cfRule type="containsBlanks" dxfId="1749" priority="1963">
      <formula>LEN(TRIM(T102))=0</formula>
    </cfRule>
    <cfRule type="containsBlanks" dxfId="1748" priority="1964">
      <formula>LEN(TRIM(T102))=0</formula>
    </cfRule>
    <cfRule type="containsBlanks" dxfId="1747" priority="1965">
      <formula>LEN(TRIM(T102))=0</formula>
    </cfRule>
    <cfRule type="containsBlanks" dxfId="1746" priority="1966">
      <formula>LEN(TRIM(T102))=0</formula>
    </cfRule>
    <cfRule type="containsBlanks" dxfId="1745" priority="1967">
      <formula>LEN(TRIM(T102))=0</formula>
    </cfRule>
  </conditionalFormatting>
  <conditionalFormatting sqref="T107">
    <cfRule type="containsBlanks" dxfId="1744" priority="1971">
      <formula>LEN(TRIM(T107))=0</formula>
    </cfRule>
    <cfRule type="containsBlanks" dxfId="1743" priority="1973">
      <formula>LEN(TRIM(T107))=0</formula>
    </cfRule>
    <cfRule type="containsBlanks" dxfId="1742" priority="1974">
      <formula>LEN(TRIM(T107))=0</formula>
    </cfRule>
    <cfRule type="containsBlanks" dxfId="1741" priority="1975">
      <formula>LEN(TRIM(T107))=0</formula>
    </cfRule>
    <cfRule type="containsBlanks" dxfId="1740" priority="1976">
      <formula>LEN(TRIM(T107))=0</formula>
    </cfRule>
    <cfRule type="containsBlanks" dxfId="1739" priority="1977">
      <formula>LEN(TRIM(T107))=0</formula>
    </cfRule>
    <cfRule type="containsBlanks" dxfId="1738" priority="1978">
      <formula>LEN(TRIM(T107))=0</formula>
    </cfRule>
    <cfRule type="containsBlanks" dxfId="1737" priority="1979">
      <formula>LEN(TRIM(T107))=0</formula>
    </cfRule>
    <cfRule type="containsBlanks" dxfId="1736" priority="1968">
      <formula>LEN(TRIM(T107))=0</formula>
    </cfRule>
    <cfRule type="containsBlanks" dxfId="1735" priority="1969">
      <formula>LEN(TRIM(T107))=0</formula>
    </cfRule>
    <cfRule type="containsBlanks" dxfId="1734" priority="1970">
      <formula>LEN(TRIM(T107))=0</formula>
    </cfRule>
    <cfRule type="containsBlanks" dxfId="1733" priority="1972">
      <formula>LEN(TRIM(T107))=0</formula>
    </cfRule>
  </conditionalFormatting>
  <conditionalFormatting sqref="T114:T115">
    <cfRule type="containsBlanks" dxfId="1732" priority="1112">
      <formula>LEN(TRIM(T114))=0</formula>
    </cfRule>
    <cfRule type="containsBlanks" dxfId="1731" priority="1114">
      <formula>LEN(TRIM(T114))=0</formula>
    </cfRule>
    <cfRule type="containsBlanks" dxfId="1730" priority="1115">
      <formula>LEN(TRIM(T114))=0</formula>
    </cfRule>
    <cfRule type="containsBlanks" dxfId="1729" priority="1116">
      <formula>LEN(TRIM(T114))=0</formula>
    </cfRule>
    <cfRule type="containsBlanks" dxfId="1728" priority="1117">
      <formula>LEN(TRIM(T114))=0</formula>
    </cfRule>
    <cfRule type="containsBlanks" dxfId="1727" priority="1118">
      <formula>LEN(TRIM(T114))=0</formula>
    </cfRule>
    <cfRule type="containsBlanks" dxfId="1726" priority="1119">
      <formula>LEN(TRIM(T114))=0</formula>
    </cfRule>
    <cfRule type="containsBlanks" dxfId="1725" priority="1120">
      <formula>LEN(TRIM(T114))=0</formula>
    </cfRule>
    <cfRule type="containsBlanks" dxfId="1724" priority="1121">
      <formula>LEN(TRIM(T114))=0</formula>
    </cfRule>
    <cfRule type="containsBlanks" dxfId="1723" priority="1122">
      <formula>LEN(TRIM(T114))=0</formula>
    </cfRule>
    <cfRule type="containsBlanks" dxfId="1722" priority="1123">
      <formula>LEN(TRIM(T114))=0</formula>
    </cfRule>
    <cfRule type="containsBlanks" dxfId="1721" priority="1124">
      <formula>LEN(TRIM(T114))=0</formula>
    </cfRule>
    <cfRule type="containsBlanks" dxfId="1720" priority="1125">
      <formula>LEN(TRIM(T114))=0</formula>
    </cfRule>
    <cfRule type="containsBlanks" dxfId="1719" priority="1126">
      <formula>LEN(TRIM(T114))=0</formula>
    </cfRule>
    <cfRule type="containsBlanks" dxfId="1718" priority="1127">
      <formula>LEN(TRIM(T114))=0</formula>
    </cfRule>
    <cfRule type="containsBlanks" dxfId="1717" priority="1128">
      <formula>LEN(TRIM(T114))=0</formula>
    </cfRule>
    <cfRule type="containsBlanks" dxfId="1716" priority="1129">
      <formula>LEN(TRIM(T114))=0</formula>
    </cfRule>
    <cfRule type="containsBlanks" dxfId="1715" priority="1130">
      <formula>LEN(TRIM(T114))=0</formula>
    </cfRule>
    <cfRule type="containsBlanks" dxfId="1714" priority="1131">
      <formula>LEN(TRIM(T114))=0</formula>
    </cfRule>
    <cfRule type="containsBlanks" dxfId="1713" priority="1132">
      <formula>LEN(TRIM(T114))=0</formula>
    </cfRule>
    <cfRule type="containsBlanks" dxfId="1712" priority="1133">
      <formula>LEN(TRIM(T114))=0</formula>
    </cfRule>
    <cfRule type="containsBlanks" dxfId="1711" priority="1134">
      <formula>LEN(TRIM(T114))=0</formula>
    </cfRule>
    <cfRule type="containsBlanks" dxfId="1710" priority="1135">
      <formula>LEN(TRIM(T114))=0</formula>
    </cfRule>
    <cfRule type="containsBlanks" dxfId="1709" priority="1136">
      <formula>LEN(TRIM(T114))=0</formula>
    </cfRule>
    <cfRule type="containsBlanks" dxfId="1708" priority="1137">
      <formula>LEN(TRIM(T114))=0</formula>
    </cfRule>
    <cfRule type="containsBlanks" dxfId="1707" priority="1138">
      <formula>LEN(TRIM(T114))=0</formula>
    </cfRule>
    <cfRule type="containsBlanks" dxfId="1706" priority="1139">
      <formula>LEN(TRIM(T114))=0</formula>
    </cfRule>
    <cfRule type="containsBlanks" dxfId="1705" priority="1140">
      <formula>LEN(TRIM(T114))=0</formula>
    </cfRule>
    <cfRule type="containsBlanks" dxfId="1704" priority="1141">
      <formula>LEN(TRIM(T114))=0</formula>
    </cfRule>
    <cfRule type="containsBlanks" dxfId="1703" priority="1142">
      <formula>LEN(TRIM(T114))=0</formula>
    </cfRule>
    <cfRule type="containsBlanks" dxfId="1702" priority="1143">
      <formula>LEN(TRIM(T114))=0</formula>
    </cfRule>
    <cfRule type="containsBlanks" dxfId="1701" priority="1144">
      <formula>LEN(TRIM(T114))=0</formula>
    </cfRule>
    <cfRule type="containsBlanks" dxfId="1700" priority="1145">
      <formula>LEN(TRIM(T114))=0</formula>
    </cfRule>
    <cfRule type="containsBlanks" dxfId="1699" priority="1146">
      <formula>LEN(TRIM(T114))=0</formula>
    </cfRule>
    <cfRule type="containsBlanks" dxfId="1698" priority="1147">
      <formula>LEN(TRIM(T114))=0</formula>
    </cfRule>
    <cfRule type="containsBlanks" dxfId="1697" priority="1148">
      <formula>LEN(TRIM(T114))=0</formula>
    </cfRule>
    <cfRule type="containsBlanks" dxfId="1696" priority="1149">
      <formula>LEN(TRIM(T114))=0</formula>
    </cfRule>
    <cfRule type="containsBlanks" dxfId="1695" priority="1150">
      <formula>LEN(TRIM(T114))=0</formula>
    </cfRule>
    <cfRule type="containsBlanks" dxfId="1694" priority="1151">
      <formula>LEN(TRIM(T114))=0</formula>
    </cfRule>
    <cfRule type="containsBlanks" dxfId="1693" priority="1152">
      <formula>LEN(TRIM(T114))=0</formula>
    </cfRule>
    <cfRule type="containsBlanks" dxfId="1692" priority="1153">
      <formula>LEN(TRIM(T114))=0</formula>
    </cfRule>
    <cfRule type="containsBlanks" dxfId="1691" priority="1154">
      <formula>LEN(TRIM(T114))=0</formula>
    </cfRule>
    <cfRule type="containsBlanks" dxfId="1690" priority="1155">
      <formula>LEN(TRIM(T114))=0</formula>
    </cfRule>
    <cfRule type="containsBlanks" dxfId="1689" priority="1156">
      <formula>LEN(TRIM(T114))=0</formula>
    </cfRule>
    <cfRule type="containsBlanks" dxfId="1688" priority="1157">
      <formula>LEN(TRIM(T114))=0</formula>
    </cfRule>
    <cfRule type="containsBlanks" dxfId="1687" priority="1158">
      <formula>LEN(TRIM(T114))=0</formula>
    </cfRule>
    <cfRule type="containsBlanks" dxfId="1686" priority="1159">
      <formula>LEN(TRIM(T114))=0</formula>
    </cfRule>
    <cfRule type="containsBlanks" dxfId="1685" priority="1160">
      <formula>LEN(TRIM(T114))=0</formula>
    </cfRule>
    <cfRule type="containsBlanks" dxfId="1684" priority="1161">
      <formula>LEN(TRIM(T114))=0</formula>
    </cfRule>
    <cfRule type="containsBlanks" dxfId="1683" priority="1162">
      <formula>LEN(TRIM(T114))=0</formula>
    </cfRule>
    <cfRule type="containsBlanks" dxfId="1682" priority="1163">
      <formula>LEN(TRIM(T114))=0</formula>
    </cfRule>
    <cfRule type="containsBlanks" dxfId="1681" priority="1164">
      <formula>LEN(TRIM(T114))=0</formula>
    </cfRule>
    <cfRule type="containsBlanks" dxfId="1680" priority="1165">
      <formula>LEN(TRIM(T114))=0</formula>
    </cfRule>
    <cfRule type="containsBlanks" dxfId="1679" priority="1166">
      <formula>LEN(TRIM(T114))=0</formula>
    </cfRule>
    <cfRule type="containsBlanks" dxfId="1678" priority="1167">
      <formula>LEN(TRIM(T114))=0</formula>
    </cfRule>
    <cfRule type="containsBlanks" dxfId="1677" priority="1168">
      <formula>LEN(TRIM(T114))=0</formula>
    </cfRule>
    <cfRule type="containsBlanks" dxfId="1676" priority="1169">
      <formula>LEN(TRIM(T114))=0</formula>
    </cfRule>
    <cfRule type="containsBlanks" dxfId="1675" priority="1170">
      <formula>LEN(TRIM(T114))=0</formula>
    </cfRule>
    <cfRule type="containsBlanks" dxfId="1674" priority="1171">
      <formula>LEN(TRIM(T114))=0</formula>
    </cfRule>
    <cfRule type="containsBlanks" dxfId="1673" priority="1172">
      <formula>LEN(TRIM(T114))=0</formula>
    </cfRule>
    <cfRule type="containsBlanks" dxfId="1672" priority="1173">
      <formula>LEN(TRIM(T114))=0</formula>
    </cfRule>
    <cfRule type="containsBlanks" dxfId="1671" priority="1174">
      <formula>LEN(TRIM(T114))=0</formula>
    </cfRule>
    <cfRule type="containsBlanks" dxfId="1670" priority="1175">
      <formula>LEN(TRIM(T114))=0</formula>
    </cfRule>
    <cfRule type="containsBlanks" dxfId="1669" priority="1176">
      <formula>LEN(TRIM(T114))=0</formula>
    </cfRule>
    <cfRule type="containsBlanks" dxfId="1668" priority="1177">
      <formula>LEN(TRIM(T114))=0</formula>
    </cfRule>
    <cfRule type="containsBlanks" dxfId="1667" priority="1178">
      <formula>LEN(TRIM(T114))=0</formula>
    </cfRule>
    <cfRule type="containsBlanks" dxfId="1666" priority="1179">
      <formula>LEN(TRIM(T114))=0</formula>
    </cfRule>
    <cfRule type="containsBlanks" dxfId="1665" priority="1180">
      <formula>LEN(TRIM(T114))=0</formula>
    </cfRule>
    <cfRule type="containsBlanks" dxfId="1664" priority="1181">
      <formula>LEN(TRIM(T114))=0</formula>
    </cfRule>
    <cfRule type="containsBlanks" dxfId="1663" priority="1182">
      <formula>LEN(TRIM(T114))=0</formula>
    </cfRule>
    <cfRule type="containsBlanks" dxfId="1662" priority="1183">
      <formula>LEN(TRIM(T114))=0</formula>
    </cfRule>
    <cfRule type="containsBlanks" dxfId="1661" priority="1184">
      <formula>LEN(TRIM(T114))=0</formula>
    </cfRule>
    <cfRule type="containsBlanks" dxfId="1660" priority="1185">
      <formula>LEN(TRIM(T114))=0</formula>
    </cfRule>
    <cfRule type="containsBlanks" dxfId="1659" priority="1186">
      <formula>LEN(TRIM(T114))=0</formula>
    </cfRule>
    <cfRule type="containsBlanks" dxfId="1658" priority="1187">
      <formula>LEN(TRIM(T114))=0</formula>
    </cfRule>
    <cfRule type="containsBlanks" dxfId="1657" priority="1188">
      <formula>LEN(TRIM(T114))=0</formula>
    </cfRule>
    <cfRule type="containsBlanks" dxfId="1656" priority="1189">
      <formula>LEN(TRIM(T114))=0</formula>
    </cfRule>
    <cfRule type="containsBlanks" dxfId="1655" priority="1190">
      <formula>LEN(TRIM(T114))=0</formula>
    </cfRule>
    <cfRule type="containsBlanks" dxfId="1654" priority="1191">
      <formula>LEN(TRIM(T114))=0</formula>
    </cfRule>
    <cfRule type="containsBlanks" dxfId="1653" priority="1192">
      <formula>LEN(TRIM(T114))=0</formula>
    </cfRule>
    <cfRule type="containsBlanks" dxfId="1652" priority="1193">
      <formula>LEN(TRIM(T114))=0</formula>
    </cfRule>
    <cfRule type="containsBlanks" dxfId="1651" priority="1194">
      <formula>LEN(TRIM(T114))=0</formula>
    </cfRule>
    <cfRule type="containsBlanks" dxfId="1650" priority="1195">
      <formula>LEN(TRIM(T114))=0</formula>
    </cfRule>
    <cfRule type="containsBlanks" dxfId="1649" priority="1196">
      <formula>LEN(TRIM(T114))=0</formula>
    </cfRule>
    <cfRule type="containsBlanks" dxfId="1648" priority="1197">
      <formula>LEN(TRIM(T114))=0</formula>
    </cfRule>
    <cfRule type="containsBlanks" dxfId="1647" priority="1198">
      <formula>LEN(TRIM(T114))=0</formula>
    </cfRule>
    <cfRule type="containsBlanks" dxfId="1646" priority="1199">
      <formula>LEN(TRIM(T114))=0</formula>
    </cfRule>
    <cfRule type="containsBlanks" dxfId="1645" priority="1200">
      <formula>LEN(TRIM(T114))=0</formula>
    </cfRule>
    <cfRule type="containsBlanks" dxfId="1644" priority="1201">
      <formula>LEN(TRIM(T114))=0</formula>
    </cfRule>
    <cfRule type="containsBlanks" dxfId="1643" priority="1202">
      <formula>LEN(TRIM(T114))=0</formula>
    </cfRule>
    <cfRule type="containsBlanks" dxfId="1642" priority="1203">
      <formula>LEN(TRIM(T114))=0</formula>
    </cfRule>
    <cfRule type="containsBlanks" dxfId="1641" priority="1204">
      <formula>LEN(TRIM(T114))=0</formula>
    </cfRule>
    <cfRule type="containsBlanks" dxfId="1640" priority="1205">
      <formula>LEN(TRIM(T114))=0</formula>
    </cfRule>
    <cfRule type="containsBlanks" dxfId="1639" priority="1206">
      <formula>LEN(TRIM(T114))=0</formula>
    </cfRule>
    <cfRule type="containsBlanks" dxfId="1638" priority="1207">
      <formula>LEN(TRIM(T114))=0</formula>
    </cfRule>
    <cfRule type="containsBlanks" dxfId="1637" priority="1208">
      <formula>LEN(TRIM(T114))=0</formula>
    </cfRule>
    <cfRule type="containsBlanks" dxfId="1636" priority="1209">
      <formula>LEN(TRIM(T114))=0</formula>
    </cfRule>
    <cfRule type="containsBlanks" dxfId="1635" priority="1210">
      <formula>LEN(TRIM(T114))=0</formula>
    </cfRule>
    <cfRule type="containsBlanks" dxfId="1634" priority="1211">
      <formula>LEN(TRIM(T114))=0</formula>
    </cfRule>
    <cfRule type="containsBlanks" dxfId="1633" priority="1212">
      <formula>LEN(TRIM(T114))=0</formula>
    </cfRule>
    <cfRule type="containsBlanks" dxfId="1632" priority="1213">
      <formula>LEN(TRIM(T114))=0</formula>
    </cfRule>
    <cfRule type="containsBlanks" dxfId="1631" priority="1214">
      <formula>LEN(TRIM(T114))=0</formula>
    </cfRule>
    <cfRule type="containsBlanks" dxfId="1630" priority="1215">
      <formula>LEN(TRIM(T114))=0</formula>
    </cfRule>
    <cfRule type="containsBlanks" dxfId="1629" priority="1216">
      <formula>LEN(TRIM(T114))=0</formula>
    </cfRule>
    <cfRule type="containsBlanks" dxfId="1628" priority="1098">
      <formula>LEN(TRIM(T114))=0</formula>
    </cfRule>
    <cfRule type="containsBlanks" dxfId="1627" priority="1099">
      <formula>LEN(TRIM(T114))=0</formula>
    </cfRule>
    <cfRule type="containsBlanks" dxfId="1626" priority="1100">
      <formula>LEN(TRIM(T114))=0</formula>
    </cfRule>
    <cfRule type="containsBlanks" dxfId="1625" priority="1101">
      <formula>LEN(TRIM(T114))=0</formula>
    </cfRule>
    <cfRule type="containsBlanks" dxfId="1624" priority="1102">
      <formula>LEN(TRIM(T114))=0</formula>
    </cfRule>
    <cfRule type="containsBlanks" dxfId="1623" priority="1103">
      <formula>LEN(TRIM(T114))=0</formula>
    </cfRule>
    <cfRule type="containsBlanks" dxfId="1622" priority="1104">
      <formula>LEN(TRIM(T114))=0</formula>
    </cfRule>
    <cfRule type="containsBlanks" dxfId="1621" priority="1105">
      <formula>LEN(TRIM(T114))=0</formula>
    </cfRule>
    <cfRule type="containsBlanks" dxfId="1620" priority="1106">
      <formula>LEN(TRIM(T114))=0</formula>
    </cfRule>
    <cfRule type="containsBlanks" dxfId="1619" priority="1107">
      <formula>LEN(TRIM(T114))=0</formula>
    </cfRule>
    <cfRule type="containsBlanks" dxfId="1618" priority="1108">
      <formula>LEN(TRIM(T114))=0</formula>
    </cfRule>
    <cfRule type="containsBlanks" dxfId="1617" priority="1109">
      <formula>LEN(TRIM(T114))=0</formula>
    </cfRule>
    <cfRule type="containsBlanks" dxfId="1616" priority="1110">
      <formula>LEN(TRIM(T114))=0</formula>
    </cfRule>
    <cfRule type="containsBlanks" dxfId="1615" priority="1111">
      <formula>LEN(TRIM(T114))=0</formula>
    </cfRule>
    <cfRule type="containsBlanks" dxfId="1614" priority="1217">
      <formula>LEN(TRIM(T114))=0</formula>
    </cfRule>
    <cfRule type="containsBlanks" dxfId="1613" priority="1113">
      <formula>LEN(TRIM(T114))=0</formula>
    </cfRule>
  </conditionalFormatting>
  <conditionalFormatting sqref="T140">
    <cfRule type="containsBlanks" dxfId="1612" priority="2660">
      <formula>LEN(TRIM(T140))=0</formula>
    </cfRule>
    <cfRule type="containsBlanks" dxfId="1611" priority="2661">
      <formula>LEN(TRIM(T140))=0</formula>
    </cfRule>
    <cfRule type="containsBlanks" dxfId="1610" priority="2656">
      <formula>LEN(TRIM(T140))=0</formula>
    </cfRule>
    <cfRule type="containsBlanks" dxfId="1609" priority="2657">
      <formula>LEN(TRIM(T140))=0</formula>
    </cfRule>
    <cfRule type="containsBlanks" dxfId="1608" priority="2667">
      <formula>LEN(TRIM(T140))=0</formula>
    </cfRule>
    <cfRule type="containsBlanks" dxfId="1607" priority="2666">
      <formula>LEN(TRIM(T140))=0</formula>
    </cfRule>
    <cfRule type="containsBlanks" dxfId="1606" priority="2662">
      <formula>LEN(TRIM(T140))=0</formula>
    </cfRule>
    <cfRule type="containsBlanks" dxfId="1605" priority="2665">
      <formula>LEN(TRIM(T140))=0</formula>
    </cfRule>
    <cfRule type="containsBlanks" dxfId="1604" priority="2658">
      <formula>LEN(TRIM(T140))=0</formula>
    </cfRule>
    <cfRule type="containsBlanks" dxfId="1603" priority="2659">
      <formula>LEN(TRIM(T140))=0</formula>
    </cfRule>
    <cfRule type="containsBlanks" dxfId="1602" priority="2664">
      <formula>LEN(TRIM(T140))=0</formula>
    </cfRule>
    <cfRule type="containsBlanks" dxfId="1601" priority="2663">
      <formula>LEN(TRIM(T140))=0</formula>
    </cfRule>
  </conditionalFormatting>
  <conditionalFormatting sqref="T143">
    <cfRule type="containsBlanks" dxfId="1600" priority="2090">
      <formula>LEN(TRIM(T143))=0</formula>
    </cfRule>
    <cfRule type="containsBlanks" dxfId="1599" priority="2083">
      <formula>LEN(TRIM(T143))=0</formula>
    </cfRule>
    <cfRule type="containsBlanks" dxfId="1598" priority="2080">
      <formula>LEN(TRIM(T143))=0</formula>
    </cfRule>
    <cfRule type="containsBlanks" dxfId="1597" priority="2081">
      <formula>LEN(TRIM(T143))=0</formula>
    </cfRule>
    <cfRule type="containsBlanks" dxfId="1596" priority="2082">
      <formula>LEN(TRIM(T143))=0</formula>
    </cfRule>
    <cfRule type="containsBlanks" dxfId="1595" priority="2084">
      <formula>LEN(TRIM(T143))=0</formula>
    </cfRule>
    <cfRule type="containsBlanks" dxfId="1594" priority="2085">
      <formula>LEN(TRIM(T143))=0</formula>
    </cfRule>
    <cfRule type="containsBlanks" dxfId="1593" priority="2086">
      <formula>LEN(TRIM(T143))=0</formula>
    </cfRule>
    <cfRule type="containsBlanks" dxfId="1592" priority="2087">
      <formula>LEN(TRIM(T143))=0</formula>
    </cfRule>
    <cfRule type="containsBlanks" dxfId="1591" priority="2088">
      <formula>LEN(TRIM(T143))=0</formula>
    </cfRule>
    <cfRule type="containsBlanks" dxfId="1590" priority="2089">
      <formula>LEN(TRIM(T143))=0</formula>
    </cfRule>
    <cfRule type="containsBlanks" dxfId="1589" priority="2091">
      <formula>LEN(TRIM(T143))=0</formula>
    </cfRule>
    <cfRule type="containsBlanks" dxfId="1588" priority="2092">
      <formula>LEN(TRIM(T143))=0</formula>
    </cfRule>
    <cfRule type="containsBlanks" dxfId="1587" priority="2093">
      <formula>LEN(TRIM(T143))=0</formula>
    </cfRule>
  </conditionalFormatting>
  <conditionalFormatting sqref="T146:T147">
    <cfRule type="containsBlanks" dxfId="1586" priority="2069">
      <formula>LEN(TRIM(T146))=0</formula>
    </cfRule>
    <cfRule type="containsBlanks" dxfId="1585" priority="2064">
      <formula>LEN(TRIM(T146))=0</formula>
    </cfRule>
    <cfRule type="containsBlanks" dxfId="1584" priority="2068">
      <formula>LEN(TRIM(T146))=0</formula>
    </cfRule>
    <cfRule type="containsBlanks" dxfId="1583" priority="2067">
      <formula>LEN(TRIM(T146))=0</formula>
    </cfRule>
    <cfRule type="containsBlanks" dxfId="1582" priority="2066">
      <formula>LEN(TRIM(T146))=0</formula>
    </cfRule>
    <cfRule type="containsBlanks" dxfId="1581" priority="2065">
      <formula>LEN(TRIM(T146))=0</formula>
    </cfRule>
    <cfRule type="containsBlanks" dxfId="1580" priority="2671">
      <formula>LEN(TRIM(T146))=0</formula>
    </cfRule>
    <cfRule type="containsBlanks" dxfId="1579" priority="2670">
      <formula>LEN(TRIM(T146))=0</formula>
    </cfRule>
    <cfRule type="containsBlanks" dxfId="1578" priority="2073">
      <formula>LEN(TRIM(T146))=0</formula>
    </cfRule>
    <cfRule type="containsBlanks" dxfId="1577" priority="2072">
      <formula>LEN(TRIM(T146))=0</formula>
    </cfRule>
    <cfRule type="containsBlanks" dxfId="1576" priority="2079">
      <formula>LEN(TRIM(T146))=0</formula>
    </cfRule>
    <cfRule type="containsBlanks" dxfId="1575" priority="2078">
      <formula>LEN(TRIM(T146))=0</formula>
    </cfRule>
    <cfRule type="containsBlanks" dxfId="1574" priority="2077">
      <formula>LEN(TRIM(T146))=0</formula>
    </cfRule>
    <cfRule type="containsBlanks" dxfId="1573" priority="2076">
      <formula>LEN(TRIM(T146))=0</formula>
    </cfRule>
    <cfRule type="containsBlanks" dxfId="1572" priority="2075">
      <formula>LEN(TRIM(T146))=0</formula>
    </cfRule>
    <cfRule type="containsBlanks" dxfId="1571" priority="2074">
      <formula>LEN(TRIM(T146))=0</formula>
    </cfRule>
    <cfRule type="containsBlanks" dxfId="1570" priority="2071">
      <formula>LEN(TRIM(T146))=0</formula>
    </cfRule>
    <cfRule type="containsBlanks" dxfId="1569" priority="2070">
      <formula>LEN(TRIM(T146))=0</formula>
    </cfRule>
  </conditionalFormatting>
  <conditionalFormatting sqref="T153:T154">
    <cfRule type="containsBlanks" dxfId="1568" priority="1221">
      <formula>LEN(TRIM(T153))=0</formula>
    </cfRule>
    <cfRule type="containsBlanks" dxfId="1567" priority="1220">
      <formula>LEN(TRIM(T153))=0</formula>
    </cfRule>
  </conditionalFormatting>
  <conditionalFormatting sqref="T28:U82">
    <cfRule type="containsBlanks" dxfId="1566" priority="408">
      <formula>LEN(TRIM(T28))=0</formula>
    </cfRule>
    <cfRule type="containsBlanks" dxfId="1565" priority="407">
      <formula>LEN(TRIM(T28))=0</formula>
    </cfRule>
    <cfRule type="containsBlanks" dxfId="1564" priority="293">
      <formula>LEN(TRIM(T28))=0</formula>
    </cfRule>
    <cfRule type="containsBlanks" dxfId="1563" priority="294">
      <formula>LEN(TRIM(T28))=0</formula>
    </cfRule>
  </conditionalFormatting>
  <conditionalFormatting sqref="T56:U85">
    <cfRule type="containsBlanks" dxfId="1562" priority="406">
      <formula>LEN(TRIM(T56))=0</formula>
    </cfRule>
    <cfRule type="containsBlanks" dxfId="1561" priority="292">
      <formula>LEN(TRIM(T56))=0</formula>
    </cfRule>
    <cfRule type="containsBlanks" dxfId="1560" priority="291">
      <formula>LEN(TRIM(T56))=0</formula>
    </cfRule>
    <cfRule type="containsBlanks" dxfId="1559" priority="405">
      <formula>LEN(TRIM(T56))=0</formula>
    </cfRule>
  </conditionalFormatting>
  <conditionalFormatting sqref="T81:U81">
    <cfRule type="containsBlanks" dxfId="1558" priority="113">
      <formula>LEN(TRIM(T81))=0</formula>
    </cfRule>
    <cfRule type="containsBlanks" dxfId="1557" priority="129">
      <formula>LEN(TRIM(T81))=0</formula>
    </cfRule>
    <cfRule type="containsBlanks" dxfId="1556" priority="124">
      <formula>LEN(TRIM(T81))=0</formula>
    </cfRule>
    <cfRule type="containsBlanks" dxfId="1555" priority="123">
      <formula>LEN(TRIM(T81))=0</formula>
    </cfRule>
    <cfRule type="containsBlanks" dxfId="1554" priority="118">
      <formula>LEN(TRIM(T81))=0</formula>
    </cfRule>
    <cfRule type="containsBlanks" dxfId="1553" priority="117">
      <formula>LEN(TRIM(T81))=0</formula>
    </cfRule>
    <cfRule type="containsBlanks" dxfId="1552" priority="116">
      <formula>LEN(TRIM(T81))=0</formula>
    </cfRule>
    <cfRule type="containsBlanks" dxfId="1551" priority="114">
      <formula>LEN(TRIM(T81))=0</formula>
    </cfRule>
    <cfRule type="containsBlanks" dxfId="1550" priority="134">
      <formula>LEN(TRIM(T81))=0</formula>
    </cfRule>
    <cfRule type="containsBlanks" dxfId="1549" priority="115">
      <formula>LEN(TRIM(T81))=0</formula>
    </cfRule>
    <cfRule type="containsBlanks" dxfId="1548" priority="133">
      <formula>LEN(TRIM(T81))=0</formula>
    </cfRule>
    <cfRule type="containsBlanks" dxfId="1547" priority="130">
      <formula>LEN(TRIM(T81))=0</formula>
    </cfRule>
    <cfRule type="containsBlanks" dxfId="1546" priority="132">
      <formula>LEN(TRIM(T81))=0</formula>
    </cfRule>
    <cfRule type="containsBlanks" dxfId="1545" priority="131">
      <formula>LEN(TRIM(T81))=0</formula>
    </cfRule>
  </conditionalFormatting>
  <conditionalFormatting sqref="T95:U152">
    <cfRule type="containsBlanks" dxfId="1544" priority="1314">
      <formula>LEN(TRIM(T95))=0</formula>
    </cfRule>
    <cfRule type="containsBlanks" dxfId="1543" priority="1315">
      <formula>LEN(TRIM(T95))=0</formula>
    </cfRule>
  </conditionalFormatting>
  <conditionalFormatting sqref="T140:U140">
    <cfRule type="containsBlanks" dxfId="1542" priority="2653">
      <formula>LEN(TRIM(T140))=0</formula>
    </cfRule>
    <cfRule type="containsBlanks" dxfId="1541" priority="2652">
      <formula>LEN(TRIM(T140))=0</formula>
    </cfRule>
  </conditionalFormatting>
  <conditionalFormatting sqref="T143:U143">
    <cfRule type="containsBlanks" dxfId="1540" priority="2094">
      <formula>LEN(TRIM(T143))=0</formula>
    </cfRule>
    <cfRule type="containsBlanks" dxfId="1539" priority="2095">
      <formula>LEN(TRIM(T143))=0</formula>
    </cfRule>
    <cfRule type="containsBlanks" dxfId="1538" priority="2638">
      <formula>LEN(TRIM(T143))=0</formula>
    </cfRule>
    <cfRule type="containsBlanks" dxfId="1537" priority="2639">
      <formula>LEN(TRIM(T143))=0</formula>
    </cfRule>
  </conditionalFormatting>
  <conditionalFormatting sqref="U13:U85">
    <cfRule type="containsBlanks" dxfId="1536" priority="296">
      <formula>LEN(TRIM(U13))=0</formula>
    </cfRule>
    <cfRule type="containsBlanks" dxfId="1535" priority="295">
      <formula>LEN(TRIM(U13))=0</formula>
    </cfRule>
    <cfRule type="containsBlanks" dxfId="1534" priority="409">
      <formula>LEN(TRIM(U13))=0</formula>
    </cfRule>
    <cfRule type="containsBlanks" dxfId="1533" priority="410">
      <formula>LEN(TRIM(U13))=0</formula>
    </cfRule>
  </conditionalFormatting>
  <conditionalFormatting sqref="U14:U85">
    <cfRule type="containsBlanks" dxfId="1532" priority="404">
      <formula>LEN(TRIM(U14))=0</formula>
    </cfRule>
    <cfRule type="containsBlanks" dxfId="1531" priority="290">
      <formula>LEN(TRIM(U14))=0</formula>
    </cfRule>
    <cfRule type="containsBlanks" dxfId="1530" priority="289">
      <formula>LEN(TRIM(U14))=0</formula>
    </cfRule>
    <cfRule type="containsBlanks" dxfId="1529" priority="403">
      <formula>LEN(TRIM(U14))=0</formula>
    </cfRule>
  </conditionalFormatting>
  <conditionalFormatting sqref="U81">
    <cfRule type="containsBlanks" dxfId="1528" priority="107">
      <formula>LEN(TRIM(U81))=0</formula>
    </cfRule>
    <cfRule type="containsBlanks" dxfId="1527" priority="128">
      <formula>LEN(TRIM(U81))=0</formula>
    </cfRule>
    <cfRule type="containsBlanks" dxfId="1526" priority="127">
      <formula>LEN(TRIM(U81))=0</formula>
    </cfRule>
    <cfRule type="containsBlanks" dxfId="1525" priority="126">
      <formula>LEN(TRIM(U81))=0</formula>
    </cfRule>
    <cfRule type="containsBlanks" dxfId="1524" priority="125">
      <formula>LEN(TRIM(U81))=0</formula>
    </cfRule>
    <cfRule type="containsBlanks" dxfId="1523" priority="112">
      <formula>LEN(TRIM(U81))=0</formula>
    </cfRule>
    <cfRule type="containsBlanks" dxfId="1522" priority="111">
      <formula>LEN(TRIM(U81))=0</formula>
    </cfRule>
    <cfRule type="containsBlanks" dxfId="1521" priority="110">
      <formula>LEN(TRIM(U81))=0</formula>
    </cfRule>
    <cfRule type="containsBlanks" dxfId="1520" priority="109">
      <formula>LEN(TRIM(U81))=0</formula>
    </cfRule>
    <cfRule type="containsBlanks" dxfId="1519" priority="108">
      <formula>LEN(TRIM(U81))=0</formula>
    </cfRule>
  </conditionalFormatting>
  <conditionalFormatting sqref="U95:U153">
    <cfRule type="containsBlanks" dxfId="1518" priority="1275">
      <formula>LEN(TRIM(U95))=0</formula>
    </cfRule>
    <cfRule type="containsBlanks" dxfId="1517" priority="1276">
      <formula>LEN(TRIM(U95))=0</formula>
    </cfRule>
    <cfRule type="containsBlanks" dxfId="1516" priority="1277">
      <formula>LEN(TRIM(U95))=0</formula>
    </cfRule>
    <cfRule type="containsBlanks" dxfId="1515" priority="1278">
      <formula>LEN(TRIM(U95))=0</formula>
    </cfRule>
    <cfRule type="containsBlanks" dxfId="1514" priority="1292">
      <formula>LEN(TRIM(U95))=0</formula>
    </cfRule>
    <cfRule type="containsBlanks" dxfId="1513" priority="1293">
      <formula>LEN(TRIM(U95))=0</formula>
    </cfRule>
    <cfRule type="containsBlanks" dxfId="1512" priority="1294">
      <formula>LEN(TRIM(U95))=0</formula>
    </cfRule>
    <cfRule type="containsBlanks" dxfId="1511" priority="1295">
      <formula>LEN(TRIM(U95))=0</formula>
    </cfRule>
    <cfRule type="containsBlanks" dxfId="1510" priority="1291">
      <formula>LEN(TRIM(U95))=0</formula>
    </cfRule>
    <cfRule type="containsBlanks" dxfId="1509" priority="1288">
      <formula>LEN(TRIM(U95))=0</formula>
    </cfRule>
    <cfRule type="containsBlanks" dxfId="1508" priority="1287">
      <formula>LEN(TRIM(U95))=0</formula>
    </cfRule>
    <cfRule type="containsBlanks" dxfId="1507" priority="1286">
      <formula>LEN(TRIM(U95))=0</formula>
    </cfRule>
    <cfRule type="containsBlanks" dxfId="1506" priority="1285">
      <formula>LEN(TRIM(U95))=0</formula>
    </cfRule>
    <cfRule type="containsBlanks" dxfId="1505" priority="1284">
      <formula>LEN(TRIM(U95))=0</formula>
    </cfRule>
    <cfRule type="containsBlanks" dxfId="1504" priority="1283">
      <formula>LEN(TRIM(U95))=0</formula>
    </cfRule>
    <cfRule type="containsBlanks" dxfId="1503" priority="1282">
      <formula>LEN(TRIM(U95))=0</formula>
    </cfRule>
    <cfRule type="containsBlanks" dxfId="1502" priority="1281">
      <formula>LEN(TRIM(U95))=0</formula>
    </cfRule>
    <cfRule type="containsBlanks" dxfId="1501" priority="1280">
      <formula>LEN(TRIM(U95))=0</formula>
    </cfRule>
    <cfRule type="containsBlanks" dxfId="1500" priority="1279">
      <formula>LEN(TRIM(U95))=0</formula>
    </cfRule>
    <cfRule type="containsBlanks" dxfId="1499" priority="1313">
      <formula>LEN(TRIM(U95))=0</formula>
    </cfRule>
    <cfRule type="containsBlanks" dxfId="1498" priority="1312">
      <formula>LEN(TRIM(U95))=0</formula>
    </cfRule>
    <cfRule type="containsBlanks" dxfId="1497" priority="1311">
      <formula>LEN(TRIM(U95))=0</formula>
    </cfRule>
    <cfRule type="containsBlanks" dxfId="1496" priority="1296">
      <formula>LEN(TRIM(U95))=0</formula>
    </cfRule>
    <cfRule type="containsBlanks" dxfId="1495" priority="1310">
      <formula>LEN(TRIM(U95))=0</formula>
    </cfRule>
    <cfRule type="containsBlanks" dxfId="1494" priority="1309">
      <formula>LEN(TRIM(U95))=0</formula>
    </cfRule>
    <cfRule type="containsBlanks" dxfId="1493" priority="1298">
      <formula>LEN(TRIM(U95))=0</formula>
    </cfRule>
    <cfRule type="containsBlanks" dxfId="1492" priority="1308">
      <formula>LEN(TRIM(U95))=0</formula>
    </cfRule>
    <cfRule type="containsBlanks" dxfId="1491" priority="1307">
      <formula>LEN(TRIM(U95))=0</formula>
    </cfRule>
    <cfRule type="containsBlanks" dxfId="1490" priority="1290">
      <formula>LEN(TRIM(U95))=0</formula>
    </cfRule>
    <cfRule type="containsBlanks" dxfId="1489" priority="1289">
      <formula>LEN(TRIM(U95))=0</formula>
    </cfRule>
    <cfRule type="containsBlanks" dxfId="1488" priority="1299">
      <formula>LEN(TRIM(U95))=0</formula>
    </cfRule>
    <cfRule type="containsBlanks" dxfId="1487" priority="1300">
      <formula>LEN(TRIM(U95))=0</formula>
    </cfRule>
    <cfRule type="containsBlanks" dxfId="1486" priority="1301">
      <formula>LEN(TRIM(U95))=0</formula>
    </cfRule>
    <cfRule type="containsBlanks" dxfId="1485" priority="1297">
      <formula>LEN(TRIM(U95))=0</formula>
    </cfRule>
    <cfRule type="containsBlanks" dxfId="1484" priority="1303">
      <formula>LEN(TRIM(U95))=0</formula>
    </cfRule>
    <cfRule type="containsBlanks" dxfId="1483" priority="1304">
      <formula>LEN(TRIM(U95))=0</formula>
    </cfRule>
    <cfRule type="containsBlanks" dxfId="1482" priority="1305">
      <formula>LEN(TRIM(U95))=0</formula>
    </cfRule>
    <cfRule type="containsBlanks" dxfId="1481" priority="1306">
      <formula>LEN(TRIM(U95))=0</formula>
    </cfRule>
    <cfRule type="containsBlanks" dxfId="1480" priority="1270">
      <formula>LEN(TRIM(U95))=0</formula>
    </cfRule>
    <cfRule type="containsBlanks" dxfId="1479" priority="1271">
      <formula>LEN(TRIM(U95))=0</formula>
    </cfRule>
    <cfRule type="containsBlanks" dxfId="1478" priority="1272">
      <formula>LEN(TRIM(U95))=0</formula>
    </cfRule>
    <cfRule type="containsBlanks" dxfId="1477" priority="1273">
      <formula>LEN(TRIM(U95))=0</formula>
    </cfRule>
    <cfRule type="containsBlanks" dxfId="1476" priority="1274">
      <formula>LEN(TRIM(U95))=0</formula>
    </cfRule>
    <cfRule type="containsBlanks" dxfId="1475" priority="1302">
      <formula>LEN(TRIM(U95))=0</formula>
    </cfRule>
  </conditionalFormatting>
  <conditionalFormatting sqref="U95:U156">
    <cfRule type="containsBlanks" dxfId="1474" priority="2654">
      <formula>LEN(TRIM(U95))=0</formula>
    </cfRule>
    <cfRule type="containsBlanks" dxfId="1473" priority="2655">
      <formula>LEN(TRIM(U95))=0</formula>
    </cfRule>
  </conditionalFormatting>
  <conditionalFormatting sqref="U110">
    <cfRule type="containsBlanks" dxfId="1472" priority="2608">
      <formula>LEN(TRIM(U110))=0</formula>
    </cfRule>
    <cfRule type="containsBlanks" dxfId="1471" priority="2609">
      <formula>LEN(TRIM(U110))=0</formula>
    </cfRule>
    <cfRule type="containsBlanks" dxfId="1470" priority="2610">
      <formula>LEN(TRIM(U110))=0</formula>
    </cfRule>
    <cfRule type="containsBlanks" dxfId="1469" priority="2611">
      <formula>LEN(TRIM(U110))=0</formula>
    </cfRule>
    <cfRule type="containsBlanks" dxfId="1468" priority="2612">
      <formula>LEN(TRIM(U110))=0</formula>
    </cfRule>
    <cfRule type="containsBlanks" dxfId="1467" priority="2613">
      <formula>LEN(TRIM(U110))=0</formula>
    </cfRule>
    <cfRule type="containsBlanks" dxfId="1466" priority="2600">
      <formula>LEN(TRIM(U110))=0</formula>
    </cfRule>
    <cfRule type="containsBlanks" dxfId="1465" priority="2601">
      <formula>LEN(TRIM(U110))=0</formula>
    </cfRule>
    <cfRule type="containsBlanks" dxfId="1464" priority="2602">
      <formula>LEN(TRIM(U110))=0</formula>
    </cfRule>
    <cfRule type="containsBlanks" dxfId="1463" priority="2603">
      <formula>LEN(TRIM(U110))=0</formula>
    </cfRule>
    <cfRule type="containsBlanks" dxfId="1462" priority="2604">
      <formula>LEN(TRIM(U110))=0</formula>
    </cfRule>
    <cfRule type="containsBlanks" dxfId="1461" priority="2605">
      <formula>LEN(TRIM(U110))=0</formula>
    </cfRule>
    <cfRule type="containsBlanks" dxfId="1460" priority="2606">
      <formula>LEN(TRIM(U110))=0</formula>
    </cfRule>
    <cfRule type="containsBlanks" dxfId="1459" priority="2607">
      <formula>LEN(TRIM(U110))=0</formula>
    </cfRule>
  </conditionalFormatting>
  <conditionalFormatting sqref="U116">
    <cfRule type="containsBlanks" dxfId="1458" priority="1035">
      <formula>LEN(TRIM(U116))=0</formula>
    </cfRule>
    <cfRule type="containsBlanks" dxfId="1457" priority="1036">
      <formula>LEN(TRIM(U116))=0</formula>
    </cfRule>
    <cfRule type="containsBlanks" dxfId="1456" priority="1037">
      <formula>LEN(TRIM(U116))=0</formula>
    </cfRule>
    <cfRule type="containsBlanks" dxfId="1455" priority="1038">
      <formula>LEN(TRIM(U116))=0</formula>
    </cfRule>
    <cfRule type="containsBlanks" dxfId="1454" priority="1039">
      <formula>LEN(TRIM(U116))=0</formula>
    </cfRule>
    <cfRule type="containsBlanks" dxfId="1453" priority="1040">
      <formula>LEN(TRIM(U116))=0</formula>
    </cfRule>
    <cfRule type="containsBlanks" dxfId="1452" priority="1041">
      <formula>LEN(TRIM(U116))=0</formula>
    </cfRule>
    <cfRule type="containsBlanks" dxfId="1451" priority="1042">
      <formula>LEN(TRIM(U116))=0</formula>
    </cfRule>
    <cfRule type="containsBlanks" dxfId="1450" priority="1043">
      <formula>LEN(TRIM(U116))=0</formula>
    </cfRule>
    <cfRule type="containsBlanks" dxfId="1449" priority="1044">
      <formula>LEN(TRIM(U116))=0</formula>
    </cfRule>
    <cfRule type="containsBlanks" dxfId="1448" priority="1045">
      <formula>LEN(TRIM(U116))=0</formula>
    </cfRule>
    <cfRule type="containsBlanks" dxfId="1447" priority="1046">
      <formula>LEN(TRIM(U116))=0</formula>
    </cfRule>
    <cfRule type="containsBlanks" dxfId="1446" priority="1047">
      <formula>LEN(TRIM(U116))=0</formula>
    </cfRule>
    <cfRule type="containsBlanks" dxfId="1445" priority="1049">
      <formula>LEN(TRIM(U116))=0</formula>
    </cfRule>
    <cfRule type="containsBlanks" dxfId="1444" priority="1050">
      <formula>LEN(TRIM(U116))=0</formula>
    </cfRule>
    <cfRule type="containsBlanks" dxfId="1443" priority="1051">
      <formula>LEN(TRIM(U116))=0</formula>
    </cfRule>
    <cfRule type="containsBlanks" dxfId="1442" priority="1052">
      <formula>LEN(TRIM(U116))=0</formula>
    </cfRule>
    <cfRule type="containsBlanks" dxfId="1441" priority="1053">
      <formula>LEN(TRIM(U116))=0</formula>
    </cfRule>
    <cfRule type="containsBlanks" dxfId="1440" priority="1054">
      <formula>LEN(TRIM(U116))=0</formula>
    </cfRule>
    <cfRule type="containsBlanks" dxfId="1439" priority="1055">
      <formula>LEN(TRIM(U116))=0</formula>
    </cfRule>
    <cfRule type="containsBlanks" dxfId="1438" priority="1056">
      <formula>LEN(TRIM(U116))=0</formula>
    </cfRule>
    <cfRule type="containsBlanks" dxfId="1437" priority="1057">
      <formula>LEN(TRIM(U116))=0</formula>
    </cfRule>
    <cfRule type="containsBlanks" dxfId="1436" priority="1059">
      <formula>LEN(TRIM(U116))=0</formula>
    </cfRule>
    <cfRule type="containsBlanks" dxfId="1435" priority="1060">
      <formula>LEN(TRIM(U116))=0</formula>
    </cfRule>
    <cfRule type="containsBlanks" dxfId="1434" priority="1061">
      <formula>LEN(TRIM(U116))=0</formula>
    </cfRule>
    <cfRule type="containsBlanks" dxfId="1433" priority="1062">
      <formula>LEN(TRIM(U116))=0</formula>
    </cfRule>
    <cfRule type="containsBlanks" dxfId="1432" priority="1063">
      <formula>LEN(TRIM(U116))=0</formula>
    </cfRule>
    <cfRule type="containsBlanks" dxfId="1431" priority="1064">
      <formula>LEN(TRIM(U116))=0</formula>
    </cfRule>
    <cfRule type="containsBlanks" dxfId="1430" priority="1065">
      <formula>LEN(TRIM(U116))=0</formula>
    </cfRule>
    <cfRule type="containsBlanks" dxfId="1429" priority="1066">
      <formula>LEN(TRIM(U116))=0</formula>
    </cfRule>
    <cfRule type="containsBlanks" dxfId="1428" priority="1067">
      <formula>LEN(TRIM(U116))=0</formula>
    </cfRule>
    <cfRule type="containsBlanks" dxfId="1427" priority="1068">
      <formula>LEN(TRIM(U116))=0</formula>
    </cfRule>
    <cfRule type="containsBlanks" dxfId="1426" priority="1069">
      <formula>LEN(TRIM(U116))=0</formula>
    </cfRule>
    <cfRule type="containsBlanks" dxfId="1425" priority="1070">
      <formula>LEN(TRIM(U116))=0</formula>
    </cfRule>
    <cfRule type="containsBlanks" dxfId="1424" priority="1071">
      <formula>LEN(TRIM(U116))=0</formula>
    </cfRule>
    <cfRule type="containsBlanks" dxfId="1423" priority="1072">
      <formula>LEN(TRIM(U116))=0</formula>
    </cfRule>
    <cfRule type="containsBlanks" dxfId="1422" priority="1073">
      <formula>LEN(TRIM(U116))=0</formula>
    </cfRule>
    <cfRule type="containsBlanks" dxfId="1421" priority="1075">
      <formula>LEN(TRIM(U116))=0</formula>
    </cfRule>
    <cfRule type="containsBlanks" dxfId="1420" priority="1076">
      <formula>LEN(TRIM(U116))=0</formula>
    </cfRule>
    <cfRule type="containsBlanks" dxfId="1419" priority="1077">
      <formula>LEN(TRIM(U116))=0</formula>
    </cfRule>
    <cfRule type="containsBlanks" dxfId="1418" priority="1078">
      <formula>LEN(TRIM(U116))=0</formula>
    </cfRule>
    <cfRule type="containsBlanks" dxfId="1417" priority="1079">
      <formula>LEN(TRIM(U116))=0</formula>
    </cfRule>
    <cfRule type="containsBlanks" dxfId="1416" priority="1080">
      <formula>LEN(TRIM(U116))=0</formula>
    </cfRule>
    <cfRule type="containsBlanks" dxfId="1415" priority="1081">
      <formula>LEN(TRIM(U116))=0</formula>
    </cfRule>
    <cfRule type="containsBlanks" dxfId="1414" priority="1082">
      <formula>LEN(TRIM(U116))=0</formula>
    </cfRule>
    <cfRule type="containsBlanks" dxfId="1413" priority="1083">
      <formula>LEN(TRIM(U116))=0</formula>
    </cfRule>
    <cfRule type="containsBlanks" dxfId="1412" priority="1084">
      <formula>LEN(TRIM(U116))=0</formula>
    </cfRule>
    <cfRule type="containsBlanks" dxfId="1411" priority="1085">
      <formula>LEN(TRIM(U116))=0</formula>
    </cfRule>
    <cfRule type="containsBlanks" dxfId="1410" priority="1086">
      <formula>LEN(TRIM(U116))=0</formula>
    </cfRule>
    <cfRule type="containsBlanks" dxfId="1409" priority="1087">
      <formula>LEN(TRIM(U116))=0</formula>
    </cfRule>
    <cfRule type="containsBlanks" dxfId="1408" priority="1088">
      <formula>LEN(TRIM(U116))=0</formula>
    </cfRule>
    <cfRule type="containsBlanks" dxfId="1407" priority="1089">
      <formula>LEN(TRIM(U116))=0</formula>
    </cfRule>
    <cfRule type="containsBlanks" dxfId="1406" priority="1090">
      <formula>LEN(TRIM(U116))=0</formula>
    </cfRule>
    <cfRule type="containsBlanks" dxfId="1405" priority="1091">
      <formula>LEN(TRIM(U116))=0</formula>
    </cfRule>
    <cfRule type="containsBlanks" dxfId="1404" priority="1092">
      <formula>LEN(TRIM(U116))=0</formula>
    </cfRule>
    <cfRule type="containsBlanks" dxfId="1403" priority="1093">
      <formula>LEN(TRIM(U116))=0</formula>
    </cfRule>
    <cfRule type="containsBlanks" dxfId="1402" priority="1094">
      <formula>LEN(TRIM(U116))=0</formula>
    </cfRule>
    <cfRule type="containsBlanks" dxfId="1401" priority="1095">
      <formula>LEN(TRIM(U116))=0</formula>
    </cfRule>
    <cfRule type="containsBlanks" dxfId="1400" priority="1096">
      <formula>LEN(TRIM(U116))=0</formula>
    </cfRule>
    <cfRule type="containsBlanks" dxfId="1399" priority="1097">
      <formula>LEN(TRIM(U116))=0</formula>
    </cfRule>
    <cfRule type="containsBlanks" dxfId="1398" priority="993">
      <formula>LEN(TRIM(U116))=0</formula>
    </cfRule>
    <cfRule type="containsBlanks" dxfId="1397" priority="1074">
      <formula>LEN(TRIM(U116))=0</formula>
    </cfRule>
    <cfRule type="containsBlanks" dxfId="1396" priority="1048">
      <formula>LEN(TRIM(U116))=0</formula>
    </cfRule>
    <cfRule type="containsBlanks" dxfId="1395" priority="994">
      <formula>LEN(TRIM(U116))=0</formula>
    </cfRule>
    <cfRule type="containsBlanks" dxfId="1394" priority="992">
      <formula>LEN(TRIM(U116))=0</formula>
    </cfRule>
    <cfRule type="containsBlanks" dxfId="1393" priority="995">
      <formula>LEN(TRIM(U116))=0</formula>
    </cfRule>
    <cfRule type="containsBlanks" dxfId="1392" priority="996">
      <formula>LEN(TRIM(U116))=0</formula>
    </cfRule>
    <cfRule type="containsBlanks" dxfId="1391" priority="997">
      <formula>LEN(TRIM(U116))=0</formula>
    </cfRule>
    <cfRule type="containsBlanks" dxfId="1390" priority="998">
      <formula>LEN(TRIM(U116))=0</formula>
    </cfRule>
    <cfRule type="containsBlanks" dxfId="1389" priority="999">
      <formula>LEN(TRIM(U116))=0</formula>
    </cfRule>
    <cfRule type="containsBlanks" dxfId="1388" priority="1000">
      <formula>LEN(TRIM(U116))=0</formula>
    </cfRule>
    <cfRule type="containsBlanks" dxfId="1387" priority="1001">
      <formula>LEN(TRIM(U116))=0</formula>
    </cfRule>
    <cfRule type="containsBlanks" dxfId="1386" priority="1002">
      <formula>LEN(TRIM(U116))=0</formula>
    </cfRule>
    <cfRule type="containsBlanks" dxfId="1385" priority="1003">
      <formula>LEN(TRIM(U116))=0</formula>
    </cfRule>
    <cfRule type="containsBlanks" dxfId="1384" priority="1004">
      <formula>LEN(TRIM(U116))=0</formula>
    </cfRule>
    <cfRule type="containsBlanks" dxfId="1383" priority="1005">
      <formula>LEN(TRIM(U116))=0</formula>
    </cfRule>
    <cfRule type="containsBlanks" dxfId="1382" priority="1006">
      <formula>LEN(TRIM(U116))=0</formula>
    </cfRule>
    <cfRule type="containsBlanks" dxfId="1381" priority="1007">
      <formula>LEN(TRIM(U116))=0</formula>
    </cfRule>
    <cfRule type="containsBlanks" dxfId="1380" priority="1008">
      <formula>LEN(TRIM(U116))=0</formula>
    </cfRule>
    <cfRule type="containsBlanks" dxfId="1379" priority="1009">
      <formula>LEN(TRIM(U116))=0</formula>
    </cfRule>
    <cfRule type="containsBlanks" dxfId="1378" priority="1010">
      <formula>LEN(TRIM(U116))=0</formula>
    </cfRule>
    <cfRule type="containsBlanks" dxfId="1377" priority="1058">
      <formula>LEN(TRIM(U116))=0</formula>
    </cfRule>
    <cfRule type="containsBlanks" dxfId="1376" priority="1011">
      <formula>LEN(TRIM(U116))=0</formula>
    </cfRule>
    <cfRule type="containsBlanks" dxfId="1375" priority="1012">
      <formula>LEN(TRIM(U116))=0</formula>
    </cfRule>
    <cfRule type="containsBlanks" dxfId="1374" priority="1013">
      <formula>LEN(TRIM(U116))=0</formula>
    </cfRule>
    <cfRule type="containsBlanks" dxfId="1373" priority="1014">
      <formula>LEN(TRIM(U116))=0</formula>
    </cfRule>
    <cfRule type="containsBlanks" dxfId="1372" priority="1015">
      <formula>LEN(TRIM(U116))=0</formula>
    </cfRule>
    <cfRule type="containsBlanks" dxfId="1371" priority="1016">
      <formula>LEN(TRIM(U116))=0</formula>
    </cfRule>
    <cfRule type="containsBlanks" dxfId="1370" priority="1017">
      <formula>LEN(TRIM(U116))=0</formula>
    </cfRule>
    <cfRule type="containsBlanks" dxfId="1369" priority="1018">
      <formula>LEN(TRIM(U116))=0</formula>
    </cfRule>
    <cfRule type="containsBlanks" dxfId="1368" priority="1019">
      <formula>LEN(TRIM(U116))=0</formula>
    </cfRule>
    <cfRule type="containsBlanks" dxfId="1367" priority="1020">
      <formula>LEN(TRIM(U116))=0</formula>
    </cfRule>
    <cfRule type="containsBlanks" dxfId="1366" priority="1021">
      <formula>LEN(TRIM(U116))=0</formula>
    </cfRule>
    <cfRule type="containsBlanks" dxfId="1365" priority="1022">
      <formula>LEN(TRIM(U116))=0</formula>
    </cfRule>
    <cfRule type="containsBlanks" dxfId="1364" priority="1023">
      <formula>LEN(TRIM(U116))=0</formula>
    </cfRule>
    <cfRule type="containsBlanks" dxfId="1363" priority="1024">
      <formula>LEN(TRIM(U116))=0</formula>
    </cfRule>
    <cfRule type="containsBlanks" dxfId="1362" priority="1025">
      <formula>LEN(TRIM(U116))=0</formula>
    </cfRule>
    <cfRule type="containsBlanks" dxfId="1361" priority="1026">
      <formula>LEN(TRIM(U116))=0</formula>
    </cfRule>
    <cfRule type="containsBlanks" dxfId="1360" priority="1027">
      <formula>LEN(TRIM(U116))=0</formula>
    </cfRule>
    <cfRule type="containsBlanks" dxfId="1359" priority="1028">
      <formula>LEN(TRIM(U116))=0</formula>
    </cfRule>
    <cfRule type="containsBlanks" dxfId="1358" priority="1029">
      <formula>LEN(TRIM(U116))=0</formula>
    </cfRule>
    <cfRule type="containsBlanks" dxfId="1357" priority="1030">
      <formula>LEN(TRIM(U116))=0</formula>
    </cfRule>
    <cfRule type="containsBlanks" dxfId="1356" priority="1031">
      <formula>LEN(TRIM(U116))=0</formula>
    </cfRule>
    <cfRule type="containsBlanks" dxfId="1355" priority="1032">
      <formula>LEN(TRIM(U116))=0</formula>
    </cfRule>
    <cfRule type="containsBlanks" dxfId="1354" priority="1033">
      <formula>LEN(TRIM(U116))=0</formula>
    </cfRule>
    <cfRule type="containsBlanks" dxfId="1353" priority="1034">
      <formula>LEN(TRIM(U116))=0</formula>
    </cfRule>
    <cfRule type="containsBlanks" dxfId="1352" priority="978">
      <formula>LEN(TRIM(U116))=0</formula>
    </cfRule>
    <cfRule type="containsBlanks" dxfId="1351" priority="979">
      <formula>LEN(TRIM(U116))=0</formula>
    </cfRule>
    <cfRule type="containsBlanks" dxfId="1350" priority="980">
      <formula>LEN(TRIM(U116))=0</formula>
    </cfRule>
    <cfRule type="containsBlanks" dxfId="1349" priority="981">
      <formula>LEN(TRIM(U116))=0</formula>
    </cfRule>
    <cfRule type="containsBlanks" dxfId="1348" priority="982">
      <formula>LEN(TRIM(U116))=0</formula>
    </cfRule>
    <cfRule type="containsBlanks" dxfId="1347" priority="983">
      <formula>LEN(TRIM(U116))=0</formula>
    </cfRule>
    <cfRule type="containsBlanks" dxfId="1346" priority="984">
      <formula>LEN(TRIM(U116))=0</formula>
    </cfRule>
    <cfRule type="containsBlanks" dxfId="1345" priority="985">
      <formula>LEN(TRIM(U116))=0</formula>
    </cfRule>
    <cfRule type="containsBlanks" dxfId="1344" priority="986">
      <formula>LEN(TRIM(U116))=0</formula>
    </cfRule>
    <cfRule type="containsBlanks" dxfId="1343" priority="987">
      <formula>LEN(TRIM(U116))=0</formula>
    </cfRule>
    <cfRule type="containsBlanks" dxfId="1342" priority="988">
      <formula>LEN(TRIM(U116))=0</formula>
    </cfRule>
    <cfRule type="containsBlanks" dxfId="1341" priority="989">
      <formula>LEN(TRIM(U116))=0</formula>
    </cfRule>
    <cfRule type="containsBlanks" dxfId="1340" priority="990">
      <formula>LEN(TRIM(U116))=0</formula>
    </cfRule>
    <cfRule type="containsBlanks" dxfId="1339" priority="991">
      <formula>LEN(TRIM(U116))=0</formula>
    </cfRule>
  </conditionalFormatting>
  <conditionalFormatting sqref="U140">
    <cfRule type="containsBlanks" dxfId="1338" priority="2649">
      <formula>LEN(TRIM(U140))=0</formula>
    </cfRule>
    <cfRule type="containsBlanks" dxfId="1337" priority="2643">
      <formula>LEN(TRIM(U140))=0</formula>
    </cfRule>
    <cfRule type="containsBlanks" dxfId="1336" priority="2644">
      <formula>LEN(TRIM(U140))=0</formula>
    </cfRule>
    <cfRule type="containsBlanks" dxfId="1335" priority="2645">
      <formula>LEN(TRIM(U140))=0</formula>
    </cfRule>
    <cfRule type="containsBlanks" dxfId="1334" priority="2646">
      <formula>LEN(TRIM(U140))=0</formula>
    </cfRule>
    <cfRule type="containsBlanks" dxfId="1333" priority="2647">
      <formula>LEN(TRIM(U140))=0</formula>
    </cfRule>
    <cfRule type="containsBlanks" dxfId="1332" priority="2648">
      <formula>LEN(TRIM(U140))=0</formula>
    </cfRule>
    <cfRule type="containsBlanks" dxfId="1331" priority="2650">
      <formula>LEN(TRIM(U140))=0</formula>
    </cfRule>
    <cfRule type="containsBlanks" dxfId="1330" priority="2651">
      <formula>LEN(TRIM(U140))=0</formula>
    </cfRule>
    <cfRule type="containsBlanks" dxfId="1329" priority="2642">
      <formula>LEN(TRIM(U140))=0</formula>
    </cfRule>
    <cfRule type="containsBlanks" dxfId="1328" priority="2641">
      <formula>LEN(TRIM(U140))=0</formula>
    </cfRule>
    <cfRule type="containsBlanks" dxfId="1327" priority="2640">
      <formula>LEN(TRIM(U140))=0</formula>
    </cfRule>
  </conditionalFormatting>
  <conditionalFormatting sqref="U143">
    <cfRule type="containsBlanks" dxfId="1326" priority="2628">
      <formula>LEN(TRIM(U143))=0</formula>
    </cfRule>
    <cfRule type="containsBlanks" dxfId="1325" priority="2636">
      <formula>LEN(TRIM(U143))=0</formula>
    </cfRule>
    <cfRule type="containsBlanks" dxfId="1324" priority="2634">
      <formula>LEN(TRIM(U143))=0</formula>
    </cfRule>
    <cfRule type="containsBlanks" dxfId="1323" priority="2633">
      <formula>LEN(TRIM(U143))=0</formula>
    </cfRule>
    <cfRule type="containsBlanks" dxfId="1322" priority="2632">
      <formula>LEN(TRIM(U143))=0</formula>
    </cfRule>
    <cfRule type="containsBlanks" dxfId="1321" priority="2631">
      <formula>LEN(TRIM(U143))=0</formula>
    </cfRule>
    <cfRule type="containsBlanks" dxfId="1320" priority="2630">
      <formula>LEN(TRIM(U143))=0</formula>
    </cfRule>
    <cfRule type="containsBlanks" dxfId="1319" priority="2629">
      <formula>LEN(TRIM(U143))=0</formula>
    </cfRule>
    <cfRule type="containsBlanks" dxfId="1318" priority="2635">
      <formula>LEN(TRIM(U143))=0</formula>
    </cfRule>
    <cfRule type="containsBlanks" dxfId="1317" priority="2637">
      <formula>LEN(TRIM(U143))=0</formula>
    </cfRule>
  </conditionalFormatting>
  <conditionalFormatting sqref="U151">
    <cfRule type="containsBlanks" dxfId="1316" priority="2618">
      <formula>LEN(TRIM(U151))=0</formula>
    </cfRule>
    <cfRule type="containsBlanks" dxfId="1315" priority="2620">
      <formula>LEN(TRIM(U151))=0</formula>
    </cfRule>
    <cfRule type="containsBlanks" dxfId="1314" priority="2622">
      <formula>LEN(TRIM(U151))=0</formula>
    </cfRule>
    <cfRule type="containsBlanks" dxfId="1313" priority="2623">
      <formula>LEN(TRIM(U151))=0</formula>
    </cfRule>
    <cfRule type="containsBlanks" dxfId="1312" priority="2624">
      <formula>LEN(TRIM(U151))=0</formula>
    </cfRule>
    <cfRule type="containsBlanks" dxfId="1311" priority="2625">
      <formula>LEN(TRIM(U151))=0</formula>
    </cfRule>
    <cfRule type="containsBlanks" dxfId="1310" priority="2626">
      <formula>LEN(TRIM(U151))=0</formula>
    </cfRule>
    <cfRule type="containsBlanks" dxfId="1309" priority="2627">
      <formula>LEN(TRIM(U151))=0</formula>
    </cfRule>
    <cfRule type="containsBlanks" dxfId="1308" priority="2619">
      <formula>LEN(TRIM(U151))=0</formula>
    </cfRule>
    <cfRule type="containsBlanks" dxfId="1307" priority="2621">
      <formula>LEN(TRIM(U151))=0</formula>
    </cfRule>
    <cfRule type="containsBlanks" dxfId="1306" priority="2614">
      <formula>LEN(TRIM(U151))=0</formula>
    </cfRule>
    <cfRule type="containsBlanks" dxfId="1305" priority="2615">
      <formula>LEN(TRIM(U151))=0</formula>
    </cfRule>
    <cfRule type="containsBlanks" dxfId="1304" priority="2616">
      <formula>LEN(TRIM(U151))=0</formula>
    </cfRule>
    <cfRule type="containsBlanks" dxfId="1303" priority="2617">
      <formula>LEN(TRIM(U151))=0</formula>
    </cfRule>
  </conditionalFormatting>
  <conditionalFormatting sqref="U153">
    <cfRule type="containsBlanks" dxfId="1302" priority="1219">
      <formula>LEN(TRIM(U153))=0</formula>
    </cfRule>
    <cfRule type="containsBlanks" dxfId="1301" priority="1218">
      <formula>LEN(TRIM(U153))=0</formula>
    </cfRule>
  </conditionalFormatting>
  <conditionalFormatting sqref="U28:V82">
    <cfRule type="containsBlanks" dxfId="1300" priority="286">
      <formula>LEN(TRIM(U28))=0</formula>
    </cfRule>
    <cfRule type="containsBlanks" dxfId="1299" priority="399">
      <formula>LEN(TRIM(U28))=0</formula>
    </cfRule>
    <cfRule type="containsBlanks" dxfId="1298" priority="285">
      <formula>LEN(TRIM(U28))=0</formula>
    </cfRule>
    <cfRule type="containsBlanks" dxfId="1297" priority="400">
      <formula>LEN(TRIM(U28))=0</formula>
    </cfRule>
  </conditionalFormatting>
  <conditionalFormatting sqref="U56:V85">
    <cfRule type="containsBlanks" dxfId="1296" priority="398">
      <formula>LEN(TRIM(U56))=0</formula>
    </cfRule>
    <cfRule type="containsBlanks" dxfId="1295" priority="284">
      <formula>LEN(TRIM(U56))=0</formula>
    </cfRule>
    <cfRule type="containsBlanks" dxfId="1294" priority="283">
      <formula>LEN(TRIM(U56))=0</formula>
    </cfRule>
    <cfRule type="containsBlanks" dxfId="1293" priority="397">
      <formula>LEN(TRIM(U56))=0</formula>
    </cfRule>
  </conditionalFormatting>
  <conditionalFormatting sqref="V13:V85">
    <cfRule type="containsBlanks" dxfId="1292" priority="402">
      <formula>LEN(TRIM(V13))=0</formula>
    </cfRule>
    <cfRule type="containsBlanks" dxfId="1291" priority="401">
      <formula>LEN(TRIM(V13))=0</formula>
    </cfRule>
    <cfRule type="containsBlanks" dxfId="1290" priority="287">
      <formula>LEN(TRIM(V13))=0</formula>
    </cfRule>
    <cfRule type="containsBlanks" dxfId="1289" priority="288">
      <formula>LEN(TRIM(V13))=0</formula>
    </cfRule>
    <cfRule type="containsBlanks" dxfId="1288" priority="280">
      <formula>LEN(TRIM(V13))=0</formula>
    </cfRule>
    <cfRule type="containsBlanks" dxfId="1287" priority="279">
      <formula>LEN(TRIM(V13))=0</formula>
    </cfRule>
  </conditionalFormatting>
  <conditionalFormatting sqref="V14:V85">
    <cfRule type="containsBlanks" dxfId="1286" priority="273">
      <formula>LEN(TRIM(V14))=0</formula>
    </cfRule>
    <cfRule type="containsBlanks" dxfId="1285" priority="395">
      <formula>LEN(TRIM(V14))=0</formula>
    </cfRule>
    <cfRule type="containsBlanks" dxfId="1284" priority="282">
      <formula>LEN(TRIM(V14))=0</formula>
    </cfRule>
    <cfRule type="containsBlanks" dxfId="1283" priority="281">
      <formula>LEN(TRIM(V14))=0</formula>
    </cfRule>
    <cfRule type="containsBlanks" dxfId="1282" priority="396">
      <formula>LEN(TRIM(V14))=0</formula>
    </cfRule>
    <cfRule type="containsBlanks" dxfId="1281" priority="274">
      <formula>LEN(TRIM(V14))=0</formula>
    </cfRule>
  </conditionalFormatting>
  <conditionalFormatting sqref="V28:V82">
    <cfRule type="containsBlanks" dxfId="1280" priority="278">
      <formula>LEN(TRIM(V28))=0</formula>
    </cfRule>
    <cfRule type="containsBlanks" dxfId="1279" priority="277">
      <formula>LEN(TRIM(V28))=0</formula>
    </cfRule>
  </conditionalFormatting>
  <conditionalFormatting sqref="V56:V85">
    <cfRule type="containsBlanks" dxfId="1278" priority="276">
      <formula>LEN(TRIM(V56))=0</formula>
    </cfRule>
    <cfRule type="containsBlanks" dxfId="1277" priority="275">
      <formula>LEN(TRIM(V56))=0</formula>
    </cfRule>
  </conditionalFormatting>
  <conditionalFormatting sqref="V95:V155">
    <cfRule type="containsBlanks" dxfId="1276" priority="1226">
      <formula>LEN(TRIM(V95))=0</formula>
    </cfRule>
    <cfRule type="containsBlanks" dxfId="1275" priority="1225">
      <formula>LEN(TRIM(V95))=0</formula>
    </cfRule>
    <cfRule type="containsBlanks" dxfId="1274" priority="1224">
      <formula>LEN(TRIM(V95))=0</formula>
    </cfRule>
    <cfRule type="containsBlanks" dxfId="1273" priority="1248">
      <formula>LEN(TRIM(V95))=0</formula>
    </cfRule>
    <cfRule type="containsBlanks" dxfId="1272" priority="1247">
      <formula>LEN(TRIM(V95))=0</formula>
    </cfRule>
    <cfRule type="containsBlanks" dxfId="1271" priority="1246">
      <formula>LEN(TRIM(V95))=0</formula>
    </cfRule>
    <cfRule type="containsBlanks" dxfId="1270" priority="1245">
      <formula>LEN(TRIM(V95))=0</formula>
    </cfRule>
    <cfRule type="containsBlanks" dxfId="1269" priority="1244">
      <formula>LEN(TRIM(V95))=0</formula>
    </cfRule>
    <cfRule type="containsBlanks" dxfId="1268" priority="1243">
      <formula>LEN(TRIM(V95))=0</formula>
    </cfRule>
    <cfRule type="containsBlanks" dxfId="1267" priority="1241">
      <formula>LEN(TRIM(V95))=0</formula>
    </cfRule>
    <cfRule type="containsBlanks" dxfId="1266" priority="1240">
      <formula>LEN(TRIM(V95))=0</formula>
    </cfRule>
    <cfRule type="containsBlanks" dxfId="1265" priority="1239">
      <formula>LEN(TRIM(V95))=0</formula>
    </cfRule>
    <cfRule type="containsBlanks" dxfId="1264" priority="1238">
      <formula>LEN(TRIM(V95))=0</formula>
    </cfRule>
    <cfRule type="containsBlanks" dxfId="1263" priority="1237">
      <formula>LEN(TRIM(V95))=0</formula>
    </cfRule>
    <cfRule type="containsBlanks" dxfId="1262" priority="1235">
      <formula>LEN(TRIM(V95))=0</formula>
    </cfRule>
    <cfRule type="containsBlanks" dxfId="1261" priority="1234">
      <formula>LEN(TRIM(V95))=0</formula>
    </cfRule>
    <cfRule type="containsBlanks" dxfId="1260" priority="1223">
      <formula>LEN(TRIM(V95))=0</formula>
    </cfRule>
    <cfRule type="containsBlanks" dxfId="1259" priority="1222">
      <formula>LEN(TRIM(V95))=0</formula>
    </cfRule>
    <cfRule type="containsBlanks" dxfId="1258" priority="1242">
      <formula>LEN(TRIM(V95))=0</formula>
    </cfRule>
    <cfRule type="containsBlanks" dxfId="1257" priority="1236">
      <formula>LEN(TRIM(V95))=0</formula>
    </cfRule>
    <cfRule type="containsBlanks" dxfId="1256" priority="1269">
      <formula>LEN(TRIM(V95))=0</formula>
    </cfRule>
    <cfRule type="containsBlanks" dxfId="1255" priority="1268">
      <formula>LEN(TRIM(V95))=0</formula>
    </cfRule>
    <cfRule type="containsBlanks" dxfId="1254" priority="1267">
      <formula>LEN(TRIM(V95))=0</formula>
    </cfRule>
    <cfRule type="containsBlanks" dxfId="1253" priority="1266">
      <formula>LEN(TRIM(V95))=0</formula>
    </cfRule>
    <cfRule type="containsBlanks" dxfId="1252" priority="1265">
      <formula>LEN(TRIM(V95))=0</formula>
    </cfRule>
    <cfRule type="containsBlanks" dxfId="1251" priority="1264">
      <formula>LEN(TRIM(V95))=0</formula>
    </cfRule>
    <cfRule type="containsBlanks" dxfId="1250" priority="1263">
      <formula>LEN(TRIM(V95))=0</formula>
    </cfRule>
    <cfRule type="containsBlanks" dxfId="1249" priority="1262">
      <formula>LEN(TRIM(V95))=0</formula>
    </cfRule>
    <cfRule type="containsBlanks" dxfId="1248" priority="1261">
      <formula>LEN(TRIM(V95))=0</formula>
    </cfRule>
    <cfRule type="containsBlanks" dxfId="1247" priority="1233">
      <formula>LEN(TRIM(V95))=0</formula>
    </cfRule>
    <cfRule type="containsBlanks" dxfId="1246" priority="1232">
      <formula>LEN(TRIM(V95))=0</formula>
    </cfRule>
    <cfRule type="containsBlanks" dxfId="1245" priority="1231">
      <formula>LEN(TRIM(V95))=0</formula>
    </cfRule>
    <cfRule type="containsBlanks" dxfId="1244" priority="1230">
      <formula>LEN(TRIM(V95))=0</formula>
    </cfRule>
    <cfRule type="containsBlanks" dxfId="1243" priority="1229">
      <formula>LEN(TRIM(V95))=0</formula>
    </cfRule>
    <cfRule type="containsBlanks" dxfId="1242" priority="1228">
      <formula>LEN(TRIM(V95))=0</formula>
    </cfRule>
    <cfRule type="containsBlanks" dxfId="1241" priority="1260">
      <formula>LEN(TRIM(V95))=0</formula>
    </cfRule>
    <cfRule type="containsBlanks" dxfId="1240" priority="1259">
      <formula>LEN(TRIM(V95))=0</formula>
    </cfRule>
    <cfRule type="containsBlanks" dxfId="1239" priority="1258">
      <formula>LEN(TRIM(V95))=0</formula>
    </cfRule>
    <cfRule type="containsBlanks" dxfId="1238" priority="1257">
      <formula>LEN(TRIM(V95))=0</formula>
    </cfRule>
    <cfRule type="containsBlanks" dxfId="1237" priority="1256">
      <formula>LEN(TRIM(V95))=0</formula>
    </cfRule>
    <cfRule type="containsBlanks" dxfId="1236" priority="1255">
      <formula>LEN(TRIM(V95))=0</formula>
    </cfRule>
    <cfRule type="containsBlanks" dxfId="1235" priority="1254">
      <formula>LEN(TRIM(V95))=0</formula>
    </cfRule>
    <cfRule type="containsBlanks" dxfId="1234" priority="1253">
      <formula>LEN(TRIM(V95))=0</formula>
    </cfRule>
    <cfRule type="containsBlanks" dxfId="1233" priority="1252">
      <formula>LEN(TRIM(V95))=0</formula>
    </cfRule>
    <cfRule type="containsBlanks" dxfId="1232" priority="1251">
      <formula>LEN(TRIM(V95))=0</formula>
    </cfRule>
    <cfRule type="containsBlanks" dxfId="1231" priority="1250">
      <formula>LEN(TRIM(V95))=0</formula>
    </cfRule>
    <cfRule type="containsBlanks" dxfId="1230" priority="1249">
      <formula>LEN(TRIM(V95))=0</formula>
    </cfRule>
    <cfRule type="containsBlanks" dxfId="1229" priority="1227">
      <formula>LEN(TRIM(V95))=0</formula>
    </cfRule>
  </conditionalFormatting>
  <conditionalFormatting sqref="V113">
    <cfRule type="containsBlanks" dxfId="1228" priority="2546">
      <formula>LEN(TRIM(V113))=0</formula>
    </cfRule>
    <cfRule type="containsBlanks" dxfId="1227" priority="2536">
      <formula>LEN(TRIM(V113))=0</formula>
    </cfRule>
    <cfRule type="containsBlanks" dxfId="1226" priority="2545">
      <formula>LEN(TRIM(V113))=0</formula>
    </cfRule>
    <cfRule type="containsBlanks" dxfId="1225" priority="2547">
      <formula>LEN(TRIM(V113))=0</formula>
    </cfRule>
    <cfRule type="containsBlanks" dxfId="1224" priority="2551">
      <formula>LEN(TRIM(V113))=0</formula>
    </cfRule>
    <cfRule type="containsBlanks" dxfId="1223" priority="2550">
      <formula>LEN(TRIM(V113))=0</formula>
    </cfRule>
    <cfRule type="containsBlanks" dxfId="1222" priority="2543">
      <formula>LEN(TRIM(V113))=0</formula>
    </cfRule>
    <cfRule type="containsBlanks" dxfId="1221" priority="2537">
      <formula>LEN(TRIM(V113))=0</formula>
    </cfRule>
    <cfRule type="containsBlanks" dxfId="1220" priority="2535">
      <formula>LEN(TRIM(V113))=0</formula>
    </cfRule>
    <cfRule type="containsBlanks" dxfId="1219" priority="2549">
      <formula>LEN(TRIM(V113))=0</formula>
    </cfRule>
    <cfRule type="containsBlanks" dxfId="1218" priority="2548">
      <formula>LEN(TRIM(V113))=0</formula>
    </cfRule>
    <cfRule type="containsBlanks" dxfId="1217" priority="2544">
      <formula>LEN(TRIM(V113))=0</formula>
    </cfRule>
    <cfRule type="containsBlanks" dxfId="1216" priority="2542">
      <formula>LEN(TRIM(V113))=0</formula>
    </cfRule>
    <cfRule type="containsBlanks" dxfId="1215" priority="2541">
      <formula>LEN(TRIM(V113))=0</formula>
    </cfRule>
    <cfRule type="containsBlanks" dxfId="1214" priority="2540">
      <formula>LEN(TRIM(V113))=0</formula>
    </cfRule>
    <cfRule type="containsBlanks" dxfId="1213" priority="2539">
      <formula>LEN(TRIM(V113))=0</formula>
    </cfRule>
    <cfRule type="containsBlanks" dxfId="1212" priority="2538">
      <formula>LEN(TRIM(V113))=0</formula>
    </cfRule>
    <cfRule type="containsBlanks" dxfId="1211" priority="2534">
      <formula>LEN(TRIM(V113))=0</formula>
    </cfRule>
  </conditionalFormatting>
  <conditionalFormatting sqref="V127">
    <cfRule type="containsBlanks" dxfId="1210" priority="2591">
      <formula>LEN(TRIM(V127))=0</formula>
    </cfRule>
    <cfRule type="containsBlanks" dxfId="1209" priority="2592">
      <formula>LEN(TRIM(V127))=0</formula>
    </cfRule>
    <cfRule type="containsBlanks" dxfId="1208" priority="2593">
      <formula>LEN(TRIM(V127))=0</formula>
    </cfRule>
    <cfRule type="containsBlanks" dxfId="1207" priority="2595">
      <formula>LEN(TRIM(V127))=0</formula>
    </cfRule>
    <cfRule type="containsBlanks" dxfId="1206" priority="2596">
      <formula>LEN(TRIM(V127))=0</formula>
    </cfRule>
    <cfRule type="containsBlanks" dxfId="1205" priority="2597">
      <formula>LEN(TRIM(V127))=0</formula>
    </cfRule>
    <cfRule type="containsBlanks" dxfId="1204" priority="2599">
      <formula>LEN(TRIM(V127))=0</formula>
    </cfRule>
    <cfRule type="containsBlanks" dxfId="1203" priority="2594">
      <formula>LEN(TRIM(V127))=0</formula>
    </cfRule>
    <cfRule type="containsBlanks" dxfId="1202" priority="2588">
      <formula>LEN(TRIM(V127))=0</formula>
    </cfRule>
    <cfRule type="containsBlanks" dxfId="1201" priority="2598">
      <formula>LEN(TRIM(V127))=0</formula>
    </cfRule>
    <cfRule type="containsBlanks" dxfId="1200" priority="2584">
      <formula>LEN(TRIM(V127))=0</formula>
    </cfRule>
    <cfRule type="containsBlanks" dxfId="1199" priority="2585">
      <formula>LEN(TRIM(V127))=0</formula>
    </cfRule>
    <cfRule type="containsBlanks" dxfId="1198" priority="2586">
      <formula>LEN(TRIM(V127))=0</formula>
    </cfRule>
    <cfRule type="containsBlanks" dxfId="1197" priority="2587">
      <formula>LEN(TRIM(V127))=0</formula>
    </cfRule>
    <cfRule type="containsBlanks" dxfId="1196" priority="2589">
      <formula>LEN(TRIM(V127))=0</formula>
    </cfRule>
    <cfRule type="containsBlanks" dxfId="1195" priority="2590">
      <formula>LEN(TRIM(V127))=0</formula>
    </cfRule>
  </conditionalFormatting>
  <conditionalFormatting sqref="V136">
    <cfRule type="containsBlanks" dxfId="1194" priority="2568">
      <formula>LEN(TRIM(V136))=0</formula>
    </cfRule>
    <cfRule type="containsBlanks" dxfId="1193" priority="2581">
      <formula>LEN(TRIM(V136))=0</formula>
    </cfRule>
    <cfRule type="containsBlanks" dxfId="1192" priority="2582">
      <formula>LEN(TRIM(V136))=0</formula>
    </cfRule>
    <cfRule type="containsBlanks" dxfId="1191" priority="2569">
      <formula>LEN(TRIM(V136))=0</formula>
    </cfRule>
    <cfRule type="containsBlanks" dxfId="1190" priority="2570">
      <formula>LEN(TRIM(V136))=0</formula>
    </cfRule>
    <cfRule type="containsBlanks" dxfId="1189" priority="2571">
      <formula>LEN(TRIM(V136))=0</formula>
    </cfRule>
    <cfRule type="containsBlanks" dxfId="1188" priority="2572">
      <formula>LEN(TRIM(V136))=0</formula>
    </cfRule>
    <cfRule type="containsBlanks" dxfId="1187" priority="2573">
      <formula>LEN(TRIM(V136))=0</formula>
    </cfRule>
    <cfRule type="containsBlanks" dxfId="1186" priority="2574">
      <formula>LEN(TRIM(V136))=0</formula>
    </cfRule>
    <cfRule type="containsBlanks" dxfId="1185" priority="2575">
      <formula>LEN(TRIM(V136))=0</formula>
    </cfRule>
    <cfRule type="containsBlanks" dxfId="1184" priority="2576">
      <formula>LEN(TRIM(V136))=0</formula>
    </cfRule>
    <cfRule type="containsBlanks" dxfId="1183" priority="2577">
      <formula>LEN(TRIM(V136))=0</formula>
    </cfRule>
    <cfRule type="containsBlanks" dxfId="1182" priority="2583">
      <formula>LEN(TRIM(V136))=0</formula>
    </cfRule>
    <cfRule type="containsBlanks" dxfId="1181" priority="2579">
      <formula>LEN(TRIM(V136))=0</formula>
    </cfRule>
    <cfRule type="containsBlanks" dxfId="1180" priority="2580">
      <formula>LEN(TRIM(V136))=0</formula>
    </cfRule>
    <cfRule type="containsBlanks" dxfId="1179" priority="2578">
      <formula>LEN(TRIM(V136))=0</formula>
    </cfRule>
  </conditionalFormatting>
  <conditionalFormatting sqref="V138">
    <cfRule type="containsBlanks" dxfId="1178" priority="2560">
      <formula>LEN(TRIM(V138))=0</formula>
    </cfRule>
    <cfRule type="containsBlanks" dxfId="1177" priority="2561">
      <formula>LEN(TRIM(V138))=0</formula>
    </cfRule>
    <cfRule type="containsBlanks" dxfId="1176" priority="2562">
      <formula>LEN(TRIM(V138))=0</formula>
    </cfRule>
    <cfRule type="containsBlanks" dxfId="1175" priority="2563">
      <formula>LEN(TRIM(V138))=0</formula>
    </cfRule>
    <cfRule type="containsBlanks" dxfId="1174" priority="2564">
      <formula>LEN(TRIM(V138))=0</formula>
    </cfRule>
    <cfRule type="containsBlanks" dxfId="1173" priority="2565">
      <formula>LEN(TRIM(V138))=0</formula>
    </cfRule>
    <cfRule type="containsBlanks" dxfId="1172" priority="2566">
      <formula>LEN(TRIM(V138))=0</formula>
    </cfRule>
    <cfRule type="containsBlanks" dxfId="1171" priority="2567">
      <formula>LEN(TRIM(V138))=0</formula>
    </cfRule>
    <cfRule type="containsBlanks" dxfId="1170" priority="2559">
      <formula>LEN(TRIM(V138))=0</formula>
    </cfRule>
    <cfRule type="containsBlanks" dxfId="1169" priority="2552">
      <formula>LEN(TRIM(V138))=0</formula>
    </cfRule>
    <cfRule type="containsBlanks" dxfId="1168" priority="2553">
      <formula>LEN(TRIM(V138))=0</formula>
    </cfRule>
    <cfRule type="containsBlanks" dxfId="1167" priority="2555">
      <formula>LEN(TRIM(V138))=0</formula>
    </cfRule>
    <cfRule type="containsBlanks" dxfId="1166" priority="2556">
      <formula>LEN(TRIM(V138))=0</formula>
    </cfRule>
    <cfRule type="containsBlanks" dxfId="1165" priority="2557">
      <formula>LEN(TRIM(V138))=0</formula>
    </cfRule>
    <cfRule type="containsBlanks" dxfId="1164" priority="2558">
      <formula>LEN(TRIM(V138))=0</formula>
    </cfRule>
    <cfRule type="containsBlanks" dxfId="1163" priority="2554">
      <formula>LEN(TRIM(V138))=0</formula>
    </cfRule>
  </conditionalFormatting>
  <conditionalFormatting sqref="V28:W82">
    <cfRule type="containsBlanks" dxfId="1162" priority="391">
      <formula>LEN(TRIM(V28))=0</formula>
    </cfRule>
    <cfRule type="containsBlanks" dxfId="1161" priority="392">
      <formula>LEN(TRIM(V28))=0</formula>
    </cfRule>
    <cfRule type="containsBlanks" dxfId="1160" priority="269">
      <formula>LEN(TRIM(V28))=0</formula>
    </cfRule>
    <cfRule type="containsBlanks" dxfId="1159" priority="270">
      <formula>LEN(TRIM(V28))=0</formula>
    </cfRule>
  </conditionalFormatting>
  <conditionalFormatting sqref="V56:W85">
    <cfRule type="containsBlanks" dxfId="1158" priority="268">
      <formula>LEN(TRIM(V56))=0</formula>
    </cfRule>
    <cfRule type="containsBlanks" dxfId="1157" priority="389">
      <formula>LEN(TRIM(V56))=0</formula>
    </cfRule>
    <cfRule type="containsBlanks" dxfId="1156" priority="390">
      <formula>LEN(TRIM(V56))=0</formula>
    </cfRule>
    <cfRule type="containsBlanks" dxfId="1155" priority="267">
      <formula>LEN(TRIM(V56))=0</formula>
    </cfRule>
  </conditionalFormatting>
  <conditionalFormatting sqref="W13:W85">
    <cfRule type="containsBlanks" dxfId="1154" priority="393">
      <formula>LEN(TRIM(W13))=0</formula>
    </cfRule>
    <cfRule type="containsBlanks" dxfId="1153" priority="394">
      <formula>LEN(TRIM(W13))=0</formula>
    </cfRule>
    <cfRule type="containsBlanks" dxfId="1152" priority="260">
      <formula>LEN(TRIM(W13))=0</formula>
    </cfRule>
    <cfRule type="containsBlanks" dxfId="1151" priority="259">
      <formula>LEN(TRIM(W13))=0</formula>
    </cfRule>
    <cfRule type="containsBlanks" dxfId="1150" priority="271">
      <formula>LEN(TRIM(W13))=0</formula>
    </cfRule>
    <cfRule type="containsBlanks" dxfId="1149" priority="272">
      <formula>LEN(TRIM(W13))=0</formula>
    </cfRule>
  </conditionalFormatting>
  <conditionalFormatting sqref="W14:W85">
    <cfRule type="containsBlanks" dxfId="1148" priority="387">
      <formula>LEN(TRIM(W14))=0</formula>
    </cfRule>
    <cfRule type="containsBlanks" dxfId="1147" priority="266">
      <formula>LEN(TRIM(W14))=0</formula>
    </cfRule>
    <cfRule type="containsBlanks" dxfId="1146" priority="265">
      <formula>LEN(TRIM(W14))=0</formula>
    </cfRule>
    <cfRule type="containsBlanks" dxfId="1145" priority="388">
      <formula>LEN(TRIM(W14))=0</formula>
    </cfRule>
    <cfRule type="containsBlanks" dxfId="1144" priority="254">
      <formula>LEN(TRIM(W14))=0</formula>
    </cfRule>
    <cfRule type="containsBlanks" dxfId="1143" priority="253">
      <formula>LEN(TRIM(W14))=0</formula>
    </cfRule>
  </conditionalFormatting>
  <conditionalFormatting sqref="W28:W82">
    <cfRule type="containsBlanks" dxfId="1142" priority="264">
      <formula>LEN(TRIM(W28))=0</formula>
    </cfRule>
    <cfRule type="containsBlanks" dxfId="1141" priority="263">
      <formula>LEN(TRIM(W28))=0</formula>
    </cfRule>
    <cfRule type="containsBlanks" dxfId="1140" priority="258">
      <formula>LEN(TRIM(W28))=0</formula>
    </cfRule>
    <cfRule type="containsBlanks" dxfId="1139" priority="257">
      <formula>LEN(TRIM(W28))=0</formula>
    </cfRule>
  </conditionalFormatting>
  <conditionalFormatting sqref="W56:W85">
    <cfRule type="containsBlanks" dxfId="1138" priority="255">
      <formula>LEN(TRIM(W56))=0</formula>
    </cfRule>
    <cfRule type="containsBlanks" dxfId="1137" priority="261">
      <formula>LEN(TRIM(W56))=0</formula>
    </cfRule>
    <cfRule type="containsBlanks" dxfId="1136" priority="262">
      <formula>LEN(TRIM(W56))=0</formula>
    </cfRule>
    <cfRule type="containsBlanks" dxfId="1135" priority="256">
      <formula>LEN(TRIM(W56))=0</formula>
    </cfRule>
  </conditionalFormatting>
  <conditionalFormatting sqref="W95:W152">
    <cfRule type="containsBlanks" dxfId="1134" priority="838">
      <formula>LEN(TRIM(W95))=0</formula>
    </cfRule>
    <cfRule type="containsBlanks" dxfId="1133" priority="799">
      <formula>LEN(TRIM(W95))=0</formula>
    </cfRule>
    <cfRule type="containsBlanks" dxfId="1132" priority="798">
      <formula>LEN(TRIM(W95))=0</formula>
    </cfRule>
    <cfRule type="containsBlanks" dxfId="1131" priority="817">
      <formula>LEN(TRIM(W95))=0</formula>
    </cfRule>
    <cfRule type="containsBlanks" dxfId="1130" priority="824">
      <formula>LEN(TRIM(W95))=0</formula>
    </cfRule>
    <cfRule type="containsBlanks" dxfId="1129" priority="823">
      <formula>LEN(TRIM(W95))=0</formula>
    </cfRule>
    <cfRule type="containsBlanks" dxfId="1128" priority="822">
      <formula>LEN(TRIM(W95))=0</formula>
    </cfRule>
    <cfRule type="containsBlanks" dxfId="1127" priority="821">
      <formula>LEN(TRIM(W95))=0</formula>
    </cfRule>
    <cfRule type="containsBlanks" dxfId="1126" priority="820">
      <formula>LEN(TRIM(W95))=0</formula>
    </cfRule>
    <cfRule type="containsBlanks" dxfId="1125" priority="819">
      <formula>LEN(TRIM(W95))=0</formula>
    </cfRule>
    <cfRule type="containsBlanks" dxfId="1124" priority="816">
      <formula>LEN(TRIM(W95))=0</formula>
    </cfRule>
    <cfRule type="containsBlanks" dxfId="1123" priority="843">
      <formula>LEN(TRIM(W95))=0</formula>
    </cfRule>
    <cfRule type="containsBlanks" dxfId="1122" priority="809">
      <formula>LEN(TRIM(W95))=0</formula>
    </cfRule>
    <cfRule type="containsBlanks" dxfId="1121" priority="827">
      <formula>LEN(TRIM(W95))=0</formula>
    </cfRule>
    <cfRule type="containsBlanks" dxfId="1120" priority="842">
      <formula>LEN(TRIM(W95))=0</formula>
    </cfRule>
    <cfRule type="containsBlanks" dxfId="1119" priority="841">
      <formula>LEN(TRIM(W95))=0</formula>
    </cfRule>
    <cfRule type="containsBlanks" dxfId="1118" priority="839">
      <formula>LEN(TRIM(W95))=0</formula>
    </cfRule>
    <cfRule type="containsBlanks" dxfId="1117" priority="808">
      <formula>LEN(TRIM(W95))=0</formula>
    </cfRule>
    <cfRule type="containsBlanks" dxfId="1116" priority="845">
      <formula>LEN(TRIM(W95))=0</formula>
    </cfRule>
    <cfRule type="containsBlanks" dxfId="1115" priority="837">
      <formula>LEN(TRIM(W95))=0</formula>
    </cfRule>
    <cfRule type="containsBlanks" dxfId="1114" priority="836">
      <formula>LEN(TRIM(W95))=0</formula>
    </cfRule>
    <cfRule type="containsBlanks" dxfId="1113" priority="835">
      <formula>LEN(TRIM(W95))=0</formula>
    </cfRule>
    <cfRule type="containsBlanks" dxfId="1112" priority="834">
      <formula>LEN(TRIM(W95))=0</formula>
    </cfRule>
    <cfRule type="containsBlanks" dxfId="1111" priority="825">
      <formula>LEN(TRIM(W95))=0</formula>
    </cfRule>
    <cfRule type="containsBlanks" dxfId="1110" priority="826">
      <formula>LEN(TRIM(W95))=0</formula>
    </cfRule>
    <cfRule type="containsBlanks" dxfId="1109" priority="818">
      <formula>LEN(TRIM(W95))=0</formula>
    </cfRule>
    <cfRule type="containsBlanks" dxfId="1108" priority="828">
      <formula>LEN(TRIM(W95))=0</formula>
    </cfRule>
    <cfRule type="containsBlanks" dxfId="1107" priority="829">
      <formula>LEN(TRIM(W95))=0</formula>
    </cfRule>
    <cfRule type="containsBlanks" dxfId="1106" priority="830">
      <formula>LEN(TRIM(W95))=0</formula>
    </cfRule>
    <cfRule type="containsBlanks" dxfId="1105" priority="831">
      <formula>LEN(TRIM(W95))=0</formula>
    </cfRule>
    <cfRule type="containsBlanks" dxfId="1104" priority="833">
      <formula>LEN(TRIM(W95))=0</formula>
    </cfRule>
    <cfRule type="containsBlanks" dxfId="1103" priority="807">
      <formula>LEN(TRIM(W95))=0</formula>
    </cfRule>
    <cfRule type="containsBlanks" dxfId="1102" priority="832">
      <formula>LEN(TRIM(W95))=0</formula>
    </cfRule>
    <cfRule type="containsBlanks" dxfId="1101" priority="806">
      <formula>LEN(TRIM(W95))=0</formula>
    </cfRule>
    <cfRule type="containsBlanks" dxfId="1100" priority="811">
      <formula>LEN(TRIM(W95))=0</formula>
    </cfRule>
    <cfRule type="containsBlanks" dxfId="1099" priority="812">
      <formula>LEN(TRIM(W95))=0</formula>
    </cfRule>
    <cfRule type="containsBlanks" dxfId="1098" priority="813">
      <formula>LEN(TRIM(W95))=0</formula>
    </cfRule>
    <cfRule type="containsBlanks" dxfId="1097" priority="814">
      <formula>LEN(TRIM(W95))=0</formula>
    </cfRule>
    <cfRule type="containsBlanks" dxfId="1096" priority="815">
      <formula>LEN(TRIM(W95))=0</formula>
    </cfRule>
    <cfRule type="containsBlanks" dxfId="1095" priority="844">
      <formula>LEN(TRIM(W95))=0</formula>
    </cfRule>
    <cfRule type="containsBlanks" dxfId="1094" priority="810">
      <formula>LEN(TRIM(W95))=0</formula>
    </cfRule>
    <cfRule type="containsBlanks" dxfId="1093" priority="840">
      <formula>LEN(TRIM(W95))=0</formula>
    </cfRule>
    <cfRule type="containsBlanks" dxfId="1092" priority="805">
      <formula>LEN(TRIM(W95))=0</formula>
    </cfRule>
    <cfRule type="containsBlanks" dxfId="1091" priority="804">
      <formula>LEN(TRIM(W95))=0</formula>
    </cfRule>
    <cfRule type="containsBlanks" dxfId="1090" priority="803">
      <formula>LEN(TRIM(W95))=0</formula>
    </cfRule>
    <cfRule type="containsBlanks" dxfId="1089" priority="802">
      <formula>LEN(TRIM(W95))=0</formula>
    </cfRule>
    <cfRule type="containsBlanks" dxfId="1088" priority="801">
      <formula>LEN(TRIM(W95))=0</formula>
    </cfRule>
    <cfRule type="containsBlanks" dxfId="1087" priority="800">
      <formula>LEN(TRIM(W95))=0</formula>
    </cfRule>
  </conditionalFormatting>
  <conditionalFormatting sqref="W95:W155">
    <cfRule type="containsBlanks" dxfId="1086" priority="2532">
      <formula>LEN(TRIM(W95))=0</formula>
    </cfRule>
    <cfRule type="containsBlanks" dxfId="1085" priority="2533">
      <formula>LEN(TRIM(W95))=0</formula>
    </cfRule>
  </conditionalFormatting>
  <conditionalFormatting sqref="W110">
    <cfRule type="containsBlanks" dxfId="1084" priority="2530">
      <formula>LEN(TRIM(W110))=0</formula>
    </cfRule>
    <cfRule type="containsBlanks" dxfId="1083" priority="2526">
      <formula>LEN(TRIM(W110))=0</formula>
    </cfRule>
    <cfRule type="containsBlanks" dxfId="1082" priority="2527">
      <formula>LEN(TRIM(W110))=0</formula>
    </cfRule>
    <cfRule type="containsBlanks" dxfId="1081" priority="2528">
      <formula>LEN(TRIM(W110))=0</formula>
    </cfRule>
    <cfRule type="containsBlanks" dxfId="1080" priority="2529">
      <formula>LEN(TRIM(W110))=0</formula>
    </cfRule>
    <cfRule type="containsBlanks" dxfId="1079" priority="2516">
      <formula>LEN(TRIM(W110))=0</formula>
    </cfRule>
    <cfRule type="containsBlanks" dxfId="1078" priority="2517">
      <formula>LEN(TRIM(W110))=0</formula>
    </cfRule>
    <cfRule type="containsBlanks" dxfId="1077" priority="2518">
      <formula>LEN(TRIM(W110))=0</formula>
    </cfRule>
    <cfRule type="containsBlanks" dxfId="1076" priority="2519">
      <formula>LEN(TRIM(W110))=0</formula>
    </cfRule>
    <cfRule type="containsBlanks" dxfId="1075" priority="2521">
      <formula>LEN(TRIM(W110))=0</formula>
    </cfRule>
    <cfRule type="containsBlanks" dxfId="1074" priority="2522">
      <formula>LEN(TRIM(W110))=0</formula>
    </cfRule>
    <cfRule type="containsBlanks" dxfId="1073" priority="2524">
      <formula>LEN(TRIM(W110))=0</formula>
    </cfRule>
    <cfRule type="containsBlanks" dxfId="1072" priority="2525">
      <formula>LEN(TRIM(W110))=0</formula>
    </cfRule>
    <cfRule type="containsBlanks" dxfId="1071" priority="2531">
      <formula>LEN(TRIM(W110))=0</formula>
    </cfRule>
    <cfRule type="containsBlanks" dxfId="1070" priority="2523">
      <formula>LEN(TRIM(W110))=0</formula>
    </cfRule>
    <cfRule type="containsBlanks" dxfId="1069" priority="2520">
      <formula>LEN(TRIM(W110))=0</formula>
    </cfRule>
  </conditionalFormatting>
  <conditionalFormatting sqref="W140">
    <cfRule type="containsBlanks" dxfId="1068" priority="2512">
      <formula>LEN(TRIM(W140))=0</formula>
    </cfRule>
    <cfRule type="containsBlanks" dxfId="1067" priority="2513">
      <formula>LEN(TRIM(W140))=0</formula>
    </cfRule>
    <cfRule type="containsBlanks" dxfId="1066" priority="2514">
      <formula>LEN(TRIM(W140))=0</formula>
    </cfRule>
    <cfRule type="containsBlanks" dxfId="1065" priority="2515">
      <formula>LEN(TRIM(W140))=0</formula>
    </cfRule>
    <cfRule type="containsBlanks" dxfId="1064" priority="2505">
      <formula>LEN(TRIM(W140))=0</formula>
    </cfRule>
    <cfRule type="containsBlanks" dxfId="1063" priority="2511">
      <formula>LEN(TRIM(W140))=0</formula>
    </cfRule>
    <cfRule type="containsBlanks" dxfId="1062" priority="2504">
      <formula>LEN(TRIM(W140))=0</formula>
    </cfRule>
    <cfRule type="containsBlanks" dxfId="1061" priority="2508">
      <formula>LEN(TRIM(W140))=0</formula>
    </cfRule>
    <cfRule type="containsBlanks" dxfId="1060" priority="2509">
      <formula>LEN(TRIM(W140))=0</formula>
    </cfRule>
    <cfRule type="containsBlanks" dxfId="1059" priority="2510">
      <formula>LEN(TRIM(W140))=0</formula>
    </cfRule>
    <cfRule type="containsBlanks" dxfId="1058" priority="2502">
      <formula>LEN(TRIM(W140))=0</formula>
    </cfRule>
    <cfRule type="containsBlanks" dxfId="1057" priority="2501">
      <formula>LEN(TRIM(W140))=0</formula>
    </cfRule>
    <cfRule type="containsBlanks" dxfId="1056" priority="2500">
      <formula>LEN(TRIM(W140))=0</formula>
    </cfRule>
    <cfRule type="containsBlanks" dxfId="1055" priority="2507">
      <formula>LEN(TRIM(W140))=0</formula>
    </cfRule>
    <cfRule type="containsBlanks" dxfId="1054" priority="2506">
      <formula>LEN(TRIM(W140))=0</formula>
    </cfRule>
    <cfRule type="containsBlanks" dxfId="1053" priority="2503">
      <formula>LEN(TRIM(W140))=0</formula>
    </cfRule>
  </conditionalFormatting>
  <conditionalFormatting sqref="W151">
    <cfRule type="containsBlanks" dxfId="1052" priority="2498">
      <formula>LEN(TRIM(W151))=0</formula>
    </cfRule>
    <cfRule type="containsBlanks" dxfId="1051" priority="2499">
      <formula>LEN(TRIM(W151))=0</formula>
    </cfRule>
    <cfRule type="containsBlanks" dxfId="1050" priority="2489">
      <formula>LEN(TRIM(W151))=0</formula>
    </cfRule>
    <cfRule type="containsBlanks" dxfId="1049" priority="2484">
      <formula>LEN(TRIM(W151))=0</formula>
    </cfRule>
    <cfRule type="containsBlanks" dxfId="1048" priority="2485">
      <formula>LEN(TRIM(W151))=0</formula>
    </cfRule>
    <cfRule type="containsBlanks" dxfId="1047" priority="2486">
      <formula>LEN(TRIM(W151))=0</formula>
    </cfRule>
    <cfRule type="containsBlanks" dxfId="1046" priority="2487">
      <formula>LEN(TRIM(W151))=0</formula>
    </cfRule>
    <cfRule type="containsBlanks" dxfId="1045" priority="2488">
      <formula>LEN(TRIM(W151))=0</formula>
    </cfRule>
    <cfRule type="containsBlanks" dxfId="1044" priority="2490">
      <formula>LEN(TRIM(W151))=0</formula>
    </cfRule>
    <cfRule type="containsBlanks" dxfId="1043" priority="2491">
      <formula>LEN(TRIM(W151))=0</formula>
    </cfRule>
    <cfRule type="containsBlanks" dxfId="1042" priority="2492">
      <formula>LEN(TRIM(W151))=0</formula>
    </cfRule>
    <cfRule type="containsBlanks" dxfId="1041" priority="2493">
      <formula>LEN(TRIM(W151))=0</formula>
    </cfRule>
    <cfRule type="containsBlanks" dxfId="1040" priority="2494">
      <formula>LEN(TRIM(W151))=0</formula>
    </cfRule>
    <cfRule type="containsBlanks" dxfId="1039" priority="2495">
      <formula>LEN(TRIM(W151))=0</formula>
    </cfRule>
    <cfRule type="containsBlanks" dxfId="1038" priority="2496">
      <formula>LEN(TRIM(W151))=0</formula>
    </cfRule>
    <cfRule type="containsBlanks" dxfId="1037" priority="2497">
      <formula>LEN(TRIM(W151))=0</formula>
    </cfRule>
  </conditionalFormatting>
  <conditionalFormatting sqref="W28:X82">
    <cfRule type="containsBlanks" dxfId="1036" priority="250">
      <formula>LEN(TRIM(W28))=0</formula>
    </cfRule>
    <cfRule type="containsBlanks" dxfId="1035" priority="249">
      <formula>LEN(TRIM(W28))=0</formula>
    </cfRule>
    <cfRule type="containsBlanks" dxfId="1034" priority="384">
      <formula>LEN(TRIM(W28))=0</formula>
    </cfRule>
    <cfRule type="containsBlanks" dxfId="1033" priority="383">
      <formula>LEN(TRIM(W28))=0</formula>
    </cfRule>
  </conditionalFormatting>
  <conditionalFormatting sqref="W56:X85">
    <cfRule type="containsBlanks" dxfId="1032" priority="247">
      <formula>LEN(TRIM(W56))=0</formula>
    </cfRule>
    <cfRule type="containsBlanks" dxfId="1031" priority="248">
      <formula>LEN(TRIM(W56))=0</formula>
    </cfRule>
    <cfRule type="containsBlanks" dxfId="1030" priority="382">
      <formula>LEN(TRIM(W56))=0</formula>
    </cfRule>
    <cfRule type="containsBlanks" dxfId="1029" priority="381">
      <formula>LEN(TRIM(W56))=0</formula>
    </cfRule>
  </conditionalFormatting>
  <conditionalFormatting sqref="W86:X87 V88:X92">
    <cfRule type="containsBlanks" dxfId="1028" priority="489">
      <formula>LEN(TRIM(V86))=0</formula>
    </cfRule>
    <cfRule type="containsBlanks" dxfId="1027" priority="488">
      <formula>LEN(TRIM(V86))=0</formula>
    </cfRule>
  </conditionalFormatting>
  <conditionalFormatting sqref="X13:X88">
    <cfRule type="containsBlanks" dxfId="1026" priority="251">
      <formula>LEN(TRIM(X13))=0</formula>
    </cfRule>
    <cfRule type="containsBlanks" dxfId="1025" priority="104">
      <formula>LEN(TRIM(X13))=0</formula>
    </cfRule>
    <cfRule type="containsBlanks" dxfId="1024" priority="386">
      <formula>LEN(TRIM(X13))=0</formula>
    </cfRule>
    <cfRule type="containsBlanks" dxfId="1023" priority="239">
      <formula>LEN(TRIM(X13))=0</formula>
    </cfRule>
    <cfRule type="containsBlanks" dxfId="1022" priority="240">
      <formula>LEN(TRIM(X13))=0</formula>
    </cfRule>
    <cfRule type="containsBlanks" dxfId="1021" priority="385">
      <formula>LEN(TRIM(X13))=0</formula>
    </cfRule>
    <cfRule type="containsBlanks" dxfId="1020" priority="95">
      <formula>LEN(TRIM(X13))=0</formula>
    </cfRule>
    <cfRule type="containsBlanks" dxfId="1019" priority="96">
      <formula>LEN(TRIM(X13))=0</formula>
    </cfRule>
    <cfRule type="containsBlanks" dxfId="1018" priority="252">
      <formula>LEN(TRIM(X13))=0</formula>
    </cfRule>
    <cfRule type="containsBlanks" dxfId="1017" priority="103">
      <formula>LEN(TRIM(X13))=0</formula>
    </cfRule>
  </conditionalFormatting>
  <conditionalFormatting sqref="X14:X85">
    <cfRule type="containsBlanks" dxfId="1016" priority="380">
      <formula>LEN(TRIM(X14))=0</formula>
    </cfRule>
    <cfRule type="containsBlanks" dxfId="1015" priority="379">
      <formula>LEN(TRIM(X14))=0</formula>
    </cfRule>
    <cfRule type="containsBlanks" dxfId="1014" priority="89">
      <formula>LEN(TRIM(X14))=0</formula>
    </cfRule>
    <cfRule type="containsBlanks" dxfId="1013" priority="233">
      <formula>LEN(TRIM(X14))=0</formula>
    </cfRule>
    <cfRule type="containsBlanks" dxfId="1012" priority="234">
      <formula>LEN(TRIM(X14))=0</formula>
    </cfRule>
    <cfRule type="containsBlanks" dxfId="1011" priority="97">
      <formula>LEN(TRIM(X14))=0</formula>
    </cfRule>
    <cfRule type="containsBlanks" dxfId="1010" priority="98">
      <formula>LEN(TRIM(X14))=0</formula>
    </cfRule>
    <cfRule type="containsBlanks" dxfId="1009" priority="245">
      <formula>LEN(TRIM(X14))=0</formula>
    </cfRule>
    <cfRule type="containsBlanks" dxfId="1008" priority="246">
      <formula>LEN(TRIM(X14))=0</formula>
    </cfRule>
    <cfRule type="containsBlanks" dxfId="1007" priority="90">
      <formula>LEN(TRIM(X14))=0</formula>
    </cfRule>
  </conditionalFormatting>
  <conditionalFormatting sqref="X28:X82">
    <cfRule type="containsBlanks" dxfId="1006" priority="244">
      <formula>LEN(TRIM(X28))=0</formula>
    </cfRule>
    <cfRule type="containsBlanks" dxfId="1005" priority="87">
      <formula>LEN(TRIM(X28))=0</formula>
    </cfRule>
    <cfRule type="containsBlanks" dxfId="1004" priority="88">
      <formula>LEN(TRIM(X28))=0</formula>
    </cfRule>
    <cfRule type="containsBlanks" dxfId="1003" priority="94">
      <formula>LEN(TRIM(X28))=0</formula>
    </cfRule>
    <cfRule type="containsBlanks" dxfId="1002" priority="238">
      <formula>LEN(TRIM(X28))=0</formula>
    </cfRule>
    <cfRule type="containsBlanks" dxfId="1001" priority="93">
      <formula>LEN(TRIM(X28))=0</formula>
    </cfRule>
    <cfRule type="containsBlanks" dxfId="1000" priority="237">
      <formula>LEN(TRIM(X28))=0</formula>
    </cfRule>
    <cfRule type="containsBlanks" dxfId="999" priority="243">
      <formula>LEN(TRIM(X28))=0</formula>
    </cfRule>
  </conditionalFormatting>
  <conditionalFormatting sqref="X56:X85">
    <cfRule type="containsBlanks" dxfId="998" priority="241">
      <formula>LEN(TRIM(X56))=0</formula>
    </cfRule>
    <cfRule type="containsBlanks" dxfId="997" priority="85">
      <formula>LEN(TRIM(X56))=0</formula>
    </cfRule>
    <cfRule type="containsBlanks" dxfId="996" priority="86">
      <formula>LEN(TRIM(X56))=0</formula>
    </cfRule>
    <cfRule type="containsBlanks" dxfId="995" priority="235">
      <formula>LEN(TRIM(X56))=0</formula>
    </cfRule>
    <cfRule type="containsBlanks" dxfId="994" priority="236">
      <formula>LEN(TRIM(X56))=0</formula>
    </cfRule>
    <cfRule type="containsBlanks" dxfId="993" priority="92">
      <formula>LEN(TRIM(X56))=0</formula>
    </cfRule>
    <cfRule type="containsBlanks" dxfId="992" priority="91">
      <formula>LEN(TRIM(X56))=0</formula>
    </cfRule>
    <cfRule type="containsBlanks" dxfId="991" priority="242">
      <formula>LEN(TRIM(X56))=0</formula>
    </cfRule>
  </conditionalFormatting>
  <conditionalFormatting sqref="X95:X154">
    <cfRule type="containsBlanks" dxfId="990" priority="2483">
      <formula>LEN(TRIM(X95))=0</formula>
    </cfRule>
    <cfRule type="containsBlanks" dxfId="989" priority="2482">
      <formula>LEN(TRIM(X95))=0</formula>
    </cfRule>
  </conditionalFormatting>
  <conditionalFormatting sqref="X102">
    <cfRule type="containsBlanks" dxfId="988" priority="723">
      <formula>LEN(TRIM(X102))=0</formula>
    </cfRule>
    <cfRule type="containsBlanks" dxfId="987" priority="724">
      <formula>LEN(TRIM(X102))=0</formula>
    </cfRule>
    <cfRule type="containsBlanks" dxfId="986" priority="725">
      <formula>LEN(TRIM(X102))=0</formula>
    </cfRule>
    <cfRule type="containsBlanks" dxfId="985" priority="726">
      <formula>LEN(TRIM(X102))=0</formula>
    </cfRule>
    <cfRule type="containsBlanks" dxfId="984" priority="727">
      <formula>LEN(TRIM(X102))=0</formula>
    </cfRule>
    <cfRule type="containsBlanks" dxfId="983" priority="681">
      <formula>LEN(TRIM(X102))=0</formula>
    </cfRule>
    <cfRule type="containsBlanks" dxfId="982" priority="680">
      <formula>LEN(TRIM(X102))=0</formula>
    </cfRule>
    <cfRule type="containsBlanks" dxfId="981" priority="716">
      <formula>LEN(TRIM(X102))=0</formula>
    </cfRule>
    <cfRule type="containsBlanks" dxfId="980" priority="713">
      <formula>LEN(TRIM(X102))=0</formula>
    </cfRule>
    <cfRule type="containsBlanks" dxfId="979" priority="712">
      <formula>LEN(TRIM(X102))=0</formula>
    </cfRule>
    <cfRule type="containsBlanks" dxfId="978" priority="711">
      <formula>LEN(TRIM(X102))=0</formula>
    </cfRule>
    <cfRule type="containsBlanks" dxfId="977" priority="710">
      <formula>LEN(TRIM(X102))=0</formula>
    </cfRule>
    <cfRule type="containsBlanks" dxfId="976" priority="709">
      <formula>LEN(TRIM(X102))=0</formula>
    </cfRule>
    <cfRule type="containsBlanks" dxfId="975" priority="708">
      <formula>LEN(TRIM(X102))=0</formula>
    </cfRule>
    <cfRule type="containsBlanks" dxfId="974" priority="707">
      <formula>LEN(TRIM(X102))=0</formula>
    </cfRule>
    <cfRule type="containsBlanks" dxfId="973" priority="706">
      <formula>LEN(TRIM(X102))=0</formula>
    </cfRule>
    <cfRule type="containsBlanks" dxfId="972" priority="704">
      <formula>LEN(TRIM(X102))=0</formula>
    </cfRule>
    <cfRule type="containsBlanks" dxfId="971" priority="703">
      <formula>LEN(TRIM(X102))=0</formula>
    </cfRule>
    <cfRule type="containsBlanks" dxfId="970" priority="702">
      <formula>LEN(TRIM(X102))=0</formula>
    </cfRule>
    <cfRule type="containsBlanks" dxfId="969" priority="701">
      <formula>LEN(TRIM(X102))=0</formula>
    </cfRule>
    <cfRule type="containsBlanks" dxfId="968" priority="700">
      <formula>LEN(TRIM(X102))=0</formula>
    </cfRule>
    <cfRule type="containsBlanks" dxfId="967" priority="714">
      <formula>LEN(TRIM(X102))=0</formula>
    </cfRule>
    <cfRule type="containsBlanks" dxfId="966" priority="699">
      <formula>LEN(TRIM(X102))=0</formula>
    </cfRule>
    <cfRule type="containsBlanks" dxfId="965" priority="698">
      <formula>LEN(TRIM(X102))=0</formula>
    </cfRule>
    <cfRule type="containsBlanks" dxfId="964" priority="697">
      <formula>LEN(TRIM(X102))=0</formula>
    </cfRule>
    <cfRule type="containsBlanks" dxfId="963" priority="696">
      <formula>LEN(TRIM(X102))=0</formula>
    </cfRule>
    <cfRule type="containsBlanks" dxfId="962" priority="695">
      <formula>LEN(TRIM(X102))=0</formula>
    </cfRule>
    <cfRule type="containsBlanks" dxfId="961" priority="694">
      <formula>LEN(TRIM(X102))=0</formula>
    </cfRule>
    <cfRule type="containsBlanks" dxfId="960" priority="691">
      <formula>LEN(TRIM(X102))=0</formula>
    </cfRule>
    <cfRule type="containsBlanks" dxfId="959" priority="690">
      <formula>LEN(TRIM(X102))=0</formula>
    </cfRule>
    <cfRule type="containsBlanks" dxfId="958" priority="689">
      <formula>LEN(TRIM(X102))=0</formula>
    </cfRule>
    <cfRule type="containsBlanks" dxfId="957" priority="705">
      <formula>LEN(TRIM(X102))=0</formula>
    </cfRule>
    <cfRule type="containsBlanks" dxfId="956" priority="688">
      <formula>LEN(TRIM(X102))=0</formula>
    </cfRule>
    <cfRule type="containsBlanks" dxfId="955" priority="692">
      <formula>LEN(TRIM(X102))=0</formula>
    </cfRule>
    <cfRule type="containsBlanks" dxfId="954" priority="687">
      <formula>LEN(TRIM(X102))=0</formula>
    </cfRule>
    <cfRule type="containsBlanks" dxfId="953" priority="686">
      <formula>LEN(TRIM(X102))=0</formula>
    </cfRule>
    <cfRule type="containsBlanks" dxfId="952" priority="685">
      <formula>LEN(TRIM(X102))=0</formula>
    </cfRule>
    <cfRule type="containsBlanks" dxfId="951" priority="684">
      <formula>LEN(TRIM(X102))=0</formula>
    </cfRule>
    <cfRule type="containsBlanks" dxfId="950" priority="683">
      <formula>LEN(TRIM(X102))=0</formula>
    </cfRule>
    <cfRule type="containsBlanks" dxfId="949" priority="682">
      <formula>LEN(TRIM(X102))=0</formula>
    </cfRule>
    <cfRule type="containsBlanks" dxfId="948" priority="715">
      <formula>LEN(TRIM(X102))=0</formula>
    </cfRule>
    <cfRule type="containsBlanks" dxfId="947" priority="717">
      <formula>LEN(TRIM(X102))=0</formula>
    </cfRule>
    <cfRule type="containsBlanks" dxfId="946" priority="718">
      <formula>LEN(TRIM(X102))=0</formula>
    </cfRule>
    <cfRule type="containsBlanks" dxfId="945" priority="719">
      <formula>LEN(TRIM(X102))=0</formula>
    </cfRule>
    <cfRule type="containsBlanks" dxfId="944" priority="693">
      <formula>LEN(TRIM(X102))=0</formula>
    </cfRule>
    <cfRule type="containsBlanks" dxfId="943" priority="720">
      <formula>LEN(TRIM(X102))=0</formula>
    </cfRule>
    <cfRule type="containsBlanks" dxfId="942" priority="721">
      <formula>LEN(TRIM(X102))=0</formula>
    </cfRule>
    <cfRule type="containsBlanks" dxfId="941" priority="722">
      <formula>LEN(TRIM(X102))=0</formula>
    </cfRule>
  </conditionalFormatting>
  <conditionalFormatting sqref="X107">
    <cfRule type="containsBlanks" dxfId="940" priority="640">
      <formula>LEN(TRIM(X107))=0</formula>
    </cfRule>
    <cfRule type="containsBlanks" dxfId="939" priority="639">
      <formula>LEN(TRIM(X107))=0</formula>
    </cfRule>
    <cfRule type="containsBlanks" dxfId="938" priority="643">
      <formula>LEN(TRIM(X107))=0</formula>
    </cfRule>
    <cfRule type="containsBlanks" dxfId="937" priority="644">
      <formula>LEN(TRIM(X107))=0</formula>
    </cfRule>
    <cfRule type="containsBlanks" dxfId="936" priority="645">
      <formula>LEN(TRIM(X107))=0</formula>
    </cfRule>
    <cfRule type="containsBlanks" dxfId="935" priority="646">
      <formula>LEN(TRIM(X107))=0</formula>
    </cfRule>
    <cfRule type="containsBlanks" dxfId="934" priority="647">
      <formula>LEN(TRIM(X107))=0</formula>
    </cfRule>
    <cfRule type="containsBlanks" dxfId="933" priority="648">
      <formula>LEN(TRIM(X107))=0</formula>
    </cfRule>
    <cfRule type="containsBlanks" dxfId="932" priority="636">
      <formula>LEN(TRIM(X107))=0</formula>
    </cfRule>
    <cfRule type="containsBlanks" dxfId="931" priority="670">
      <formula>LEN(TRIM(X107))=0</formula>
    </cfRule>
    <cfRule type="containsBlanks" dxfId="930" priority="637">
      <formula>LEN(TRIM(X107))=0</formula>
    </cfRule>
    <cfRule type="containsBlanks" dxfId="929" priority="669">
      <formula>LEN(TRIM(X107))=0</formula>
    </cfRule>
    <cfRule type="containsBlanks" dxfId="928" priority="668">
      <formula>LEN(TRIM(X107))=0</formula>
    </cfRule>
    <cfRule type="containsBlanks" dxfId="927" priority="632">
      <formula>LEN(TRIM(X107))=0</formula>
    </cfRule>
    <cfRule type="containsBlanks" dxfId="926" priority="667">
      <formula>LEN(TRIM(X107))=0</formula>
    </cfRule>
    <cfRule type="containsBlanks" dxfId="925" priority="638">
      <formula>LEN(TRIM(X107))=0</formula>
    </cfRule>
    <cfRule type="containsBlanks" dxfId="924" priority="659">
      <formula>LEN(TRIM(X107))=0</formula>
    </cfRule>
    <cfRule type="containsBlanks" dxfId="923" priority="642">
      <formula>LEN(TRIM(X107))=0</formula>
    </cfRule>
    <cfRule type="containsBlanks" dxfId="922" priority="672">
      <formula>LEN(TRIM(X107))=0</formula>
    </cfRule>
    <cfRule type="containsBlanks" dxfId="921" priority="671">
      <formula>LEN(TRIM(X107))=0</formula>
    </cfRule>
    <cfRule type="containsBlanks" dxfId="920" priority="666">
      <formula>LEN(TRIM(X107))=0</formula>
    </cfRule>
    <cfRule type="containsBlanks" dxfId="919" priority="665">
      <formula>LEN(TRIM(X107))=0</formula>
    </cfRule>
    <cfRule type="containsBlanks" dxfId="918" priority="664">
      <formula>LEN(TRIM(X107))=0</formula>
    </cfRule>
    <cfRule type="containsBlanks" dxfId="917" priority="663">
      <formula>LEN(TRIM(X107))=0</formula>
    </cfRule>
    <cfRule type="containsBlanks" dxfId="916" priority="662">
      <formula>LEN(TRIM(X107))=0</formula>
    </cfRule>
    <cfRule type="containsBlanks" dxfId="915" priority="661">
      <formula>LEN(TRIM(X107))=0</formula>
    </cfRule>
    <cfRule type="containsBlanks" dxfId="914" priority="660">
      <formula>LEN(TRIM(X107))=0</formula>
    </cfRule>
    <cfRule type="containsBlanks" dxfId="913" priority="658">
      <formula>LEN(TRIM(X107))=0</formula>
    </cfRule>
    <cfRule type="containsBlanks" dxfId="912" priority="657">
      <formula>LEN(TRIM(X107))=0</formula>
    </cfRule>
    <cfRule type="containsBlanks" dxfId="911" priority="656">
      <formula>LEN(TRIM(X107))=0</formula>
    </cfRule>
    <cfRule type="containsBlanks" dxfId="910" priority="655">
      <formula>LEN(TRIM(X107))=0</formula>
    </cfRule>
    <cfRule type="containsBlanks" dxfId="909" priority="641">
      <formula>LEN(TRIM(X107))=0</formula>
    </cfRule>
    <cfRule type="containsBlanks" dxfId="908" priority="654">
      <formula>LEN(TRIM(X107))=0</formula>
    </cfRule>
    <cfRule type="containsBlanks" dxfId="907" priority="653">
      <formula>LEN(TRIM(X107))=0</formula>
    </cfRule>
    <cfRule type="containsBlanks" dxfId="906" priority="652">
      <formula>LEN(TRIM(X107))=0</formula>
    </cfRule>
    <cfRule type="containsBlanks" dxfId="905" priority="651">
      <formula>LEN(TRIM(X107))=0</formula>
    </cfRule>
    <cfRule type="containsBlanks" dxfId="904" priority="635">
      <formula>LEN(TRIM(X107))=0</formula>
    </cfRule>
    <cfRule type="containsBlanks" dxfId="903" priority="634">
      <formula>LEN(TRIM(X107))=0</formula>
    </cfRule>
    <cfRule type="containsBlanks" dxfId="902" priority="633">
      <formula>LEN(TRIM(X107))=0</formula>
    </cfRule>
    <cfRule type="containsBlanks" dxfId="901" priority="650">
      <formula>LEN(TRIM(X107))=0</formula>
    </cfRule>
    <cfRule type="containsBlanks" dxfId="900" priority="649">
      <formula>LEN(TRIM(X107))=0</formula>
    </cfRule>
    <cfRule type="containsBlanks" dxfId="899" priority="679">
      <formula>LEN(TRIM(X107))=0</formula>
    </cfRule>
    <cfRule type="containsBlanks" dxfId="898" priority="678">
      <formula>LEN(TRIM(X107))=0</formula>
    </cfRule>
    <cfRule type="containsBlanks" dxfId="897" priority="677">
      <formula>LEN(TRIM(X107))=0</formula>
    </cfRule>
    <cfRule type="containsBlanks" dxfId="896" priority="676">
      <formula>LEN(TRIM(X107))=0</formula>
    </cfRule>
    <cfRule type="containsBlanks" dxfId="895" priority="675">
      <formula>LEN(TRIM(X107))=0</formula>
    </cfRule>
    <cfRule type="containsBlanks" dxfId="894" priority="674">
      <formula>LEN(TRIM(X107))=0</formula>
    </cfRule>
    <cfRule type="containsBlanks" dxfId="893" priority="673">
      <formula>LEN(TRIM(X107))=0</formula>
    </cfRule>
  </conditionalFormatting>
  <conditionalFormatting sqref="X114:X115">
    <cfRule type="containsBlanks" dxfId="892" priority="2469">
      <formula>LEN(TRIM(X114))=0</formula>
    </cfRule>
    <cfRule type="containsBlanks" dxfId="891" priority="2470">
      <formula>LEN(TRIM(X114))=0</formula>
    </cfRule>
    <cfRule type="containsBlanks" dxfId="890" priority="2471">
      <formula>LEN(TRIM(X114))=0</formula>
    </cfRule>
    <cfRule type="containsBlanks" dxfId="889" priority="2472">
      <formula>LEN(TRIM(X114))=0</formula>
    </cfRule>
    <cfRule type="containsBlanks" dxfId="888" priority="2473">
      <formula>LEN(TRIM(X114))=0</formula>
    </cfRule>
    <cfRule type="containsBlanks" dxfId="887" priority="2467">
      <formula>LEN(TRIM(X114))=0</formula>
    </cfRule>
    <cfRule type="containsBlanks" dxfId="886" priority="2474">
      <formula>LEN(TRIM(X114))=0</formula>
    </cfRule>
    <cfRule type="containsBlanks" dxfId="885" priority="2475">
      <formula>LEN(TRIM(X114))=0</formula>
    </cfRule>
    <cfRule type="containsBlanks" dxfId="884" priority="2464">
      <formula>LEN(TRIM(X114))=0</formula>
    </cfRule>
    <cfRule type="containsBlanks" dxfId="883" priority="2465">
      <formula>LEN(TRIM(X114))=0</formula>
    </cfRule>
    <cfRule type="containsBlanks" dxfId="882" priority="2476">
      <formula>LEN(TRIM(X114))=0</formula>
    </cfRule>
    <cfRule type="containsBlanks" dxfId="881" priority="2477">
      <formula>LEN(TRIM(X114))=0</formula>
    </cfRule>
    <cfRule type="containsBlanks" dxfId="880" priority="2478">
      <formula>LEN(TRIM(X114))=0</formula>
    </cfRule>
    <cfRule type="containsBlanks" dxfId="879" priority="2479">
      <formula>LEN(TRIM(X114))=0</formula>
    </cfRule>
    <cfRule type="containsBlanks" dxfId="878" priority="2480">
      <formula>LEN(TRIM(X114))=0</formula>
    </cfRule>
    <cfRule type="containsBlanks" dxfId="877" priority="2481">
      <formula>LEN(TRIM(X114))=0</formula>
    </cfRule>
    <cfRule type="containsBlanks" dxfId="876" priority="2468">
      <formula>LEN(TRIM(X114))=0</formula>
    </cfRule>
    <cfRule type="containsBlanks" dxfId="875" priority="2466">
      <formula>LEN(TRIM(X114))=0</formula>
    </cfRule>
  </conditionalFormatting>
  <conditionalFormatting sqref="X136">
    <cfRule type="containsBlanks" dxfId="874" priority="2819">
      <formula>LEN(TRIM(X136))=0</formula>
    </cfRule>
    <cfRule type="containsBlanks" dxfId="873" priority="2818">
      <formula>LEN(TRIM(X136))=0</formula>
    </cfRule>
  </conditionalFormatting>
  <conditionalFormatting sqref="X13:Y85 X86:X88">
    <cfRule type="containsBlanks" dxfId="872" priority="83">
      <formula>LEN(TRIM(X13))=0</formula>
    </cfRule>
    <cfRule type="containsBlanks" dxfId="871" priority="84">
      <formula>LEN(TRIM(X13))=0</formula>
    </cfRule>
  </conditionalFormatting>
  <conditionalFormatting sqref="X14:Y85">
    <cfRule type="containsBlanks" dxfId="870" priority="77">
      <formula>LEN(TRIM(X14))=0</formula>
    </cfRule>
    <cfRule type="containsBlanks" dxfId="869" priority="78">
      <formula>LEN(TRIM(X14))=0</formula>
    </cfRule>
  </conditionalFormatting>
  <conditionalFormatting sqref="X28:Y82">
    <cfRule type="containsBlanks" dxfId="868" priority="375">
      <formula>LEN(TRIM(X28))=0</formula>
    </cfRule>
    <cfRule type="containsBlanks" dxfId="867" priority="101">
      <formula>LEN(TRIM(X28))=0</formula>
    </cfRule>
    <cfRule type="containsBlanks" dxfId="866" priority="102">
      <formula>LEN(TRIM(X28))=0</formula>
    </cfRule>
    <cfRule type="containsBlanks" dxfId="865" priority="376">
      <formula>LEN(TRIM(X28))=0</formula>
    </cfRule>
    <cfRule type="containsBlanks" dxfId="864" priority="230">
      <formula>LEN(TRIM(X28))=0</formula>
    </cfRule>
    <cfRule type="containsBlanks" dxfId="863" priority="229">
      <formula>LEN(TRIM(X28))=0</formula>
    </cfRule>
    <cfRule type="containsBlanks" dxfId="862" priority="81">
      <formula>LEN(TRIM(X28))=0</formula>
    </cfRule>
    <cfRule type="containsBlanks" dxfId="861" priority="82">
      <formula>LEN(TRIM(X28))=0</formula>
    </cfRule>
  </conditionalFormatting>
  <conditionalFormatting sqref="X56:Y85">
    <cfRule type="containsBlanks" dxfId="860" priority="100">
      <formula>LEN(TRIM(X56))=0</formula>
    </cfRule>
    <cfRule type="containsBlanks" dxfId="859" priority="373">
      <formula>LEN(TRIM(X56))=0</formula>
    </cfRule>
    <cfRule type="containsBlanks" dxfId="858" priority="374">
      <formula>LEN(TRIM(X56))=0</formula>
    </cfRule>
    <cfRule type="containsBlanks" dxfId="857" priority="228">
      <formula>LEN(TRIM(X56))=0</formula>
    </cfRule>
    <cfRule type="containsBlanks" dxfId="856" priority="79">
      <formula>LEN(TRIM(X56))=0</formula>
    </cfRule>
    <cfRule type="containsBlanks" dxfId="855" priority="227">
      <formula>LEN(TRIM(X56))=0</formula>
    </cfRule>
    <cfRule type="containsBlanks" dxfId="854" priority="80">
      <formula>LEN(TRIM(X56))=0</formula>
    </cfRule>
    <cfRule type="containsBlanks" dxfId="853" priority="99">
      <formula>LEN(TRIM(X56))=0</formula>
    </cfRule>
  </conditionalFormatting>
  <conditionalFormatting sqref="Y13:Y85">
    <cfRule type="containsBlanks" dxfId="852" priority="232">
      <formula>LEN(TRIM(Y13))=0</formula>
    </cfRule>
    <cfRule type="containsBlanks" dxfId="851" priority="60">
      <formula>LEN(TRIM(Y13))=0</formula>
    </cfRule>
    <cfRule type="containsBlanks" dxfId="850" priority="71">
      <formula>LEN(TRIM(Y13))=0</formula>
    </cfRule>
    <cfRule type="containsBlanks" dxfId="849" priority="72">
      <formula>LEN(TRIM(Y13))=0</formula>
    </cfRule>
    <cfRule type="containsBlanks" dxfId="848" priority="377">
      <formula>LEN(TRIM(Y13))=0</formula>
    </cfRule>
    <cfRule type="containsBlanks" dxfId="847" priority="378">
      <formula>LEN(TRIM(Y13))=0</formula>
    </cfRule>
    <cfRule type="containsBlanks" dxfId="846" priority="59">
      <formula>LEN(TRIM(Y13))=0</formula>
    </cfRule>
    <cfRule type="containsBlanks" dxfId="845" priority="219">
      <formula>LEN(TRIM(Y13))=0</formula>
    </cfRule>
    <cfRule type="containsBlanks" dxfId="844" priority="220">
      <formula>LEN(TRIM(Y13))=0</formula>
    </cfRule>
    <cfRule type="containsBlanks" dxfId="843" priority="231">
      <formula>LEN(TRIM(Y13))=0</formula>
    </cfRule>
  </conditionalFormatting>
  <conditionalFormatting sqref="Y14:Y85">
    <cfRule type="containsBlanks" dxfId="842" priority="53">
      <formula>LEN(TRIM(Y14))=0</formula>
    </cfRule>
    <cfRule type="containsBlanks" dxfId="841" priority="371">
      <formula>LEN(TRIM(Y14))=0</formula>
    </cfRule>
    <cfRule type="containsBlanks" dxfId="840" priority="225">
      <formula>LEN(TRIM(Y14))=0</formula>
    </cfRule>
    <cfRule type="containsBlanks" dxfId="839" priority="226">
      <formula>LEN(TRIM(Y14))=0</formula>
    </cfRule>
    <cfRule type="containsBlanks" dxfId="838" priority="214">
      <formula>LEN(TRIM(Y14))=0</formula>
    </cfRule>
    <cfRule type="containsBlanks" dxfId="837" priority="213">
      <formula>LEN(TRIM(Y14))=0</formula>
    </cfRule>
    <cfRule type="containsBlanks" dxfId="836" priority="54">
      <formula>LEN(TRIM(Y14))=0</formula>
    </cfRule>
    <cfRule type="containsBlanks" dxfId="835" priority="372">
      <formula>LEN(TRIM(Y14))=0</formula>
    </cfRule>
    <cfRule type="containsBlanks" dxfId="834" priority="65">
      <formula>LEN(TRIM(Y14))=0</formula>
    </cfRule>
    <cfRule type="containsBlanks" dxfId="833" priority="66">
      <formula>LEN(TRIM(Y14))=0</formula>
    </cfRule>
  </conditionalFormatting>
  <conditionalFormatting sqref="Y28:Y82">
    <cfRule type="containsBlanks" dxfId="832" priority="69">
      <formula>LEN(TRIM(Y28))=0</formula>
    </cfRule>
    <cfRule type="containsBlanks" dxfId="831" priority="70">
      <formula>LEN(TRIM(Y28))=0</formula>
    </cfRule>
    <cfRule type="containsBlanks" dxfId="830" priority="223">
      <formula>LEN(TRIM(Y28))=0</formula>
    </cfRule>
    <cfRule type="containsBlanks" dxfId="829" priority="224">
      <formula>LEN(TRIM(Y28))=0</formula>
    </cfRule>
    <cfRule type="containsBlanks" dxfId="828" priority="76">
      <formula>LEN(TRIM(Y28))=0</formula>
    </cfRule>
    <cfRule type="containsBlanks" dxfId="827" priority="58">
      <formula>LEN(TRIM(Y28))=0</formula>
    </cfRule>
    <cfRule type="containsBlanks" dxfId="826" priority="57">
      <formula>LEN(TRIM(Y28))=0</formula>
    </cfRule>
    <cfRule type="containsBlanks" dxfId="825" priority="75">
      <formula>LEN(TRIM(Y28))=0</formula>
    </cfRule>
    <cfRule type="containsBlanks" dxfId="824" priority="218">
      <formula>LEN(TRIM(Y28))=0</formula>
    </cfRule>
    <cfRule type="containsBlanks" dxfId="823" priority="217">
      <formula>LEN(TRIM(Y28))=0</formula>
    </cfRule>
    <cfRule type="containsBlanks" dxfId="822" priority="63">
      <formula>LEN(TRIM(Y28))=0</formula>
    </cfRule>
    <cfRule type="containsBlanks" dxfId="821" priority="64">
      <formula>LEN(TRIM(Y28))=0</formula>
    </cfRule>
  </conditionalFormatting>
  <conditionalFormatting sqref="Y56:Y85">
    <cfRule type="containsBlanks" dxfId="820" priority="222">
      <formula>LEN(TRIM(Y56))=0</formula>
    </cfRule>
    <cfRule type="containsBlanks" dxfId="819" priority="68">
      <formula>LEN(TRIM(Y56))=0</formula>
    </cfRule>
    <cfRule type="containsBlanks" dxfId="818" priority="55">
      <formula>LEN(TRIM(Y56))=0</formula>
    </cfRule>
    <cfRule type="containsBlanks" dxfId="817" priority="56">
      <formula>LEN(TRIM(Y56))=0</formula>
    </cfRule>
    <cfRule type="containsBlanks" dxfId="816" priority="62">
      <formula>LEN(TRIM(Y56))=0</formula>
    </cfRule>
    <cfRule type="containsBlanks" dxfId="815" priority="61">
      <formula>LEN(TRIM(Y56))=0</formula>
    </cfRule>
    <cfRule type="containsBlanks" dxfId="814" priority="73">
      <formula>LEN(TRIM(Y56))=0</formula>
    </cfRule>
    <cfRule type="containsBlanks" dxfId="813" priority="74">
      <formula>LEN(TRIM(Y56))=0</formula>
    </cfRule>
    <cfRule type="containsBlanks" dxfId="812" priority="215">
      <formula>LEN(TRIM(Y56))=0</formula>
    </cfRule>
    <cfRule type="containsBlanks" dxfId="811" priority="216">
      <formula>LEN(TRIM(Y56))=0</formula>
    </cfRule>
    <cfRule type="containsBlanks" dxfId="810" priority="221">
      <formula>LEN(TRIM(Y56))=0</formula>
    </cfRule>
    <cfRule type="containsBlanks" dxfId="809" priority="67">
      <formula>LEN(TRIM(Y56))=0</formula>
    </cfRule>
  </conditionalFormatting>
  <conditionalFormatting sqref="Y95:Y156">
    <cfRule type="containsBlanks" dxfId="808" priority="2462">
      <formula>LEN(TRIM(Y95))=0</formula>
    </cfRule>
    <cfRule type="containsBlanks" dxfId="807" priority="2463">
      <formula>LEN(TRIM(Y95))=0</formula>
    </cfRule>
  </conditionalFormatting>
  <conditionalFormatting sqref="Y110:Y156 Z110:AC136">
    <cfRule type="containsBlanks" dxfId="806" priority="2797">
      <formula>LEN(TRIM(Y110))=0</formula>
    </cfRule>
  </conditionalFormatting>
  <conditionalFormatting sqref="Y116">
    <cfRule type="containsBlanks" dxfId="805" priority="2398">
      <formula>LEN(TRIM(Y116))=0</formula>
    </cfRule>
    <cfRule type="containsBlanks" dxfId="804" priority="2399">
      <formula>LEN(TRIM(Y116))=0</formula>
    </cfRule>
    <cfRule type="containsBlanks" dxfId="803" priority="2400">
      <formula>LEN(TRIM(Y116))=0</formula>
    </cfRule>
    <cfRule type="containsBlanks" dxfId="802" priority="2401">
      <formula>LEN(TRIM(Y116))=0</formula>
    </cfRule>
    <cfRule type="containsBlanks" dxfId="801" priority="2402">
      <formula>LEN(TRIM(Y116))=0</formula>
    </cfRule>
    <cfRule type="containsBlanks" dxfId="800" priority="2403">
      <formula>LEN(TRIM(Y116))=0</formula>
    </cfRule>
    <cfRule type="containsBlanks" dxfId="799" priority="2384">
      <formula>LEN(TRIM(Y116))=0</formula>
    </cfRule>
    <cfRule type="containsBlanks" dxfId="798" priority="2387">
      <formula>LEN(TRIM(Y116))=0</formula>
    </cfRule>
    <cfRule type="containsBlanks" dxfId="797" priority="2389">
      <formula>LEN(TRIM(Y116))=0</formula>
    </cfRule>
    <cfRule type="containsBlanks" dxfId="796" priority="2390">
      <formula>LEN(TRIM(Y116))=0</formula>
    </cfRule>
    <cfRule type="containsBlanks" dxfId="795" priority="2391">
      <formula>LEN(TRIM(Y116))=0</formula>
    </cfRule>
    <cfRule type="containsBlanks" dxfId="794" priority="2392">
      <formula>LEN(TRIM(Y116))=0</formula>
    </cfRule>
    <cfRule type="containsBlanks" dxfId="793" priority="2393">
      <formula>LEN(TRIM(Y116))=0</formula>
    </cfRule>
    <cfRule type="containsBlanks" dxfId="792" priority="2394">
      <formula>LEN(TRIM(Y116))=0</formula>
    </cfRule>
    <cfRule type="containsBlanks" dxfId="791" priority="2395">
      <formula>LEN(TRIM(Y116))=0</formula>
    </cfRule>
    <cfRule type="containsBlanks" dxfId="790" priority="2396">
      <formula>LEN(TRIM(Y116))=0</formula>
    </cfRule>
    <cfRule type="containsBlanks" dxfId="789" priority="2388">
      <formula>LEN(TRIM(Y116))=0</formula>
    </cfRule>
    <cfRule type="containsBlanks" dxfId="788" priority="2397">
      <formula>LEN(TRIM(Y116))=0</formula>
    </cfRule>
    <cfRule type="containsBlanks" dxfId="787" priority="2386">
      <formula>LEN(TRIM(Y116))=0</formula>
    </cfRule>
    <cfRule type="containsBlanks" dxfId="786" priority="2385">
      <formula>LEN(TRIM(Y116))=0</formula>
    </cfRule>
  </conditionalFormatting>
  <conditionalFormatting sqref="Y128">
    <cfRule type="containsBlanks" dxfId="785" priority="2404">
      <formula>LEN(TRIM(Y128))=0</formula>
    </cfRule>
    <cfRule type="containsBlanks" dxfId="784" priority="2405">
      <formula>LEN(TRIM(Y128))=0</formula>
    </cfRule>
    <cfRule type="containsBlanks" dxfId="783" priority="2406">
      <formula>LEN(TRIM(Y128))=0</formula>
    </cfRule>
    <cfRule type="containsBlanks" dxfId="782" priority="2407">
      <formula>LEN(TRIM(Y128))=0</formula>
    </cfRule>
    <cfRule type="containsBlanks" dxfId="781" priority="2408">
      <formula>LEN(TRIM(Y128))=0</formula>
    </cfRule>
    <cfRule type="containsBlanks" dxfId="780" priority="2409">
      <formula>LEN(TRIM(Y128))=0</formula>
    </cfRule>
    <cfRule type="containsBlanks" dxfId="779" priority="2410">
      <formula>LEN(TRIM(Y128))=0</formula>
    </cfRule>
    <cfRule type="containsBlanks" dxfId="778" priority="2411">
      <formula>LEN(TRIM(Y128))=0</formula>
    </cfRule>
    <cfRule type="containsBlanks" dxfId="777" priority="2412">
      <formula>LEN(TRIM(Y128))=0</formula>
    </cfRule>
    <cfRule type="containsBlanks" dxfId="776" priority="2413">
      <formula>LEN(TRIM(Y128))=0</formula>
    </cfRule>
    <cfRule type="containsBlanks" dxfId="775" priority="2415">
      <formula>LEN(TRIM(Y128))=0</formula>
    </cfRule>
    <cfRule type="containsBlanks" dxfId="774" priority="2419">
      <formula>LEN(TRIM(Y128))=0</formula>
    </cfRule>
    <cfRule type="containsBlanks" dxfId="773" priority="2420">
      <formula>LEN(TRIM(Y128))=0</formula>
    </cfRule>
    <cfRule type="containsBlanks" dxfId="772" priority="2421">
      <formula>LEN(TRIM(Y128))=0</formula>
    </cfRule>
    <cfRule type="containsBlanks" dxfId="771" priority="2418">
      <formula>LEN(TRIM(Y128))=0</formula>
    </cfRule>
    <cfRule type="containsBlanks" dxfId="770" priority="2417">
      <formula>LEN(TRIM(Y128))=0</formula>
    </cfRule>
    <cfRule type="containsBlanks" dxfId="769" priority="2416">
      <formula>LEN(TRIM(Y128))=0</formula>
    </cfRule>
    <cfRule type="containsBlanks" dxfId="768" priority="2414">
      <formula>LEN(TRIM(Y128))=0</formula>
    </cfRule>
  </conditionalFormatting>
  <conditionalFormatting sqref="Y128:Y129">
    <cfRule type="containsBlanks" dxfId="767" priority="2422">
      <formula>LEN(TRIM(Y128))=0</formula>
    </cfRule>
    <cfRule type="containsBlanks" dxfId="766" priority="2423">
      <formula>LEN(TRIM(Y128))=0</formula>
    </cfRule>
  </conditionalFormatting>
  <conditionalFormatting sqref="Y129">
    <cfRule type="containsBlanks" dxfId="765" priority="2457">
      <formula>LEN(TRIM(Y129))=0</formula>
    </cfRule>
    <cfRule type="containsBlanks" dxfId="764" priority="2458">
      <formula>LEN(TRIM(Y129))=0</formula>
    </cfRule>
    <cfRule type="containsBlanks" dxfId="763" priority="2459">
      <formula>LEN(TRIM(Y129))=0</formula>
    </cfRule>
    <cfRule type="containsBlanks" dxfId="762" priority="2460">
      <formula>LEN(TRIM(Y129))=0</formula>
    </cfRule>
    <cfRule type="containsBlanks" dxfId="761" priority="2461">
      <formula>LEN(TRIM(Y129))=0</formula>
    </cfRule>
    <cfRule type="containsBlanks" dxfId="760" priority="2445">
      <formula>LEN(TRIM(Y129))=0</formula>
    </cfRule>
    <cfRule type="containsBlanks" dxfId="759" priority="2444">
      <formula>LEN(TRIM(Y129))=0</formula>
    </cfRule>
    <cfRule type="containsBlanks" dxfId="758" priority="2449">
      <formula>LEN(TRIM(Y129))=0</formula>
    </cfRule>
    <cfRule type="containsBlanks" dxfId="757" priority="2447">
      <formula>LEN(TRIM(Y129))=0</formula>
    </cfRule>
    <cfRule type="containsBlanks" dxfId="756" priority="2446">
      <formula>LEN(TRIM(Y129))=0</formula>
    </cfRule>
    <cfRule type="containsBlanks" dxfId="755" priority="2451">
      <formula>LEN(TRIM(Y129))=0</formula>
    </cfRule>
    <cfRule type="containsBlanks" dxfId="754" priority="2452">
      <formula>LEN(TRIM(Y129))=0</formula>
    </cfRule>
    <cfRule type="containsBlanks" dxfId="753" priority="2453">
      <formula>LEN(TRIM(Y129))=0</formula>
    </cfRule>
    <cfRule type="containsBlanks" dxfId="752" priority="2454">
      <formula>LEN(TRIM(Y129))=0</formula>
    </cfRule>
    <cfRule type="containsBlanks" dxfId="751" priority="2448">
      <formula>LEN(TRIM(Y129))=0</formula>
    </cfRule>
    <cfRule type="containsBlanks" dxfId="750" priority="2450">
      <formula>LEN(TRIM(Y129))=0</formula>
    </cfRule>
    <cfRule type="containsBlanks" dxfId="749" priority="2455">
      <formula>LEN(TRIM(Y129))=0</formula>
    </cfRule>
    <cfRule type="containsBlanks" dxfId="748" priority="2456">
      <formula>LEN(TRIM(Y129))=0</formula>
    </cfRule>
  </conditionalFormatting>
  <conditionalFormatting sqref="Y149">
    <cfRule type="containsBlanks" dxfId="747" priority="2433">
      <formula>LEN(TRIM(Y149))=0</formula>
    </cfRule>
    <cfRule type="containsBlanks" dxfId="746" priority="2428">
      <formula>LEN(TRIM(Y149))=0</formula>
    </cfRule>
    <cfRule type="containsBlanks" dxfId="745" priority="2424">
      <formula>LEN(TRIM(Y149))=0</formula>
    </cfRule>
    <cfRule type="containsBlanks" dxfId="744" priority="2426">
      <formula>LEN(TRIM(Y149))=0</formula>
    </cfRule>
    <cfRule type="containsBlanks" dxfId="743" priority="2429">
      <formula>LEN(TRIM(Y149))=0</formula>
    </cfRule>
    <cfRule type="containsBlanks" dxfId="742" priority="2430">
      <formula>LEN(TRIM(Y149))=0</formula>
    </cfRule>
    <cfRule type="containsBlanks" dxfId="741" priority="2439">
      <formula>LEN(TRIM(Y149))=0</formula>
    </cfRule>
    <cfRule type="containsBlanks" dxfId="740" priority="2438">
      <formula>LEN(TRIM(Y149))=0</formula>
    </cfRule>
    <cfRule type="containsBlanks" dxfId="739" priority="2437">
      <formula>LEN(TRIM(Y149))=0</formula>
    </cfRule>
    <cfRule type="containsBlanks" dxfId="738" priority="2436">
      <formula>LEN(TRIM(Y149))=0</formula>
    </cfRule>
    <cfRule type="containsBlanks" dxfId="737" priority="2435">
      <formula>LEN(TRIM(Y149))=0</formula>
    </cfRule>
    <cfRule type="containsBlanks" dxfId="736" priority="2434">
      <formula>LEN(TRIM(Y149))=0</formula>
    </cfRule>
    <cfRule type="containsBlanks" dxfId="735" priority="2431">
      <formula>LEN(TRIM(Y149))=0</formula>
    </cfRule>
    <cfRule type="containsBlanks" dxfId="734" priority="2432">
      <formula>LEN(TRIM(Y149))=0</formula>
    </cfRule>
    <cfRule type="containsBlanks" dxfId="733" priority="2440">
      <formula>LEN(TRIM(Y149))=0</formula>
    </cfRule>
    <cfRule type="containsBlanks" dxfId="732" priority="2425">
      <formula>LEN(TRIM(Y149))=0</formula>
    </cfRule>
    <cfRule type="containsBlanks" dxfId="731" priority="2427">
      <formula>LEN(TRIM(Y149))=0</formula>
    </cfRule>
    <cfRule type="containsBlanks" dxfId="730" priority="2443">
      <formula>LEN(TRIM(Y149))=0</formula>
    </cfRule>
    <cfRule type="containsBlanks" dxfId="729" priority="2442">
      <formula>LEN(TRIM(Y149))=0</formula>
    </cfRule>
    <cfRule type="containsBlanks" dxfId="728" priority="2441">
      <formula>LEN(TRIM(Y149))=0</formula>
    </cfRule>
  </conditionalFormatting>
  <conditionalFormatting sqref="Y28:Z82">
    <cfRule type="containsBlanks" dxfId="727" priority="367">
      <formula>LEN(TRIM(Y28))=0</formula>
    </cfRule>
    <cfRule type="containsBlanks" dxfId="726" priority="50">
      <formula>LEN(TRIM(Y28))=0</formula>
    </cfRule>
    <cfRule type="containsBlanks" dxfId="725" priority="49">
      <formula>LEN(TRIM(Y28))=0</formula>
    </cfRule>
    <cfRule type="containsBlanks" dxfId="724" priority="368">
      <formula>LEN(TRIM(Y28))=0</formula>
    </cfRule>
  </conditionalFormatting>
  <conditionalFormatting sqref="Y56:Z85">
    <cfRule type="containsBlanks" dxfId="723" priority="48">
      <formula>LEN(TRIM(Y56))=0</formula>
    </cfRule>
    <cfRule type="containsBlanks" dxfId="722" priority="47">
      <formula>LEN(TRIM(Y56))=0</formula>
    </cfRule>
    <cfRule type="containsBlanks" dxfId="721" priority="366">
      <formula>LEN(TRIM(Y56))=0</formula>
    </cfRule>
    <cfRule type="containsBlanks" dxfId="720" priority="365">
      <formula>LEN(TRIM(Y56))=0</formula>
    </cfRule>
  </conditionalFormatting>
  <conditionalFormatting sqref="Y28:AA82 AC28:AC82 AE28:AF82 AB28:AB54 AH28:AI54 AD28:AD54">
    <cfRule type="containsBlanks" dxfId="719" priority="458">
      <formula>LEN(TRIM(Y28))=0</formula>
    </cfRule>
  </conditionalFormatting>
  <conditionalFormatting sqref="Y13:AC92 X54">
    <cfRule type="containsBlanks" dxfId="718" priority="486">
      <formula>LEN(TRIM(X13))=0</formula>
    </cfRule>
    <cfRule type="containsBlanks" dxfId="717" priority="487">
      <formula>LEN(TRIM(X13))=0</formula>
    </cfRule>
  </conditionalFormatting>
  <conditionalFormatting sqref="Y28:AC54 Y55:AA82 AB55:AC59 AC60:AC82">
    <cfRule type="containsBlanks" dxfId="716" priority="465">
      <formula>LEN(TRIM(Y28))=0</formula>
    </cfRule>
  </conditionalFormatting>
  <conditionalFormatting sqref="Y110:AC136 AA137:AC141 Y137:Y156">
    <cfRule type="containsBlanks" dxfId="715" priority="2803">
      <formula>LEN(TRIM(Y110))=0</formula>
    </cfRule>
  </conditionalFormatting>
  <conditionalFormatting sqref="Y138:AC156">
    <cfRule type="containsBlanks" dxfId="714" priority="2795">
      <formula>LEN(TRIM(Y138))=0</formula>
    </cfRule>
    <cfRule type="containsBlanks" dxfId="713" priority="2796">
      <formula>LEN(TRIM(Y138))=0</formula>
    </cfRule>
  </conditionalFormatting>
  <conditionalFormatting sqref="Y56:AF85 AH56:AI86">
    <cfRule type="containsBlanks" dxfId="712" priority="456">
      <formula>LEN(TRIM(Y56))=0</formula>
    </cfRule>
    <cfRule type="containsBlanks" dxfId="711" priority="457">
      <formula>LEN(TRIM(Y56))=0</formula>
    </cfRule>
  </conditionalFormatting>
  <conditionalFormatting sqref="Z13:Z85">
    <cfRule type="containsBlanks" dxfId="710" priority="39">
      <formula>LEN(TRIM(Z13))=0</formula>
    </cfRule>
    <cfRule type="containsBlanks" dxfId="709" priority="40">
      <formula>LEN(TRIM(Z13))=0</formula>
    </cfRule>
    <cfRule type="containsBlanks" dxfId="708" priority="51">
      <formula>LEN(TRIM(Z13))=0</formula>
    </cfRule>
    <cfRule type="containsBlanks" dxfId="707" priority="27">
      <formula>LEN(TRIM(Z13))=0</formula>
    </cfRule>
    <cfRule type="containsBlanks" dxfId="706" priority="52">
      <formula>LEN(TRIM(Z13))=0</formula>
    </cfRule>
    <cfRule type="containsBlanks" dxfId="705" priority="28">
      <formula>LEN(TRIM(Z13))=0</formula>
    </cfRule>
  </conditionalFormatting>
  <conditionalFormatting sqref="Z13:Z86">
    <cfRule type="containsBlanks" dxfId="704" priority="370">
      <formula>LEN(TRIM(Z13))=0</formula>
    </cfRule>
    <cfRule type="containsBlanks" dxfId="703" priority="369">
      <formula>LEN(TRIM(Z13))=0</formula>
    </cfRule>
  </conditionalFormatting>
  <conditionalFormatting sqref="Z14:Z85">
    <cfRule type="containsBlanks" dxfId="702" priority="34">
      <formula>LEN(TRIM(Z14))=0</formula>
    </cfRule>
    <cfRule type="containsBlanks" dxfId="701" priority="21">
      <formula>LEN(TRIM(Z14))=0</formula>
    </cfRule>
    <cfRule type="containsBlanks" dxfId="700" priority="22">
      <formula>LEN(TRIM(Z14))=0</formula>
    </cfRule>
    <cfRule type="containsBlanks" dxfId="699" priority="45">
      <formula>LEN(TRIM(Z14))=0</formula>
    </cfRule>
    <cfRule type="containsBlanks" dxfId="698" priority="363">
      <formula>LEN(TRIM(Z14))=0</formula>
    </cfRule>
    <cfRule type="containsBlanks" dxfId="697" priority="33">
      <formula>LEN(TRIM(Z14))=0</formula>
    </cfRule>
    <cfRule type="containsBlanks" dxfId="696" priority="46">
      <formula>LEN(TRIM(Z14))=0</formula>
    </cfRule>
    <cfRule type="containsBlanks" dxfId="695" priority="364">
      <formula>LEN(TRIM(Z14))=0</formula>
    </cfRule>
  </conditionalFormatting>
  <conditionalFormatting sqref="Z28:Z82">
    <cfRule type="containsBlanks" dxfId="694" priority="38">
      <formula>LEN(TRIM(Z28))=0</formula>
    </cfRule>
    <cfRule type="containsBlanks" dxfId="693" priority="20">
      <formula>LEN(TRIM(Z28))=0</formula>
    </cfRule>
    <cfRule type="containsBlanks" dxfId="692" priority="19">
      <formula>LEN(TRIM(Z28))=0</formula>
    </cfRule>
    <cfRule type="containsBlanks" dxfId="691" priority="43">
      <formula>LEN(TRIM(Z28))=0</formula>
    </cfRule>
    <cfRule type="containsBlanks" dxfId="690" priority="44">
      <formula>LEN(TRIM(Z28))=0</formula>
    </cfRule>
    <cfRule type="containsBlanks" dxfId="689" priority="26">
      <formula>LEN(TRIM(Z28))=0</formula>
    </cfRule>
    <cfRule type="containsBlanks" dxfId="688" priority="31">
      <formula>LEN(TRIM(Z28))=0</formula>
    </cfRule>
    <cfRule type="containsBlanks" dxfId="687" priority="32">
      <formula>LEN(TRIM(Z28))=0</formula>
    </cfRule>
    <cfRule type="containsBlanks" dxfId="686" priority="25">
      <formula>LEN(TRIM(Z28))=0</formula>
    </cfRule>
    <cfRule type="containsBlanks" dxfId="685" priority="37">
      <formula>LEN(TRIM(Z28))=0</formula>
    </cfRule>
  </conditionalFormatting>
  <conditionalFormatting sqref="Z56:Z85">
    <cfRule type="containsBlanks" dxfId="684" priority="41">
      <formula>LEN(TRIM(Z56))=0</formula>
    </cfRule>
    <cfRule type="containsBlanks" dxfId="683" priority="42">
      <formula>LEN(TRIM(Z56))=0</formula>
    </cfRule>
    <cfRule type="containsBlanks" dxfId="682" priority="18">
      <formula>LEN(TRIM(Z56))=0</formula>
    </cfRule>
    <cfRule type="containsBlanks" dxfId="681" priority="23">
      <formula>LEN(TRIM(Z56))=0</formula>
    </cfRule>
    <cfRule type="containsBlanks" dxfId="680" priority="17">
      <formula>LEN(TRIM(Z56))=0</formula>
    </cfRule>
    <cfRule type="containsBlanks" dxfId="679" priority="29">
      <formula>LEN(TRIM(Z56))=0</formula>
    </cfRule>
    <cfRule type="containsBlanks" dxfId="678" priority="24">
      <formula>LEN(TRIM(Z56))=0</formula>
    </cfRule>
    <cfRule type="containsBlanks" dxfId="677" priority="30">
      <formula>LEN(TRIM(Z56))=0</formula>
    </cfRule>
    <cfRule type="containsBlanks" dxfId="676" priority="35">
      <formula>LEN(TRIM(Z56))=0</formula>
    </cfRule>
    <cfRule type="containsBlanks" dxfId="675" priority="36">
      <formula>LEN(TRIM(Z56))=0</formula>
    </cfRule>
  </conditionalFormatting>
  <conditionalFormatting sqref="Z95:Z155">
    <cfRule type="containsBlanks" dxfId="674" priority="2360">
      <formula>LEN(TRIM(Z95))=0</formula>
    </cfRule>
    <cfRule type="containsBlanks" dxfId="673" priority="2361">
      <formula>LEN(TRIM(Z95))=0</formula>
    </cfRule>
  </conditionalFormatting>
  <conditionalFormatting sqref="Z96">
    <cfRule type="containsBlanks" dxfId="672" priority="793">
      <formula>LEN(TRIM(Z96))=0</formula>
    </cfRule>
    <cfRule type="containsBlanks" dxfId="671" priority="792">
      <formula>LEN(TRIM(Z96))=0</formula>
    </cfRule>
  </conditionalFormatting>
  <conditionalFormatting sqref="Z103">
    <cfRule type="containsBlanks" dxfId="670" priority="1953">
      <formula>LEN(TRIM(Z103))=0</formula>
    </cfRule>
    <cfRule type="containsBlanks" dxfId="669" priority="1952">
      <formula>LEN(TRIM(Z103))=0</formula>
    </cfRule>
  </conditionalFormatting>
  <conditionalFormatting sqref="Z129">
    <cfRule type="containsBlanks" dxfId="668" priority="1955">
      <formula>LEN(TRIM(Z129))=0</formula>
    </cfRule>
    <cfRule type="containsBlanks" dxfId="667" priority="1954">
      <formula>LEN(TRIM(Z129))=0</formula>
    </cfRule>
  </conditionalFormatting>
  <conditionalFormatting sqref="Z143">
    <cfRule type="containsBlanks" dxfId="666" priority="760">
      <formula>LEN(TRIM(Z143))=0</formula>
    </cfRule>
    <cfRule type="containsBlanks" dxfId="665" priority="761">
      <formula>LEN(TRIM(Z143))=0</formula>
    </cfRule>
    <cfRule type="containsBlanks" dxfId="664" priority="762">
      <formula>LEN(TRIM(Z143))=0</formula>
    </cfRule>
    <cfRule type="containsBlanks" dxfId="663" priority="763">
      <formula>LEN(TRIM(Z143))=0</formula>
    </cfRule>
    <cfRule type="containsBlanks" dxfId="662" priority="764">
      <formula>LEN(TRIM(Z143))=0</formula>
    </cfRule>
    <cfRule type="containsBlanks" dxfId="661" priority="765">
      <formula>LEN(TRIM(Z143))=0</formula>
    </cfRule>
    <cfRule type="containsBlanks" dxfId="660" priority="767">
      <formula>LEN(TRIM(Z143))=0</formula>
    </cfRule>
    <cfRule type="containsBlanks" dxfId="659" priority="768">
      <formula>LEN(TRIM(Z143))=0</formula>
    </cfRule>
    <cfRule type="containsBlanks" dxfId="658" priority="769">
      <formula>LEN(TRIM(Z143))=0</formula>
    </cfRule>
    <cfRule type="containsBlanks" dxfId="657" priority="766">
      <formula>LEN(TRIM(Z143))=0</formula>
    </cfRule>
    <cfRule type="containsBlanks" dxfId="656" priority="758">
      <formula>LEN(TRIM(Z143))=0</formula>
    </cfRule>
    <cfRule type="containsBlanks" dxfId="655" priority="759">
      <formula>LEN(TRIM(Z143))=0</formula>
    </cfRule>
  </conditionalFormatting>
  <conditionalFormatting sqref="Z153:Z154">
    <cfRule type="containsBlanks" dxfId="654" priority="789">
      <formula>LEN(TRIM(Z153))=0</formula>
    </cfRule>
    <cfRule type="containsBlanks" dxfId="653" priority="788">
      <formula>LEN(TRIM(Z153))=0</formula>
    </cfRule>
    <cfRule type="containsBlanks" dxfId="652" priority="787">
      <formula>LEN(TRIM(Z153))=0</formula>
    </cfRule>
    <cfRule type="containsBlanks" dxfId="651" priority="786">
      <formula>LEN(TRIM(Z153))=0</formula>
    </cfRule>
  </conditionalFormatting>
  <conditionalFormatting sqref="Z28:AA82">
    <cfRule type="containsBlanks" dxfId="650" priority="359">
      <formula>LEN(TRIM(Z28))=0</formula>
    </cfRule>
    <cfRule type="containsBlanks" dxfId="649" priority="360">
      <formula>LEN(TRIM(Z28))=0</formula>
    </cfRule>
  </conditionalFormatting>
  <conditionalFormatting sqref="Z56:AA85">
    <cfRule type="containsBlanks" dxfId="648" priority="357">
      <formula>LEN(TRIM(Z56))=0</formula>
    </cfRule>
    <cfRule type="containsBlanks" dxfId="647" priority="358">
      <formula>LEN(TRIM(Z56))=0</formula>
    </cfRule>
  </conditionalFormatting>
  <conditionalFormatting sqref="Z95:AA152">
    <cfRule type="containsBlanks" dxfId="646" priority="797">
      <formula>LEN(TRIM(Z95))=0</formula>
    </cfRule>
    <cfRule type="containsBlanks" dxfId="645" priority="796">
      <formula>LEN(TRIM(Z95))=0</formula>
    </cfRule>
  </conditionalFormatting>
  <conditionalFormatting sqref="Z153:AA154">
    <cfRule type="containsBlanks" dxfId="644" priority="791">
      <formula>LEN(TRIM(Z153))=0</formula>
    </cfRule>
    <cfRule type="containsBlanks" dxfId="643" priority="790">
      <formula>LEN(TRIM(Z153))=0</formula>
    </cfRule>
  </conditionalFormatting>
  <conditionalFormatting sqref="AA13:AA86">
    <cfRule type="containsBlanks" dxfId="642" priority="361">
      <formula>LEN(TRIM(AA13))=0</formula>
    </cfRule>
    <cfRule type="containsBlanks" dxfId="641" priority="362">
      <formula>LEN(TRIM(AA13))=0</formula>
    </cfRule>
  </conditionalFormatting>
  <conditionalFormatting sqref="AA14:AA85">
    <cfRule type="containsBlanks" dxfId="640" priority="355">
      <formula>LEN(TRIM(AA14))=0</formula>
    </cfRule>
    <cfRule type="containsBlanks" dxfId="639" priority="356">
      <formula>LEN(TRIM(AA14))=0</formula>
    </cfRule>
  </conditionalFormatting>
  <conditionalFormatting sqref="AA52:AA59">
    <cfRule type="containsBlanks" dxfId="638" priority="464">
      <formula>LEN(TRIM(AA52))=0</formula>
    </cfRule>
  </conditionalFormatting>
  <conditionalFormatting sqref="AA95:AA154">
    <cfRule type="containsBlanks" dxfId="637" priority="794">
      <formula>LEN(TRIM(AA95))=0</formula>
    </cfRule>
    <cfRule type="containsBlanks" dxfId="636" priority="795">
      <formula>LEN(TRIM(AA95))=0</formula>
    </cfRule>
  </conditionalFormatting>
  <conditionalFormatting sqref="AA110">
    <cfRule type="containsBlanks" dxfId="635" priority="2337">
      <formula>LEN(TRIM(AA110))=0</formula>
    </cfRule>
    <cfRule type="containsBlanks" dxfId="634" priority="2326">
      <formula>LEN(TRIM(AA110))=0</formula>
    </cfRule>
    <cfRule type="containsBlanks" dxfId="633" priority="2316">
      <formula>LEN(TRIM(AA110))=0</formula>
    </cfRule>
    <cfRule type="containsBlanks" dxfId="632" priority="2317">
      <formula>LEN(TRIM(AA110))=0</formula>
    </cfRule>
    <cfRule type="containsBlanks" dxfId="631" priority="2318">
      <formula>LEN(TRIM(AA110))=0</formula>
    </cfRule>
    <cfRule type="containsBlanks" dxfId="630" priority="2319">
      <formula>LEN(TRIM(AA110))=0</formula>
    </cfRule>
    <cfRule type="containsBlanks" dxfId="629" priority="2320">
      <formula>LEN(TRIM(AA110))=0</formula>
    </cfRule>
    <cfRule type="containsBlanks" dxfId="628" priority="2321">
      <formula>LEN(TRIM(AA110))=0</formula>
    </cfRule>
    <cfRule type="containsBlanks" dxfId="627" priority="2322">
      <formula>LEN(TRIM(AA110))=0</formula>
    </cfRule>
    <cfRule type="containsBlanks" dxfId="626" priority="2323">
      <formula>LEN(TRIM(AA110))=0</formula>
    </cfRule>
    <cfRule type="containsBlanks" dxfId="625" priority="2324">
      <formula>LEN(TRIM(AA110))=0</formula>
    </cfRule>
    <cfRule type="containsBlanks" dxfId="624" priority="2325">
      <formula>LEN(TRIM(AA110))=0</formula>
    </cfRule>
    <cfRule type="containsBlanks" dxfId="623" priority="2327">
      <formula>LEN(TRIM(AA110))=0</formula>
    </cfRule>
    <cfRule type="containsBlanks" dxfId="622" priority="2328">
      <formula>LEN(TRIM(AA110))=0</formula>
    </cfRule>
    <cfRule type="containsBlanks" dxfId="621" priority="2329">
      <formula>LEN(TRIM(AA110))=0</formula>
    </cfRule>
    <cfRule type="containsBlanks" dxfId="620" priority="2330">
      <formula>LEN(TRIM(AA110))=0</formula>
    </cfRule>
    <cfRule type="containsBlanks" dxfId="619" priority="2331">
      <formula>LEN(TRIM(AA110))=0</formula>
    </cfRule>
    <cfRule type="containsBlanks" dxfId="618" priority="2332">
      <formula>LEN(TRIM(AA110))=0</formula>
    </cfRule>
    <cfRule type="containsBlanks" dxfId="617" priority="2333">
      <formula>LEN(TRIM(AA110))=0</formula>
    </cfRule>
    <cfRule type="containsBlanks" dxfId="616" priority="2334">
      <formula>LEN(TRIM(AA110))=0</formula>
    </cfRule>
    <cfRule type="containsBlanks" dxfId="615" priority="2335">
      <formula>LEN(TRIM(AA110))=0</formula>
    </cfRule>
    <cfRule type="containsBlanks" dxfId="614" priority="2336">
      <formula>LEN(TRIM(AA110))=0</formula>
    </cfRule>
  </conditionalFormatting>
  <conditionalFormatting sqref="AA128">
    <cfRule type="containsBlanks" dxfId="613" priority="2145">
      <formula>LEN(TRIM(AA128))=0</formula>
    </cfRule>
    <cfRule type="containsBlanks" dxfId="612" priority="2144">
      <formula>LEN(TRIM(AA128))=0</formula>
    </cfRule>
    <cfRule type="containsBlanks" dxfId="611" priority="2142">
      <formula>LEN(TRIM(AA128))=0</formula>
    </cfRule>
    <cfRule type="containsBlanks" dxfId="610" priority="2362">
      <formula>LEN(TRIM(AA128))=0</formula>
    </cfRule>
    <cfRule type="containsBlanks" dxfId="609" priority="2363">
      <formula>LEN(TRIM(AA128))=0</formula>
    </cfRule>
    <cfRule type="containsBlanks" dxfId="608" priority="2364">
      <formula>LEN(TRIM(AA128))=0</formula>
    </cfRule>
    <cfRule type="containsBlanks" dxfId="607" priority="2365">
      <formula>LEN(TRIM(AA128))=0</formula>
    </cfRule>
    <cfRule type="containsBlanks" dxfId="606" priority="2366">
      <formula>LEN(TRIM(AA128))=0</formula>
    </cfRule>
    <cfRule type="containsBlanks" dxfId="605" priority="2383">
      <formula>LEN(TRIM(AA128))=0</formula>
    </cfRule>
    <cfRule type="containsBlanks" dxfId="604" priority="2368">
      <formula>LEN(TRIM(AA128))=0</formula>
    </cfRule>
    <cfRule type="containsBlanks" dxfId="603" priority="2369">
      <formula>LEN(TRIM(AA128))=0</formula>
    </cfRule>
    <cfRule type="containsBlanks" dxfId="602" priority="2370">
      <formula>LEN(TRIM(AA128))=0</formula>
    </cfRule>
    <cfRule type="containsBlanks" dxfId="601" priority="2371">
      <formula>LEN(TRIM(AA128))=0</formula>
    </cfRule>
    <cfRule type="containsBlanks" dxfId="600" priority="2372">
      <formula>LEN(TRIM(AA128))=0</formula>
    </cfRule>
    <cfRule type="containsBlanks" dxfId="599" priority="2373">
      <formula>LEN(TRIM(AA128))=0</formula>
    </cfRule>
    <cfRule type="containsBlanks" dxfId="598" priority="2374">
      <formula>LEN(TRIM(AA128))=0</formula>
    </cfRule>
    <cfRule type="containsBlanks" dxfId="597" priority="2375">
      <formula>LEN(TRIM(AA128))=0</formula>
    </cfRule>
    <cfRule type="containsBlanks" dxfId="596" priority="2376">
      <formula>LEN(TRIM(AA128))=0</formula>
    </cfRule>
    <cfRule type="containsBlanks" dxfId="595" priority="2377">
      <formula>LEN(TRIM(AA128))=0</formula>
    </cfRule>
    <cfRule type="containsBlanks" dxfId="594" priority="2378">
      <formula>LEN(TRIM(AA128))=0</formula>
    </cfRule>
    <cfRule type="containsBlanks" dxfId="593" priority="2379">
      <formula>LEN(TRIM(AA128))=0</formula>
    </cfRule>
    <cfRule type="containsBlanks" dxfId="592" priority="2380">
      <formula>LEN(TRIM(AA128))=0</formula>
    </cfRule>
    <cfRule type="containsBlanks" dxfId="591" priority="2381">
      <formula>LEN(TRIM(AA128))=0</formula>
    </cfRule>
    <cfRule type="containsBlanks" dxfId="590" priority="2139">
      <formula>LEN(TRIM(AA128))=0</formula>
    </cfRule>
    <cfRule type="containsBlanks" dxfId="589" priority="2138">
      <formula>LEN(TRIM(AA128))=0</formula>
    </cfRule>
    <cfRule type="containsBlanks" dxfId="588" priority="2137">
      <formula>LEN(TRIM(AA128))=0</formula>
    </cfRule>
    <cfRule type="containsBlanks" dxfId="587" priority="2136">
      <formula>LEN(TRIM(AA128))=0</formula>
    </cfRule>
    <cfRule type="containsBlanks" dxfId="586" priority="2135">
      <formula>LEN(TRIM(AA128))=0</formula>
    </cfRule>
    <cfRule type="containsBlanks" dxfId="585" priority="2134">
      <formula>LEN(TRIM(AA128))=0</formula>
    </cfRule>
    <cfRule type="containsBlanks" dxfId="584" priority="2133">
      <formula>LEN(TRIM(AA128))=0</formula>
    </cfRule>
    <cfRule type="containsBlanks" dxfId="583" priority="2132">
      <formula>LEN(TRIM(AA128))=0</formula>
    </cfRule>
    <cfRule type="containsBlanks" dxfId="582" priority="2131">
      <formula>LEN(TRIM(AA128))=0</formula>
    </cfRule>
    <cfRule type="containsBlanks" dxfId="581" priority="2130">
      <formula>LEN(TRIM(AA128))=0</formula>
    </cfRule>
    <cfRule type="containsBlanks" dxfId="580" priority="2141">
      <formula>LEN(TRIM(AA128))=0</formula>
    </cfRule>
    <cfRule type="containsBlanks" dxfId="579" priority="2382">
      <formula>LEN(TRIM(AA128))=0</formula>
    </cfRule>
    <cfRule type="containsBlanks" dxfId="578" priority="2128">
      <formula>LEN(TRIM(AA128))=0</formula>
    </cfRule>
    <cfRule type="containsBlanks" dxfId="577" priority="2127">
      <formula>LEN(TRIM(AA128))=0</formula>
    </cfRule>
    <cfRule type="containsBlanks" dxfId="576" priority="2126">
      <formula>LEN(TRIM(AA128))=0</formula>
    </cfRule>
    <cfRule type="containsBlanks" dxfId="575" priority="2125">
      <formula>LEN(TRIM(AA128))=0</formula>
    </cfRule>
    <cfRule type="containsBlanks" dxfId="574" priority="2124">
      <formula>LEN(TRIM(AA128))=0</formula>
    </cfRule>
    <cfRule type="containsBlanks" dxfId="573" priority="2123">
      <formula>LEN(TRIM(AA128))=0</formula>
    </cfRule>
    <cfRule type="containsBlanks" dxfId="572" priority="2122">
      <formula>LEN(TRIM(AA128))=0</formula>
    </cfRule>
    <cfRule type="containsBlanks" dxfId="571" priority="2140">
      <formula>LEN(TRIM(AA128))=0</formula>
    </cfRule>
    <cfRule type="containsBlanks" dxfId="570" priority="2129">
      <formula>LEN(TRIM(AA128))=0</formula>
    </cfRule>
    <cfRule type="containsBlanks" dxfId="569" priority="2143">
      <formula>LEN(TRIM(AA128))=0</formula>
    </cfRule>
    <cfRule type="containsBlanks" dxfId="568" priority="2367">
      <formula>LEN(TRIM(AA128))=0</formula>
    </cfRule>
  </conditionalFormatting>
  <conditionalFormatting sqref="AA134:AA141">
    <cfRule type="containsBlanks" dxfId="567" priority="2802">
      <formula>LEN(TRIM(AA134))=0</formula>
    </cfRule>
  </conditionalFormatting>
  <conditionalFormatting sqref="AA151">
    <cfRule type="containsBlanks" dxfId="566" priority="2353">
      <formula>LEN(TRIM(AA151))=0</formula>
    </cfRule>
    <cfRule type="containsBlanks" dxfId="565" priority="2352">
      <formula>LEN(TRIM(AA151))=0</formula>
    </cfRule>
    <cfRule type="containsBlanks" dxfId="564" priority="2354">
      <formula>LEN(TRIM(AA151))=0</formula>
    </cfRule>
    <cfRule type="containsBlanks" dxfId="563" priority="2355">
      <formula>LEN(TRIM(AA151))=0</formula>
    </cfRule>
    <cfRule type="containsBlanks" dxfId="562" priority="2356">
      <formula>LEN(TRIM(AA151))=0</formula>
    </cfRule>
    <cfRule type="containsBlanks" dxfId="561" priority="2357">
      <formula>LEN(TRIM(AA151))=0</formula>
    </cfRule>
    <cfRule type="containsBlanks" dxfId="560" priority="2358">
      <formula>LEN(TRIM(AA151))=0</formula>
    </cfRule>
    <cfRule type="containsBlanks" dxfId="559" priority="2359">
      <formula>LEN(TRIM(AA151))=0</formula>
    </cfRule>
    <cfRule type="containsBlanks" dxfId="558" priority="2338">
      <formula>LEN(TRIM(AA151))=0</formula>
    </cfRule>
    <cfRule type="containsBlanks" dxfId="557" priority="2339">
      <formula>LEN(TRIM(AA151))=0</formula>
    </cfRule>
    <cfRule type="containsBlanks" dxfId="556" priority="2340">
      <formula>LEN(TRIM(AA151))=0</formula>
    </cfRule>
    <cfRule type="containsBlanks" dxfId="555" priority="2341">
      <formula>LEN(TRIM(AA151))=0</formula>
    </cfRule>
    <cfRule type="containsBlanks" dxfId="554" priority="2342">
      <formula>LEN(TRIM(AA151))=0</formula>
    </cfRule>
    <cfRule type="containsBlanks" dxfId="553" priority="2343">
      <formula>LEN(TRIM(AA151))=0</formula>
    </cfRule>
    <cfRule type="containsBlanks" dxfId="552" priority="2344">
      <formula>LEN(TRIM(AA151))=0</formula>
    </cfRule>
    <cfRule type="containsBlanks" dxfId="551" priority="2345">
      <formula>LEN(TRIM(AA151))=0</formula>
    </cfRule>
    <cfRule type="containsBlanks" dxfId="550" priority="2346">
      <formula>LEN(TRIM(AA151))=0</formula>
    </cfRule>
    <cfRule type="containsBlanks" dxfId="549" priority="2347">
      <formula>LEN(TRIM(AA151))=0</formula>
    </cfRule>
    <cfRule type="containsBlanks" dxfId="548" priority="2348">
      <formula>LEN(TRIM(AA151))=0</formula>
    </cfRule>
    <cfRule type="containsBlanks" dxfId="547" priority="2349">
      <formula>LEN(TRIM(AA151))=0</formula>
    </cfRule>
    <cfRule type="containsBlanks" dxfId="546" priority="2350">
      <formula>LEN(TRIM(AA151))=0</formula>
    </cfRule>
    <cfRule type="containsBlanks" dxfId="545" priority="2351">
      <formula>LEN(TRIM(AA151))=0</formula>
    </cfRule>
  </conditionalFormatting>
  <conditionalFormatting sqref="AA151:AA154">
    <cfRule type="containsBlanks" dxfId="544" priority="2120">
      <formula>LEN(TRIM(AA151))=0</formula>
    </cfRule>
    <cfRule type="containsBlanks" dxfId="543" priority="2121">
      <formula>LEN(TRIM(AA151))=0</formula>
    </cfRule>
  </conditionalFormatting>
  <conditionalFormatting sqref="AA152:AA154">
    <cfRule type="containsBlanks" dxfId="542" priority="2104">
      <formula>LEN(TRIM(AA152))=0</formula>
    </cfRule>
    <cfRule type="containsBlanks" dxfId="541" priority="2103">
      <formula>LEN(TRIM(AA152))=0</formula>
    </cfRule>
    <cfRule type="containsBlanks" dxfId="540" priority="2102">
      <formula>LEN(TRIM(AA152))=0</formula>
    </cfRule>
    <cfRule type="containsBlanks" dxfId="539" priority="2118">
      <formula>LEN(TRIM(AA152))=0</formula>
    </cfRule>
    <cfRule type="containsBlanks" dxfId="538" priority="2100">
      <formula>LEN(TRIM(AA152))=0</formula>
    </cfRule>
    <cfRule type="containsBlanks" dxfId="537" priority="2101">
      <formula>LEN(TRIM(AA152))=0</formula>
    </cfRule>
    <cfRule type="containsBlanks" dxfId="536" priority="2099">
      <formula>LEN(TRIM(AA152))=0</formula>
    </cfRule>
    <cfRule type="containsBlanks" dxfId="535" priority="2098">
      <formula>LEN(TRIM(AA152))=0</formula>
    </cfRule>
    <cfRule type="containsBlanks" dxfId="534" priority="2097">
      <formula>LEN(TRIM(AA152))=0</formula>
    </cfRule>
    <cfRule type="containsBlanks" dxfId="533" priority="2096">
      <formula>LEN(TRIM(AA152))=0</formula>
    </cfRule>
    <cfRule type="containsBlanks" dxfId="532" priority="2115">
      <formula>LEN(TRIM(AA152))=0</formula>
    </cfRule>
    <cfRule type="containsBlanks" dxfId="531" priority="2119">
      <formula>LEN(TRIM(AA152))=0</formula>
    </cfRule>
    <cfRule type="containsBlanks" dxfId="530" priority="2113">
      <formula>LEN(TRIM(AA152))=0</formula>
    </cfRule>
    <cfRule type="containsBlanks" dxfId="529" priority="2105">
      <formula>LEN(TRIM(AA152))=0</formula>
    </cfRule>
    <cfRule type="containsBlanks" dxfId="528" priority="2106">
      <formula>LEN(TRIM(AA152))=0</formula>
    </cfRule>
    <cfRule type="containsBlanks" dxfId="527" priority="2107">
      <formula>LEN(TRIM(AA152))=0</formula>
    </cfRule>
    <cfRule type="containsBlanks" dxfId="526" priority="2108">
      <formula>LEN(TRIM(AA152))=0</formula>
    </cfRule>
    <cfRule type="containsBlanks" dxfId="525" priority="2109">
      <formula>LEN(TRIM(AA152))=0</formula>
    </cfRule>
    <cfRule type="containsBlanks" dxfId="524" priority="2110">
      <formula>LEN(TRIM(AA152))=0</formula>
    </cfRule>
    <cfRule type="containsBlanks" dxfId="523" priority="2111">
      <formula>LEN(TRIM(AA152))=0</formula>
    </cfRule>
    <cfRule type="containsBlanks" dxfId="522" priority="2112">
      <formula>LEN(TRIM(AA152))=0</formula>
    </cfRule>
    <cfRule type="containsBlanks" dxfId="521" priority="2114">
      <formula>LEN(TRIM(AA152))=0</formula>
    </cfRule>
    <cfRule type="containsBlanks" dxfId="520" priority="2116">
      <formula>LEN(TRIM(AA152))=0</formula>
    </cfRule>
    <cfRule type="containsBlanks" dxfId="519" priority="2117">
      <formula>LEN(TRIM(AA152))=0</formula>
    </cfRule>
  </conditionalFormatting>
  <conditionalFormatting sqref="AA28:AB82">
    <cfRule type="containsBlanks" dxfId="518" priority="352">
      <formula>LEN(TRIM(AA28))=0</formula>
    </cfRule>
    <cfRule type="containsBlanks" dxfId="517" priority="351">
      <formula>LEN(TRIM(AA28))=0</formula>
    </cfRule>
  </conditionalFormatting>
  <conditionalFormatting sqref="AA56:AB85">
    <cfRule type="containsBlanks" dxfId="516" priority="349">
      <formula>LEN(TRIM(AA56))=0</formula>
    </cfRule>
    <cfRule type="containsBlanks" dxfId="515" priority="350">
      <formula>LEN(TRIM(AA56))=0</formula>
    </cfRule>
  </conditionalFormatting>
  <conditionalFormatting sqref="AA61:AC76">
    <cfRule type="containsBlanks" dxfId="514" priority="453">
      <formula>LEN(TRIM(AA61))=0</formula>
    </cfRule>
    <cfRule type="containsBlanks" dxfId="513" priority="454">
      <formula>LEN(TRIM(AA61))=0</formula>
    </cfRule>
  </conditionalFormatting>
  <conditionalFormatting sqref="AA143:AC156">
    <cfRule type="containsBlanks" dxfId="512" priority="2793">
      <formula>LEN(TRIM(AA143))=0</formula>
    </cfRule>
    <cfRule type="containsBlanks" dxfId="511" priority="2792">
      <formula>LEN(TRIM(AA143))=0</formula>
    </cfRule>
  </conditionalFormatting>
  <conditionalFormatting sqref="AB13:AB86">
    <cfRule type="containsBlanks" dxfId="510" priority="353">
      <formula>LEN(TRIM(AB13))=0</formula>
    </cfRule>
    <cfRule type="containsBlanks" dxfId="509" priority="354">
      <formula>LEN(TRIM(AB13))=0</formula>
    </cfRule>
  </conditionalFormatting>
  <conditionalFormatting sqref="AB14:AB85">
    <cfRule type="containsBlanks" dxfId="508" priority="347">
      <formula>LEN(TRIM(AB14))=0</formula>
    </cfRule>
    <cfRule type="containsBlanks" dxfId="507" priority="348">
      <formula>LEN(TRIM(AB14))=0</formula>
    </cfRule>
  </conditionalFormatting>
  <conditionalFormatting sqref="AB95:AB155">
    <cfRule type="containsBlanks" dxfId="506" priority="785">
      <formula>LEN(TRIM(AB95))=0</formula>
    </cfRule>
    <cfRule type="containsBlanks" dxfId="505" priority="784">
      <formula>LEN(TRIM(AB95))=0</formula>
    </cfRule>
    <cfRule type="containsBlanks" dxfId="504" priority="783">
      <formula>LEN(TRIM(AB95))=0</formula>
    </cfRule>
    <cfRule type="containsBlanks" dxfId="503" priority="782">
      <formula>LEN(TRIM(AB95))=0</formula>
    </cfRule>
  </conditionalFormatting>
  <conditionalFormatting sqref="AB95:AB156">
    <cfRule type="containsBlanks" dxfId="502" priority="2315">
      <formula>LEN(TRIM(AB95))=0</formula>
    </cfRule>
    <cfRule type="containsBlanks" dxfId="501" priority="2314">
      <formula>LEN(TRIM(AB95))=0</formula>
    </cfRule>
  </conditionalFormatting>
  <conditionalFormatting sqref="AB98:AB99">
    <cfRule type="containsBlanks" dxfId="500" priority="777">
      <formula>LEN(TRIM(AB98))=0</formula>
    </cfRule>
    <cfRule type="containsBlanks" dxfId="499" priority="776">
      <formula>LEN(TRIM(AB98))=0</formula>
    </cfRule>
    <cfRule type="containsBlanks" dxfId="498" priority="775">
      <formula>LEN(TRIM(AB98))=0</formula>
    </cfRule>
    <cfRule type="containsBlanks" dxfId="497" priority="774">
      <formula>LEN(TRIM(AB98))=0</formula>
    </cfRule>
    <cfRule type="containsBlanks" dxfId="496" priority="770">
      <formula>LEN(TRIM(AB98))=0</formula>
    </cfRule>
    <cfRule type="containsBlanks" dxfId="495" priority="772">
      <formula>LEN(TRIM(AB98))=0</formula>
    </cfRule>
    <cfRule type="containsBlanks" dxfId="494" priority="771">
      <formula>LEN(TRIM(AB98))=0</formula>
    </cfRule>
    <cfRule type="containsBlanks" dxfId="493" priority="773">
      <formula>LEN(TRIM(AB98))=0</formula>
    </cfRule>
  </conditionalFormatting>
  <conditionalFormatting sqref="AB142">
    <cfRule type="containsBlanks" dxfId="492" priority="2313">
      <formula>LEN(TRIM(AB142))=0</formula>
    </cfRule>
    <cfRule type="containsBlanks" dxfId="491" priority="2312">
      <formula>LEN(TRIM(AB142))=0</formula>
    </cfRule>
    <cfRule type="containsBlanks" dxfId="490" priority="2311">
      <formula>LEN(TRIM(AB142))=0</formula>
    </cfRule>
    <cfRule type="containsBlanks" dxfId="489" priority="2310">
      <formula>LEN(TRIM(AB142))=0</formula>
    </cfRule>
    <cfRule type="containsBlanks" dxfId="488" priority="2309">
      <formula>LEN(TRIM(AB142))=0</formula>
    </cfRule>
    <cfRule type="containsBlanks" dxfId="487" priority="2308">
      <formula>LEN(TRIM(AB142))=0</formula>
    </cfRule>
    <cfRule type="containsBlanks" dxfId="486" priority="2307">
      <formula>LEN(TRIM(AB142))=0</formula>
    </cfRule>
    <cfRule type="containsBlanks" dxfId="485" priority="2306">
      <formula>LEN(TRIM(AB142))=0</formula>
    </cfRule>
    <cfRule type="containsBlanks" dxfId="484" priority="2304">
      <formula>LEN(TRIM(AB142))=0</formula>
    </cfRule>
    <cfRule type="containsBlanks" dxfId="483" priority="2303">
      <formula>LEN(TRIM(AB142))=0</formula>
    </cfRule>
    <cfRule type="containsBlanks" dxfId="482" priority="2301">
      <formula>LEN(TRIM(AB142))=0</formula>
    </cfRule>
    <cfRule type="containsBlanks" dxfId="481" priority="2300">
      <formula>LEN(TRIM(AB142))=0</formula>
    </cfRule>
    <cfRule type="containsBlanks" dxfId="480" priority="2299">
      <formula>LEN(TRIM(AB142))=0</formula>
    </cfRule>
    <cfRule type="containsBlanks" dxfId="479" priority="2298">
      <formula>LEN(TRIM(AB142))=0</formula>
    </cfRule>
    <cfRule type="containsBlanks" dxfId="478" priority="2305">
      <formula>LEN(TRIM(AB142))=0</formula>
    </cfRule>
    <cfRule type="containsBlanks" dxfId="477" priority="2297">
      <formula>LEN(TRIM(AB142))=0</formula>
    </cfRule>
    <cfRule type="containsBlanks" dxfId="476" priority="2296">
      <formula>LEN(TRIM(AB142))=0</formula>
    </cfRule>
    <cfRule type="containsBlanks" dxfId="475" priority="2295">
      <formula>LEN(TRIM(AB142))=0</formula>
    </cfRule>
    <cfRule type="containsBlanks" dxfId="474" priority="2294">
      <formula>LEN(TRIM(AB142))=0</formula>
    </cfRule>
    <cfRule type="containsBlanks" dxfId="473" priority="2293">
      <formula>LEN(TRIM(AB142))=0</formula>
    </cfRule>
    <cfRule type="containsBlanks" dxfId="472" priority="2292">
      <formula>LEN(TRIM(AB142))=0</formula>
    </cfRule>
    <cfRule type="containsBlanks" dxfId="471" priority="2291">
      <formula>LEN(TRIM(AB142))=0</formula>
    </cfRule>
    <cfRule type="containsBlanks" dxfId="470" priority="2290">
      <formula>LEN(TRIM(AB142))=0</formula>
    </cfRule>
    <cfRule type="containsBlanks" dxfId="469" priority="2302">
      <formula>LEN(TRIM(AB142))=0</formula>
    </cfRule>
  </conditionalFormatting>
  <conditionalFormatting sqref="AB145">
    <cfRule type="containsBlanks" dxfId="468" priority="779">
      <formula>LEN(TRIM(AB145))=0</formula>
    </cfRule>
    <cfRule type="containsBlanks" dxfId="467" priority="778">
      <formula>LEN(TRIM(AB145))=0</formula>
    </cfRule>
  </conditionalFormatting>
  <conditionalFormatting sqref="AB148">
    <cfRule type="containsBlanks" dxfId="466" priority="2284">
      <formula>LEN(TRIM(AB148))=0</formula>
    </cfRule>
    <cfRule type="containsBlanks" dxfId="465" priority="2285">
      <formula>LEN(TRIM(AB148))=0</formula>
    </cfRule>
    <cfRule type="containsBlanks" dxfId="464" priority="2286">
      <formula>LEN(TRIM(AB148))=0</formula>
    </cfRule>
    <cfRule type="containsBlanks" dxfId="463" priority="2287">
      <formula>LEN(TRIM(AB148))=0</formula>
    </cfRule>
    <cfRule type="containsBlanks" dxfId="462" priority="2288">
      <formula>LEN(TRIM(AB148))=0</formula>
    </cfRule>
    <cfRule type="containsBlanks" dxfId="461" priority="2289">
      <formula>LEN(TRIM(AB148))=0</formula>
    </cfRule>
    <cfRule type="containsBlanks" dxfId="460" priority="2274">
      <formula>LEN(TRIM(AB148))=0</formula>
    </cfRule>
    <cfRule type="containsBlanks" dxfId="459" priority="2266">
      <formula>LEN(TRIM(AB148))=0</formula>
    </cfRule>
    <cfRule type="containsBlanks" dxfId="458" priority="2267">
      <formula>LEN(TRIM(AB148))=0</formula>
    </cfRule>
    <cfRule type="containsBlanks" dxfId="457" priority="2268">
      <formula>LEN(TRIM(AB148))=0</formula>
    </cfRule>
    <cfRule type="containsBlanks" dxfId="456" priority="2269">
      <formula>LEN(TRIM(AB148))=0</formula>
    </cfRule>
    <cfRule type="containsBlanks" dxfId="455" priority="2270">
      <formula>LEN(TRIM(AB148))=0</formula>
    </cfRule>
    <cfRule type="containsBlanks" dxfId="454" priority="2271">
      <formula>LEN(TRIM(AB148))=0</formula>
    </cfRule>
    <cfRule type="containsBlanks" dxfId="453" priority="2272">
      <formula>LEN(TRIM(AB148))=0</formula>
    </cfRule>
    <cfRule type="containsBlanks" dxfId="452" priority="2273">
      <formula>LEN(TRIM(AB148))=0</formula>
    </cfRule>
    <cfRule type="containsBlanks" dxfId="451" priority="2275">
      <formula>LEN(TRIM(AB148))=0</formula>
    </cfRule>
    <cfRule type="containsBlanks" dxfId="450" priority="2276">
      <formula>LEN(TRIM(AB148))=0</formula>
    </cfRule>
    <cfRule type="containsBlanks" dxfId="449" priority="2277">
      <formula>LEN(TRIM(AB148))=0</formula>
    </cfRule>
    <cfRule type="containsBlanks" dxfId="448" priority="2278">
      <formula>LEN(TRIM(AB148))=0</formula>
    </cfRule>
    <cfRule type="containsBlanks" dxfId="447" priority="2279">
      <formula>LEN(TRIM(AB148))=0</formula>
    </cfRule>
    <cfRule type="containsBlanks" dxfId="446" priority="2280">
      <formula>LEN(TRIM(AB148))=0</formula>
    </cfRule>
    <cfRule type="containsBlanks" dxfId="445" priority="2281">
      <formula>LEN(TRIM(AB148))=0</formula>
    </cfRule>
    <cfRule type="containsBlanks" dxfId="444" priority="2282">
      <formula>LEN(TRIM(AB148))=0</formula>
    </cfRule>
    <cfRule type="containsBlanks" dxfId="443" priority="2283">
      <formula>LEN(TRIM(AB148))=0</formula>
    </cfRule>
  </conditionalFormatting>
  <conditionalFormatting sqref="AB150">
    <cfRule type="containsBlanks" dxfId="442" priority="2245">
      <formula>LEN(TRIM(AB150))=0</formula>
    </cfRule>
    <cfRule type="containsBlanks" dxfId="441" priority="2248">
      <formula>LEN(TRIM(AB150))=0</formula>
    </cfRule>
    <cfRule type="containsBlanks" dxfId="440" priority="2247">
      <formula>LEN(TRIM(AB150))=0</formula>
    </cfRule>
    <cfRule type="containsBlanks" dxfId="439" priority="2246">
      <formula>LEN(TRIM(AB150))=0</formula>
    </cfRule>
    <cfRule type="containsBlanks" dxfId="438" priority="2244">
      <formula>LEN(TRIM(AB150))=0</formula>
    </cfRule>
    <cfRule type="containsBlanks" dxfId="437" priority="2262">
      <formula>LEN(TRIM(AB150))=0</formula>
    </cfRule>
    <cfRule type="containsBlanks" dxfId="436" priority="2243">
      <formula>LEN(TRIM(AB150))=0</formula>
    </cfRule>
    <cfRule type="containsBlanks" dxfId="435" priority="2265">
      <formula>LEN(TRIM(AB150))=0</formula>
    </cfRule>
    <cfRule type="containsBlanks" dxfId="434" priority="2264">
      <formula>LEN(TRIM(AB150))=0</formula>
    </cfRule>
    <cfRule type="containsBlanks" dxfId="433" priority="2263">
      <formula>LEN(TRIM(AB150))=0</formula>
    </cfRule>
    <cfRule type="containsBlanks" dxfId="432" priority="2242">
      <formula>LEN(TRIM(AB150))=0</formula>
    </cfRule>
    <cfRule type="containsBlanks" dxfId="431" priority="2261">
      <formula>LEN(TRIM(AB150))=0</formula>
    </cfRule>
    <cfRule type="containsBlanks" dxfId="430" priority="2260">
      <formula>LEN(TRIM(AB150))=0</formula>
    </cfRule>
    <cfRule type="containsBlanks" dxfId="429" priority="2259">
      <formula>LEN(TRIM(AB150))=0</formula>
    </cfRule>
    <cfRule type="containsBlanks" dxfId="428" priority="2258">
      <formula>LEN(TRIM(AB150))=0</formula>
    </cfRule>
    <cfRule type="containsBlanks" dxfId="427" priority="2257">
      <formula>LEN(TRIM(AB150))=0</formula>
    </cfRule>
    <cfRule type="containsBlanks" dxfId="426" priority="2256">
      <formula>LEN(TRIM(AB150))=0</formula>
    </cfRule>
    <cfRule type="containsBlanks" dxfId="425" priority="2255">
      <formula>LEN(TRIM(AB150))=0</formula>
    </cfRule>
    <cfRule type="containsBlanks" dxfId="424" priority="2254">
      <formula>LEN(TRIM(AB150))=0</formula>
    </cfRule>
    <cfRule type="containsBlanks" dxfId="423" priority="2253">
      <formula>LEN(TRIM(AB150))=0</formula>
    </cfRule>
    <cfRule type="containsBlanks" dxfId="422" priority="2252">
      <formula>LEN(TRIM(AB150))=0</formula>
    </cfRule>
    <cfRule type="containsBlanks" dxfId="421" priority="2251">
      <formula>LEN(TRIM(AB150))=0</formula>
    </cfRule>
    <cfRule type="containsBlanks" dxfId="420" priority="2250">
      <formula>LEN(TRIM(AB150))=0</formula>
    </cfRule>
    <cfRule type="containsBlanks" dxfId="419" priority="2249">
      <formula>LEN(TRIM(AB150))=0</formula>
    </cfRule>
  </conditionalFormatting>
  <conditionalFormatting sqref="AB28:AC82">
    <cfRule type="containsBlanks" dxfId="418" priority="343">
      <formula>LEN(TRIM(AB28))=0</formula>
    </cfRule>
    <cfRule type="containsBlanks" dxfId="417" priority="344">
      <formula>LEN(TRIM(AB28))=0</formula>
    </cfRule>
  </conditionalFormatting>
  <conditionalFormatting sqref="AB52:AC59">
    <cfRule type="containsBlanks" dxfId="416" priority="455">
      <formula>LEN(TRIM(AB52))=0</formula>
    </cfRule>
  </conditionalFormatting>
  <conditionalFormatting sqref="AB134:AC141">
    <cfRule type="containsBlanks" dxfId="415" priority="2794">
      <formula>LEN(TRIM(AB134))=0</formula>
    </cfRule>
  </conditionalFormatting>
  <conditionalFormatting sqref="AB145:AC145">
    <cfRule type="containsBlanks" dxfId="414" priority="781">
      <formula>LEN(TRIM(AB145))=0</formula>
    </cfRule>
    <cfRule type="containsBlanks" dxfId="413" priority="780">
      <formula>LEN(TRIM(AB145))=0</formula>
    </cfRule>
  </conditionalFormatting>
  <conditionalFormatting sqref="AB56:AD85">
    <cfRule type="containsBlanks" dxfId="412" priority="341">
      <formula>LEN(TRIM(AB56))=0</formula>
    </cfRule>
    <cfRule type="containsBlanks" dxfId="411" priority="342">
      <formula>LEN(TRIM(AB56))=0</formula>
    </cfRule>
  </conditionalFormatting>
  <conditionalFormatting sqref="AC13:AC86">
    <cfRule type="containsBlanks" dxfId="410" priority="16">
      <formula>LEN(TRIM(AC13))=0</formula>
    </cfRule>
    <cfRule type="containsBlanks" dxfId="409" priority="15">
      <formula>LEN(TRIM(AC13))=0</formula>
    </cfRule>
    <cfRule type="containsBlanks" dxfId="408" priority="345">
      <formula>LEN(TRIM(AC13))=0</formula>
    </cfRule>
    <cfRule type="containsBlanks" dxfId="407" priority="346">
      <formula>LEN(TRIM(AC13))=0</formula>
    </cfRule>
  </conditionalFormatting>
  <conditionalFormatting sqref="AC14:AC85">
    <cfRule type="containsBlanks" dxfId="406" priority="10">
      <formula>LEN(TRIM(AC14))=0</formula>
    </cfRule>
    <cfRule type="containsBlanks" dxfId="405" priority="9">
      <formula>LEN(TRIM(AC14))=0</formula>
    </cfRule>
    <cfRule type="containsBlanks" dxfId="404" priority="339">
      <formula>LEN(TRIM(AC14))=0</formula>
    </cfRule>
    <cfRule type="containsBlanks" dxfId="403" priority="340">
      <formula>LEN(TRIM(AC14))=0</formula>
    </cfRule>
  </conditionalFormatting>
  <conditionalFormatting sqref="AC28:AC54">
    <cfRule type="containsBlanks" dxfId="402" priority="470">
      <formula>LEN(TRIM(AC28))=0</formula>
    </cfRule>
    <cfRule type="containsBlanks" dxfId="401" priority="471">
      <formula>LEN(TRIM(AC28))=0</formula>
    </cfRule>
  </conditionalFormatting>
  <conditionalFormatting sqref="AC28:AC82">
    <cfRule type="containsBlanks" dxfId="400" priority="337">
      <formula>LEN(TRIM(AC28))=0</formula>
    </cfRule>
    <cfRule type="containsBlanks" dxfId="399" priority="338">
      <formula>LEN(TRIM(AC28))=0</formula>
    </cfRule>
    <cfRule type="containsBlanks" dxfId="398" priority="13">
      <formula>LEN(TRIM(AC28))=0</formula>
    </cfRule>
    <cfRule type="containsBlanks" dxfId="397" priority="14">
      <formula>LEN(TRIM(AC28))=0</formula>
    </cfRule>
  </conditionalFormatting>
  <conditionalFormatting sqref="AC56:AC85">
    <cfRule type="containsBlanks" dxfId="396" priority="12">
      <formula>LEN(TRIM(AC56))=0</formula>
    </cfRule>
    <cfRule type="containsBlanks" dxfId="395" priority="335">
      <formula>LEN(TRIM(AC56))=0</formula>
    </cfRule>
    <cfRule type="containsBlanks" dxfId="394" priority="11">
      <formula>LEN(TRIM(AC56))=0</formula>
    </cfRule>
    <cfRule type="containsBlanks" dxfId="393" priority="469">
      <formula>LEN(TRIM(AC56))=0</formula>
    </cfRule>
    <cfRule type="containsBlanks" dxfId="392" priority="336">
      <formula>LEN(TRIM(AC56))=0</formula>
    </cfRule>
    <cfRule type="containsBlanks" dxfId="391" priority="468">
      <formula>LEN(TRIM(AC56))=0</formula>
    </cfRule>
  </conditionalFormatting>
  <conditionalFormatting sqref="AC95:AC153">
    <cfRule type="containsBlanks" dxfId="390" priority="754">
      <formula>LEN(TRIM(AC95))=0</formula>
    </cfRule>
    <cfRule type="containsBlanks" dxfId="389" priority="752">
      <formula>LEN(TRIM(AC95))=0</formula>
    </cfRule>
    <cfRule type="containsBlanks" dxfId="388" priority="756">
      <formula>LEN(TRIM(AC95))=0</formula>
    </cfRule>
    <cfRule type="containsBlanks" dxfId="387" priority="755">
      <formula>LEN(TRIM(AC95))=0</formula>
    </cfRule>
    <cfRule type="containsBlanks" dxfId="386" priority="757">
      <formula>LEN(TRIM(AC95))=0</formula>
    </cfRule>
    <cfRule type="containsBlanks" dxfId="385" priority="753">
      <formula>LEN(TRIM(AC95))=0</formula>
    </cfRule>
  </conditionalFormatting>
  <conditionalFormatting sqref="AC102">
    <cfRule type="containsBlanks" dxfId="384" priority="578">
      <formula>LEN(TRIM(AC102))=0</formula>
    </cfRule>
    <cfRule type="containsBlanks" dxfId="383" priority="579">
      <formula>LEN(TRIM(AC102))=0</formula>
    </cfRule>
    <cfRule type="containsBlanks" dxfId="382" priority="580">
      <formula>LEN(TRIM(AC102))=0</formula>
    </cfRule>
    <cfRule type="containsBlanks" dxfId="381" priority="581">
      <formula>LEN(TRIM(AC102))=0</formula>
    </cfRule>
    <cfRule type="containsBlanks" dxfId="380" priority="582">
      <formula>LEN(TRIM(AC102))=0</formula>
    </cfRule>
    <cfRule type="containsBlanks" dxfId="379" priority="583">
      <formula>LEN(TRIM(AC102))=0</formula>
    </cfRule>
    <cfRule type="containsBlanks" dxfId="378" priority="584">
      <formula>LEN(TRIM(AC102))=0</formula>
    </cfRule>
    <cfRule type="containsBlanks" dxfId="377" priority="585">
      <formula>LEN(TRIM(AC102))=0</formula>
    </cfRule>
    <cfRule type="containsBlanks" dxfId="376" priority="744">
      <formula>LEN(TRIM(AC102))=0</formula>
    </cfRule>
    <cfRule type="containsBlanks" dxfId="375" priority="740">
      <formula>LEN(TRIM(AC102))=0</formula>
    </cfRule>
    <cfRule type="containsBlanks" dxfId="374" priority="741">
      <formula>LEN(TRIM(AC102))=0</formula>
    </cfRule>
    <cfRule type="containsBlanks" dxfId="373" priority="742">
      <formula>LEN(TRIM(AC102))=0</formula>
    </cfRule>
    <cfRule type="containsBlanks" dxfId="372" priority="743">
      <formula>LEN(TRIM(AC102))=0</formula>
    </cfRule>
    <cfRule type="containsBlanks" dxfId="371" priority="745">
      <formula>LEN(TRIM(AC102))=0</formula>
    </cfRule>
    <cfRule type="containsBlanks" dxfId="370" priority="749">
      <formula>LEN(TRIM(AC102))=0</formula>
    </cfRule>
    <cfRule type="containsBlanks" dxfId="369" priority="751">
      <formula>LEN(TRIM(AC102))=0</formula>
    </cfRule>
    <cfRule type="containsBlanks" dxfId="368" priority="750">
      <formula>LEN(TRIM(AC102))=0</formula>
    </cfRule>
    <cfRule type="containsBlanks" dxfId="367" priority="748">
      <formula>LEN(TRIM(AC102))=0</formula>
    </cfRule>
    <cfRule type="containsBlanks" dxfId="366" priority="747">
      <formula>LEN(TRIM(AC102))=0</formula>
    </cfRule>
    <cfRule type="containsBlanks" dxfId="365" priority="746">
      <formula>LEN(TRIM(AC102))=0</formula>
    </cfRule>
    <cfRule type="containsBlanks" dxfId="364" priority="572">
      <formula>LEN(TRIM(AC102))=0</formula>
    </cfRule>
    <cfRule type="containsBlanks" dxfId="363" priority="573">
      <formula>LEN(TRIM(AC102))=0</formula>
    </cfRule>
    <cfRule type="containsBlanks" dxfId="362" priority="574">
      <formula>LEN(TRIM(AC102))=0</formula>
    </cfRule>
    <cfRule type="containsBlanks" dxfId="361" priority="575">
      <formula>LEN(TRIM(AC102))=0</formula>
    </cfRule>
    <cfRule type="containsBlanks" dxfId="360" priority="576">
      <formula>LEN(TRIM(AC102))=0</formula>
    </cfRule>
    <cfRule type="containsBlanks" dxfId="359" priority="577">
      <formula>LEN(TRIM(AC102))=0</formula>
    </cfRule>
  </conditionalFormatting>
  <conditionalFormatting sqref="AC107">
    <cfRule type="containsBlanks" dxfId="358" priority="737">
      <formula>LEN(TRIM(AC107))=0</formula>
    </cfRule>
    <cfRule type="containsBlanks" dxfId="357" priority="736">
      <formula>LEN(TRIM(AC107))=0</formula>
    </cfRule>
    <cfRule type="containsBlanks" dxfId="356" priority="735">
      <formula>LEN(TRIM(AC107))=0</formula>
    </cfRule>
    <cfRule type="containsBlanks" dxfId="355" priority="730">
      <formula>LEN(TRIM(AC107))=0</formula>
    </cfRule>
    <cfRule type="containsBlanks" dxfId="354" priority="732">
      <formula>LEN(TRIM(AC107))=0</formula>
    </cfRule>
    <cfRule type="containsBlanks" dxfId="353" priority="731">
      <formula>LEN(TRIM(AC107))=0</formula>
    </cfRule>
    <cfRule type="containsBlanks" dxfId="352" priority="607">
      <formula>LEN(TRIM(AC107))=0</formula>
    </cfRule>
    <cfRule type="containsBlanks" dxfId="351" priority="739">
      <formula>LEN(TRIM(AC107))=0</formula>
    </cfRule>
    <cfRule type="containsBlanks" dxfId="350" priority="606">
      <formula>LEN(TRIM(AC107))=0</formula>
    </cfRule>
    <cfRule type="containsBlanks" dxfId="349" priority="728">
      <formula>LEN(TRIM(AC107))=0</formula>
    </cfRule>
    <cfRule type="containsBlanks" dxfId="348" priority="738">
      <formula>LEN(TRIM(AC107))=0</formula>
    </cfRule>
    <cfRule type="containsBlanks" dxfId="347" priority="733">
      <formula>LEN(TRIM(AC107))=0</formula>
    </cfRule>
    <cfRule type="containsBlanks" dxfId="346" priority="734">
      <formula>LEN(TRIM(AC107))=0</formula>
    </cfRule>
    <cfRule type="containsBlanks" dxfId="345" priority="729">
      <formula>LEN(TRIM(AC107))=0</formula>
    </cfRule>
  </conditionalFormatting>
  <conditionalFormatting sqref="AC110">
    <cfRule type="containsBlanks" dxfId="344" priority="2241">
      <formula>LEN(TRIM(AC110))=0</formula>
    </cfRule>
    <cfRule type="containsBlanks" dxfId="343" priority="2240">
      <formula>LEN(TRIM(AC110))=0</formula>
    </cfRule>
    <cfRule type="containsBlanks" dxfId="342" priority="2239">
      <formula>LEN(TRIM(AC110))=0</formula>
    </cfRule>
    <cfRule type="containsBlanks" dxfId="341" priority="2238">
      <formula>LEN(TRIM(AC110))=0</formula>
    </cfRule>
    <cfRule type="containsBlanks" dxfId="340" priority="2237">
      <formula>LEN(TRIM(AC110))=0</formula>
    </cfRule>
    <cfRule type="containsBlanks" dxfId="339" priority="2236">
      <formula>LEN(TRIM(AC110))=0</formula>
    </cfRule>
    <cfRule type="containsBlanks" dxfId="338" priority="2235">
      <formula>LEN(TRIM(AC110))=0</formula>
    </cfRule>
    <cfRule type="containsBlanks" dxfId="337" priority="2234">
      <formula>LEN(TRIM(AC110))=0</formula>
    </cfRule>
    <cfRule type="containsBlanks" dxfId="336" priority="2233">
      <formula>LEN(TRIM(AC110))=0</formula>
    </cfRule>
    <cfRule type="containsBlanks" dxfId="335" priority="2232">
      <formula>LEN(TRIM(AC110))=0</formula>
    </cfRule>
    <cfRule type="containsBlanks" dxfId="334" priority="2231">
      <formula>LEN(TRIM(AC110))=0</formula>
    </cfRule>
    <cfRule type="containsBlanks" dxfId="333" priority="2230">
      <formula>LEN(TRIM(AC110))=0</formula>
    </cfRule>
    <cfRule type="containsBlanks" dxfId="332" priority="2229">
      <formula>LEN(TRIM(AC110))=0</formula>
    </cfRule>
    <cfRule type="containsBlanks" dxfId="331" priority="2228">
      <formula>LEN(TRIM(AC110))=0</formula>
    </cfRule>
    <cfRule type="containsBlanks" dxfId="330" priority="2227">
      <formula>LEN(TRIM(AC110))=0</formula>
    </cfRule>
    <cfRule type="containsBlanks" dxfId="329" priority="2225">
      <formula>LEN(TRIM(AC110))=0</formula>
    </cfRule>
    <cfRule type="containsBlanks" dxfId="328" priority="2224">
      <formula>LEN(TRIM(AC110))=0</formula>
    </cfRule>
    <cfRule type="containsBlanks" dxfId="327" priority="2223">
      <formula>LEN(TRIM(AC110))=0</formula>
    </cfRule>
    <cfRule type="containsBlanks" dxfId="326" priority="2222">
      <formula>LEN(TRIM(AC110))=0</formula>
    </cfRule>
    <cfRule type="containsBlanks" dxfId="325" priority="2221">
      <formula>LEN(TRIM(AC110))=0</formula>
    </cfRule>
    <cfRule type="containsBlanks" dxfId="324" priority="2220">
      <formula>LEN(TRIM(AC110))=0</formula>
    </cfRule>
    <cfRule type="containsBlanks" dxfId="323" priority="2226">
      <formula>LEN(TRIM(AC110))=0</formula>
    </cfRule>
  </conditionalFormatting>
  <conditionalFormatting sqref="AC110:AC136">
    <cfRule type="containsBlanks" dxfId="322" priority="2806">
      <formula>LEN(TRIM(AC110))=0</formula>
    </cfRule>
    <cfRule type="containsBlanks" dxfId="321" priority="2807">
      <formula>LEN(TRIM(AC110))=0</formula>
    </cfRule>
  </conditionalFormatting>
  <conditionalFormatting sqref="AC126">
    <cfRule type="containsBlanks" dxfId="320" priority="2194">
      <formula>LEN(TRIM(AC126))=0</formula>
    </cfRule>
    <cfRule type="containsBlanks" dxfId="319" priority="2184">
      <formula>LEN(TRIM(AC126))=0</formula>
    </cfRule>
    <cfRule type="containsBlanks" dxfId="318" priority="2195">
      <formula>LEN(TRIM(AC126))=0</formula>
    </cfRule>
    <cfRule type="containsBlanks" dxfId="317" priority="2196">
      <formula>LEN(TRIM(AC126))=0</formula>
    </cfRule>
    <cfRule type="containsBlanks" dxfId="316" priority="2197">
      <formula>LEN(TRIM(AC126))=0</formula>
    </cfRule>
    <cfRule type="containsBlanks" dxfId="315" priority="2193">
      <formula>LEN(TRIM(AC126))=0</formula>
    </cfRule>
    <cfRule type="containsBlanks" dxfId="314" priority="2177">
      <formula>LEN(TRIM(AC126))=0</formula>
    </cfRule>
    <cfRule type="containsBlanks" dxfId="313" priority="2178">
      <formula>LEN(TRIM(AC126))=0</formula>
    </cfRule>
    <cfRule type="containsBlanks" dxfId="312" priority="2179">
      <formula>LEN(TRIM(AC126))=0</formula>
    </cfRule>
    <cfRule type="containsBlanks" dxfId="311" priority="2180">
      <formula>LEN(TRIM(AC126))=0</formula>
    </cfRule>
    <cfRule type="containsBlanks" dxfId="310" priority="2185">
      <formula>LEN(TRIM(AC126))=0</formula>
    </cfRule>
    <cfRule type="containsBlanks" dxfId="309" priority="2186">
      <formula>LEN(TRIM(AC126))=0</formula>
    </cfRule>
    <cfRule type="containsBlanks" dxfId="308" priority="2181">
      <formula>LEN(TRIM(AC126))=0</formula>
    </cfRule>
    <cfRule type="containsBlanks" dxfId="307" priority="2187">
      <formula>LEN(TRIM(AC126))=0</formula>
    </cfRule>
    <cfRule type="containsBlanks" dxfId="306" priority="2188">
      <formula>LEN(TRIM(AC126))=0</formula>
    </cfRule>
    <cfRule type="containsBlanks" dxfId="305" priority="2189">
      <formula>LEN(TRIM(AC126))=0</formula>
    </cfRule>
    <cfRule type="containsBlanks" dxfId="304" priority="2190">
      <formula>LEN(TRIM(AC126))=0</formula>
    </cfRule>
    <cfRule type="containsBlanks" dxfId="303" priority="2176">
      <formula>LEN(TRIM(AC126))=0</formula>
    </cfRule>
    <cfRule type="containsBlanks" dxfId="302" priority="2182">
      <formula>LEN(TRIM(AC126))=0</formula>
    </cfRule>
    <cfRule type="containsBlanks" dxfId="301" priority="2191">
      <formula>LEN(TRIM(AC126))=0</formula>
    </cfRule>
    <cfRule type="containsBlanks" dxfId="300" priority="2192">
      <formula>LEN(TRIM(AC126))=0</formula>
    </cfRule>
    <cfRule type="containsBlanks" dxfId="299" priority="2183">
      <formula>LEN(TRIM(AC126))=0</formula>
    </cfRule>
  </conditionalFormatting>
  <conditionalFormatting sqref="AC136">
    <cfRule type="containsBlanks" dxfId="298" priority="2812">
      <formula>LEN(TRIM(AC136))=0</formula>
    </cfRule>
    <cfRule type="containsBlanks" dxfId="297" priority="2814">
      <formula>LEN(TRIM(AC136))=0</formula>
    </cfRule>
    <cfRule type="containsBlanks" dxfId="296" priority="2815">
      <formula>LEN(TRIM(AC136))=0</formula>
    </cfRule>
    <cfRule type="containsBlanks" dxfId="295" priority="2813">
      <formula>LEN(TRIM(AC136))=0</formula>
    </cfRule>
  </conditionalFormatting>
  <conditionalFormatting sqref="AC138:AC156">
    <cfRule type="containsBlanks" dxfId="294" priority="2804">
      <formula>LEN(TRIM(AC138))=0</formula>
    </cfRule>
    <cfRule type="containsBlanks" dxfId="293" priority="2805">
      <formula>LEN(TRIM(AC138))=0</formula>
    </cfRule>
  </conditionalFormatting>
  <conditionalFormatting sqref="AC145">
    <cfRule type="containsBlanks" dxfId="292" priority="2157">
      <formula>LEN(TRIM(AC145))=0</formula>
    </cfRule>
    <cfRule type="containsBlanks" dxfId="291" priority="2168">
      <formula>LEN(TRIM(AC145))=0</formula>
    </cfRule>
    <cfRule type="containsBlanks" dxfId="290" priority="2170">
      <formula>LEN(TRIM(AC145))=0</formula>
    </cfRule>
    <cfRule type="containsBlanks" dxfId="289" priority="2171">
      <formula>LEN(TRIM(AC145))=0</formula>
    </cfRule>
    <cfRule type="containsBlanks" dxfId="288" priority="2173">
      <formula>LEN(TRIM(AC145))=0</formula>
    </cfRule>
    <cfRule type="containsBlanks" dxfId="287" priority="2172">
      <formula>LEN(TRIM(AC145))=0</formula>
    </cfRule>
    <cfRule type="containsBlanks" dxfId="286" priority="2153">
      <formula>LEN(TRIM(AC145))=0</formula>
    </cfRule>
    <cfRule type="containsBlanks" dxfId="285" priority="2174">
      <formula>LEN(TRIM(AC145))=0</formula>
    </cfRule>
    <cfRule type="containsBlanks" dxfId="284" priority="2175">
      <formula>LEN(TRIM(AC145))=0</formula>
    </cfRule>
    <cfRule type="containsBlanks" dxfId="283" priority="2162">
      <formula>LEN(TRIM(AC145))=0</formula>
    </cfRule>
    <cfRule type="containsBlanks" dxfId="282" priority="2164">
      <formula>LEN(TRIM(AC145))=0</formula>
    </cfRule>
    <cfRule type="containsBlanks" dxfId="281" priority="2167">
      <formula>LEN(TRIM(AC145))=0</formula>
    </cfRule>
    <cfRule type="containsBlanks" dxfId="280" priority="2166">
      <formula>LEN(TRIM(AC145))=0</formula>
    </cfRule>
    <cfRule type="containsBlanks" dxfId="279" priority="2163">
      <formula>LEN(TRIM(AC145))=0</formula>
    </cfRule>
    <cfRule type="containsBlanks" dxfId="278" priority="2161">
      <formula>LEN(TRIM(AC145))=0</formula>
    </cfRule>
    <cfRule type="containsBlanks" dxfId="277" priority="2160">
      <formula>LEN(TRIM(AC145))=0</formula>
    </cfRule>
    <cfRule type="containsBlanks" dxfId="276" priority="2159">
      <formula>LEN(TRIM(AC145))=0</formula>
    </cfRule>
    <cfRule type="containsBlanks" dxfId="275" priority="2158">
      <formula>LEN(TRIM(AC145))=0</formula>
    </cfRule>
    <cfRule type="containsBlanks" dxfId="274" priority="2156">
      <formula>LEN(TRIM(AC145))=0</formula>
    </cfRule>
    <cfRule type="containsBlanks" dxfId="273" priority="2155">
      <formula>LEN(TRIM(AC145))=0</formula>
    </cfRule>
    <cfRule type="containsBlanks" dxfId="272" priority="2154">
      <formula>LEN(TRIM(AC145))=0</formula>
    </cfRule>
    <cfRule type="containsBlanks" dxfId="271" priority="2165">
      <formula>LEN(TRIM(AC145))=0</formula>
    </cfRule>
    <cfRule type="containsBlanks" dxfId="270" priority="2152">
      <formula>LEN(TRIM(AC145))=0</formula>
    </cfRule>
    <cfRule type="containsBlanks" dxfId="269" priority="2169">
      <formula>LEN(TRIM(AC145))=0</formula>
    </cfRule>
  </conditionalFormatting>
  <conditionalFormatting sqref="AC151">
    <cfRule type="containsBlanks" dxfId="268" priority="2218">
      <formula>LEN(TRIM(AC151))=0</formula>
    </cfRule>
    <cfRule type="containsBlanks" dxfId="267" priority="2216">
      <formula>LEN(TRIM(AC151))=0</formula>
    </cfRule>
    <cfRule type="containsBlanks" dxfId="266" priority="2215">
      <formula>LEN(TRIM(AC151))=0</formula>
    </cfRule>
    <cfRule type="containsBlanks" dxfId="265" priority="2214">
      <formula>LEN(TRIM(AC151))=0</formula>
    </cfRule>
    <cfRule type="containsBlanks" dxfId="264" priority="2213">
      <formula>LEN(TRIM(AC151))=0</formula>
    </cfRule>
    <cfRule type="containsBlanks" dxfId="263" priority="2211">
      <formula>LEN(TRIM(AC151))=0</formula>
    </cfRule>
    <cfRule type="containsBlanks" dxfId="262" priority="2210">
      <formula>LEN(TRIM(AC151))=0</formula>
    </cfRule>
    <cfRule type="containsBlanks" dxfId="261" priority="2208">
      <formula>LEN(TRIM(AC151))=0</formula>
    </cfRule>
    <cfRule type="containsBlanks" dxfId="260" priority="2151">
      <formula>LEN(TRIM(AC151))=0</formula>
    </cfRule>
    <cfRule type="containsBlanks" dxfId="259" priority="2150">
      <formula>LEN(TRIM(AC151))=0</formula>
    </cfRule>
    <cfRule type="containsBlanks" dxfId="258" priority="2206">
      <formula>LEN(TRIM(AC151))=0</formula>
    </cfRule>
    <cfRule type="containsBlanks" dxfId="257" priority="2209">
      <formula>LEN(TRIM(AC151))=0</formula>
    </cfRule>
    <cfRule type="containsBlanks" dxfId="256" priority="2217">
      <formula>LEN(TRIM(AC151))=0</formula>
    </cfRule>
    <cfRule type="containsBlanks" dxfId="255" priority="2204">
      <formula>LEN(TRIM(AC151))=0</formula>
    </cfRule>
    <cfRule type="containsBlanks" dxfId="254" priority="2205">
      <formula>LEN(TRIM(AC151))=0</formula>
    </cfRule>
    <cfRule type="containsBlanks" dxfId="253" priority="2207">
      <formula>LEN(TRIM(AC151))=0</formula>
    </cfRule>
    <cfRule type="containsBlanks" dxfId="252" priority="2219">
      <formula>LEN(TRIM(AC151))=0</formula>
    </cfRule>
    <cfRule type="containsBlanks" dxfId="251" priority="2212">
      <formula>LEN(TRIM(AC151))=0</formula>
    </cfRule>
    <cfRule type="containsBlanks" dxfId="250" priority="2198">
      <formula>LEN(TRIM(AC151))=0</formula>
    </cfRule>
    <cfRule type="containsBlanks" dxfId="249" priority="2199">
      <formula>LEN(TRIM(AC151))=0</formula>
    </cfRule>
    <cfRule type="containsBlanks" dxfId="248" priority="2200">
      <formula>LEN(TRIM(AC151))=0</formula>
    </cfRule>
    <cfRule type="containsBlanks" dxfId="247" priority="2201">
      <formula>LEN(TRIM(AC151))=0</formula>
    </cfRule>
    <cfRule type="containsBlanks" dxfId="246" priority="2202">
      <formula>LEN(TRIM(AC151))=0</formula>
    </cfRule>
    <cfRule type="containsBlanks" dxfId="245" priority="2203">
      <formula>LEN(TRIM(AC151))=0</formula>
    </cfRule>
  </conditionalFormatting>
  <conditionalFormatting sqref="AC102:AE102">
    <cfRule type="containsBlanks" dxfId="244" priority="622">
      <formula>LEN(TRIM(AC102))=0</formula>
    </cfRule>
    <cfRule type="containsBlanks" dxfId="243" priority="623">
      <formula>LEN(TRIM(AC102))=0</formula>
    </cfRule>
  </conditionalFormatting>
  <conditionalFormatting sqref="AC54:AF54">
    <cfRule type="containsBlanks" dxfId="242" priority="477">
      <formula>LEN(TRIM(AC54))=0</formula>
    </cfRule>
    <cfRule type="containsBlanks" dxfId="241" priority="480">
      <formula>LEN(TRIM(AC54))=0</formula>
    </cfRule>
    <cfRule type="containsBlanks" dxfId="240" priority="481">
      <formula>LEN(TRIM(AC54))=0</formula>
    </cfRule>
    <cfRule type="containsBlanks" dxfId="239" priority="476">
      <formula>LEN(TRIM(AC54))=0</formula>
    </cfRule>
  </conditionalFormatting>
  <conditionalFormatting sqref="AD13:AD86">
    <cfRule type="containsBlanks" dxfId="238" priority="460">
      <formula>LEN(TRIM(AD13))=0</formula>
    </cfRule>
    <cfRule type="containsBlanks" dxfId="237" priority="461">
      <formula>LEN(TRIM(AD13))=0</formula>
    </cfRule>
  </conditionalFormatting>
  <conditionalFormatting sqref="AD13:AD92">
    <cfRule type="containsBlanks" dxfId="236" priority="463">
      <formula>LEN(TRIM(AD13))=0</formula>
    </cfRule>
    <cfRule type="containsBlanks" dxfId="235" priority="462">
      <formula>LEN(TRIM(AD13))=0</formula>
    </cfRule>
  </conditionalFormatting>
  <conditionalFormatting sqref="AD28:AD54">
    <cfRule type="containsBlanks" dxfId="234" priority="459">
      <formula>LEN(TRIM(AD28))=0</formula>
    </cfRule>
  </conditionalFormatting>
  <conditionalFormatting sqref="AD87:AD92 AG87:AJ92">
    <cfRule type="containsBlanks" dxfId="233" priority="478">
      <formula>LEN(TRIM(AD87))=0</formula>
    </cfRule>
    <cfRule type="containsBlanks" dxfId="232" priority="479">
      <formula>LEN(TRIM(AD87))=0</formula>
    </cfRule>
  </conditionalFormatting>
  <conditionalFormatting sqref="AD95:AD107">
    <cfRule type="containsBlanks" dxfId="231" priority="624">
      <formula>LEN(TRIM(AD95))=0</formula>
    </cfRule>
    <cfRule type="containsBlanks" dxfId="230" priority="625">
      <formula>LEN(TRIM(AD95))=0</formula>
    </cfRule>
  </conditionalFormatting>
  <conditionalFormatting sqref="AD95:AD154">
    <cfRule type="containsBlanks" dxfId="229" priority="630">
      <formula>LEN(TRIM(AD95))=0</formula>
    </cfRule>
    <cfRule type="containsBlanks" dxfId="228" priority="629">
      <formula>LEN(TRIM(AD95))=0</formula>
    </cfRule>
    <cfRule type="containsBlanks" dxfId="227" priority="627">
      <formula>LEN(TRIM(AD95))=0</formula>
    </cfRule>
    <cfRule type="containsBlanks" dxfId="226" priority="626">
      <formula>LEN(TRIM(AD95))=0</formula>
    </cfRule>
    <cfRule type="containsBlanks" dxfId="225" priority="631">
      <formula>LEN(TRIM(AD95))=0</formula>
    </cfRule>
    <cfRule type="containsBlanks" dxfId="224" priority="628">
      <formula>LEN(TRIM(AD95))=0</formula>
    </cfRule>
  </conditionalFormatting>
  <conditionalFormatting sqref="AD108:AD154">
    <cfRule type="containsBlanks" dxfId="223" priority="609">
      <formula>LEN(TRIM(AD108))=0</formula>
    </cfRule>
    <cfRule type="containsBlanks" dxfId="222" priority="608">
      <formula>LEN(TRIM(AD108))=0</formula>
    </cfRule>
  </conditionalFormatting>
  <conditionalFormatting sqref="AD28:AE54">
    <cfRule type="containsBlanks" dxfId="221" priority="207">
      <formula>LEN(TRIM(AD28))=0</formula>
    </cfRule>
    <cfRule type="containsBlanks" dxfId="220" priority="208">
      <formula>LEN(TRIM(AD28))=0</formula>
    </cfRule>
  </conditionalFormatting>
  <conditionalFormatting sqref="AD102:AE102">
    <cfRule type="containsBlanks" dxfId="219" priority="611">
      <formula>LEN(TRIM(AD102))=0</formula>
    </cfRule>
    <cfRule type="containsBlanks" dxfId="218" priority="618">
      <formula>LEN(TRIM(AD102))=0</formula>
    </cfRule>
    <cfRule type="containsBlanks" dxfId="217" priority="615">
      <formula>LEN(TRIM(AD102))=0</formula>
    </cfRule>
    <cfRule type="containsBlanks" dxfId="216" priority="614">
      <formula>LEN(TRIM(AD102))=0</formula>
    </cfRule>
    <cfRule type="containsBlanks" dxfId="215" priority="613">
      <formula>LEN(TRIM(AD102))=0</formula>
    </cfRule>
    <cfRule type="containsBlanks" dxfId="214" priority="612">
      <formula>LEN(TRIM(AD102))=0</formula>
    </cfRule>
    <cfRule type="containsBlanks" dxfId="213" priority="610">
      <formula>LEN(TRIM(AD102))=0</formula>
    </cfRule>
    <cfRule type="containsBlanks" dxfId="212" priority="621">
      <formula>LEN(TRIM(AD102))=0</formula>
    </cfRule>
    <cfRule type="containsBlanks" dxfId="211" priority="620">
      <formula>LEN(TRIM(AD102))=0</formula>
    </cfRule>
    <cfRule type="containsBlanks" dxfId="210" priority="619">
      <formula>LEN(TRIM(AD102))=0</formula>
    </cfRule>
    <cfRule type="containsBlanks" dxfId="209" priority="617">
      <formula>LEN(TRIM(AD102))=0</formula>
    </cfRule>
    <cfRule type="containsBlanks" dxfId="208" priority="616">
      <formula>LEN(TRIM(AD102))=0</formula>
    </cfRule>
  </conditionalFormatting>
  <conditionalFormatting sqref="AE13:AE86">
    <cfRule type="containsBlanks" dxfId="207" priority="196">
      <formula>LEN(TRIM(AE13))=0</formula>
    </cfRule>
    <cfRule type="containsBlanks" dxfId="206" priority="195">
      <formula>LEN(TRIM(AE13))=0</formula>
    </cfRule>
  </conditionalFormatting>
  <conditionalFormatting sqref="AE13:AE92">
    <cfRule type="containsBlanks" dxfId="205" priority="212">
      <formula>LEN(TRIM(AE13))=0</formula>
    </cfRule>
    <cfRule type="containsBlanks" dxfId="204" priority="209">
      <formula>LEN(TRIM(AE13))=0</formula>
    </cfRule>
    <cfRule type="containsBlanks" dxfId="203" priority="211">
      <formula>LEN(TRIM(AE13))=0</formula>
    </cfRule>
    <cfRule type="containsBlanks" dxfId="202" priority="210">
      <formula>LEN(TRIM(AE13))=0</formula>
    </cfRule>
  </conditionalFormatting>
  <conditionalFormatting sqref="AE14:AE85">
    <cfRule type="containsBlanks" dxfId="201" priority="190">
      <formula>LEN(TRIM(AE14))=0</formula>
    </cfRule>
    <cfRule type="containsBlanks" dxfId="200" priority="189">
      <formula>LEN(TRIM(AE14))=0</formula>
    </cfRule>
  </conditionalFormatting>
  <conditionalFormatting sqref="AE25">
    <cfRule type="containsBlanks" dxfId="199" priority="199">
      <formula>LEN(TRIM(AE25))=0</formula>
    </cfRule>
    <cfRule type="containsBlanks" dxfId="198" priority="200">
      <formula>LEN(TRIM(AE25))=0</formula>
    </cfRule>
  </conditionalFormatting>
  <conditionalFormatting sqref="AE28:AE82">
    <cfRule type="containsBlanks" dxfId="197" priority="204">
      <formula>LEN(TRIM(AE28))=0</formula>
    </cfRule>
    <cfRule type="containsBlanks" dxfId="196" priority="193">
      <formula>LEN(TRIM(AE28))=0</formula>
    </cfRule>
    <cfRule type="containsBlanks" dxfId="195" priority="194">
      <formula>LEN(TRIM(AE28))=0</formula>
    </cfRule>
    <cfRule type="containsBlanks" dxfId="194" priority="188">
      <formula>LEN(TRIM(AE28))=0</formula>
    </cfRule>
    <cfRule type="containsBlanks" dxfId="193" priority="187">
      <formula>LEN(TRIM(AE28))=0</formula>
    </cfRule>
  </conditionalFormatting>
  <conditionalFormatting sqref="AE52:AE59">
    <cfRule type="containsBlanks" dxfId="192" priority="203">
      <formula>LEN(TRIM(AE52))=0</formula>
    </cfRule>
  </conditionalFormatting>
  <conditionalFormatting sqref="AE56:AE85">
    <cfRule type="containsBlanks" dxfId="191" priority="206">
      <formula>LEN(TRIM(AE56))=0</formula>
    </cfRule>
    <cfRule type="containsBlanks" dxfId="190" priority="205">
      <formula>LEN(TRIM(AE56))=0</formula>
    </cfRule>
    <cfRule type="containsBlanks" dxfId="189" priority="191">
      <formula>LEN(TRIM(AE56))=0</formula>
    </cfRule>
    <cfRule type="containsBlanks" dxfId="188" priority="192">
      <formula>LEN(TRIM(AE56))=0</formula>
    </cfRule>
  </conditionalFormatting>
  <conditionalFormatting sqref="AE61:AE76">
    <cfRule type="containsBlanks" dxfId="187" priority="201">
      <formula>LEN(TRIM(AE61))=0</formula>
    </cfRule>
    <cfRule type="containsBlanks" dxfId="186" priority="202">
      <formula>LEN(TRIM(AE61))=0</formula>
    </cfRule>
  </conditionalFormatting>
  <conditionalFormatting sqref="AE64">
    <cfRule type="containsBlanks" dxfId="185" priority="197">
      <formula>LEN(TRIM(AE64))=0</formula>
    </cfRule>
    <cfRule type="containsBlanks" dxfId="184" priority="198">
      <formula>LEN(TRIM(AE64))=0</formula>
    </cfRule>
  </conditionalFormatting>
  <conditionalFormatting sqref="AE95:AE153">
    <cfRule type="containsBlanks" dxfId="183" priority="605">
      <formula>LEN(TRIM(AE95))=0</formula>
    </cfRule>
    <cfRule type="containsBlanks" dxfId="182" priority="604">
      <formula>LEN(TRIM(AE95))=0</formula>
    </cfRule>
  </conditionalFormatting>
  <conditionalFormatting sqref="AE106">
    <cfRule type="containsBlanks" dxfId="181" priority="558">
      <formula>LEN(TRIM(AE106))=0</formula>
    </cfRule>
    <cfRule type="containsBlanks" dxfId="180" priority="559">
      <formula>LEN(TRIM(AE106))=0</formula>
    </cfRule>
    <cfRule type="containsBlanks" dxfId="179" priority="568">
      <formula>LEN(TRIM(AE106))=0</formula>
    </cfRule>
    <cfRule type="containsBlanks" dxfId="178" priority="561">
      <formula>LEN(TRIM(AE106))=0</formula>
    </cfRule>
    <cfRule type="containsBlanks" dxfId="177" priority="562">
      <formula>LEN(TRIM(AE106))=0</formula>
    </cfRule>
    <cfRule type="containsBlanks" dxfId="176" priority="563">
      <formula>LEN(TRIM(AE106))=0</formula>
    </cfRule>
    <cfRule type="containsBlanks" dxfId="175" priority="564">
      <formula>LEN(TRIM(AE106))=0</formula>
    </cfRule>
    <cfRule type="containsBlanks" dxfId="174" priority="565">
      <formula>LEN(TRIM(AE106))=0</formula>
    </cfRule>
    <cfRule type="containsBlanks" dxfId="173" priority="566">
      <formula>LEN(TRIM(AE106))=0</formula>
    </cfRule>
    <cfRule type="containsBlanks" dxfId="172" priority="567">
      <formula>LEN(TRIM(AE106))=0</formula>
    </cfRule>
    <cfRule type="containsBlanks" dxfId="171" priority="569">
      <formula>LEN(TRIM(AE106))=0</formula>
    </cfRule>
    <cfRule type="containsBlanks" dxfId="170" priority="560">
      <formula>LEN(TRIM(AE106))=0</formula>
    </cfRule>
  </conditionalFormatting>
  <conditionalFormatting sqref="AE106:AE107">
    <cfRule type="containsBlanks" dxfId="169" priority="570">
      <formula>LEN(TRIM(AE106))=0</formula>
    </cfRule>
    <cfRule type="containsBlanks" dxfId="168" priority="571">
      <formula>LEN(TRIM(AE106))=0</formula>
    </cfRule>
  </conditionalFormatting>
  <conditionalFormatting sqref="AE107">
    <cfRule type="containsBlanks" dxfId="167" priority="603">
      <formula>LEN(TRIM(AE107))=0</formula>
    </cfRule>
    <cfRule type="containsBlanks" dxfId="166" priority="600">
      <formula>LEN(TRIM(AE107))=0</formula>
    </cfRule>
    <cfRule type="containsBlanks" dxfId="165" priority="599">
      <formula>LEN(TRIM(AE107))=0</formula>
    </cfRule>
    <cfRule type="containsBlanks" dxfId="164" priority="598">
      <formula>LEN(TRIM(AE107))=0</formula>
    </cfRule>
    <cfRule type="containsBlanks" dxfId="163" priority="596">
      <formula>LEN(TRIM(AE107))=0</formula>
    </cfRule>
    <cfRule type="containsBlanks" dxfId="162" priority="595">
      <formula>LEN(TRIM(AE107))=0</formula>
    </cfRule>
    <cfRule type="containsBlanks" dxfId="161" priority="594">
      <formula>LEN(TRIM(AE107))=0</formula>
    </cfRule>
    <cfRule type="containsBlanks" dxfId="160" priority="592">
      <formula>LEN(TRIM(AE107))=0</formula>
    </cfRule>
    <cfRule type="containsBlanks" dxfId="159" priority="601">
      <formula>LEN(TRIM(AE107))=0</formula>
    </cfRule>
    <cfRule type="containsBlanks" dxfId="158" priority="597">
      <formula>LEN(TRIM(AE107))=0</formula>
    </cfRule>
    <cfRule type="containsBlanks" dxfId="157" priority="602">
      <formula>LEN(TRIM(AE107))=0</formula>
    </cfRule>
    <cfRule type="containsBlanks" dxfId="156" priority="593">
      <formula>LEN(TRIM(AE107))=0</formula>
    </cfRule>
  </conditionalFormatting>
  <conditionalFormatting sqref="AE56:AF85">
    <cfRule type="containsBlanks" dxfId="155" priority="179">
      <formula>LEN(TRIM(AE56))=0</formula>
    </cfRule>
    <cfRule type="containsBlanks" dxfId="154" priority="180">
      <formula>LEN(TRIM(AE56))=0</formula>
    </cfRule>
  </conditionalFormatting>
  <conditionalFormatting sqref="AE154:AF154 AD155:AF156">
    <cfRule type="containsBlanks" dxfId="153" priority="2149">
      <formula>LEN(TRIM(AD154))=0</formula>
    </cfRule>
    <cfRule type="containsBlanks" dxfId="152" priority="2148">
      <formula>LEN(TRIM(AD154))=0</formula>
    </cfRule>
  </conditionalFormatting>
  <conditionalFormatting sqref="AE154:AG154 AD155:AG156">
    <cfRule type="containsBlanks" dxfId="151" priority="1917">
      <formula>LEN(TRIM(AD154))=0</formula>
    </cfRule>
    <cfRule type="containsBlanks" dxfId="150" priority="1916">
      <formula>LEN(TRIM(AD154))=0</formula>
    </cfRule>
  </conditionalFormatting>
  <conditionalFormatting sqref="AF13:AF86">
    <cfRule type="containsBlanks" dxfId="149" priority="169">
      <formula>LEN(TRIM(AF13))=0</formula>
    </cfRule>
    <cfRule type="containsBlanks" dxfId="148" priority="170">
      <formula>LEN(TRIM(AF13))=0</formula>
    </cfRule>
  </conditionalFormatting>
  <conditionalFormatting sqref="AF13:AF92">
    <cfRule type="containsBlanks" dxfId="147" priority="183">
      <formula>LEN(TRIM(AF13))=0</formula>
    </cfRule>
    <cfRule type="containsBlanks" dxfId="146" priority="184">
      <formula>LEN(TRIM(AF13))=0</formula>
    </cfRule>
    <cfRule type="containsBlanks" dxfId="145" priority="185">
      <formula>LEN(TRIM(AF13))=0</formula>
    </cfRule>
    <cfRule type="containsBlanks" dxfId="144" priority="186">
      <formula>LEN(TRIM(AF13))=0</formula>
    </cfRule>
  </conditionalFormatting>
  <conditionalFormatting sqref="AF14:AF85">
    <cfRule type="containsBlanks" dxfId="143" priority="164">
      <formula>LEN(TRIM(AF14))=0</formula>
    </cfRule>
    <cfRule type="containsBlanks" dxfId="142" priority="163">
      <formula>LEN(TRIM(AF14))=0</formula>
    </cfRule>
  </conditionalFormatting>
  <conditionalFormatting sqref="AF25">
    <cfRule type="containsBlanks" dxfId="141" priority="173">
      <formula>LEN(TRIM(AF25))=0</formula>
    </cfRule>
    <cfRule type="containsBlanks" dxfId="140" priority="174">
      <formula>LEN(TRIM(AF25))=0</formula>
    </cfRule>
  </conditionalFormatting>
  <conditionalFormatting sqref="AF28:AF54">
    <cfRule type="containsBlanks" dxfId="139" priority="181">
      <formula>LEN(TRIM(AF28))=0</formula>
    </cfRule>
    <cfRule type="containsBlanks" dxfId="138" priority="182">
      <formula>LEN(TRIM(AF28))=0</formula>
    </cfRule>
  </conditionalFormatting>
  <conditionalFormatting sqref="AF28:AF82">
    <cfRule type="containsBlanks" dxfId="137" priority="168">
      <formula>LEN(TRIM(AF28))=0</formula>
    </cfRule>
    <cfRule type="containsBlanks" dxfId="136" priority="178">
      <formula>LEN(TRIM(AF28))=0</formula>
    </cfRule>
    <cfRule type="containsBlanks" dxfId="135" priority="167">
      <formula>LEN(TRIM(AF28))=0</formula>
    </cfRule>
    <cfRule type="containsBlanks" dxfId="134" priority="162">
      <formula>LEN(TRIM(AF28))=0</formula>
    </cfRule>
    <cfRule type="containsBlanks" dxfId="133" priority="161">
      <formula>LEN(TRIM(AF28))=0</formula>
    </cfRule>
  </conditionalFormatting>
  <conditionalFormatting sqref="AF52:AF59">
    <cfRule type="containsBlanks" dxfId="132" priority="177">
      <formula>LEN(TRIM(AF52))=0</formula>
    </cfRule>
  </conditionalFormatting>
  <conditionalFormatting sqref="AF56:AF85">
    <cfRule type="containsBlanks" dxfId="131" priority="159">
      <formula>LEN(TRIM(AF56))=0</formula>
    </cfRule>
    <cfRule type="containsBlanks" dxfId="130" priority="166">
      <formula>LEN(TRIM(AF56))=0</formula>
    </cfRule>
    <cfRule type="containsBlanks" dxfId="129" priority="165">
      <formula>LEN(TRIM(AF56))=0</formula>
    </cfRule>
    <cfRule type="containsBlanks" dxfId="128" priority="160">
      <formula>LEN(TRIM(AF56))=0</formula>
    </cfRule>
  </conditionalFormatting>
  <conditionalFormatting sqref="AF61:AF76">
    <cfRule type="containsBlanks" dxfId="127" priority="176">
      <formula>LEN(TRIM(AF61))=0</formula>
    </cfRule>
    <cfRule type="containsBlanks" dxfId="126" priority="175">
      <formula>LEN(TRIM(AF61))=0</formula>
    </cfRule>
  </conditionalFormatting>
  <conditionalFormatting sqref="AF64">
    <cfRule type="containsBlanks" dxfId="125" priority="172">
      <formula>LEN(TRIM(AF64))=0</formula>
    </cfRule>
    <cfRule type="containsBlanks" dxfId="124" priority="171">
      <formula>LEN(TRIM(AF64))=0</formula>
    </cfRule>
  </conditionalFormatting>
  <conditionalFormatting sqref="AF95:AF106 AF108:AF153 AH95:AJ99 AG95:AG112 AH100:AI100 AH101:AJ101 AH102:AI102 AH103:AJ156 AG114:AG153">
    <cfRule type="containsBlanks" dxfId="123" priority="590">
      <formula>LEN(TRIM(AF95))=0</formula>
    </cfRule>
  </conditionalFormatting>
  <conditionalFormatting sqref="AF95:AF106 AF108:AF153">
    <cfRule type="containsBlanks" dxfId="122" priority="587">
      <formula>LEN(TRIM(AF95))=0</formula>
    </cfRule>
    <cfRule type="containsBlanks" dxfId="121" priority="589">
      <formula>LEN(TRIM(AF95))=0</formula>
    </cfRule>
    <cfRule type="containsBlanks" dxfId="120" priority="588">
      <formula>LEN(TRIM(AF95))=0</formula>
    </cfRule>
    <cfRule type="containsBlanks" dxfId="119" priority="586">
      <formula>LEN(TRIM(AF95))=0</formula>
    </cfRule>
  </conditionalFormatting>
  <conditionalFormatting sqref="AF95:AF153">
    <cfRule type="containsBlanks" dxfId="118" priority="536">
      <formula>LEN(TRIM(AF95))=0</formula>
    </cfRule>
    <cfRule type="containsBlanks" dxfId="117" priority="537">
      <formula>LEN(TRIM(AF95))=0</formula>
    </cfRule>
  </conditionalFormatting>
  <conditionalFormatting sqref="AF107">
    <cfRule type="containsBlanks" dxfId="116" priority="529">
      <formula>LEN(TRIM(AF107))=0</formula>
    </cfRule>
    <cfRule type="containsBlanks" dxfId="115" priority="530">
      <formula>LEN(TRIM(AF107))=0</formula>
    </cfRule>
    <cfRule type="containsBlanks" dxfId="114" priority="531">
      <formula>LEN(TRIM(AF107))=0</formula>
    </cfRule>
    <cfRule type="containsBlanks" dxfId="113" priority="532">
      <formula>LEN(TRIM(AF107))=0</formula>
    </cfRule>
    <cfRule type="containsBlanks" dxfId="112" priority="533">
      <formula>LEN(TRIM(AF107))=0</formula>
    </cfRule>
    <cfRule type="containsBlanks" dxfId="111" priority="534">
      <formula>LEN(TRIM(AF107))=0</formula>
    </cfRule>
    <cfRule type="containsBlanks" dxfId="110" priority="535">
      <formula>LEN(TRIM(AF107))=0</formula>
    </cfRule>
    <cfRule type="containsBlanks" dxfId="109" priority="527">
      <formula>LEN(TRIM(AF107))=0</formula>
    </cfRule>
    <cfRule type="containsBlanks" dxfId="108" priority="522">
      <formula>LEN(TRIM(AF107))=0</formula>
    </cfRule>
    <cfRule type="containsBlanks" dxfId="107" priority="525">
      <formula>LEN(TRIM(AF107))=0</formula>
    </cfRule>
    <cfRule type="containsBlanks" dxfId="106" priority="524">
      <formula>LEN(TRIM(AF107))=0</formula>
    </cfRule>
    <cfRule type="containsBlanks" dxfId="105" priority="523">
      <formula>LEN(TRIM(AF107))=0</formula>
    </cfRule>
    <cfRule type="containsBlanks" dxfId="104" priority="528">
      <formula>LEN(TRIM(AF107))=0</formula>
    </cfRule>
    <cfRule type="containsBlanks" dxfId="103" priority="526">
      <formula>LEN(TRIM(AF107))=0</formula>
    </cfRule>
  </conditionalFormatting>
  <conditionalFormatting sqref="AG95:AG112 AG114:AG153 AJ153:AJ154 AH95:AJ99 AH100:AI100 AH101:AJ101 AH102:AI102 AH103:AJ152">
    <cfRule type="containsBlanks" dxfId="102" priority="554">
      <formula>LEN(TRIM(AG95))=0</formula>
    </cfRule>
  </conditionalFormatting>
  <conditionalFormatting sqref="AG95:AG153 AJ153:AJ154">
    <cfRule type="containsBlanks" dxfId="101" priority="552">
      <formula>LEN(TRIM(AG95))=0</formula>
    </cfRule>
    <cfRule type="containsBlanks" dxfId="100" priority="553">
      <formula>LEN(TRIM(AG95))=0</formula>
    </cfRule>
  </conditionalFormatting>
  <conditionalFormatting sqref="AG113">
    <cfRule type="containsBlanks" dxfId="99" priority="550">
      <formula>LEN(TRIM(AG113))=0</formula>
    </cfRule>
    <cfRule type="containsBlanks" dxfId="98" priority="549">
      <formula>LEN(TRIM(AG113))=0</formula>
    </cfRule>
    <cfRule type="containsBlanks" dxfId="97" priority="551">
      <formula>LEN(TRIM(AG113))=0</formula>
    </cfRule>
    <cfRule type="containsBlanks" dxfId="96" priority="541">
      <formula>LEN(TRIM(AG113))=0</formula>
    </cfRule>
    <cfRule type="containsBlanks" dxfId="95" priority="548">
      <formula>LEN(TRIM(AG113))=0</formula>
    </cfRule>
    <cfRule type="containsBlanks" dxfId="94" priority="538">
      <formula>LEN(TRIM(AG113))=0</formula>
    </cfRule>
    <cfRule type="containsBlanks" dxfId="93" priority="547">
      <formula>LEN(TRIM(AG113))=0</formula>
    </cfRule>
    <cfRule type="containsBlanks" dxfId="92" priority="543">
      <formula>LEN(TRIM(AG113))=0</formula>
    </cfRule>
    <cfRule type="containsBlanks" dxfId="91" priority="539">
      <formula>LEN(TRIM(AG113))=0</formula>
    </cfRule>
    <cfRule type="containsBlanks" dxfId="90" priority="540">
      <formula>LEN(TRIM(AG113))=0</formula>
    </cfRule>
    <cfRule type="containsBlanks" dxfId="89" priority="542">
      <formula>LEN(TRIM(AG113))=0</formula>
    </cfRule>
    <cfRule type="containsBlanks" dxfId="88" priority="544">
      <formula>LEN(TRIM(AG113))=0</formula>
    </cfRule>
    <cfRule type="containsBlanks" dxfId="87" priority="545">
      <formula>LEN(TRIM(AG113))=0</formula>
    </cfRule>
    <cfRule type="containsBlanks" dxfId="86" priority="546">
      <formula>LEN(TRIM(AG113))=0</formula>
    </cfRule>
  </conditionalFormatting>
  <conditionalFormatting sqref="AG13:AH13 AH14:AH85 AG14:AG88">
    <cfRule type="containsBlanks" dxfId="85" priority="332">
      <formula>LEN(TRIM(AG13))=0</formula>
    </cfRule>
  </conditionalFormatting>
  <conditionalFormatting sqref="AG154:AH156 AH153">
    <cfRule type="containsBlanks" dxfId="84" priority="2146">
      <formula>LEN(TRIM(AG153))=0</formula>
    </cfRule>
  </conditionalFormatting>
  <conditionalFormatting sqref="AG13:AI13 AI15:AI85">
    <cfRule type="containsBlanks" dxfId="83" priority="328">
      <formula>LEN(TRIM(AG13))=0</formula>
    </cfRule>
    <cfRule type="containsBlanks" dxfId="82" priority="327">
      <formula>LEN(TRIM(AG13))=0</formula>
    </cfRule>
  </conditionalFormatting>
  <conditionalFormatting sqref="AG87:AI92 AH86:AI86">
    <cfRule type="containsBlanks" dxfId="81" priority="484">
      <formula>LEN(TRIM(AG86))=0</formula>
    </cfRule>
  </conditionalFormatting>
  <conditionalFormatting sqref="AH14:AH85 AG14:AG86">
    <cfRule type="containsBlanks" dxfId="80" priority="330">
      <formula>LEN(TRIM(AG14))=0</formula>
    </cfRule>
    <cfRule type="containsBlanks" dxfId="79" priority="329">
      <formula>LEN(TRIM(AG14))=0</formula>
    </cfRule>
  </conditionalFormatting>
  <conditionalFormatting sqref="AH14:AH85 AG14:AG88 AG13:AH13">
    <cfRule type="containsBlanks" dxfId="78" priority="331">
      <formula>LEN(TRIM(AG13))=0</formula>
    </cfRule>
  </conditionalFormatting>
  <conditionalFormatting sqref="AH80:AH85">
    <cfRule type="containsBlanks" dxfId="77" priority="334">
      <formula>LEN(TRIM(AH80))=0</formula>
    </cfRule>
    <cfRule type="containsBlanks" dxfId="76" priority="333">
      <formula>LEN(TRIM(AH80))=0</formula>
    </cfRule>
  </conditionalFormatting>
  <conditionalFormatting sqref="AH153 AG154:AH156">
    <cfRule type="containsBlanks" dxfId="75" priority="2147">
      <formula>LEN(TRIM(AG153))=0</formula>
    </cfRule>
  </conditionalFormatting>
  <conditionalFormatting sqref="AH153:AH154">
    <cfRule type="containsBlanks" dxfId="74" priority="1914">
      <formula>LEN(TRIM(AH153))=0</formula>
    </cfRule>
    <cfRule type="containsBlanks" dxfId="73" priority="1915">
      <formula>LEN(TRIM(AH153))=0</formula>
    </cfRule>
  </conditionalFormatting>
  <conditionalFormatting sqref="AH153:AH156">
    <cfRule type="containsBlanks" dxfId="72" priority="2801">
      <formula>LEN(TRIM(AH153))=0</formula>
    </cfRule>
    <cfRule type="containsBlanks" dxfId="71" priority="2800">
      <formula>LEN(TRIM(AH153))=0</formula>
    </cfRule>
  </conditionalFormatting>
  <conditionalFormatting sqref="AH28:AI59">
    <cfRule type="containsBlanks" dxfId="70" priority="324">
      <formula>LEN(TRIM(AH28))=0</formula>
    </cfRule>
  </conditionalFormatting>
  <conditionalFormatting sqref="AH52:AI59">
    <cfRule type="containsBlanks" dxfId="69" priority="323">
      <formula>LEN(TRIM(AH52))=0</formula>
    </cfRule>
  </conditionalFormatting>
  <conditionalFormatting sqref="AH61:AI76">
    <cfRule type="containsBlanks" dxfId="68" priority="322">
      <formula>LEN(TRIM(AH61))=0</formula>
    </cfRule>
    <cfRule type="containsBlanks" dxfId="67" priority="321">
      <formula>LEN(TRIM(AH61))=0</formula>
    </cfRule>
  </conditionalFormatting>
  <conditionalFormatting sqref="AH86:AI86 AG87:AI92">
    <cfRule type="containsBlanks" dxfId="66" priority="485">
      <formula>LEN(TRIM(AG86))=0</formula>
    </cfRule>
  </conditionalFormatting>
  <conditionalFormatting sqref="AH95:AJ99 AF95:AF106 AG95:AG112 AH100:AI100 AH101:AJ101 AH102:AI102 AH103:AJ156 AF108:AF153 AG114:AG153">
    <cfRule type="containsBlanks" dxfId="65" priority="591">
      <formula>LEN(TRIM(AF95))=0</formula>
    </cfRule>
  </conditionalFormatting>
  <conditionalFormatting sqref="AH95:AJ99 AG95:AG112 AH100:AI100 AH101:AJ101 AH102:AI102 AH103:AJ152 AG114:AG153 AI153:AJ154">
    <cfRule type="containsBlanks" dxfId="64" priority="556">
      <formula>LEN(TRIM(AG95))=0</formula>
    </cfRule>
    <cfRule type="containsBlanks" dxfId="63" priority="557">
      <formula>LEN(TRIM(AG95))=0</formula>
    </cfRule>
  </conditionalFormatting>
  <conditionalFormatting sqref="AH95:AJ99 AG95:AG112 AH100:AI100 AH101:AJ101 AH102:AI102 AH103:AJ152 AG114:AG153 AJ153:AJ154">
    <cfRule type="containsBlanks" dxfId="62" priority="555">
      <formula>LEN(TRIM(AG95))=0</formula>
    </cfRule>
  </conditionalFormatting>
  <conditionalFormatting sqref="AH95:AJ101">
    <cfRule type="containsBlanks" dxfId="61" priority="521">
      <formula>LEN(TRIM(AH95))=0</formula>
    </cfRule>
    <cfRule type="containsBlanks" dxfId="60" priority="520">
      <formula>LEN(TRIM(AH95))=0</formula>
    </cfRule>
  </conditionalFormatting>
  <conditionalFormatting sqref="AH102:AJ152">
    <cfRule type="containsBlanks" dxfId="59" priority="504">
      <formula>LEN(TRIM(AH102))=0</formula>
    </cfRule>
    <cfRule type="containsBlanks" dxfId="58" priority="505">
      <formula>LEN(TRIM(AH102))=0</formula>
    </cfRule>
  </conditionalFormatting>
  <conditionalFormatting sqref="AI13 AI15:AI85">
    <cfRule type="containsBlanks" dxfId="57" priority="316">
      <formula>LEN(TRIM(AI13))=0</formula>
    </cfRule>
    <cfRule type="containsBlanks" dxfId="56" priority="326">
      <formula>LEN(TRIM(AI13))=0</formula>
    </cfRule>
  </conditionalFormatting>
  <conditionalFormatting sqref="AI13:AI85">
    <cfRule type="containsBlanks" dxfId="55" priority="7">
      <formula>LEN(TRIM(AI13))=0</formula>
    </cfRule>
    <cfRule type="containsBlanks" dxfId="54" priority="6">
      <formula>LEN(TRIM(AI13))=0</formula>
    </cfRule>
    <cfRule type="containsBlanks" dxfId="53" priority="8">
      <formula>LEN(TRIM(AI13))=0</formula>
    </cfRule>
    <cfRule type="containsBlanks" dxfId="52" priority="5">
      <formula>LEN(TRIM(AI13))=0</formula>
    </cfRule>
  </conditionalFormatting>
  <conditionalFormatting sqref="AI15:AI85 AI13">
    <cfRule type="containsBlanks" dxfId="51" priority="325">
      <formula>LEN(TRIM(AI13))=0</formula>
    </cfRule>
    <cfRule type="containsBlanks" dxfId="50" priority="315">
      <formula>LEN(TRIM(AI13))=0</formula>
    </cfRule>
  </conditionalFormatting>
  <conditionalFormatting sqref="AI15:AI85">
    <cfRule type="containsBlanks" dxfId="49" priority="310">
      <formula>LEN(TRIM(AI15))=0</formula>
    </cfRule>
    <cfRule type="containsBlanks" dxfId="48" priority="309">
      <formula>LEN(TRIM(AI15))=0</formula>
    </cfRule>
  </conditionalFormatting>
  <conditionalFormatting sqref="AI25">
    <cfRule type="containsBlanks" dxfId="47" priority="320">
      <formula>LEN(TRIM(AI25))=0</formula>
    </cfRule>
    <cfRule type="containsBlanks" dxfId="46" priority="319">
      <formula>LEN(TRIM(AI25))=0</formula>
    </cfRule>
  </conditionalFormatting>
  <conditionalFormatting sqref="AI28:AI82">
    <cfRule type="containsBlanks" dxfId="45" priority="314">
      <formula>LEN(TRIM(AI28))=0</formula>
    </cfRule>
    <cfRule type="containsBlanks" dxfId="44" priority="313">
      <formula>LEN(TRIM(AI28))=0</formula>
    </cfRule>
    <cfRule type="containsBlanks" dxfId="43" priority="308">
      <formula>LEN(TRIM(AI28))=0</formula>
    </cfRule>
    <cfRule type="containsBlanks" dxfId="42" priority="307">
      <formula>LEN(TRIM(AI28))=0</formula>
    </cfRule>
  </conditionalFormatting>
  <conditionalFormatting sqref="AI56:AI85">
    <cfRule type="containsBlanks" dxfId="41" priority="312">
      <formula>LEN(TRIM(AI56))=0</formula>
    </cfRule>
    <cfRule type="containsBlanks" dxfId="40" priority="305">
      <formula>LEN(TRIM(AI56))=0</formula>
    </cfRule>
    <cfRule type="containsBlanks" dxfId="39" priority="311">
      <formula>LEN(TRIM(AI56))=0</formula>
    </cfRule>
    <cfRule type="containsBlanks" dxfId="38" priority="306">
      <formula>LEN(TRIM(AI56))=0</formula>
    </cfRule>
  </conditionalFormatting>
  <conditionalFormatting sqref="AI64">
    <cfRule type="containsBlanks" dxfId="37" priority="317">
      <formula>LEN(TRIM(AI64))=0</formula>
    </cfRule>
    <cfRule type="containsBlanks" dxfId="36" priority="318">
      <formula>LEN(TRIM(AI64))=0</formula>
    </cfRule>
  </conditionalFormatting>
  <conditionalFormatting sqref="AI155:AJ156">
    <cfRule type="containsBlanks" dxfId="35" priority="2044">
      <formula>LEN(TRIM(AI155))=0</formula>
    </cfRule>
    <cfRule type="containsBlanks" dxfId="34" priority="2045">
      <formula>LEN(TRIM(AI155))=0</formula>
    </cfRule>
  </conditionalFormatting>
  <conditionalFormatting sqref="AJ13:AJ86">
    <cfRule type="containsBlanks" dxfId="33" priority="1">
      <formula>LEN(TRIM(AJ13))=0</formula>
    </cfRule>
    <cfRule type="containsBlanks" dxfId="32" priority="2">
      <formula>LEN(TRIM(AJ13))=0</formula>
    </cfRule>
    <cfRule type="containsBlanks" dxfId="31" priority="3">
      <formula>LEN(TRIM(AJ13))=0</formula>
    </cfRule>
    <cfRule type="containsBlanks" dxfId="30" priority="4">
      <formula>LEN(TRIM(AJ13))=0</formula>
    </cfRule>
  </conditionalFormatting>
  <conditionalFormatting sqref="AJ100">
    <cfRule type="containsBlanks" dxfId="29" priority="509">
      <formula>LEN(TRIM(AJ100))=0</formula>
    </cfRule>
    <cfRule type="containsBlanks" dxfId="28" priority="514">
      <formula>LEN(TRIM(AJ100))=0</formula>
    </cfRule>
    <cfRule type="containsBlanks" dxfId="27" priority="508">
      <formula>LEN(TRIM(AJ100))=0</formula>
    </cfRule>
    <cfRule type="containsBlanks" dxfId="26" priority="519">
      <formula>LEN(TRIM(AJ100))=0</formula>
    </cfRule>
    <cfRule type="containsBlanks" dxfId="25" priority="513">
      <formula>LEN(TRIM(AJ100))=0</formula>
    </cfRule>
    <cfRule type="containsBlanks" dxfId="24" priority="516">
      <formula>LEN(TRIM(AJ100))=0</formula>
    </cfRule>
    <cfRule type="containsBlanks" dxfId="23" priority="515">
      <formula>LEN(TRIM(AJ100))=0</formula>
    </cfRule>
    <cfRule type="containsBlanks" dxfId="22" priority="511">
      <formula>LEN(TRIM(AJ100))=0</formula>
    </cfRule>
    <cfRule type="containsBlanks" dxfId="21" priority="510">
      <formula>LEN(TRIM(AJ100))=0</formula>
    </cfRule>
    <cfRule type="containsBlanks" dxfId="20" priority="517">
      <formula>LEN(TRIM(AJ100))=0</formula>
    </cfRule>
    <cfRule type="containsBlanks" dxfId="19" priority="506">
      <formula>LEN(TRIM(AJ100))=0</formula>
    </cfRule>
    <cfRule type="containsBlanks" dxfId="18" priority="507">
      <formula>LEN(TRIM(AJ100))=0</formula>
    </cfRule>
    <cfRule type="containsBlanks" dxfId="17" priority="518">
      <formula>LEN(TRIM(AJ100))=0</formula>
    </cfRule>
    <cfRule type="containsBlanks" dxfId="16" priority="512">
      <formula>LEN(TRIM(AJ100))=0</formula>
    </cfRule>
  </conditionalFormatting>
  <conditionalFormatting sqref="AJ102">
    <cfRule type="containsBlanks" dxfId="15" priority="501">
      <formula>LEN(TRIM(AJ102))=0</formula>
    </cfRule>
    <cfRule type="containsBlanks" dxfId="14" priority="502">
      <formula>LEN(TRIM(AJ102))=0</formula>
    </cfRule>
    <cfRule type="containsBlanks" dxfId="13" priority="503">
      <formula>LEN(TRIM(AJ102))=0</formula>
    </cfRule>
    <cfRule type="containsBlanks" dxfId="12" priority="490">
      <formula>LEN(TRIM(AJ102))=0</formula>
    </cfRule>
    <cfRule type="containsBlanks" dxfId="11" priority="491">
      <formula>LEN(TRIM(AJ102))=0</formula>
    </cfRule>
    <cfRule type="containsBlanks" dxfId="10" priority="493">
      <formula>LEN(TRIM(AJ102))=0</formula>
    </cfRule>
    <cfRule type="containsBlanks" dxfId="9" priority="494">
      <formula>LEN(TRIM(AJ102))=0</formula>
    </cfRule>
    <cfRule type="containsBlanks" dxfId="8" priority="495">
      <formula>LEN(TRIM(AJ102))=0</formula>
    </cfRule>
    <cfRule type="containsBlanks" dxfId="7" priority="496">
      <formula>LEN(TRIM(AJ102))=0</formula>
    </cfRule>
    <cfRule type="containsBlanks" dxfId="6" priority="497">
      <formula>LEN(TRIM(AJ102))=0</formula>
    </cfRule>
    <cfRule type="containsBlanks" dxfId="5" priority="498">
      <formula>LEN(TRIM(AJ102))=0</formula>
    </cfRule>
    <cfRule type="containsBlanks" dxfId="4" priority="499">
      <formula>LEN(TRIM(AJ102))=0</formula>
    </cfRule>
    <cfRule type="containsBlanks" dxfId="3" priority="500">
      <formula>LEN(TRIM(AJ102))=0</formula>
    </cfRule>
    <cfRule type="containsBlanks" dxfId="2" priority="492">
      <formula>LEN(TRIM(AJ102))=0</formula>
    </cfRule>
  </conditionalFormatting>
  <conditionalFormatting sqref="AJ155:AJ156">
    <cfRule type="containsBlanks" dxfId="1" priority="2799">
      <formula>LEN(TRIM(AJ155))=0</formula>
    </cfRule>
    <cfRule type="containsBlanks" dxfId="0" priority="2798">
      <formula>LEN(TRIM(AJ155))=0</formula>
    </cfRule>
  </conditionalFormatting>
  <printOptions horizontalCentered="1"/>
  <pageMargins left="0" right="0" top="0" bottom="0" header="0" footer="0"/>
  <pageSetup paperSize="9" scale="65" orientation="landscape" r:id="rId1"/>
  <headerFooter alignWithMargins="0">
    <oddFooter>Page &amp;P</oddFooter>
  </headerFooter>
  <colBreaks count="1" manualBreakCount="1">
    <brk id="4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AT209"/>
  <sheetViews>
    <sheetView topLeftCell="A7" zoomScale="55" zoomScaleNormal="55" workbookViewId="0">
      <pane xSplit="1" ySplit="4" topLeftCell="B84" activePane="bottomRight" state="frozen"/>
      <selection activeCell="A7" sqref="A7"/>
      <selection pane="topRight" activeCell="B7" sqref="B7"/>
      <selection pane="bottomLeft" activeCell="A11" sqref="A11"/>
      <selection pane="bottomRight" activeCell="E100" sqref="E100"/>
    </sheetView>
  </sheetViews>
  <sheetFormatPr defaultColWidth="9.140625" defaultRowHeight="15"/>
  <cols>
    <col min="1" max="1" width="3.28515625" style="2" customWidth="1"/>
    <col min="2" max="2" width="11.5703125" style="2" customWidth="1"/>
    <col min="3" max="3" width="15" style="2" customWidth="1"/>
    <col min="4" max="4" width="7.28515625" style="2" customWidth="1"/>
    <col min="5" max="5" width="11.42578125" style="2" customWidth="1"/>
    <col min="6" max="6" width="12" style="2" customWidth="1"/>
    <col min="7" max="7" width="12" style="31" customWidth="1"/>
    <col min="8" max="8" width="11.7109375" style="31" customWidth="1"/>
    <col min="9" max="9" width="8.7109375" style="31" customWidth="1"/>
    <col min="10" max="10" width="12.5703125" style="31" customWidth="1"/>
    <col min="11" max="12" width="12.7109375" style="31" customWidth="1"/>
    <col min="13" max="13" width="9.42578125" style="31" customWidth="1"/>
    <col min="14" max="15" width="9.5703125" style="31" customWidth="1"/>
    <col min="16" max="16" width="10.28515625" style="31" customWidth="1"/>
    <col min="17" max="17" width="14" style="2" customWidth="1"/>
    <col min="18" max="18" width="16.42578125" style="46" bestFit="1" customWidth="1"/>
    <col min="19" max="19" width="12.85546875" style="44" customWidth="1"/>
    <col min="20" max="20" width="12.28515625" style="2" customWidth="1"/>
    <col min="21" max="21" width="15.140625" style="2" customWidth="1"/>
    <col min="22" max="23" width="10.140625" style="2" customWidth="1"/>
    <col min="24" max="24" width="10.140625" style="2" hidden="1" customWidth="1"/>
    <col min="25" max="25" width="10.140625" style="2" customWidth="1"/>
    <col min="26" max="28" width="10.140625" style="2" hidden="1" customWidth="1"/>
    <col min="29" max="29" width="13.42578125" style="47" customWidth="1"/>
    <col min="30" max="30" width="10" style="2" customWidth="1"/>
    <col min="31" max="31" width="14.28515625" style="2" customWidth="1"/>
    <col min="32" max="32" width="15.28515625" style="2" bestFit="1" customWidth="1"/>
    <col min="33" max="33" width="12.5703125" style="2" customWidth="1"/>
    <col min="34" max="34" width="10.85546875" style="2" customWidth="1"/>
    <col min="35" max="35" width="12.42578125" style="2" bestFit="1" customWidth="1"/>
    <col min="36" max="36" width="10.140625" style="2" customWidth="1"/>
    <col min="37" max="37" width="11.85546875" style="2" customWidth="1"/>
    <col min="38" max="38" width="13.140625" style="2" customWidth="1"/>
    <col min="39" max="40" width="10.140625" style="2" customWidth="1"/>
    <col min="41" max="16384" width="9.140625" style="2"/>
  </cols>
  <sheetData>
    <row r="1" spans="1:46" ht="8.25" customHeight="1"/>
    <row r="2" spans="1:46" ht="15.75">
      <c r="A2" s="1457" t="s">
        <v>3</v>
      </c>
      <c r="B2" s="1457"/>
      <c r="C2" s="1457"/>
      <c r="D2" s="1457"/>
      <c r="E2" s="1457"/>
      <c r="F2" s="1457"/>
      <c r="G2" s="1457"/>
      <c r="H2" s="386"/>
      <c r="I2" s="386"/>
      <c r="J2" s="386"/>
      <c r="K2" s="386"/>
      <c r="L2" s="386"/>
      <c r="M2" s="386"/>
      <c r="N2" s="386"/>
      <c r="O2" s="386"/>
      <c r="P2" s="386"/>
      <c r="R2" s="1462" t="s">
        <v>51</v>
      </c>
      <c r="S2" s="1462"/>
      <c r="T2" s="1462"/>
      <c r="U2" s="1462"/>
      <c r="V2" s="1462"/>
      <c r="W2" s="1462"/>
      <c r="X2" s="1462"/>
      <c r="Y2" s="1462"/>
      <c r="Z2" s="1462"/>
      <c r="AA2" s="1462"/>
      <c r="AB2" s="1462"/>
      <c r="AC2" s="1462"/>
      <c r="AD2" s="1462"/>
      <c r="AE2" s="1462"/>
    </row>
    <row r="3" spans="1:46" ht="15.75">
      <c r="A3" s="1463" t="s">
        <v>60</v>
      </c>
      <c r="B3" s="1463"/>
      <c r="C3" s="1463"/>
      <c r="D3" s="1463"/>
      <c r="E3" s="1463"/>
      <c r="F3" s="1463"/>
      <c r="G3" s="1463"/>
      <c r="H3" s="520"/>
      <c r="I3" s="520"/>
      <c r="J3" s="360"/>
      <c r="K3" s="520"/>
      <c r="L3" s="520"/>
      <c r="M3" s="520"/>
      <c r="N3" s="520">
        <f>144/0.67</f>
        <v>214.92537313432834</v>
      </c>
      <c r="O3" s="520"/>
      <c r="P3" s="520"/>
      <c r="Q3" s="48"/>
      <c r="R3" s="1465" t="s">
        <v>38</v>
      </c>
      <c r="S3" s="1465"/>
      <c r="T3" s="1465"/>
      <c r="U3" s="1465"/>
      <c r="V3" s="1465"/>
      <c r="W3" s="1465"/>
      <c r="X3" s="1465"/>
      <c r="Y3" s="1465"/>
      <c r="Z3" s="1465"/>
      <c r="AA3" s="1465"/>
      <c r="AB3" s="1465"/>
      <c r="AC3" s="1465"/>
      <c r="AD3" s="1465"/>
      <c r="AE3" s="1465"/>
    </row>
    <row r="4" spans="1:46" ht="15.75">
      <c r="A4" s="1464" t="s">
        <v>88</v>
      </c>
      <c r="B4" s="1464"/>
      <c r="C4" s="1464"/>
      <c r="D4" s="1464"/>
      <c r="E4" s="1464"/>
      <c r="F4" s="1464"/>
      <c r="G4" s="1464"/>
      <c r="H4" s="415"/>
      <c r="I4" s="415"/>
      <c r="J4" s="415">
        <f>F11*25000</f>
        <v>0</v>
      </c>
      <c r="K4" s="361">
        <f>G11*25000</f>
        <v>0</v>
      </c>
      <c r="L4" s="415"/>
      <c r="M4" s="415"/>
      <c r="N4" s="415"/>
      <c r="O4" s="415"/>
      <c r="P4" s="415"/>
      <c r="Q4" s="49"/>
      <c r="R4" s="50"/>
      <c r="S4" s="51"/>
      <c r="T4" s="483">
        <f>Q9-19035.02</f>
        <v>-14883.12</v>
      </c>
      <c r="U4" s="52"/>
      <c r="V4" s="52"/>
      <c r="W4" s="52"/>
      <c r="X4" s="52"/>
      <c r="Y4" s="52"/>
      <c r="Z4" s="52"/>
      <c r="AA4" s="52"/>
      <c r="AB4" s="52"/>
      <c r="AC4" s="53"/>
      <c r="AD4" s="52"/>
      <c r="AE4" s="5"/>
    </row>
    <row r="5" spans="1:46" ht="19.5" customHeight="1">
      <c r="A5" s="1466" t="s">
        <v>719</v>
      </c>
      <c r="B5" s="1466"/>
      <c r="C5" s="1466"/>
      <c r="D5" s="1466"/>
      <c r="E5" s="1466"/>
      <c r="F5" s="1466"/>
      <c r="G5" s="1466"/>
      <c r="H5" s="1466"/>
      <c r="I5" s="1466"/>
      <c r="J5" s="1466"/>
      <c r="K5" s="1466"/>
      <c r="L5" s="1466"/>
      <c r="M5" s="1466"/>
      <c r="N5" s="1466"/>
      <c r="O5" s="1466"/>
      <c r="P5" s="1466"/>
      <c r="Q5" s="1466"/>
      <c r="R5" s="1466"/>
      <c r="S5" s="1466"/>
      <c r="T5" s="1466"/>
      <c r="U5" s="1466"/>
      <c r="V5" s="1466"/>
      <c r="W5" s="1466"/>
      <c r="X5" s="1466"/>
      <c r="Y5" s="1466"/>
      <c r="Z5" s="1466"/>
      <c r="AA5" s="1466"/>
      <c r="AB5" s="1466"/>
      <c r="AC5" s="1466"/>
      <c r="AD5" s="1466"/>
      <c r="AE5" s="1466"/>
      <c r="AG5" s="36"/>
    </row>
    <row r="6" spans="1:46" ht="16.5" customHeight="1">
      <c r="A6" s="1444" t="s">
        <v>4</v>
      </c>
      <c r="B6" s="1446" t="s">
        <v>80</v>
      </c>
      <c r="C6" s="1444" t="s">
        <v>30</v>
      </c>
      <c r="D6" s="1446" t="s">
        <v>6</v>
      </c>
      <c r="E6" s="1446"/>
      <c r="F6" s="1446"/>
      <c r="G6" s="1446"/>
      <c r="H6" s="1446"/>
      <c r="I6" s="1446"/>
      <c r="J6" s="1446"/>
      <c r="K6" s="1446"/>
      <c r="L6" s="1446"/>
      <c r="M6" s="1446"/>
      <c r="N6" s="1446"/>
      <c r="O6" s="1446"/>
      <c r="P6" s="1446"/>
      <c r="Q6" s="1446"/>
      <c r="R6" s="1446"/>
      <c r="S6" s="1446"/>
      <c r="T6" s="1446"/>
      <c r="U6" s="1446"/>
      <c r="V6" s="1446"/>
      <c r="W6" s="1446"/>
      <c r="X6" s="1446"/>
      <c r="Y6" s="1446"/>
      <c r="Z6" s="1446"/>
      <c r="AA6" s="1446"/>
      <c r="AB6" s="1446"/>
      <c r="AC6" s="1446"/>
      <c r="AD6" s="1446"/>
      <c r="AE6" s="1446"/>
    </row>
    <row r="7" spans="1:46" ht="15.75" customHeight="1">
      <c r="A7" s="1444"/>
      <c r="B7" s="1446"/>
      <c r="C7" s="1444"/>
      <c r="D7" s="1446"/>
      <c r="E7" s="1458" t="s">
        <v>192</v>
      </c>
      <c r="F7" s="1458" t="s">
        <v>699</v>
      </c>
      <c r="G7" s="1446" t="s">
        <v>700</v>
      </c>
      <c r="H7" s="1446" t="s">
        <v>238</v>
      </c>
      <c r="I7" s="1446" t="s">
        <v>467</v>
      </c>
      <c r="J7" s="1470" t="s">
        <v>720</v>
      </c>
      <c r="K7" s="1470" t="s">
        <v>721</v>
      </c>
      <c r="L7" s="1470" t="s">
        <v>468</v>
      </c>
      <c r="M7" s="1470" t="s">
        <v>799</v>
      </c>
      <c r="N7" s="1446" t="s">
        <v>469</v>
      </c>
      <c r="O7" s="517"/>
      <c r="P7" s="1446" t="s">
        <v>464</v>
      </c>
      <c r="Q7" s="1475" t="s">
        <v>97</v>
      </c>
      <c r="R7" s="1444" t="s">
        <v>57</v>
      </c>
      <c r="S7" s="1444"/>
      <c r="T7" s="1444"/>
      <c r="U7" s="519"/>
      <c r="V7" s="1473" t="s">
        <v>58</v>
      </c>
      <c r="W7" s="1474"/>
      <c r="X7" s="1474"/>
      <c r="Y7" s="516"/>
      <c r="Z7" s="516"/>
      <c r="AA7" s="516"/>
      <c r="AB7" s="522"/>
      <c r="AC7" s="1468" t="s">
        <v>96</v>
      </c>
      <c r="AD7" s="1455" t="s">
        <v>37</v>
      </c>
      <c r="AE7" s="1446" t="s">
        <v>34</v>
      </c>
      <c r="AF7" s="57"/>
    </row>
    <row r="8" spans="1:46" ht="88.5" customHeight="1">
      <c r="A8" s="1444"/>
      <c r="B8" s="1446"/>
      <c r="C8" s="1444"/>
      <c r="D8" s="1446"/>
      <c r="E8" s="1458"/>
      <c r="F8" s="1458"/>
      <c r="G8" s="1446"/>
      <c r="H8" s="1446"/>
      <c r="I8" s="1446"/>
      <c r="J8" s="1470"/>
      <c r="K8" s="1470"/>
      <c r="L8" s="1470"/>
      <c r="M8" s="1470"/>
      <c r="N8" s="1446"/>
      <c r="O8" s="517"/>
      <c r="P8" s="1446"/>
      <c r="Q8" s="1475"/>
      <c r="R8" s="54" t="s">
        <v>32</v>
      </c>
      <c r="S8" s="55" t="s">
        <v>368</v>
      </c>
      <c r="T8" s="518" t="s">
        <v>98</v>
      </c>
      <c r="U8" s="518" t="s">
        <v>106</v>
      </c>
      <c r="V8" s="487" t="s">
        <v>221</v>
      </c>
      <c r="W8" s="487" t="s">
        <v>222</v>
      </c>
      <c r="X8" s="487" t="s">
        <v>402</v>
      </c>
      <c r="Y8" s="487" t="s">
        <v>407</v>
      </c>
      <c r="Z8" s="487" t="s">
        <v>400</v>
      </c>
      <c r="AA8" s="487" t="s">
        <v>401</v>
      </c>
      <c r="AB8" s="518" t="s">
        <v>241</v>
      </c>
      <c r="AC8" s="1469"/>
      <c r="AD8" s="1456"/>
      <c r="AE8" s="1467"/>
      <c r="AG8" s="31"/>
      <c r="AI8" s="47">
        <f>5308.01-Q9</f>
        <v>1156.1100000000006</v>
      </c>
    </row>
    <row r="9" spans="1:46" s="27" customFormat="1" ht="31.5" customHeight="1">
      <c r="A9" s="523" t="s">
        <v>65</v>
      </c>
      <c r="B9" s="1444" t="s">
        <v>100</v>
      </c>
      <c r="C9" s="1444"/>
      <c r="D9" s="1444"/>
      <c r="E9" s="837">
        <f t="shared" ref="E9:AC9" si="0">E10+E95</f>
        <v>1051.2</v>
      </c>
      <c r="F9" s="384">
        <f t="shared" si="0"/>
        <v>0</v>
      </c>
      <c r="G9" s="384">
        <f t="shared" si="0"/>
        <v>379.54</v>
      </c>
      <c r="H9" s="837">
        <f t="shared" si="0"/>
        <v>2127.8000000000002</v>
      </c>
      <c r="I9" s="384">
        <f t="shared" si="0"/>
        <v>0</v>
      </c>
      <c r="J9" s="837">
        <f t="shared" si="0"/>
        <v>0</v>
      </c>
      <c r="K9" s="384">
        <f t="shared" si="0"/>
        <v>0</v>
      </c>
      <c r="L9" s="384">
        <f t="shared" si="0"/>
        <v>0</v>
      </c>
      <c r="M9" s="384">
        <f t="shared" si="0"/>
        <v>593.36</v>
      </c>
      <c r="N9" s="786">
        <f t="shared" si="0"/>
        <v>0</v>
      </c>
      <c r="O9" s="384">
        <f t="shared" si="0"/>
        <v>0</v>
      </c>
      <c r="P9" s="384">
        <f t="shared" si="0"/>
        <v>0</v>
      </c>
      <c r="Q9" s="789">
        <f t="shared" si="0"/>
        <v>4151.8999999999996</v>
      </c>
      <c r="R9" s="384" t="e">
        <f t="shared" si="0"/>
        <v>#N/A</v>
      </c>
      <c r="S9" s="384">
        <f t="shared" si="0"/>
        <v>0</v>
      </c>
      <c r="T9" s="384">
        <f t="shared" si="0"/>
        <v>0</v>
      </c>
      <c r="U9" s="384" t="e">
        <f t="shared" si="0"/>
        <v>#N/A</v>
      </c>
      <c r="V9" s="384">
        <f t="shared" si="0"/>
        <v>3531</v>
      </c>
      <c r="W9" s="384">
        <f t="shared" si="0"/>
        <v>355</v>
      </c>
      <c r="X9" s="384">
        <f t="shared" si="0"/>
        <v>0</v>
      </c>
      <c r="Y9" s="384">
        <f t="shared" si="0"/>
        <v>171</v>
      </c>
      <c r="Z9" s="384">
        <f t="shared" si="0"/>
        <v>0</v>
      </c>
      <c r="AA9" s="384">
        <f t="shared" si="0"/>
        <v>0</v>
      </c>
      <c r="AB9" s="384">
        <f t="shared" si="0"/>
        <v>0</v>
      </c>
      <c r="AC9" s="384">
        <f t="shared" si="0"/>
        <v>4151.8999999999996</v>
      </c>
      <c r="AD9" s="367"/>
      <c r="AE9" s="522"/>
      <c r="AF9" s="56">
        <v>6716.8</v>
      </c>
      <c r="AG9" s="57">
        <f>6716.8-Q9</f>
        <v>2564.9000000000005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s="617" customFormat="1" ht="18.75" customHeight="1">
      <c r="A10" s="613" t="s">
        <v>36</v>
      </c>
      <c r="B10" s="1461" t="s">
        <v>64</v>
      </c>
      <c r="C10" s="1461"/>
      <c r="D10" s="1461"/>
      <c r="E10" s="538">
        <f t="shared" ref="E10:AC10" si="1">SUM(E11:E94)</f>
        <v>587.20000000000005</v>
      </c>
      <c r="F10" s="538">
        <f t="shared" si="1"/>
        <v>0</v>
      </c>
      <c r="G10" s="538">
        <f t="shared" si="1"/>
        <v>379.54</v>
      </c>
      <c r="H10" s="538">
        <f t="shared" si="1"/>
        <v>1417.6</v>
      </c>
      <c r="I10" s="538">
        <f t="shared" si="1"/>
        <v>0</v>
      </c>
      <c r="J10" s="538">
        <f t="shared" si="1"/>
        <v>0</v>
      </c>
      <c r="K10" s="538">
        <f t="shared" si="1"/>
        <v>0</v>
      </c>
      <c r="L10" s="538">
        <f t="shared" si="1"/>
        <v>0</v>
      </c>
      <c r="M10" s="538">
        <f t="shared" si="1"/>
        <v>150.69</v>
      </c>
      <c r="N10" s="538">
        <f t="shared" si="1"/>
        <v>0</v>
      </c>
      <c r="O10" s="538">
        <f t="shared" si="1"/>
        <v>0</v>
      </c>
      <c r="P10" s="538">
        <f t="shared" si="1"/>
        <v>0</v>
      </c>
      <c r="Q10" s="538">
        <f t="shared" si="1"/>
        <v>2535.0299999999997</v>
      </c>
      <c r="R10" s="538" t="e">
        <f t="shared" si="1"/>
        <v>#N/A</v>
      </c>
      <c r="S10" s="538">
        <f t="shared" si="1"/>
        <v>0</v>
      </c>
      <c r="T10" s="538">
        <f t="shared" si="1"/>
        <v>0</v>
      </c>
      <c r="U10" s="538" t="e">
        <f t="shared" si="1"/>
        <v>#N/A</v>
      </c>
      <c r="V10" s="538">
        <f t="shared" si="1"/>
        <v>1974</v>
      </c>
      <c r="W10" s="538">
        <f t="shared" si="1"/>
        <v>294</v>
      </c>
      <c r="X10" s="538">
        <f t="shared" si="1"/>
        <v>0</v>
      </c>
      <c r="Y10" s="538">
        <f t="shared" si="1"/>
        <v>0</v>
      </c>
      <c r="Z10" s="538">
        <f t="shared" si="1"/>
        <v>0</v>
      </c>
      <c r="AA10" s="538">
        <f t="shared" si="1"/>
        <v>0</v>
      </c>
      <c r="AB10" s="538">
        <f t="shared" si="1"/>
        <v>0</v>
      </c>
      <c r="AC10" s="538">
        <f t="shared" si="1"/>
        <v>2535.0299999999997</v>
      </c>
      <c r="AD10" s="538"/>
      <c r="AE10" s="538"/>
      <c r="AF10" s="614">
        <v>1618</v>
      </c>
      <c r="AG10" s="615">
        <v>194</v>
      </c>
      <c r="AH10" s="616"/>
      <c r="AI10" s="616"/>
      <c r="AJ10" s="616"/>
      <c r="AK10" s="594"/>
      <c r="AL10" s="594"/>
      <c r="AM10" s="594"/>
      <c r="AN10" s="594"/>
      <c r="AO10" s="594"/>
      <c r="AP10" s="594"/>
      <c r="AQ10" s="594"/>
      <c r="AR10" s="594"/>
      <c r="AS10" s="594"/>
      <c r="AT10" s="594"/>
    </row>
    <row r="11" spans="1:46" s="27" customFormat="1" ht="18.75" customHeight="1">
      <c r="A11" s="175">
        <v>1</v>
      </c>
      <c r="B11" s="208">
        <f>'Chấm công KT'!C13</f>
        <v>0</v>
      </c>
      <c r="C11" s="176" t="str">
        <f>'Chấm công KT'!D13</f>
        <v xml:space="preserve">T. Lăm  </v>
      </c>
      <c r="D11" s="90" t="s">
        <v>35</v>
      </c>
      <c r="E11" s="218">
        <f>10/1.25</f>
        <v>8</v>
      </c>
      <c r="F11" s="218"/>
      <c r="G11" s="218"/>
      <c r="H11" s="218"/>
      <c r="I11" s="218"/>
      <c r="J11" s="209"/>
      <c r="K11" s="159"/>
      <c r="L11" s="159"/>
      <c r="M11" s="209"/>
      <c r="N11" s="209"/>
      <c r="O11" s="209"/>
      <c r="P11" s="209"/>
      <c r="Q11" s="210">
        <f>SUM(E11:P11)</f>
        <v>8</v>
      </c>
      <c r="R11" s="528">
        <f>VLOOKUP(C11,'SẢN LƯỢNG'!D17:AK97,34,0)</f>
        <v>4114</v>
      </c>
      <c r="S11" s="209"/>
      <c r="T11" s="151">
        <f>S11*50/100</f>
        <v>0</v>
      </c>
      <c r="U11" s="212">
        <f>R11</f>
        <v>4114</v>
      </c>
      <c r="V11" s="485">
        <f>VLOOKUP(C11,'Chấm công KT'!D13:AK93,34,0)</f>
        <v>27</v>
      </c>
      <c r="W11" s="485">
        <f>VLOOKUP(C11,'Chấm công KT'!D13:AL93,35,0)</f>
        <v>4</v>
      </c>
      <c r="X11" s="486"/>
      <c r="Y11" s="485">
        <f>VLOOKUP(C11,'Chấm công KT'!D13:AN93,37,0)</f>
        <v>0</v>
      </c>
      <c r="Z11" s="485">
        <f>VLOOKUP(C11,'Chấm công KT'!$D$13:$AO$92,38,0)</f>
        <v>0</v>
      </c>
      <c r="AA11" s="485">
        <f>VLOOKUP(C11,'Chấm công KT'!$D$13:$AP$92,39,0)</f>
        <v>0</v>
      </c>
      <c r="AB11" s="213"/>
      <c r="AC11" s="211">
        <f>Q11</f>
        <v>8</v>
      </c>
      <c r="AD11" s="92">
        <f>VLOOKUP(C11,'SẢN LƯỢNG'!$D$17:$AR$160,37,0)</f>
        <v>3874</v>
      </c>
      <c r="AE11" s="209"/>
      <c r="AF11" s="206"/>
      <c r="AG11" s="207"/>
      <c r="AH11" s="72"/>
      <c r="AI11" s="72"/>
      <c r="AJ11" s="7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s="27" customFormat="1" ht="18.75" customHeight="1">
      <c r="A12" s="90">
        <v>2</v>
      </c>
      <c r="B12" s="208" t="str">
        <f>'Chấm công KT'!C14</f>
        <v>04052</v>
      </c>
      <c r="C12" s="176" t="str">
        <f>'Chấm công KT'!D14</f>
        <v>T. Feng</v>
      </c>
      <c r="D12" s="90" t="s">
        <v>35</v>
      </c>
      <c r="E12" s="218">
        <f t="shared" ref="E12:E75" si="2">10/1.25</f>
        <v>8</v>
      </c>
      <c r="F12" s="218"/>
      <c r="G12" s="218"/>
      <c r="H12" s="218"/>
      <c r="I12" s="218"/>
      <c r="J12" s="209"/>
      <c r="K12" s="159"/>
      <c r="L12" s="159"/>
      <c r="M12" s="209"/>
      <c r="N12" s="209"/>
      <c r="O12" s="219"/>
      <c r="P12" s="91"/>
      <c r="Q12" s="210">
        <f t="shared" ref="Q12:Q75" si="3">SUM(E12:P12)</f>
        <v>8</v>
      </c>
      <c r="R12" s="528">
        <f>VLOOKUP(C12,'SẢN LƯỢNG'!D18:AK98,34,0)</f>
        <v>4202</v>
      </c>
      <c r="S12" s="209"/>
      <c r="T12" s="151">
        <f>S12*50/100</f>
        <v>0</v>
      </c>
      <c r="U12" s="212">
        <f t="shared" ref="U12:U75" si="4">R12</f>
        <v>4202</v>
      </c>
      <c r="V12" s="485">
        <f>VLOOKUP(C12,'Chấm công KT'!D14:AK94,34,0)</f>
        <v>27</v>
      </c>
      <c r="W12" s="485">
        <f>VLOOKUP(C12,'Chấm công KT'!D14:AL94,35,0)</f>
        <v>4</v>
      </c>
      <c r="X12" s="486"/>
      <c r="Y12" s="485">
        <f>VLOOKUP(C12,'Chấm công KT'!D14:AN94,37,0)</f>
        <v>0</v>
      </c>
      <c r="Z12" s="485">
        <f>VLOOKUP(C12,'Chấm công KT'!$D$13:$AO$92,38,0)</f>
        <v>0</v>
      </c>
      <c r="AA12" s="485">
        <f>VLOOKUP(C12,'Chấm công KT'!$D$13:$AP$92,39,0)</f>
        <v>0</v>
      </c>
      <c r="AB12" s="213"/>
      <c r="AC12" s="214">
        <f>Q12</f>
        <v>8</v>
      </c>
      <c r="AD12" s="92">
        <f>VLOOKUP(C12,'SẢN LƯỢNG'!$D$17:$AR$160,37,0)</f>
        <v>3883</v>
      </c>
      <c r="AE12" s="93"/>
      <c r="AF12" s="85"/>
      <c r="AG12" s="72"/>
      <c r="AH12" s="82"/>
      <c r="AI12" s="83"/>
      <c r="AJ12" s="72"/>
      <c r="AK12" s="60"/>
      <c r="AL12" s="60"/>
      <c r="AM12" s="60"/>
      <c r="AN12" s="60"/>
      <c r="AO12" s="60"/>
      <c r="AP12" s="2"/>
      <c r="AQ12" s="2"/>
      <c r="AR12" s="2"/>
      <c r="AS12" s="2"/>
      <c r="AT12" s="2"/>
    </row>
    <row r="13" spans="1:46" s="27" customFormat="1" ht="18.75" customHeight="1">
      <c r="A13" s="175">
        <v>3</v>
      </c>
      <c r="B13" s="208" t="str">
        <f>'Chấm công KT'!C15</f>
        <v>02725</v>
      </c>
      <c r="C13" s="176" t="str">
        <f>'Chấm công KT'!D15</f>
        <v>T. Sa Văn</v>
      </c>
      <c r="D13" s="90" t="s">
        <v>35</v>
      </c>
      <c r="E13" s="218">
        <f t="shared" si="2"/>
        <v>8</v>
      </c>
      <c r="F13" s="218"/>
      <c r="G13" s="218"/>
      <c r="H13" s="218"/>
      <c r="I13" s="218"/>
      <c r="J13" s="209"/>
      <c r="K13" s="159"/>
      <c r="L13" s="95"/>
      <c r="M13" s="95"/>
      <c r="N13" s="91"/>
      <c r="O13" s="91"/>
      <c r="P13" s="91"/>
      <c r="Q13" s="210">
        <f t="shared" si="3"/>
        <v>8</v>
      </c>
      <c r="R13" s="528">
        <f>VLOOKUP(C13,'SẢN LƯỢNG'!D19:AK99,34,0)</f>
        <v>4404</v>
      </c>
      <c r="S13" s="209"/>
      <c r="T13" s="151">
        <f>S13*50/100</f>
        <v>0</v>
      </c>
      <c r="U13" s="212">
        <f t="shared" si="4"/>
        <v>4404</v>
      </c>
      <c r="V13" s="485">
        <f>VLOOKUP(C13,'Chấm công KT'!D15:AK95,34,0)</f>
        <v>26</v>
      </c>
      <c r="W13" s="485">
        <f>VLOOKUP(C13,'Chấm công KT'!D15:AL95,35,0)</f>
        <v>4</v>
      </c>
      <c r="X13" s="486"/>
      <c r="Y13" s="485">
        <f>VLOOKUP(C13,'Chấm công KT'!D15:AN95,37,0)</f>
        <v>0</v>
      </c>
      <c r="Z13" s="485">
        <f>VLOOKUP(C13,'Chấm công KT'!$D$13:$AO$92,38,0)</f>
        <v>0</v>
      </c>
      <c r="AA13" s="485">
        <f>VLOOKUP(C13,'Chấm công KT'!$D$13:$AP$92,39,0)</f>
        <v>0</v>
      </c>
      <c r="AB13" s="213"/>
      <c r="AC13" s="214">
        <f t="shared" ref="AC13:AC76" si="5">Q13</f>
        <v>8</v>
      </c>
      <c r="AD13" s="92">
        <f>VLOOKUP(C13,'SẢN LƯỢNG'!$D$17:$AR$160,37,0)</f>
        <v>5035</v>
      </c>
      <c r="AE13" s="93"/>
      <c r="AF13" s="85"/>
      <c r="AG13" s="85">
        <v>119657</v>
      </c>
      <c r="AH13" s="85">
        <v>197</v>
      </c>
      <c r="AI13" s="85"/>
      <c r="AJ13" s="85"/>
      <c r="AK13" s="60"/>
      <c r="AL13" s="60"/>
      <c r="AM13" s="60"/>
      <c r="AN13" s="60"/>
      <c r="AO13" s="60"/>
      <c r="AP13" s="86"/>
      <c r="AQ13" s="86"/>
      <c r="AR13" s="86"/>
      <c r="AS13" s="86"/>
      <c r="AT13" s="86"/>
    </row>
    <row r="14" spans="1:46" ht="18.75" customHeight="1">
      <c r="A14" s="90">
        <v>4</v>
      </c>
      <c r="B14" s="208" t="str">
        <f>'Chấm công KT'!C16</f>
        <v>04053</v>
      </c>
      <c r="C14" s="176" t="str">
        <f>'Chấm công KT'!D16</f>
        <v>Lăm Ma Thu</v>
      </c>
      <c r="D14" s="90" t="s">
        <v>35</v>
      </c>
      <c r="E14" s="218">
        <f t="shared" si="2"/>
        <v>8</v>
      </c>
      <c r="F14" s="218"/>
      <c r="G14" s="218"/>
      <c r="H14" s="218"/>
      <c r="I14" s="218"/>
      <c r="J14" s="209"/>
      <c r="K14" s="159"/>
      <c r="L14" s="159"/>
      <c r="M14" s="209"/>
      <c r="N14" s="209"/>
      <c r="O14" s="219"/>
      <c r="P14" s="91"/>
      <c r="Q14" s="210">
        <f t="shared" si="3"/>
        <v>8</v>
      </c>
      <c r="R14" s="528">
        <f>VLOOKUP(C14,'SẢN LƯỢNG'!D20:AK100,34,0)</f>
        <v>3213</v>
      </c>
      <c r="S14" s="209"/>
      <c r="T14" s="151">
        <f t="shared" ref="T14:T75" si="6">S14*50/100</f>
        <v>0</v>
      </c>
      <c r="U14" s="212">
        <f t="shared" si="4"/>
        <v>3213</v>
      </c>
      <c r="V14" s="485">
        <f>VLOOKUP(C14,'Chấm công KT'!D16:AK96,34,0)</f>
        <v>25</v>
      </c>
      <c r="W14" s="485">
        <f>VLOOKUP(C14,'Chấm công KT'!D16:AL96,35,0)</f>
        <v>4</v>
      </c>
      <c r="X14" s="486"/>
      <c r="Y14" s="485">
        <f>VLOOKUP(C14,'Chấm công KT'!D16:AN96,37,0)</f>
        <v>0</v>
      </c>
      <c r="Z14" s="485">
        <f>VLOOKUP(C14,'Chấm công KT'!$D$13:$AO$92,38,0)</f>
        <v>0</v>
      </c>
      <c r="AA14" s="485">
        <f>VLOOKUP(C14,'Chấm công KT'!$D$13:$AP$92,39,0)</f>
        <v>0</v>
      </c>
      <c r="AB14" s="213"/>
      <c r="AC14" s="214">
        <f t="shared" si="5"/>
        <v>8</v>
      </c>
      <c r="AD14" s="92">
        <f>VLOOKUP(C14,'SẢN LƯỢNG'!$D$17:$AR$160,37,0)</f>
        <v>3912</v>
      </c>
      <c r="AE14" s="93"/>
      <c r="AF14" s="77"/>
      <c r="AG14" s="61">
        <v>125408</v>
      </c>
      <c r="AH14" s="58">
        <v>554</v>
      </c>
      <c r="AI14" s="59"/>
      <c r="AJ14" s="60"/>
      <c r="AK14" s="60"/>
      <c r="AL14" s="60"/>
      <c r="AM14" s="60"/>
      <c r="AN14" s="60"/>
      <c r="AO14" s="60"/>
    </row>
    <row r="15" spans="1:46" ht="18.75" customHeight="1">
      <c r="A15" s="175">
        <v>5</v>
      </c>
      <c r="B15" s="208" t="str">
        <f>'Chấm công KT'!C17</f>
        <v>03459</v>
      </c>
      <c r="C15" s="176" t="str">
        <f>'Chấm công KT'!D17</f>
        <v>N. Vạt</v>
      </c>
      <c r="D15" s="90" t="s">
        <v>35</v>
      </c>
      <c r="E15" s="218">
        <f t="shared" si="2"/>
        <v>8</v>
      </c>
      <c r="F15" s="218"/>
      <c r="G15" s="218"/>
      <c r="H15" s="218"/>
      <c r="I15" s="218"/>
      <c r="J15" s="209"/>
      <c r="K15" s="159"/>
      <c r="L15" s="95"/>
      <c r="M15" s="209"/>
      <c r="N15" s="91"/>
      <c r="O15" s="91"/>
      <c r="P15" s="91"/>
      <c r="Q15" s="210">
        <f t="shared" si="3"/>
        <v>8</v>
      </c>
      <c r="R15" s="528">
        <f>VLOOKUP(C15,'SẢN LƯỢNG'!D21:AK101,34,0)</f>
        <v>3660</v>
      </c>
      <c r="S15" s="209"/>
      <c r="T15" s="151">
        <f t="shared" si="6"/>
        <v>0</v>
      </c>
      <c r="U15" s="212">
        <f t="shared" si="4"/>
        <v>3660</v>
      </c>
      <c r="V15" s="485">
        <f>VLOOKUP(C15,'Chấm công KT'!D17:AK97,34,0)</f>
        <v>26</v>
      </c>
      <c r="W15" s="485">
        <f>VLOOKUP(C15,'Chấm công KT'!D17:AL97,35,0)</f>
        <v>3</v>
      </c>
      <c r="X15" s="486"/>
      <c r="Y15" s="485">
        <f>VLOOKUP(C15,'Chấm công KT'!D17:AN97,37,0)</f>
        <v>0</v>
      </c>
      <c r="Z15" s="485">
        <f>VLOOKUP(C15,'Chấm công KT'!$D$13:$AO$92,38,0)</f>
        <v>0</v>
      </c>
      <c r="AA15" s="485">
        <f>VLOOKUP(C15,'Chấm công KT'!$D$13:$AP$92,39,0)</f>
        <v>0</v>
      </c>
      <c r="AB15" s="213"/>
      <c r="AC15" s="214">
        <f t="shared" si="5"/>
        <v>8</v>
      </c>
      <c r="AD15" s="92">
        <f>VLOOKUP(C15,'SẢN LƯỢNG'!$D$17:$AR$160,37,0)</f>
        <v>3471</v>
      </c>
      <c r="AE15" s="93"/>
      <c r="AF15" s="77"/>
      <c r="AG15" s="73">
        <v>97048</v>
      </c>
      <c r="AH15" s="73">
        <v>92</v>
      </c>
      <c r="AI15" s="59"/>
      <c r="AJ15" s="60"/>
      <c r="AK15" s="60"/>
      <c r="AL15" s="60"/>
      <c r="AM15" s="60"/>
      <c r="AN15" s="60"/>
      <c r="AO15" s="60"/>
    </row>
    <row r="16" spans="1:46" ht="18.75" customHeight="1">
      <c r="A16" s="90">
        <v>6</v>
      </c>
      <c r="B16" s="208" t="str">
        <f>'Chấm công KT'!C18</f>
        <v>04054</v>
      </c>
      <c r="C16" s="176" t="str">
        <f>'Chấm công KT'!D18</f>
        <v>N. Kay Son</v>
      </c>
      <c r="D16" s="90" t="s">
        <v>35</v>
      </c>
      <c r="E16" s="218">
        <f t="shared" si="2"/>
        <v>8</v>
      </c>
      <c r="F16" s="218"/>
      <c r="G16" s="218"/>
      <c r="H16" s="218"/>
      <c r="I16" s="218"/>
      <c r="J16" s="209"/>
      <c r="K16" s="159"/>
      <c r="L16" s="159"/>
      <c r="M16" s="209"/>
      <c r="N16" s="209"/>
      <c r="O16" s="219"/>
      <c r="P16" s="91"/>
      <c r="Q16" s="210">
        <f t="shared" si="3"/>
        <v>8</v>
      </c>
      <c r="R16" s="528">
        <f>VLOOKUP(C16,'SẢN LƯỢNG'!D22:AK102,34,0)</f>
        <v>4449</v>
      </c>
      <c r="S16" s="209"/>
      <c r="T16" s="151">
        <f t="shared" si="6"/>
        <v>0</v>
      </c>
      <c r="U16" s="212">
        <f t="shared" si="4"/>
        <v>4449</v>
      </c>
      <c r="V16" s="485">
        <f>VLOOKUP(C16,'Chấm công KT'!D18:AK98,34,0)</f>
        <v>27</v>
      </c>
      <c r="W16" s="485">
        <f>VLOOKUP(C16,'Chấm công KT'!D18:AL98,35,0)</f>
        <v>4</v>
      </c>
      <c r="X16" s="486"/>
      <c r="Y16" s="485">
        <f>VLOOKUP(C16,'Chấm công KT'!D18:AN98,37,0)</f>
        <v>0</v>
      </c>
      <c r="Z16" s="485">
        <f>VLOOKUP(C16,'Chấm công KT'!$D$13:$AO$92,38,0)</f>
        <v>0</v>
      </c>
      <c r="AA16" s="485">
        <f>VLOOKUP(C16,'Chấm công KT'!$D$13:$AP$92,39,0)</f>
        <v>0</v>
      </c>
      <c r="AB16" s="213"/>
      <c r="AC16" s="214">
        <f t="shared" si="5"/>
        <v>8</v>
      </c>
      <c r="AD16" s="92">
        <f>VLOOKUP(C16,'SẢN LƯỢNG'!$D$17:$AR$160,37,0)</f>
        <v>4292</v>
      </c>
      <c r="AE16" s="93"/>
      <c r="AF16" s="77"/>
      <c r="AG16" s="2">
        <v>46179</v>
      </c>
      <c r="AH16" s="62"/>
      <c r="AI16" s="72"/>
      <c r="AJ16" s="72"/>
      <c r="AK16" s="60"/>
      <c r="AL16" s="60"/>
      <c r="AM16" s="60"/>
      <c r="AN16" s="60"/>
      <c r="AO16" s="60"/>
    </row>
    <row r="17" spans="1:41" ht="18.75" customHeight="1">
      <c r="A17" s="175">
        <v>7</v>
      </c>
      <c r="B17" s="208" t="str">
        <f>'Chấm công KT'!C19</f>
        <v>04055</v>
      </c>
      <c r="C17" s="176" t="str">
        <f>'Chấm công KT'!D19</f>
        <v>T. Đèng 1</v>
      </c>
      <c r="D17" s="90" t="s">
        <v>35</v>
      </c>
      <c r="E17" s="218">
        <f t="shared" si="2"/>
        <v>8</v>
      </c>
      <c r="F17" s="218"/>
      <c r="G17" s="218"/>
      <c r="H17" s="218"/>
      <c r="I17" s="218"/>
      <c r="J17" s="209"/>
      <c r="K17" s="159"/>
      <c r="L17" s="159"/>
      <c r="M17" s="209"/>
      <c r="N17" s="209"/>
      <c r="O17" s="219"/>
      <c r="P17" s="91"/>
      <c r="Q17" s="210">
        <f t="shared" si="3"/>
        <v>8</v>
      </c>
      <c r="R17" s="528">
        <f>VLOOKUP(C17,'SẢN LƯỢNG'!D23:AK103,34,0)</f>
        <v>3953</v>
      </c>
      <c r="S17" s="209"/>
      <c r="T17" s="151">
        <f t="shared" si="6"/>
        <v>0</v>
      </c>
      <c r="U17" s="212">
        <f t="shared" si="4"/>
        <v>3953</v>
      </c>
      <c r="V17" s="485">
        <f>VLOOKUP(C17,'Chấm công KT'!D19:AK99,34,0)</f>
        <v>26</v>
      </c>
      <c r="W17" s="485">
        <f>VLOOKUP(C17,'Chấm công KT'!D19:AL99,35,0)</f>
        <v>4</v>
      </c>
      <c r="X17" s="486"/>
      <c r="Y17" s="485">
        <f>VLOOKUP(C17,'Chấm công KT'!D19:AN99,37,0)</f>
        <v>0</v>
      </c>
      <c r="Z17" s="485">
        <f>VLOOKUP(C17,'Chấm công KT'!$D$13:$AO$92,38,0)</f>
        <v>0</v>
      </c>
      <c r="AA17" s="485">
        <f>VLOOKUP(C17,'Chấm công KT'!$D$13:$AP$92,39,0)</f>
        <v>0</v>
      </c>
      <c r="AB17" s="213"/>
      <c r="AC17" s="214">
        <f t="shared" si="5"/>
        <v>8</v>
      </c>
      <c r="AD17" s="92">
        <f>VLOOKUP(C17,'SẢN LƯỢNG'!$D$17:$AR$160,37,0)</f>
        <v>3779</v>
      </c>
      <c r="AE17" s="93"/>
      <c r="AF17" s="85"/>
      <c r="AG17" s="72"/>
      <c r="AH17" s="80"/>
      <c r="AI17" s="81"/>
      <c r="AJ17" s="60"/>
      <c r="AK17" s="60"/>
      <c r="AL17" s="60"/>
      <c r="AM17" s="60"/>
      <c r="AN17" s="60"/>
      <c r="AO17" s="60"/>
    </row>
    <row r="18" spans="1:41" ht="18.75" customHeight="1">
      <c r="A18" s="90">
        <v>8</v>
      </c>
      <c r="B18" s="208" t="str">
        <f>'Chấm công KT'!C20</f>
        <v>03462</v>
      </c>
      <c r="C18" s="176" t="str">
        <f>'Chấm công KT'!D20</f>
        <v>T . Bua Ngân</v>
      </c>
      <c r="D18" s="90" t="s">
        <v>35</v>
      </c>
      <c r="E18" s="218">
        <f t="shared" si="2"/>
        <v>8</v>
      </c>
      <c r="F18" s="218"/>
      <c r="G18" s="218"/>
      <c r="H18" s="218"/>
      <c r="I18" s="218"/>
      <c r="J18" s="209"/>
      <c r="K18" s="159"/>
      <c r="L18" s="159"/>
      <c r="M18" s="209"/>
      <c r="N18" s="209"/>
      <c r="O18" s="219"/>
      <c r="P18" s="91"/>
      <c r="Q18" s="210">
        <f t="shared" si="3"/>
        <v>8</v>
      </c>
      <c r="R18" s="528">
        <f>VLOOKUP(C18,'SẢN LƯỢNG'!D24:AK104,34,0)</f>
        <v>3619</v>
      </c>
      <c r="S18" s="209"/>
      <c r="T18" s="151">
        <f t="shared" si="6"/>
        <v>0</v>
      </c>
      <c r="U18" s="212">
        <f t="shared" si="4"/>
        <v>3619</v>
      </c>
      <c r="V18" s="485">
        <f>VLOOKUP(C18,'Chấm công KT'!D20:AK100,34,0)</f>
        <v>27</v>
      </c>
      <c r="W18" s="485">
        <f>VLOOKUP(C18,'Chấm công KT'!D20:AL100,35,0)</f>
        <v>4</v>
      </c>
      <c r="X18" s="486"/>
      <c r="Y18" s="485">
        <f>VLOOKUP(C18,'Chấm công KT'!D20:AN100,37,0)</f>
        <v>0</v>
      </c>
      <c r="Z18" s="485">
        <f>VLOOKUP(C18,'Chấm công KT'!$D$13:$AO$92,38,0)</f>
        <v>0</v>
      </c>
      <c r="AA18" s="485">
        <f>VLOOKUP(C18,'Chấm công KT'!$D$13:$AP$92,39,0)</f>
        <v>0</v>
      </c>
      <c r="AB18" s="213"/>
      <c r="AC18" s="214">
        <f t="shared" si="5"/>
        <v>8</v>
      </c>
      <c r="AD18" s="92">
        <f>VLOOKUP(C18,'SẢN LƯỢNG'!$D$17:$AR$160,37,0)</f>
        <v>3373</v>
      </c>
      <c r="AE18" s="93"/>
      <c r="AF18" s="85"/>
      <c r="AG18" s="89"/>
      <c r="AH18" s="80"/>
      <c r="AI18" s="79">
        <f>1155.43-Q9</f>
        <v>-2996.4699999999993</v>
      </c>
      <c r="AJ18" s="60"/>
      <c r="AK18" s="60"/>
      <c r="AL18" s="60"/>
      <c r="AM18" s="60"/>
      <c r="AN18" s="60"/>
      <c r="AO18" s="60"/>
    </row>
    <row r="19" spans="1:41" ht="18.75" customHeight="1">
      <c r="A19" s="175">
        <v>9</v>
      </c>
      <c r="B19" s="208" t="str">
        <f>'Chấm công KT'!C21</f>
        <v>03463</v>
      </c>
      <c r="C19" s="176" t="str">
        <f>'Chấm công KT'!D21</f>
        <v>T Căng</v>
      </c>
      <c r="D19" s="90" t="s">
        <v>35</v>
      </c>
      <c r="E19" s="218">
        <f t="shared" si="2"/>
        <v>8</v>
      </c>
      <c r="F19" s="218"/>
      <c r="G19" s="218"/>
      <c r="H19" s="218"/>
      <c r="I19" s="218"/>
      <c r="J19" s="209"/>
      <c r="K19" s="159"/>
      <c r="L19" s="159"/>
      <c r="M19" s="209"/>
      <c r="N19" s="209"/>
      <c r="O19" s="219"/>
      <c r="P19" s="91"/>
      <c r="Q19" s="210">
        <f t="shared" si="3"/>
        <v>8</v>
      </c>
      <c r="R19" s="528">
        <f>VLOOKUP(C19,'SẢN LƯỢNG'!D25:AK105,34,0)</f>
        <v>4653</v>
      </c>
      <c r="S19" s="209"/>
      <c r="T19" s="151">
        <f t="shared" si="6"/>
        <v>0</v>
      </c>
      <c r="U19" s="212">
        <f t="shared" si="4"/>
        <v>4653</v>
      </c>
      <c r="V19" s="485">
        <f>VLOOKUP(C19,'Chấm công KT'!D21:AK101,34,0)</f>
        <v>27</v>
      </c>
      <c r="W19" s="485">
        <f>VLOOKUP(C19,'Chấm công KT'!D21:AL101,35,0)</f>
        <v>4</v>
      </c>
      <c r="X19" s="486"/>
      <c r="Y19" s="485">
        <f>VLOOKUP(C19,'Chấm công KT'!D21:AN101,37,0)</f>
        <v>0</v>
      </c>
      <c r="Z19" s="485">
        <f>VLOOKUP(C19,'Chấm công KT'!$D$13:$AO$92,38,0)</f>
        <v>0</v>
      </c>
      <c r="AA19" s="485">
        <f>VLOOKUP(C19,'Chấm công KT'!$D$13:$AP$92,39,0)</f>
        <v>0</v>
      </c>
      <c r="AB19" s="213"/>
      <c r="AC19" s="214">
        <f t="shared" si="5"/>
        <v>8</v>
      </c>
      <c r="AD19" s="92">
        <f>VLOOKUP(C19,'SẢN LƯỢNG'!$D$17:$AR$160,37,0)</f>
        <v>4784</v>
      </c>
      <c r="AE19" s="93"/>
      <c r="AF19" s="85"/>
      <c r="AG19" s="85"/>
      <c r="AH19" s="85"/>
      <c r="AI19" s="85"/>
      <c r="AJ19" s="60"/>
      <c r="AK19" s="60"/>
      <c r="AL19" s="60"/>
      <c r="AM19" s="60"/>
      <c r="AN19" s="60"/>
      <c r="AO19" s="60"/>
    </row>
    <row r="20" spans="1:41" ht="18.75" customHeight="1">
      <c r="A20" s="90">
        <v>10</v>
      </c>
      <c r="B20" s="208" t="str">
        <f>'Chấm công KT'!C22</f>
        <v>03464</v>
      </c>
      <c r="C20" s="176" t="str">
        <f>'Chấm công KT'!D22</f>
        <v>N. Phôn 1</v>
      </c>
      <c r="D20" s="90" t="s">
        <v>35</v>
      </c>
      <c r="E20" s="218">
        <f t="shared" si="2"/>
        <v>8</v>
      </c>
      <c r="F20" s="218"/>
      <c r="G20" s="218"/>
      <c r="H20" s="218"/>
      <c r="I20" s="218"/>
      <c r="J20" s="209"/>
      <c r="K20" s="159"/>
      <c r="L20" s="95"/>
      <c r="M20" s="95"/>
      <c r="N20" s="91"/>
      <c r="O20" s="91"/>
      <c r="P20" s="91"/>
      <c r="Q20" s="210">
        <f t="shared" si="3"/>
        <v>8</v>
      </c>
      <c r="R20" s="528">
        <f>VLOOKUP(C20,'SẢN LƯỢNG'!D26:AK106,34,0)</f>
        <v>4785</v>
      </c>
      <c r="S20" s="209"/>
      <c r="T20" s="151">
        <f t="shared" si="6"/>
        <v>0</v>
      </c>
      <c r="U20" s="212">
        <f t="shared" si="4"/>
        <v>4785</v>
      </c>
      <c r="V20" s="485">
        <f>VLOOKUP(C20,'Chấm công KT'!D22:AK102,34,0)</f>
        <v>27</v>
      </c>
      <c r="W20" s="485">
        <f>VLOOKUP(C20,'Chấm công KT'!D22:AL102,35,0)</f>
        <v>4</v>
      </c>
      <c r="X20" s="486"/>
      <c r="Y20" s="485">
        <f>VLOOKUP(C20,'Chấm công KT'!D22:AN102,37,0)</f>
        <v>0</v>
      </c>
      <c r="Z20" s="485">
        <f>VLOOKUP(C20,'Chấm công KT'!$D$13:$AO$92,38,0)</f>
        <v>0</v>
      </c>
      <c r="AA20" s="485">
        <f>VLOOKUP(C20,'Chấm công KT'!$D$13:$AP$92,39,0)</f>
        <v>0</v>
      </c>
      <c r="AB20" s="213"/>
      <c r="AC20" s="214">
        <f t="shared" si="5"/>
        <v>8</v>
      </c>
      <c r="AD20" s="92">
        <f>VLOOKUP(C20,'SẢN LƯỢNG'!$D$17:$AR$160,37,0)</f>
        <v>4831</v>
      </c>
      <c r="AE20" s="93"/>
      <c r="AF20" s="77"/>
      <c r="AG20" s="47">
        <f>Q9</f>
        <v>4151.8999999999996</v>
      </c>
      <c r="AH20" s="88"/>
      <c r="AI20" s="63"/>
      <c r="AJ20" s="60"/>
      <c r="AK20" s="60"/>
      <c r="AL20" s="60"/>
      <c r="AM20" s="60"/>
      <c r="AN20" s="60"/>
      <c r="AO20" s="60"/>
    </row>
    <row r="21" spans="1:41" ht="18.75" customHeight="1">
      <c r="A21" s="175">
        <v>11</v>
      </c>
      <c r="B21" s="208" t="str">
        <f>'Chấm công KT'!C23</f>
        <v>03465</v>
      </c>
      <c r="C21" s="176" t="str">
        <f>'Chấm công KT'!D23</f>
        <v>T. In Păn</v>
      </c>
      <c r="D21" s="90" t="s">
        <v>35</v>
      </c>
      <c r="E21" s="218">
        <f t="shared" si="2"/>
        <v>8</v>
      </c>
      <c r="F21" s="218"/>
      <c r="G21" s="218"/>
      <c r="H21" s="218"/>
      <c r="I21" s="218"/>
      <c r="J21" s="209"/>
      <c r="K21" s="159"/>
      <c r="L21" s="159"/>
      <c r="M21" s="209"/>
      <c r="N21" s="209"/>
      <c r="O21" s="219"/>
      <c r="P21" s="91"/>
      <c r="Q21" s="210">
        <f t="shared" si="3"/>
        <v>8</v>
      </c>
      <c r="R21" s="528">
        <f>VLOOKUP(C21,'SẢN LƯỢNG'!D27:AK107,34,0)</f>
        <v>4097</v>
      </c>
      <c r="S21" s="209"/>
      <c r="T21" s="151">
        <f t="shared" si="6"/>
        <v>0</v>
      </c>
      <c r="U21" s="212">
        <f t="shared" si="4"/>
        <v>4097</v>
      </c>
      <c r="V21" s="485">
        <f>VLOOKUP(C21,'Chấm công KT'!D23:AK103,34,0)</f>
        <v>26</v>
      </c>
      <c r="W21" s="485">
        <f>VLOOKUP(C21,'Chấm công KT'!D23:AL103,35,0)</f>
        <v>4</v>
      </c>
      <c r="X21" s="486"/>
      <c r="Y21" s="485">
        <f>VLOOKUP(C21,'Chấm công KT'!D23:AN103,37,0)</f>
        <v>0</v>
      </c>
      <c r="Z21" s="485">
        <f>VLOOKUP(C21,'Chấm công KT'!$D$13:$AO$92,38,0)</f>
        <v>0</v>
      </c>
      <c r="AA21" s="485">
        <f>VLOOKUP(C21,'Chấm công KT'!$D$13:$AP$92,39,0)</f>
        <v>0</v>
      </c>
      <c r="AB21" s="213"/>
      <c r="AC21" s="214">
        <f t="shared" si="5"/>
        <v>8</v>
      </c>
      <c r="AD21" s="92">
        <f>VLOOKUP(C21,'SẢN LƯỢNG'!$D$17:$AR$160,37,0)</f>
        <v>3949</v>
      </c>
      <c r="AE21" s="93"/>
      <c r="AF21" s="77"/>
      <c r="AG21" s="47">
        <f>AG20-2544.38</f>
        <v>1607.5199999999995</v>
      </c>
      <c r="AH21" s="62"/>
      <c r="AI21" s="63"/>
      <c r="AJ21" s="60"/>
      <c r="AK21" s="60"/>
      <c r="AL21" s="60"/>
      <c r="AM21" s="60"/>
      <c r="AN21" s="60"/>
      <c r="AO21" s="60"/>
    </row>
    <row r="22" spans="1:41" ht="18.75" customHeight="1">
      <c r="A22" s="90">
        <v>12</v>
      </c>
      <c r="B22" s="208" t="str">
        <f>'Chấm công KT'!C24</f>
        <v>03466</v>
      </c>
      <c r="C22" s="176" t="str">
        <f>'Chấm công KT'!D24</f>
        <v>N. Keo</v>
      </c>
      <c r="D22" s="90" t="s">
        <v>35</v>
      </c>
      <c r="E22" s="218">
        <f t="shared" si="2"/>
        <v>8</v>
      </c>
      <c r="F22" s="218"/>
      <c r="G22" s="218"/>
      <c r="H22" s="218"/>
      <c r="I22" s="218"/>
      <c r="J22" s="209"/>
      <c r="K22" s="159"/>
      <c r="L22" s="95"/>
      <c r="M22" s="95"/>
      <c r="N22" s="91"/>
      <c r="O22" s="91"/>
      <c r="P22" s="91"/>
      <c r="Q22" s="210">
        <f t="shared" si="3"/>
        <v>8</v>
      </c>
      <c r="R22" s="528">
        <f>VLOOKUP(C22,'SẢN LƯỢNG'!D28:AK108,34,0)</f>
        <v>4510</v>
      </c>
      <c r="S22" s="209"/>
      <c r="T22" s="151">
        <f t="shared" si="6"/>
        <v>0</v>
      </c>
      <c r="U22" s="212">
        <f t="shared" si="4"/>
        <v>4510</v>
      </c>
      <c r="V22" s="485">
        <f>VLOOKUP(C22,'Chấm công KT'!D24:AK104,34,0)</f>
        <v>27</v>
      </c>
      <c r="W22" s="485">
        <f>VLOOKUP(C22,'Chấm công KT'!D24:AL104,35,0)</f>
        <v>4</v>
      </c>
      <c r="X22" s="486"/>
      <c r="Y22" s="485">
        <f>VLOOKUP(C22,'Chấm công KT'!D24:AN104,37,0)</f>
        <v>0</v>
      </c>
      <c r="Z22" s="485">
        <f>VLOOKUP(C22,'Chấm công KT'!$D$13:$AO$92,38,0)</f>
        <v>0</v>
      </c>
      <c r="AA22" s="485">
        <f>VLOOKUP(C22,'Chấm công KT'!$D$13:$AP$92,39,0)</f>
        <v>0</v>
      </c>
      <c r="AB22" s="213"/>
      <c r="AC22" s="214">
        <f t="shared" si="5"/>
        <v>8</v>
      </c>
      <c r="AD22" s="92">
        <f>VLOOKUP(C22,'SẢN LƯỢNG'!$D$17:$AR$160,37,0)</f>
        <v>4330</v>
      </c>
      <c r="AE22" s="93"/>
      <c r="AF22" s="77"/>
      <c r="AG22" s="31">
        <f>AG21-6.33</f>
        <v>1601.1899999999996</v>
      </c>
      <c r="AH22" s="62"/>
      <c r="AI22" s="63"/>
      <c r="AJ22" s="60"/>
      <c r="AK22" s="60"/>
      <c r="AL22" s="60"/>
      <c r="AM22" s="60"/>
      <c r="AN22" s="60"/>
      <c r="AO22" s="60"/>
    </row>
    <row r="23" spans="1:41" ht="18.75" customHeight="1">
      <c r="A23" s="175">
        <v>13</v>
      </c>
      <c r="B23" s="208" t="str">
        <f>'Chấm công KT'!C25</f>
        <v>02727</v>
      </c>
      <c r="C23" s="176" t="str">
        <f>'Chấm công KT'!D25</f>
        <v>T. Thong Đon</v>
      </c>
      <c r="D23" s="90" t="s">
        <v>35</v>
      </c>
      <c r="E23" s="218">
        <f t="shared" si="2"/>
        <v>8</v>
      </c>
      <c r="F23" s="218"/>
      <c r="G23" s="218"/>
      <c r="H23" s="218"/>
      <c r="I23" s="218"/>
      <c r="J23" s="209"/>
      <c r="K23" s="159"/>
      <c r="L23" s="159"/>
      <c r="M23" s="209"/>
      <c r="N23" s="209"/>
      <c r="O23" s="219"/>
      <c r="P23" s="91"/>
      <c r="Q23" s="210">
        <f t="shared" si="3"/>
        <v>8</v>
      </c>
      <c r="R23" s="528">
        <f>VLOOKUP(C23,'SẢN LƯỢNG'!D29:AK109,34,0)</f>
        <v>4650</v>
      </c>
      <c r="S23" s="209"/>
      <c r="T23" s="151">
        <f t="shared" si="6"/>
        <v>0</v>
      </c>
      <c r="U23" s="212">
        <f t="shared" si="4"/>
        <v>4650</v>
      </c>
      <c r="V23" s="485">
        <f>VLOOKUP(C23,'Chấm công KT'!D25:AK105,34,0)</f>
        <v>27</v>
      </c>
      <c r="W23" s="485">
        <f>VLOOKUP(C23,'Chấm công KT'!D25:AL105,35,0)</f>
        <v>4</v>
      </c>
      <c r="X23" s="486"/>
      <c r="Y23" s="485">
        <f>VLOOKUP(C23,'Chấm công KT'!D25:AN105,37,0)</f>
        <v>0</v>
      </c>
      <c r="Z23" s="485">
        <f>VLOOKUP(C23,'Chấm công KT'!$D$13:$AO$92,38,0)</f>
        <v>0</v>
      </c>
      <c r="AA23" s="485">
        <f>VLOOKUP(C23,'Chấm công KT'!$D$13:$AP$92,39,0)</f>
        <v>0</v>
      </c>
      <c r="AB23" s="213"/>
      <c r="AC23" s="214">
        <f t="shared" si="5"/>
        <v>8</v>
      </c>
      <c r="AD23" s="92">
        <f>VLOOKUP(C23,'SẢN LƯỢNG'!$D$17:$AR$160,37,0)</f>
        <v>4257</v>
      </c>
      <c r="AE23" s="93"/>
      <c r="AF23" s="77"/>
      <c r="AG23" s="31"/>
      <c r="AH23" s="62"/>
      <c r="AI23" s="63"/>
      <c r="AJ23" s="60"/>
      <c r="AK23" s="60"/>
      <c r="AL23" s="60"/>
      <c r="AM23" s="60"/>
      <c r="AN23" s="60"/>
      <c r="AO23" s="60"/>
    </row>
    <row r="24" spans="1:41" ht="18.75" customHeight="1">
      <c r="A24" s="90">
        <v>14</v>
      </c>
      <c r="B24" s="208" t="str">
        <f>'Chấm công KT'!C26</f>
        <v>03467</v>
      </c>
      <c r="C24" s="176" t="str">
        <f>'Chấm công KT'!D26</f>
        <v>T. Hin</v>
      </c>
      <c r="D24" s="90" t="s">
        <v>35</v>
      </c>
      <c r="E24" s="218">
        <f t="shared" si="2"/>
        <v>8</v>
      </c>
      <c r="F24" s="218"/>
      <c r="G24" s="218"/>
      <c r="H24" s="218"/>
      <c r="I24" s="218"/>
      <c r="J24" s="209"/>
      <c r="K24" s="159"/>
      <c r="L24" s="95"/>
      <c r="M24" s="95"/>
      <c r="N24" s="91"/>
      <c r="O24" s="91"/>
      <c r="P24" s="91"/>
      <c r="Q24" s="210">
        <f t="shared" si="3"/>
        <v>8</v>
      </c>
      <c r="R24" s="528">
        <f>VLOOKUP(C24,'SẢN LƯỢNG'!D30:AK110,34,0)</f>
        <v>3720</v>
      </c>
      <c r="S24" s="209"/>
      <c r="T24" s="151">
        <f t="shared" si="6"/>
        <v>0</v>
      </c>
      <c r="U24" s="212">
        <f t="shared" si="4"/>
        <v>3720</v>
      </c>
      <c r="V24" s="485">
        <f>VLOOKUP(C24,'Chấm công KT'!D26:AK106,34,0)</f>
        <v>27</v>
      </c>
      <c r="W24" s="485">
        <f>VLOOKUP(C24,'Chấm công KT'!D26:AL106,35,0)</f>
        <v>4</v>
      </c>
      <c r="X24" s="486"/>
      <c r="Y24" s="485">
        <f>VLOOKUP(C24,'Chấm công KT'!D26:AN106,37,0)</f>
        <v>0</v>
      </c>
      <c r="Z24" s="485">
        <f>VLOOKUP(C24,'Chấm công KT'!$D$13:$AO$92,38,0)</f>
        <v>0</v>
      </c>
      <c r="AA24" s="485">
        <f>VLOOKUP(C24,'Chấm công KT'!$D$13:$AP$92,39,0)</f>
        <v>0</v>
      </c>
      <c r="AB24" s="213"/>
      <c r="AC24" s="214">
        <f t="shared" si="5"/>
        <v>8</v>
      </c>
      <c r="AD24" s="92">
        <f>VLOOKUP(C24,'SẢN LƯỢNG'!$D$17:$AR$160,37,0)</f>
        <v>3486</v>
      </c>
      <c r="AE24" s="93"/>
      <c r="AF24" s="77"/>
      <c r="AH24" s="62"/>
      <c r="AI24" s="63"/>
      <c r="AJ24" s="60"/>
      <c r="AK24" s="60"/>
      <c r="AL24" s="60"/>
      <c r="AM24" s="60"/>
      <c r="AN24" s="60"/>
      <c r="AO24" s="60"/>
    </row>
    <row r="25" spans="1:41" ht="18.75" customHeight="1">
      <c r="A25" s="175">
        <v>15</v>
      </c>
      <c r="B25" s="208" t="str">
        <f>'Chấm công KT'!C27</f>
        <v>04056</v>
      </c>
      <c r="C25" s="176" t="str">
        <f>'Chấm công KT'!D27</f>
        <v>N. Ly Phon</v>
      </c>
      <c r="D25" s="90" t="s">
        <v>35</v>
      </c>
      <c r="E25" s="218">
        <f t="shared" si="2"/>
        <v>8</v>
      </c>
      <c r="F25" s="218"/>
      <c r="G25" s="218"/>
      <c r="H25" s="218"/>
      <c r="I25" s="218"/>
      <c r="J25" s="209"/>
      <c r="K25" s="159"/>
      <c r="L25" s="95"/>
      <c r="M25" s="95"/>
      <c r="N25" s="91"/>
      <c r="O25" s="91"/>
      <c r="P25" s="91"/>
      <c r="Q25" s="210">
        <f t="shared" si="3"/>
        <v>8</v>
      </c>
      <c r="R25" s="528">
        <f>VLOOKUP(C25,'SẢN LƯỢNG'!D31:AK111,34,0)</f>
        <v>3893</v>
      </c>
      <c r="S25" s="209"/>
      <c r="T25" s="151">
        <f t="shared" si="6"/>
        <v>0</v>
      </c>
      <c r="U25" s="212">
        <f t="shared" si="4"/>
        <v>3893</v>
      </c>
      <c r="V25" s="485">
        <f>VLOOKUP(C25,'Chấm công KT'!D27:AK107,34,0)</f>
        <v>27</v>
      </c>
      <c r="W25" s="485">
        <f>VLOOKUP(C25,'Chấm công KT'!D27:AL107,35,0)</f>
        <v>4</v>
      </c>
      <c r="X25" s="486"/>
      <c r="Y25" s="485">
        <f>VLOOKUP(C25,'Chấm công KT'!D27:AN107,37,0)</f>
        <v>0</v>
      </c>
      <c r="Z25" s="485">
        <f>VLOOKUP(C25,'Chấm công KT'!$D$13:$AO$92,38,0)</f>
        <v>0</v>
      </c>
      <c r="AA25" s="485">
        <f>VLOOKUP(C25,'Chấm công KT'!$D$13:$AP$92,39,0)</f>
        <v>0</v>
      </c>
      <c r="AB25" s="213"/>
      <c r="AC25" s="214">
        <f t="shared" si="5"/>
        <v>8</v>
      </c>
      <c r="AD25" s="92">
        <f>VLOOKUP(C25,'SẢN LƯỢNG'!$D$17:$AR$160,37,0)</f>
        <v>3436</v>
      </c>
      <c r="AE25" s="93"/>
      <c r="AF25" s="77"/>
      <c r="AH25" s="62"/>
      <c r="AI25" s="59"/>
      <c r="AJ25" s="60"/>
      <c r="AK25" s="60"/>
      <c r="AL25" s="60"/>
      <c r="AM25" s="60"/>
      <c r="AN25" s="60"/>
      <c r="AO25" s="60"/>
    </row>
    <row r="26" spans="1:41" ht="18.75" customHeight="1">
      <c r="A26" s="90">
        <v>16</v>
      </c>
      <c r="B26" s="208" t="str">
        <f>'Chấm công KT'!C28</f>
        <v>03469</v>
      </c>
      <c r="C26" s="176" t="str">
        <f>'Chấm công KT'!D28</f>
        <v>T. Xôm Va Nít</v>
      </c>
      <c r="D26" s="90" t="s">
        <v>35</v>
      </c>
      <c r="E26" s="218">
        <f t="shared" si="2"/>
        <v>8</v>
      </c>
      <c r="F26" s="218"/>
      <c r="G26" s="218"/>
      <c r="H26" s="218"/>
      <c r="I26" s="218"/>
      <c r="J26" s="209"/>
      <c r="K26" s="159"/>
      <c r="L26" s="95"/>
      <c r="M26" s="95"/>
      <c r="N26" s="91"/>
      <c r="O26" s="91"/>
      <c r="P26" s="91"/>
      <c r="Q26" s="210">
        <f t="shared" si="3"/>
        <v>8</v>
      </c>
      <c r="R26" s="528">
        <f>VLOOKUP(C26,'SẢN LƯỢNG'!D32:AK112,34,0)</f>
        <v>4412</v>
      </c>
      <c r="S26" s="209"/>
      <c r="T26" s="151">
        <f t="shared" si="6"/>
        <v>0</v>
      </c>
      <c r="U26" s="212">
        <f t="shared" si="4"/>
        <v>4412</v>
      </c>
      <c r="V26" s="485">
        <f>VLOOKUP(C26,'Chấm công KT'!D28:AK108,34,0)</f>
        <v>26</v>
      </c>
      <c r="W26" s="485">
        <f>VLOOKUP(C26,'Chấm công KT'!D28:AL108,35,0)</f>
        <v>4</v>
      </c>
      <c r="X26" s="486"/>
      <c r="Y26" s="485">
        <f>VLOOKUP(C26,'Chấm công KT'!D28:AN108,37,0)</f>
        <v>0</v>
      </c>
      <c r="Z26" s="485">
        <f>VLOOKUP(C26,'Chấm công KT'!$D$13:$AO$92,38,0)</f>
        <v>0</v>
      </c>
      <c r="AA26" s="485">
        <f>VLOOKUP(C26,'Chấm công KT'!$D$13:$AP$92,39,0)</f>
        <v>0</v>
      </c>
      <c r="AB26" s="213"/>
      <c r="AC26" s="214">
        <f t="shared" si="5"/>
        <v>8</v>
      </c>
      <c r="AD26" s="92">
        <f>VLOOKUP(C26,'SẢN LƯỢNG'!$D$17:$AR$160,37,0)</f>
        <v>4353</v>
      </c>
      <c r="AE26" s="93"/>
      <c r="AF26" s="77"/>
      <c r="AG26" s="62"/>
      <c r="AH26" s="62"/>
      <c r="AI26" s="59"/>
      <c r="AJ26" s="60"/>
      <c r="AK26" s="60"/>
      <c r="AL26" s="60"/>
      <c r="AM26" s="60"/>
      <c r="AN26" s="60"/>
      <c r="AO26" s="60"/>
    </row>
    <row r="27" spans="1:41" ht="18.75" customHeight="1">
      <c r="A27" s="175">
        <v>17</v>
      </c>
      <c r="B27" s="208" t="str">
        <f>'Chấm công KT'!C29</f>
        <v>03470</v>
      </c>
      <c r="C27" s="176" t="str">
        <f>'Chấm công KT'!D29</f>
        <v>T. Lọi</v>
      </c>
      <c r="D27" s="90" t="s">
        <v>35</v>
      </c>
      <c r="E27" s="218">
        <f t="shared" si="2"/>
        <v>8</v>
      </c>
      <c r="F27" s="218"/>
      <c r="G27" s="218"/>
      <c r="H27" s="218"/>
      <c r="I27" s="218"/>
      <c r="J27" s="209"/>
      <c r="K27" s="159"/>
      <c r="L27" s="95"/>
      <c r="M27" s="95"/>
      <c r="N27" s="91"/>
      <c r="O27" s="91"/>
      <c r="P27" s="91"/>
      <c r="Q27" s="210">
        <f t="shared" si="3"/>
        <v>8</v>
      </c>
      <c r="R27" s="528">
        <f>VLOOKUP(C27,'SẢN LƯỢNG'!D33:AK113,34,0)</f>
        <v>3677</v>
      </c>
      <c r="S27" s="209"/>
      <c r="T27" s="151">
        <f t="shared" si="6"/>
        <v>0</v>
      </c>
      <c r="U27" s="212">
        <f t="shared" si="4"/>
        <v>3677</v>
      </c>
      <c r="V27" s="485">
        <f>VLOOKUP(C27,'Chấm công KT'!D29:AK109,34,0)</f>
        <v>26</v>
      </c>
      <c r="W27" s="485">
        <f>VLOOKUP(C27,'Chấm công KT'!D29:AL109,35,0)</f>
        <v>3</v>
      </c>
      <c r="X27" s="486"/>
      <c r="Y27" s="485">
        <f>VLOOKUP(C27,'Chấm công KT'!D29:AN109,37,0)</f>
        <v>0</v>
      </c>
      <c r="Z27" s="485">
        <f>VLOOKUP(C27,'Chấm công KT'!$D$13:$AO$92,38,0)</f>
        <v>0</v>
      </c>
      <c r="AA27" s="485">
        <f>VLOOKUP(C27,'Chấm công KT'!$D$13:$AP$92,39,0)</f>
        <v>0</v>
      </c>
      <c r="AB27" s="213"/>
      <c r="AC27" s="214">
        <f t="shared" si="5"/>
        <v>8</v>
      </c>
      <c r="AD27" s="92">
        <f>VLOOKUP(C27,'SẢN LƯỢNG'!$D$17:$AR$160,37,0)</f>
        <v>3463</v>
      </c>
      <c r="AE27" s="93"/>
      <c r="AF27" s="77"/>
      <c r="AH27" s="62"/>
      <c r="AI27" s="59"/>
      <c r="AJ27" s="60"/>
      <c r="AK27" s="60"/>
      <c r="AL27" s="60"/>
      <c r="AM27" s="60"/>
      <c r="AN27" s="60"/>
      <c r="AO27" s="60"/>
    </row>
    <row r="28" spans="1:41" ht="18.75" customHeight="1">
      <c r="A28" s="90">
        <v>18</v>
      </c>
      <c r="B28" s="208" t="str">
        <f>'Chấm công KT'!C30</f>
        <v>03471</v>
      </c>
      <c r="C28" s="176" t="str">
        <f>'Chấm công KT'!D30</f>
        <v>T. Phô Thong</v>
      </c>
      <c r="D28" s="90" t="s">
        <v>35</v>
      </c>
      <c r="E28" s="218">
        <f t="shared" si="2"/>
        <v>8</v>
      </c>
      <c r="F28" s="218"/>
      <c r="G28" s="218"/>
      <c r="H28" s="218"/>
      <c r="I28" s="218"/>
      <c r="J28" s="209"/>
      <c r="K28" s="159"/>
      <c r="L28" s="95"/>
      <c r="M28" s="95"/>
      <c r="N28" s="91"/>
      <c r="O28" s="91"/>
      <c r="P28" s="91"/>
      <c r="Q28" s="210">
        <f t="shared" si="3"/>
        <v>8</v>
      </c>
      <c r="R28" s="528">
        <f>VLOOKUP(C28,'SẢN LƯỢNG'!D34:AK114,34,0)</f>
        <v>5164</v>
      </c>
      <c r="S28" s="209"/>
      <c r="T28" s="151">
        <f t="shared" si="6"/>
        <v>0</v>
      </c>
      <c r="U28" s="212">
        <f t="shared" si="4"/>
        <v>5164</v>
      </c>
      <c r="V28" s="485">
        <f>VLOOKUP(C28,'Chấm công KT'!D30:AK110,34,0)</f>
        <v>27</v>
      </c>
      <c r="W28" s="485">
        <f>VLOOKUP(C28,'Chấm công KT'!D30:AL110,35,0)</f>
        <v>4</v>
      </c>
      <c r="X28" s="486"/>
      <c r="Y28" s="485">
        <f>VLOOKUP(C28,'Chấm công KT'!D30:AN110,37,0)</f>
        <v>0</v>
      </c>
      <c r="Z28" s="485">
        <f>VLOOKUP(C28,'Chấm công KT'!$D$13:$AO$92,38,0)</f>
        <v>0</v>
      </c>
      <c r="AA28" s="485">
        <f>VLOOKUP(C28,'Chấm công KT'!$D$13:$AP$92,39,0)</f>
        <v>0</v>
      </c>
      <c r="AB28" s="213"/>
      <c r="AC28" s="214">
        <f t="shared" si="5"/>
        <v>8</v>
      </c>
      <c r="AD28" s="92">
        <f>VLOOKUP(C28,'SẢN LƯỢNG'!$D$17:$AR$160,37,0)</f>
        <v>4404</v>
      </c>
      <c r="AE28" s="93"/>
      <c r="AF28" s="77">
        <f>Q9-3223.96</f>
        <v>927.9399999999996</v>
      </c>
      <c r="AH28" s="62"/>
      <c r="AI28" s="59"/>
      <c r="AJ28" s="60"/>
      <c r="AK28" s="60"/>
      <c r="AL28" s="60"/>
      <c r="AM28" s="60"/>
      <c r="AN28" s="60"/>
      <c r="AO28" s="60"/>
    </row>
    <row r="29" spans="1:41" ht="18.75" customHeight="1">
      <c r="A29" s="175">
        <v>19</v>
      </c>
      <c r="B29" s="208" t="str">
        <f>'Chấm công KT'!C31</f>
        <v>03472</v>
      </c>
      <c r="C29" s="176" t="str">
        <f>'Chấm công KT'!D31</f>
        <v>N. Soi</v>
      </c>
      <c r="D29" s="90" t="s">
        <v>35</v>
      </c>
      <c r="E29" s="218">
        <f t="shared" si="2"/>
        <v>8</v>
      </c>
      <c r="F29" s="218"/>
      <c r="G29" s="218"/>
      <c r="H29" s="218"/>
      <c r="I29" s="218"/>
      <c r="J29" s="209"/>
      <c r="K29" s="159"/>
      <c r="L29" s="159"/>
      <c r="M29" s="209"/>
      <c r="N29" s="209"/>
      <c r="O29" s="219"/>
      <c r="P29" s="91"/>
      <c r="Q29" s="210">
        <f t="shared" si="3"/>
        <v>8</v>
      </c>
      <c r="R29" s="528">
        <f>VLOOKUP(C29,'SẢN LƯỢNG'!D35:AK115,34,0)</f>
        <v>3965</v>
      </c>
      <c r="S29" s="209"/>
      <c r="T29" s="151">
        <f t="shared" si="6"/>
        <v>0</v>
      </c>
      <c r="U29" s="212">
        <f t="shared" si="4"/>
        <v>3965</v>
      </c>
      <c r="V29" s="485">
        <f>VLOOKUP(C29,'Chấm công KT'!D31:AK111,34,0)</f>
        <v>26</v>
      </c>
      <c r="W29" s="485">
        <f>VLOOKUP(C29,'Chấm công KT'!D31:AL111,35,0)</f>
        <v>4</v>
      </c>
      <c r="X29" s="486"/>
      <c r="Y29" s="485">
        <f>VLOOKUP(C29,'Chấm công KT'!D31:AN111,37,0)</f>
        <v>0</v>
      </c>
      <c r="Z29" s="485">
        <f>VLOOKUP(C29,'Chấm công KT'!$D$13:$AO$92,38,0)</f>
        <v>0</v>
      </c>
      <c r="AA29" s="485">
        <f>VLOOKUP(C29,'Chấm công KT'!$D$13:$AP$92,39,0)</f>
        <v>0</v>
      </c>
      <c r="AB29" s="213"/>
      <c r="AC29" s="214">
        <f t="shared" si="5"/>
        <v>8</v>
      </c>
      <c r="AD29" s="92">
        <f>VLOOKUP(C29,'SẢN LƯỢNG'!$D$17:$AR$160,37,0)</f>
        <v>3333</v>
      </c>
      <c r="AE29" s="93"/>
      <c r="AF29" s="77"/>
      <c r="AH29" s="62"/>
      <c r="AI29" s="59"/>
      <c r="AJ29" s="60"/>
      <c r="AK29" s="60"/>
      <c r="AL29" s="60"/>
      <c r="AM29" s="60"/>
      <c r="AN29" s="60"/>
      <c r="AO29" s="60"/>
    </row>
    <row r="30" spans="1:41" ht="18.75" customHeight="1">
      <c r="A30" s="90">
        <v>20</v>
      </c>
      <c r="B30" s="208" t="str">
        <f>'Chấm công KT'!C32</f>
        <v>03473</v>
      </c>
      <c r="C30" s="176" t="str">
        <f>'Chấm công KT'!D32</f>
        <v>N. Me Kha La</v>
      </c>
      <c r="D30" s="90" t="s">
        <v>35</v>
      </c>
      <c r="E30" s="218">
        <f t="shared" si="2"/>
        <v>8</v>
      </c>
      <c r="F30" s="218"/>
      <c r="G30" s="218"/>
      <c r="H30" s="218"/>
      <c r="I30" s="218"/>
      <c r="J30" s="209"/>
      <c r="K30" s="159"/>
      <c r="L30" s="159"/>
      <c r="M30" s="209"/>
      <c r="N30" s="209"/>
      <c r="O30" s="219"/>
      <c r="P30" s="91"/>
      <c r="Q30" s="210">
        <f t="shared" si="3"/>
        <v>8</v>
      </c>
      <c r="R30" s="528">
        <f>VLOOKUP(C30,'SẢN LƯỢNG'!D36:AK116,34,0)</f>
        <v>4666</v>
      </c>
      <c r="S30" s="209"/>
      <c r="T30" s="151">
        <f t="shared" si="6"/>
        <v>0</v>
      </c>
      <c r="U30" s="212">
        <f t="shared" si="4"/>
        <v>4666</v>
      </c>
      <c r="V30" s="485">
        <f>VLOOKUP(C30,'Chấm công KT'!D32:AK112,34,0)</f>
        <v>27</v>
      </c>
      <c r="W30" s="485">
        <f>VLOOKUP(C30,'Chấm công KT'!D32:AL112,35,0)</f>
        <v>4</v>
      </c>
      <c r="X30" s="486"/>
      <c r="Y30" s="485">
        <f>VLOOKUP(C30,'Chấm công KT'!D32:AN112,37,0)</f>
        <v>0</v>
      </c>
      <c r="Z30" s="485">
        <f>VLOOKUP(C30,'Chấm công KT'!$D$13:$AO$92,38,0)</f>
        <v>0</v>
      </c>
      <c r="AA30" s="485">
        <f>VLOOKUP(C30,'Chấm công KT'!$D$13:$AP$92,39,0)</f>
        <v>0</v>
      </c>
      <c r="AB30" s="213"/>
      <c r="AC30" s="214">
        <f t="shared" si="5"/>
        <v>8</v>
      </c>
      <c r="AD30" s="92">
        <f>VLOOKUP(C30,'SẢN LƯỢNG'!$D$17:$AR$160,37,0)</f>
        <v>4759</v>
      </c>
      <c r="AE30" s="93"/>
      <c r="AF30" s="77"/>
      <c r="AH30" s="62"/>
      <c r="AI30" s="59"/>
      <c r="AJ30" s="60"/>
      <c r="AK30" s="60"/>
      <c r="AL30" s="60"/>
      <c r="AM30" s="60"/>
      <c r="AN30" s="60"/>
      <c r="AO30" s="60"/>
    </row>
    <row r="31" spans="1:41" ht="18.75" customHeight="1">
      <c r="A31" s="175">
        <v>21</v>
      </c>
      <c r="B31" s="208" t="str">
        <f>'Chấm công KT'!C33</f>
        <v>03474</v>
      </c>
      <c r="C31" s="176" t="str">
        <f>'Chấm công KT'!D33</f>
        <v>N. Mon Khăm</v>
      </c>
      <c r="D31" s="90" t="s">
        <v>35</v>
      </c>
      <c r="E31" s="218">
        <f t="shared" si="2"/>
        <v>8</v>
      </c>
      <c r="F31" s="218"/>
      <c r="G31" s="218"/>
      <c r="H31" s="218"/>
      <c r="I31" s="218"/>
      <c r="J31" s="209"/>
      <c r="K31" s="159"/>
      <c r="L31" s="159"/>
      <c r="M31" s="209"/>
      <c r="N31" s="209"/>
      <c r="O31" s="219"/>
      <c r="P31" s="91"/>
      <c r="Q31" s="210">
        <f t="shared" si="3"/>
        <v>8</v>
      </c>
      <c r="R31" s="528">
        <f>VLOOKUP(C31,'SẢN LƯỢNG'!D37:AK117,34,0)</f>
        <v>3785</v>
      </c>
      <c r="S31" s="209"/>
      <c r="T31" s="151">
        <f t="shared" si="6"/>
        <v>0</v>
      </c>
      <c r="U31" s="212">
        <f t="shared" si="4"/>
        <v>3785</v>
      </c>
      <c r="V31" s="485">
        <f>VLOOKUP(C31,'Chấm công KT'!D33:AK113,34,0)</f>
        <v>24</v>
      </c>
      <c r="W31" s="485">
        <f>VLOOKUP(C31,'Chấm công KT'!D33:AL113,35,0)</f>
        <v>4</v>
      </c>
      <c r="X31" s="486"/>
      <c r="Y31" s="485">
        <f>VLOOKUP(C31,'Chấm công KT'!D33:AN113,37,0)</f>
        <v>0</v>
      </c>
      <c r="Z31" s="485">
        <f>VLOOKUP(C31,'Chấm công KT'!$D$13:$AO$92,38,0)</f>
        <v>0</v>
      </c>
      <c r="AA31" s="485">
        <f>VLOOKUP(C31,'Chấm công KT'!$D$13:$AP$92,39,0)</f>
        <v>0</v>
      </c>
      <c r="AB31" s="213"/>
      <c r="AC31" s="214">
        <f t="shared" si="5"/>
        <v>8</v>
      </c>
      <c r="AD31" s="92">
        <f>VLOOKUP(C31,'SẢN LƯỢNG'!$D$17:$AR$160,37,0)</f>
        <v>3815</v>
      </c>
      <c r="AE31" s="93"/>
      <c r="AF31" s="77"/>
      <c r="AH31" s="62"/>
      <c r="AI31" s="59"/>
      <c r="AJ31" s="60"/>
      <c r="AK31" s="60"/>
      <c r="AL31" s="60"/>
      <c r="AM31" s="60"/>
      <c r="AN31" s="60"/>
      <c r="AO31" s="60"/>
    </row>
    <row r="32" spans="1:41" ht="18.75" customHeight="1">
      <c r="A32" s="90">
        <v>22</v>
      </c>
      <c r="B32" s="208">
        <f>'Chấm công KT'!C34</f>
        <v>0</v>
      </c>
      <c r="C32" s="176" t="str">
        <f>'Chấm công KT'!D34</f>
        <v>N.Choi</v>
      </c>
      <c r="D32" s="90" t="s">
        <v>35</v>
      </c>
      <c r="E32" s="218">
        <f t="shared" si="2"/>
        <v>8</v>
      </c>
      <c r="F32" s="218"/>
      <c r="G32" s="218"/>
      <c r="H32" s="218"/>
      <c r="I32" s="218"/>
      <c r="J32" s="209"/>
      <c r="K32" s="159"/>
      <c r="L32" s="95"/>
      <c r="M32" s="209"/>
      <c r="N32" s="91"/>
      <c r="O32" s="91"/>
      <c r="P32" s="91"/>
      <c r="Q32" s="210">
        <f t="shared" si="3"/>
        <v>8</v>
      </c>
      <c r="R32" s="528">
        <f>VLOOKUP(C32,'SẢN LƯỢNG'!D38:AK118,34,0)</f>
        <v>3604</v>
      </c>
      <c r="S32" s="209"/>
      <c r="T32" s="151">
        <f t="shared" si="6"/>
        <v>0</v>
      </c>
      <c r="U32" s="212">
        <f t="shared" si="4"/>
        <v>3604</v>
      </c>
      <c r="V32" s="485">
        <f>VLOOKUP(C32,'Chấm công KT'!D34:AK114,34,0)</f>
        <v>26</v>
      </c>
      <c r="W32" s="485">
        <f>VLOOKUP(C32,'Chấm công KT'!D34:AL114,35,0)</f>
        <v>4</v>
      </c>
      <c r="X32" s="486"/>
      <c r="Y32" s="485">
        <f>VLOOKUP(C32,'Chấm công KT'!D34:AN114,37,0)</f>
        <v>0</v>
      </c>
      <c r="Z32" s="485">
        <f>VLOOKUP(C32,'Chấm công KT'!$D$13:$AO$92,38,0)</f>
        <v>0</v>
      </c>
      <c r="AA32" s="485">
        <f>VLOOKUP(C32,'Chấm công KT'!$D$13:$AP$92,39,0)</f>
        <v>0</v>
      </c>
      <c r="AB32" s="213"/>
      <c r="AC32" s="214">
        <f t="shared" si="5"/>
        <v>8</v>
      </c>
      <c r="AD32" s="92">
        <f>VLOOKUP(C32,'SẢN LƯỢNG'!$D$17:$AR$160,37,0)</f>
        <v>3855</v>
      </c>
      <c r="AE32" s="93"/>
      <c r="AF32" s="77"/>
      <c r="AH32" s="62"/>
      <c r="AI32" s="59"/>
      <c r="AJ32" s="60"/>
      <c r="AK32" s="60"/>
      <c r="AL32" s="60"/>
      <c r="AM32" s="60"/>
      <c r="AN32" s="60"/>
      <c r="AO32" s="60"/>
    </row>
    <row r="33" spans="1:41" ht="18.75" customHeight="1">
      <c r="A33" s="175">
        <v>23</v>
      </c>
      <c r="B33" s="208" t="str">
        <f>'Chấm công KT'!C35</f>
        <v>03476</v>
      </c>
      <c r="C33" s="176" t="str">
        <f>'Chấm công KT'!D35</f>
        <v>T. Bin Ly.</v>
      </c>
      <c r="D33" s="90" t="s">
        <v>35</v>
      </c>
      <c r="E33" s="218">
        <f t="shared" si="2"/>
        <v>8</v>
      </c>
      <c r="F33" s="218"/>
      <c r="G33" s="218"/>
      <c r="H33" s="218"/>
      <c r="I33" s="218"/>
      <c r="J33" s="209"/>
      <c r="K33" s="159"/>
      <c r="L33" s="159"/>
      <c r="M33" s="209"/>
      <c r="N33" s="209"/>
      <c r="O33" s="219"/>
      <c r="P33" s="91"/>
      <c r="Q33" s="210">
        <f t="shared" si="3"/>
        <v>8</v>
      </c>
      <c r="R33" s="528">
        <f>VLOOKUP(C33,'SẢN LƯỢNG'!D39:AK119,34,0)</f>
        <v>3954</v>
      </c>
      <c r="S33" s="209"/>
      <c r="T33" s="151">
        <f t="shared" si="6"/>
        <v>0</v>
      </c>
      <c r="U33" s="212">
        <f t="shared" si="4"/>
        <v>3954</v>
      </c>
      <c r="V33" s="485">
        <f>VLOOKUP(C33,'Chấm công KT'!D35:AK115,34,0)</f>
        <v>27</v>
      </c>
      <c r="W33" s="485">
        <f>VLOOKUP(C33,'Chấm công KT'!D35:AL115,35,0)</f>
        <v>4</v>
      </c>
      <c r="X33" s="486"/>
      <c r="Y33" s="485">
        <f>VLOOKUP(C33,'Chấm công KT'!D35:AN115,37,0)</f>
        <v>0</v>
      </c>
      <c r="Z33" s="485">
        <f>VLOOKUP(C33,'Chấm công KT'!$D$13:$AO$92,38,0)</f>
        <v>0</v>
      </c>
      <c r="AA33" s="485">
        <f>VLOOKUP(C33,'Chấm công KT'!$D$13:$AP$92,39,0)</f>
        <v>0</v>
      </c>
      <c r="AB33" s="213"/>
      <c r="AC33" s="214">
        <f t="shared" si="5"/>
        <v>8</v>
      </c>
      <c r="AD33" s="92">
        <f>VLOOKUP(C33,'SẢN LƯỢNG'!$D$17:$AR$160,37,0)</f>
        <v>4306</v>
      </c>
      <c r="AE33" s="93"/>
      <c r="AF33" s="77"/>
      <c r="AH33" s="62"/>
      <c r="AI33" s="59"/>
      <c r="AJ33" s="60"/>
      <c r="AK33" s="60"/>
      <c r="AL33" s="60"/>
      <c r="AM33" s="60"/>
      <c r="AN33" s="60"/>
      <c r="AO33" s="60"/>
    </row>
    <row r="34" spans="1:41" ht="18.75" customHeight="1">
      <c r="A34" s="90">
        <v>24</v>
      </c>
      <c r="B34" s="208">
        <f>'Chấm công KT'!C36</f>
        <v>0</v>
      </c>
      <c r="C34" s="176" t="str">
        <f>'Chấm công KT'!D36</f>
        <v>N. Tinh</v>
      </c>
      <c r="D34" s="90" t="s">
        <v>35</v>
      </c>
      <c r="E34" s="218">
        <f t="shared" si="2"/>
        <v>8</v>
      </c>
      <c r="F34" s="218"/>
      <c r="G34" s="218"/>
      <c r="H34" s="218"/>
      <c r="I34" s="218"/>
      <c r="J34" s="209"/>
      <c r="K34" s="159"/>
      <c r="L34" s="159"/>
      <c r="M34" s="209"/>
      <c r="N34" s="209"/>
      <c r="O34" s="219"/>
      <c r="P34" s="91"/>
      <c r="Q34" s="210">
        <f t="shared" si="3"/>
        <v>8</v>
      </c>
      <c r="R34" s="528">
        <f>VLOOKUP(C34,'SẢN LƯỢNG'!D40:AK120,34,0)</f>
        <v>4040</v>
      </c>
      <c r="S34" s="209"/>
      <c r="T34" s="151">
        <f t="shared" si="6"/>
        <v>0</v>
      </c>
      <c r="U34" s="212">
        <f t="shared" si="4"/>
        <v>4040</v>
      </c>
      <c r="V34" s="485">
        <f>VLOOKUP(C34,'Chấm công KT'!D36:AK116,34,0)</f>
        <v>27</v>
      </c>
      <c r="W34" s="485">
        <f>VLOOKUP(C34,'Chấm công KT'!D36:AL116,35,0)</f>
        <v>4</v>
      </c>
      <c r="X34" s="486"/>
      <c r="Y34" s="485">
        <f>VLOOKUP(C34,'Chấm công KT'!D36:AN116,37,0)</f>
        <v>0</v>
      </c>
      <c r="Z34" s="485">
        <f>VLOOKUP(C34,'Chấm công KT'!$D$13:$AO$92,38,0)</f>
        <v>0</v>
      </c>
      <c r="AA34" s="485">
        <f>VLOOKUP(C34,'Chấm công KT'!$D$13:$AP$92,39,0)</f>
        <v>0</v>
      </c>
      <c r="AB34" s="213"/>
      <c r="AC34" s="214">
        <f t="shared" si="5"/>
        <v>8</v>
      </c>
      <c r="AD34" s="92">
        <f>VLOOKUP(C34,'SẢN LƯỢNG'!$D$17:$AR$160,37,0)</f>
        <v>3895</v>
      </c>
      <c r="AE34" s="93"/>
      <c r="AF34" s="77"/>
      <c r="AH34" s="62"/>
      <c r="AI34" s="59"/>
      <c r="AJ34" s="60"/>
      <c r="AK34" s="60"/>
      <c r="AL34" s="60"/>
      <c r="AM34" s="60"/>
      <c r="AN34" s="60"/>
      <c r="AO34" s="60"/>
    </row>
    <row r="35" spans="1:41" ht="18.75" customHeight="1">
      <c r="A35" s="175">
        <v>25</v>
      </c>
      <c r="B35" s="208" t="str">
        <f>'Chấm công KT'!C37</f>
        <v>03478</v>
      </c>
      <c r="C35" s="176" t="str">
        <f>'Chấm công KT'!D37</f>
        <v>N. Nong</v>
      </c>
      <c r="D35" s="90" t="s">
        <v>35</v>
      </c>
      <c r="E35" s="218">
        <f t="shared" si="2"/>
        <v>8</v>
      </c>
      <c r="F35" s="218"/>
      <c r="G35" s="218"/>
      <c r="H35" s="218"/>
      <c r="I35" s="218"/>
      <c r="J35" s="209"/>
      <c r="K35" s="159"/>
      <c r="L35" s="95"/>
      <c r="M35" s="95"/>
      <c r="N35" s="91"/>
      <c r="O35" s="91"/>
      <c r="P35" s="91"/>
      <c r="Q35" s="210">
        <f t="shared" si="3"/>
        <v>8</v>
      </c>
      <c r="R35" s="528">
        <f>VLOOKUP(C35,'SẢN LƯỢNG'!D41:AK121,34,0)</f>
        <v>4012</v>
      </c>
      <c r="S35" s="209"/>
      <c r="T35" s="151">
        <f t="shared" si="6"/>
        <v>0</v>
      </c>
      <c r="U35" s="212">
        <f t="shared" si="4"/>
        <v>4012</v>
      </c>
      <c r="V35" s="485">
        <f>VLOOKUP(C35,'Chấm công KT'!D37:AK117,34,0)</f>
        <v>27</v>
      </c>
      <c r="W35" s="485">
        <f>VLOOKUP(C35,'Chấm công KT'!D37:AL117,35,0)</f>
        <v>4</v>
      </c>
      <c r="X35" s="486"/>
      <c r="Y35" s="485">
        <f>VLOOKUP(C35,'Chấm công KT'!D37:AN117,37,0)</f>
        <v>0</v>
      </c>
      <c r="Z35" s="485">
        <f>VLOOKUP(C35,'Chấm công KT'!$D$13:$AO$92,38,0)</f>
        <v>0</v>
      </c>
      <c r="AA35" s="485">
        <f>VLOOKUP(C35,'Chấm công KT'!$D$13:$AP$92,39,0)</f>
        <v>0</v>
      </c>
      <c r="AB35" s="213"/>
      <c r="AC35" s="214">
        <f t="shared" si="5"/>
        <v>8</v>
      </c>
      <c r="AD35" s="92">
        <f>VLOOKUP(C35,'SẢN LƯỢNG'!$D$17:$AR$160,37,0)</f>
        <v>4450</v>
      </c>
      <c r="AE35" s="93"/>
      <c r="AF35" s="77"/>
      <c r="AH35" s="62"/>
      <c r="AI35" s="59"/>
      <c r="AJ35" s="60"/>
      <c r="AK35" s="60"/>
      <c r="AL35" s="60"/>
      <c r="AM35" s="60"/>
      <c r="AN35" s="60"/>
      <c r="AO35" s="60"/>
    </row>
    <row r="36" spans="1:41" ht="18.75" customHeight="1">
      <c r="A36" s="90">
        <v>26</v>
      </c>
      <c r="B36" s="208" t="str">
        <f>'Chấm công KT'!C38</f>
        <v>03479</v>
      </c>
      <c r="C36" s="176" t="str">
        <f>'Chấm công KT'!D38</f>
        <v>N. Tun 1</v>
      </c>
      <c r="D36" s="90" t="s">
        <v>35</v>
      </c>
      <c r="E36" s="218">
        <f t="shared" si="2"/>
        <v>8</v>
      </c>
      <c r="F36" s="218"/>
      <c r="G36" s="218"/>
      <c r="H36" s="218"/>
      <c r="I36" s="218"/>
      <c r="J36" s="209"/>
      <c r="K36" s="159"/>
      <c r="L36" s="95"/>
      <c r="M36" s="95"/>
      <c r="N36" s="91"/>
      <c r="O36" s="91"/>
      <c r="P36" s="91"/>
      <c r="Q36" s="210">
        <f t="shared" si="3"/>
        <v>8</v>
      </c>
      <c r="R36" s="528">
        <f>VLOOKUP(C36,'SẢN LƯỢNG'!D42:AK122,34,0)</f>
        <v>3517</v>
      </c>
      <c r="S36" s="209"/>
      <c r="T36" s="151">
        <f t="shared" si="6"/>
        <v>0</v>
      </c>
      <c r="U36" s="212">
        <f t="shared" si="4"/>
        <v>3517</v>
      </c>
      <c r="V36" s="485">
        <f>VLOOKUP(C36,'Chấm công KT'!D38:AK118,34,0)</f>
        <v>25</v>
      </c>
      <c r="W36" s="485">
        <f>VLOOKUP(C36,'Chấm công KT'!D38:AL118,35,0)</f>
        <v>4</v>
      </c>
      <c r="X36" s="486"/>
      <c r="Y36" s="485">
        <f>VLOOKUP(C36,'Chấm công KT'!D38:AN118,37,0)</f>
        <v>0</v>
      </c>
      <c r="Z36" s="485">
        <f>VLOOKUP(C36,'Chấm công KT'!$D$13:$AO$92,38,0)</f>
        <v>0</v>
      </c>
      <c r="AA36" s="485">
        <f>VLOOKUP(C36,'Chấm công KT'!$D$13:$AP$92,39,0)</f>
        <v>0</v>
      </c>
      <c r="AB36" s="213"/>
      <c r="AC36" s="214">
        <f t="shared" si="5"/>
        <v>8</v>
      </c>
      <c r="AD36" s="92">
        <f>VLOOKUP(C36,'SẢN LƯỢNG'!$D$17:$AR$160,37,0)</f>
        <v>4180</v>
      </c>
      <c r="AE36" s="93"/>
      <c r="AF36" s="77"/>
      <c r="AH36" s="62"/>
      <c r="AI36" s="59"/>
      <c r="AJ36" s="60"/>
      <c r="AK36" s="60"/>
      <c r="AL36" s="60"/>
      <c r="AM36" s="60"/>
      <c r="AN36" s="60"/>
      <c r="AO36" s="60"/>
    </row>
    <row r="37" spans="1:41" ht="18.75" customHeight="1">
      <c r="A37" s="175">
        <v>27</v>
      </c>
      <c r="B37" s="208" t="str">
        <f>'Chấm công KT'!C39</f>
        <v>03480</v>
      </c>
      <c r="C37" s="176" t="str">
        <f>'Chấm công KT'!D39</f>
        <v>T . Lốc</v>
      </c>
      <c r="D37" s="90" t="s">
        <v>35</v>
      </c>
      <c r="E37" s="218">
        <f t="shared" si="2"/>
        <v>8</v>
      </c>
      <c r="F37" s="218"/>
      <c r="G37" s="218"/>
      <c r="H37" s="218"/>
      <c r="I37" s="218"/>
      <c r="J37" s="209"/>
      <c r="K37" s="159"/>
      <c r="L37" s="95"/>
      <c r="M37" s="95"/>
      <c r="N37" s="91"/>
      <c r="O37" s="91"/>
      <c r="P37" s="91"/>
      <c r="Q37" s="210">
        <f t="shared" si="3"/>
        <v>8</v>
      </c>
      <c r="R37" s="528">
        <f>VLOOKUP(C37,'SẢN LƯỢNG'!D43:AK123,34,0)</f>
        <v>3582</v>
      </c>
      <c r="S37" s="209"/>
      <c r="T37" s="151">
        <f t="shared" si="6"/>
        <v>0</v>
      </c>
      <c r="U37" s="212">
        <f t="shared" si="4"/>
        <v>3582</v>
      </c>
      <c r="V37" s="485">
        <f>VLOOKUP(C37,'Chấm công KT'!D39:AK119,34,0)</f>
        <v>25</v>
      </c>
      <c r="W37" s="485">
        <f>VLOOKUP(C37,'Chấm công KT'!D39:AL119,35,0)</f>
        <v>4</v>
      </c>
      <c r="X37" s="486"/>
      <c r="Y37" s="485">
        <f>VLOOKUP(C37,'Chấm công KT'!D39:AN119,37,0)</f>
        <v>0</v>
      </c>
      <c r="Z37" s="485">
        <f>VLOOKUP(C37,'Chấm công KT'!$D$13:$AO$92,38,0)</f>
        <v>0</v>
      </c>
      <c r="AA37" s="485">
        <f>VLOOKUP(C37,'Chấm công KT'!$D$13:$AP$92,39,0)</f>
        <v>0</v>
      </c>
      <c r="AB37" s="213"/>
      <c r="AC37" s="214">
        <f t="shared" si="5"/>
        <v>8</v>
      </c>
      <c r="AD37" s="92">
        <f>VLOOKUP(C37,'SẢN LƯỢNG'!$D$17:$AR$160,37,0)</f>
        <v>4199</v>
      </c>
      <c r="AE37" s="93"/>
      <c r="AF37" s="77"/>
      <c r="AH37" s="62"/>
      <c r="AI37" s="59"/>
      <c r="AJ37" s="60"/>
      <c r="AK37" s="60"/>
      <c r="AL37" s="60"/>
      <c r="AM37" s="60"/>
      <c r="AN37" s="60"/>
      <c r="AO37" s="60"/>
    </row>
    <row r="38" spans="1:41" ht="18.75" customHeight="1">
      <c r="A38" s="90">
        <v>28</v>
      </c>
      <c r="B38" s="208" t="str">
        <f>'Chấm công KT'!C40</f>
        <v>03481</v>
      </c>
      <c r="C38" s="176" t="str">
        <f>'Chấm công KT'!D40</f>
        <v>N . Khâm (1)</v>
      </c>
      <c r="D38" s="90" t="s">
        <v>35</v>
      </c>
      <c r="E38" s="218">
        <f t="shared" si="2"/>
        <v>8</v>
      </c>
      <c r="F38" s="218"/>
      <c r="G38" s="218"/>
      <c r="H38" s="218"/>
      <c r="I38" s="218"/>
      <c r="J38" s="209"/>
      <c r="K38" s="159"/>
      <c r="L38" s="95"/>
      <c r="M38" s="95"/>
      <c r="N38" s="91"/>
      <c r="O38" s="91"/>
      <c r="P38" s="91"/>
      <c r="Q38" s="210">
        <f t="shared" si="3"/>
        <v>8</v>
      </c>
      <c r="R38" s="528">
        <f>VLOOKUP(C38,'SẢN LƯỢNG'!D44:AK124,34,0)</f>
        <v>3187</v>
      </c>
      <c r="S38" s="209"/>
      <c r="T38" s="151">
        <f t="shared" si="6"/>
        <v>0</v>
      </c>
      <c r="U38" s="212">
        <f t="shared" si="4"/>
        <v>3187</v>
      </c>
      <c r="V38" s="485">
        <f>VLOOKUP(C38,'Chấm công KT'!D40:AK120,34,0)</f>
        <v>24</v>
      </c>
      <c r="W38" s="485">
        <f>VLOOKUP(C38,'Chấm công KT'!D40:AL120,35,0)</f>
        <v>3</v>
      </c>
      <c r="X38" s="486"/>
      <c r="Y38" s="485">
        <f>VLOOKUP(C38,'Chấm công KT'!D40:AN120,37,0)</f>
        <v>0</v>
      </c>
      <c r="Z38" s="485">
        <f>VLOOKUP(C38,'Chấm công KT'!$D$13:$AO$92,38,0)</f>
        <v>0</v>
      </c>
      <c r="AA38" s="485">
        <f>VLOOKUP(C38,'Chấm công KT'!$D$13:$AP$92,39,0)</f>
        <v>0</v>
      </c>
      <c r="AB38" s="213"/>
      <c r="AC38" s="214">
        <f t="shared" si="5"/>
        <v>8</v>
      </c>
      <c r="AD38" s="92">
        <f>VLOOKUP(C38,'SẢN LƯỢNG'!$D$17:$AR$160,37,0)</f>
        <v>4391</v>
      </c>
      <c r="AE38" s="93"/>
      <c r="AF38" s="77"/>
      <c r="AH38" s="62"/>
      <c r="AI38" s="59"/>
      <c r="AJ38" s="60"/>
      <c r="AK38" s="60"/>
      <c r="AL38" s="60"/>
      <c r="AM38" s="60"/>
      <c r="AN38" s="60"/>
      <c r="AO38" s="60"/>
    </row>
    <row r="39" spans="1:41" ht="18.75" customHeight="1">
      <c r="A39" s="175">
        <v>29</v>
      </c>
      <c r="B39" s="208" t="str">
        <f>'Chấm công KT'!C41</f>
        <v>03482</v>
      </c>
      <c r="C39" s="176" t="str">
        <f>'Chấm công KT'!D41</f>
        <v>T . Phết</v>
      </c>
      <c r="D39" s="90" t="s">
        <v>35</v>
      </c>
      <c r="E39" s="218">
        <f t="shared" si="2"/>
        <v>8</v>
      </c>
      <c r="F39" s="218"/>
      <c r="G39" s="218"/>
      <c r="H39" s="218"/>
      <c r="I39" s="218"/>
      <c r="J39" s="209"/>
      <c r="K39" s="159"/>
      <c r="L39" s="95"/>
      <c r="M39" s="95"/>
      <c r="N39" s="91"/>
      <c r="O39" s="91"/>
      <c r="P39" s="91"/>
      <c r="Q39" s="210">
        <f t="shared" si="3"/>
        <v>8</v>
      </c>
      <c r="R39" s="528">
        <f>VLOOKUP(C39,'SẢN LƯỢNG'!D45:AK125,34,0)</f>
        <v>3323</v>
      </c>
      <c r="S39" s="209"/>
      <c r="T39" s="151">
        <f t="shared" si="6"/>
        <v>0</v>
      </c>
      <c r="U39" s="212">
        <f t="shared" si="4"/>
        <v>3323</v>
      </c>
      <c r="V39" s="485">
        <f>VLOOKUP(C39,'Chấm công KT'!D41:AK121,34,0)</f>
        <v>24</v>
      </c>
      <c r="W39" s="485">
        <f>VLOOKUP(C39,'Chấm công KT'!D41:AL121,35,0)</f>
        <v>3</v>
      </c>
      <c r="X39" s="486"/>
      <c r="Y39" s="485">
        <f>VLOOKUP(C39,'Chấm công KT'!D41:AN121,37,0)</f>
        <v>0</v>
      </c>
      <c r="Z39" s="485">
        <f>VLOOKUP(C39,'Chấm công KT'!$D$13:$AO$92,38,0)</f>
        <v>0</v>
      </c>
      <c r="AA39" s="485">
        <f>VLOOKUP(C39,'Chấm công KT'!$D$13:$AP$92,39,0)</f>
        <v>0</v>
      </c>
      <c r="AB39" s="213"/>
      <c r="AC39" s="214">
        <f t="shared" si="5"/>
        <v>8</v>
      </c>
      <c r="AD39" s="92">
        <f>VLOOKUP(C39,'SẢN LƯỢNG'!$D$17:$AR$160,37,0)</f>
        <v>4508</v>
      </c>
      <c r="AE39" s="93"/>
      <c r="AF39" s="77"/>
      <c r="AH39" s="62"/>
      <c r="AI39" s="59"/>
      <c r="AJ39" s="60"/>
      <c r="AK39" s="60"/>
      <c r="AL39" s="60"/>
      <c r="AM39" s="60"/>
      <c r="AN39" s="60"/>
      <c r="AO39" s="60"/>
    </row>
    <row r="40" spans="1:41" ht="18.75" customHeight="1">
      <c r="A40" s="90">
        <v>30</v>
      </c>
      <c r="B40" s="208" t="str">
        <f>'Chấm công KT'!C42</f>
        <v>03483</v>
      </c>
      <c r="C40" s="176" t="str">
        <f>'Chấm công KT'!D42</f>
        <v>T. Viêng Sa Văn</v>
      </c>
      <c r="D40" s="90" t="s">
        <v>35</v>
      </c>
      <c r="E40" s="218">
        <f t="shared" si="2"/>
        <v>8</v>
      </c>
      <c r="F40" s="218"/>
      <c r="G40" s="218"/>
      <c r="H40" s="218"/>
      <c r="I40" s="218"/>
      <c r="J40" s="209"/>
      <c r="K40" s="159"/>
      <c r="L40" s="159"/>
      <c r="M40" s="209"/>
      <c r="N40" s="209"/>
      <c r="O40" s="219"/>
      <c r="P40" s="91"/>
      <c r="Q40" s="210">
        <f t="shared" si="3"/>
        <v>8</v>
      </c>
      <c r="R40" s="528">
        <f>VLOOKUP(C40,'SẢN LƯỢNG'!D46:AK126,34,0)</f>
        <v>3485</v>
      </c>
      <c r="S40" s="209"/>
      <c r="T40" s="151">
        <f t="shared" si="6"/>
        <v>0</v>
      </c>
      <c r="U40" s="212">
        <f t="shared" si="4"/>
        <v>3485</v>
      </c>
      <c r="V40" s="485">
        <f>VLOOKUP(C40,'Chấm công KT'!D42:AK122,34,0)</f>
        <v>25</v>
      </c>
      <c r="W40" s="485">
        <f>VLOOKUP(C40,'Chấm công KT'!D42:AL122,35,0)</f>
        <v>4</v>
      </c>
      <c r="X40" s="486"/>
      <c r="Y40" s="485">
        <f>VLOOKUP(C40,'Chấm công KT'!D42:AN122,37,0)</f>
        <v>0</v>
      </c>
      <c r="Z40" s="485">
        <f>VLOOKUP(C40,'Chấm công KT'!$D$13:$AO$92,38,0)</f>
        <v>0</v>
      </c>
      <c r="AA40" s="485">
        <f>VLOOKUP(C40,'Chấm công KT'!$D$13:$AP$92,39,0)</f>
        <v>0</v>
      </c>
      <c r="AB40" s="213"/>
      <c r="AC40" s="214">
        <f t="shared" si="5"/>
        <v>8</v>
      </c>
      <c r="AD40" s="92">
        <f>VLOOKUP(C40,'SẢN LƯỢNG'!$D$17:$AR$160,37,0)</f>
        <v>4743</v>
      </c>
      <c r="AE40" s="93"/>
      <c r="AF40" s="77"/>
      <c r="AH40" s="62"/>
      <c r="AI40" s="59"/>
      <c r="AJ40" s="60"/>
      <c r="AK40" s="60"/>
      <c r="AL40" s="60"/>
      <c r="AM40" s="60"/>
      <c r="AN40" s="60"/>
      <c r="AO40" s="60"/>
    </row>
    <row r="41" spans="1:41" ht="18.75" customHeight="1">
      <c r="A41" s="175">
        <v>31</v>
      </c>
      <c r="B41" s="208" t="str">
        <f>'Chấm công KT'!C43</f>
        <v>03484</v>
      </c>
      <c r="C41" s="176" t="str">
        <f>'Chấm công KT'!D43</f>
        <v>T. Ca Te</v>
      </c>
      <c r="D41" s="90" t="s">
        <v>35</v>
      </c>
      <c r="E41" s="218">
        <f t="shared" si="2"/>
        <v>8</v>
      </c>
      <c r="F41" s="218"/>
      <c r="G41" s="218"/>
      <c r="H41" s="218"/>
      <c r="I41" s="218"/>
      <c r="J41" s="209"/>
      <c r="K41" s="159"/>
      <c r="L41" s="95"/>
      <c r="M41" s="95"/>
      <c r="N41" s="91"/>
      <c r="O41" s="91"/>
      <c r="P41" s="91"/>
      <c r="Q41" s="210">
        <f t="shared" si="3"/>
        <v>8</v>
      </c>
      <c r="R41" s="528">
        <f>VLOOKUP(C41,'SẢN LƯỢNG'!D47:AK127,34,0)</f>
        <v>4270</v>
      </c>
      <c r="S41" s="209"/>
      <c r="T41" s="151">
        <f t="shared" si="6"/>
        <v>0</v>
      </c>
      <c r="U41" s="212">
        <f t="shared" si="4"/>
        <v>4270</v>
      </c>
      <c r="V41" s="485">
        <f>VLOOKUP(C41,'Chấm công KT'!D43:AK123,34,0)</f>
        <v>27</v>
      </c>
      <c r="W41" s="485">
        <f>VLOOKUP(C41,'Chấm công KT'!D43:AL123,35,0)</f>
        <v>4</v>
      </c>
      <c r="X41" s="486"/>
      <c r="Y41" s="485">
        <f>VLOOKUP(C41,'Chấm công KT'!D43:AN123,37,0)</f>
        <v>0</v>
      </c>
      <c r="Z41" s="485">
        <f>VLOOKUP(C41,'Chấm công KT'!$D$13:$AO$92,38,0)</f>
        <v>0</v>
      </c>
      <c r="AA41" s="485">
        <f>VLOOKUP(C41,'Chấm công KT'!$D$13:$AP$92,39,0)</f>
        <v>0</v>
      </c>
      <c r="AB41" s="213"/>
      <c r="AC41" s="214">
        <f t="shared" si="5"/>
        <v>8</v>
      </c>
      <c r="AD41" s="92">
        <f>VLOOKUP(C41,'SẢN LƯỢNG'!$D$17:$AR$160,37,0)</f>
        <v>4222</v>
      </c>
      <c r="AE41" s="93"/>
      <c r="AF41" s="77"/>
      <c r="AH41" s="62"/>
      <c r="AI41" s="59"/>
      <c r="AJ41" s="60"/>
      <c r="AK41" s="60"/>
      <c r="AL41" s="60"/>
      <c r="AM41" s="60"/>
      <c r="AN41" s="60"/>
      <c r="AO41" s="60"/>
    </row>
    <row r="42" spans="1:41" ht="18.75" customHeight="1">
      <c r="A42" s="90">
        <v>32</v>
      </c>
      <c r="B42" s="208" t="str">
        <f>'Chấm công KT'!C44</f>
        <v>03485</v>
      </c>
      <c r="C42" s="176" t="str">
        <f>'Chấm công KT'!D44</f>
        <v>T. Lâm Phon</v>
      </c>
      <c r="D42" s="90" t="s">
        <v>35</v>
      </c>
      <c r="E42" s="218">
        <f t="shared" si="2"/>
        <v>8</v>
      </c>
      <c r="F42" s="218"/>
      <c r="G42" s="218"/>
      <c r="H42" s="218"/>
      <c r="I42" s="218"/>
      <c r="J42" s="209"/>
      <c r="K42" s="159"/>
      <c r="L42" s="159"/>
      <c r="M42" s="209"/>
      <c r="N42" s="209"/>
      <c r="O42" s="219"/>
      <c r="P42" s="91"/>
      <c r="Q42" s="210">
        <f t="shared" si="3"/>
        <v>8</v>
      </c>
      <c r="R42" s="528">
        <f>VLOOKUP(C42,'SẢN LƯỢNG'!D48:AK128,34,0)</f>
        <v>4717</v>
      </c>
      <c r="S42" s="209"/>
      <c r="T42" s="151">
        <f t="shared" si="6"/>
        <v>0</v>
      </c>
      <c r="U42" s="212">
        <f t="shared" si="4"/>
        <v>4717</v>
      </c>
      <c r="V42" s="485">
        <f>VLOOKUP(C42,'Chấm công KT'!D44:AK124,34,0)</f>
        <v>27</v>
      </c>
      <c r="W42" s="485">
        <f>VLOOKUP(C42,'Chấm công KT'!D44:AL124,35,0)</f>
        <v>4</v>
      </c>
      <c r="X42" s="486"/>
      <c r="Y42" s="485">
        <f>VLOOKUP(C42,'Chấm công KT'!D44:AN124,37,0)</f>
        <v>0</v>
      </c>
      <c r="Z42" s="485">
        <f>VLOOKUP(C42,'Chấm công KT'!$D$13:$AO$92,38,0)</f>
        <v>0</v>
      </c>
      <c r="AA42" s="485">
        <f>VLOOKUP(C42,'Chấm công KT'!$D$13:$AP$92,39,0)</f>
        <v>0</v>
      </c>
      <c r="AB42" s="213"/>
      <c r="AC42" s="214">
        <f t="shared" si="5"/>
        <v>8</v>
      </c>
      <c r="AD42" s="92">
        <f>VLOOKUP(C42,'SẢN LƯỢNG'!$D$17:$AR$160,37,0)</f>
        <v>4483</v>
      </c>
      <c r="AE42" s="93"/>
      <c r="AF42" s="77"/>
      <c r="AH42" s="62"/>
      <c r="AI42" s="59"/>
      <c r="AJ42" s="60"/>
      <c r="AK42" s="60"/>
      <c r="AL42" s="60"/>
      <c r="AM42" s="60"/>
      <c r="AN42" s="60"/>
      <c r="AO42" s="60"/>
    </row>
    <row r="43" spans="1:41" ht="18.75" customHeight="1">
      <c r="A43" s="175">
        <v>33</v>
      </c>
      <c r="B43" s="208" t="str">
        <f>'Chấm công KT'!C45</f>
        <v>02712</v>
      </c>
      <c r="C43" s="176" t="str">
        <f>'Chấm công KT'!D45</f>
        <v>T. Sô Đa</v>
      </c>
      <c r="D43" s="90" t="s">
        <v>35</v>
      </c>
      <c r="E43" s="218">
        <f t="shared" si="2"/>
        <v>8</v>
      </c>
      <c r="F43" s="218"/>
      <c r="G43" s="218"/>
      <c r="H43" s="218"/>
      <c r="I43" s="218"/>
      <c r="J43" s="209"/>
      <c r="K43" s="159"/>
      <c r="L43" s="95"/>
      <c r="M43" s="95"/>
      <c r="N43" s="91"/>
      <c r="O43" s="91"/>
      <c r="P43" s="91"/>
      <c r="Q43" s="210">
        <f t="shared" si="3"/>
        <v>8</v>
      </c>
      <c r="R43" s="528">
        <f>VLOOKUP(C43,'SẢN LƯỢNG'!D49:AK129,34,0)</f>
        <v>4377</v>
      </c>
      <c r="S43" s="209"/>
      <c r="T43" s="151">
        <f t="shared" si="6"/>
        <v>0</v>
      </c>
      <c r="U43" s="212">
        <f t="shared" si="4"/>
        <v>4377</v>
      </c>
      <c r="V43" s="485">
        <f>VLOOKUP(C43,'Chấm công KT'!D45:AK125,34,0)</f>
        <v>26</v>
      </c>
      <c r="W43" s="485">
        <f>VLOOKUP(C43,'Chấm công KT'!D45:AL125,35,0)</f>
        <v>4</v>
      </c>
      <c r="X43" s="486"/>
      <c r="Y43" s="485">
        <f>VLOOKUP(C43,'Chấm công KT'!D45:AN125,37,0)</f>
        <v>0</v>
      </c>
      <c r="Z43" s="485">
        <f>VLOOKUP(C43,'Chấm công KT'!$D$13:$AO$92,38,0)</f>
        <v>0</v>
      </c>
      <c r="AA43" s="485">
        <f>VLOOKUP(C43,'Chấm công KT'!$D$13:$AP$92,39,0)</f>
        <v>0</v>
      </c>
      <c r="AB43" s="213"/>
      <c r="AC43" s="214">
        <f t="shared" si="5"/>
        <v>8</v>
      </c>
      <c r="AD43" s="92">
        <f>VLOOKUP(C43,'SẢN LƯỢNG'!$D$17:$AR$160,37,0)</f>
        <v>3989</v>
      </c>
      <c r="AE43" s="93"/>
      <c r="AF43" s="77"/>
      <c r="AH43" s="62"/>
      <c r="AI43" s="59"/>
      <c r="AJ43" s="60"/>
      <c r="AK43" s="60"/>
      <c r="AL43" s="60"/>
      <c r="AM43" s="60"/>
      <c r="AN43" s="60"/>
      <c r="AO43" s="60"/>
    </row>
    <row r="44" spans="1:41" ht="18.75" customHeight="1">
      <c r="A44" s="90">
        <v>34</v>
      </c>
      <c r="B44" s="208">
        <f>'Chấm công KT'!C46</f>
        <v>0</v>
      </c>
      <c r="C44" s="176" t="str">
        <f>'Chấm công KT'!D46</f>
        <v>N. Pheng Mi</v>
      </c>
      <c r="D44" s="90" t="s">
        <v>35</v>
      </c>
      <c r="E44" s="218">
        <f t="shared" si="2"/>
        <v>8</v>
      </c>
      <c r="F44" s="218"/>
      <c r="G44" s="218"/>
      <c r="H44" s="218"/>
      <c r="I44" s="218"/>
      <c r="J44" s="209"/>
      <c r="K44" s="159"/>
      <c r="L44" s="95"/>
      <c r="M44" s="95"/>
      <c r="N44" s="91"/>
      <c r="O44" s="91"/>
      <c r="P44" s="91"/>
      <c r="Q44" s="210">
        <f t="shared" si="3"/>
        <v>8</v>
      </c>
      <c r="R44" s="528">
        <f>VLOOKUP(C44,'SẢN LƯỢNG'!D50:AK130,34,0)</f>
        <v>4146</v>
      </c>
      <c r="S44" s="209"/>
      <c r="T44" s="151">
        <f t="shared" si="6"/>
        <v>0</v>
      </c>
      <c r="U44" s="212">
        <f t="shared" si="4"/>
        <v>4146</v>
      </c>
      <c r="V44" s="485">
        <f>VLOOKUP(C44,'Chấm công KT'!D46:AK126,34,0)</f>
        <v>26</v>
      </c>
      <c r="W44" s="485">
        <f>VLOOKUP(C44,'Chấm công KT'!D46:AL126,35,0)</f>
        <v>4</v>
      </c>
      <c r="X44" s="486"/>
      <c r="Y44" s="485">
        <f>VLOOKUP(C44,'Chấm công KT'!D46:AN126,37,0)</f>
        <v>0</v>
      </c>
      <c r="Z44" s="485">
        <f>VLOOKUP(C44,'Chấm công KT'!$D$13:$AO$92,38,0)</f>
        <v>0</v>
      </c>
      <c r="AA44" s="485">
        <f>VLOOKUP(C44,'Chấm công KT'!$D$13:$AP$92,39,0)</f>
        <v>0</v>
      </c>
      <c r="AB44" s="213"/>
      <c r="AC44" s="214">
        <f t="shared" si="5"/>
        <v>8</v>
      </c>
      <c r="AD44" s="92">
        <f>VLOOKUP(C44,'SẢN LƯỢNG'!$D$17:$AR$160,37,0)</f>
        <v>4457</v>
      </c>
      <c r="AE44" s="93"/>
      <c r="AF44" s="77"/>
      <c r="AH44" s="62"/>
      <c r="AI44" s="59"/>
      <c r="AJ44" s="60"/>
      <c r="AK44" s="60"/>
      <c r="AL44" s="60"/>
      <c r="AM44" s="60"/>
      <c r="AN44" s="60"/>
      <c r="AO44" s="60"/>
    </row>
    <row r="45" spans="1:41" ht="18.75" customHeight="1">
      <c r="A45" s="175">
        <v>35</v>
      </c>
      <c r="B45" s="208" t="str">
        <f>'Chấm công KT'!C47</f>
        <v>02714</v>
      </c>
      <c r="C45" s="176" t="str">
        <f>'Chấm công KT'!D47</f>
        <v>N. Tủn</v>
      </c>
      <c r="D45" s="90" t="s">
        <v>35</v>
      </c>
      <c r="E45" s="218">
        <f t="shared" si="2"/>
        <v>8</v>
      </c>
      <c r="F45" s="218"/>
      <c r="G45" s="218"/>
      <c r="H45" s="218"/>
      <c r="I45" s="218"/>
      <c r="J45" s="209"/>
      <c r="K45" s="159"/>
      <c r="L45" s="95"/>
      <c r="M45" s="95"/>
      <c r="N45" s="91"/>
      <c r="O45" s="91"/>
      <c r="P45" s="91"/>
      <c r="Q45" s="210">
        <f t="shared" si="3"/>
        <v>8</v>
      </c>
      <c r="R45" s="528">
        <f>VLOOKUP(C45,'SẢN LƯỢNG'!D51:AK131,34,0)</f>
        <v>3661</v>
      </c>
      <c r="S45" s="209"/>
      <c r="T45" s="151">
        <f t="shared" si="6"/>
        <v>0</v>
      </c>
      <c r="U45" s="212">
        <f t="shared" si="4"/>
        <v>3661</v>
      </c>
      <c r="V45" s="485">
        <f>VLOOKUP(C45,'Chấm công KT'!D47:AK127,34,0)</f>
        <v>26</v>
      </c>
      <c r="W45" s="485">
        <f>VLOOKUP(C45,'Chấm công KT'!D47:AL127,35,0)</f>
        <v>4</v>
      </c>
      <c r="X45" s="486"/>
      <c r="Y45" s="485">
        <f>VLOOKUP(C45,'Chấm công KT'!D47:AN127,37,0)</f>
        <v>0</v>
      </c>
      <c r="Z45" s="485">
        <f>VLOOKUP(C45,'Chấm công KT'!$D$13:$AO$92,38,0)</f>
        <v>0</v>
      </c>
      <c r="AA45" s="485">
        <f>VLOOKUP(C45,'Chấm công KT'!$D$13:$AP$92,39,0)</f>
        <v>0</v>
      </c>
      <c r="AB45" s="213"/>
      <c r="AC45" s="214">
        <f t="shared" si="5"/>
        <v>8</v>
      </c>
      <c r="AD45" s="92">
        <f>VLOOKUP(C45,'SẢN LƯỢNG'!$D$17:$AR$160,37,0)</f>
        <v>4251</v>
      </c>
      <c r="AE45" s="93"/>
      <c r="AF45" s="77"/>
      <c r="AH45" s="62"/>
      <c r="AI45" s="59"/>
      <c r="AJ45" s="60"/>
      <c r="AK45" s="60"/>
      <c r="AL45" s="60"/>
      <c r="AM45" s="60"/>
      <c r="AN45" s="60"/>
      <c r="AO45" s="60"/>
    </row>
    <row r="46" spans="1:41" ht="18.75" customHeight="1">
      <c r="A46" s="90">
        <v>36</v>
      </c>
      <c r="B46" s="208" t="str">
        <f>'Chấm công KT'!C48</f>
        <v>02713</v>
      </c>
      <c r="C46" s="176" t="str">
        <f>'Chấm công KT'!D48</f>
        <v>T. Lung</v>
      </c>
      <c r="D46" s="90" t="s">
        <v>35</v>
      </c>
      <c r="E46" s="218">
        <f t="shared" si="2"/>
        <v>8</v>
      </c>
      <c r="F46" s="218"/>
      <c r="G46" s="218"/>
      <c r="H46" s="218"/>
      <c r="I46" s="218"/>
      <c r="J46" s="209"/>
      <c r="K46" s="159"/>
      <c r="L46" s="95"/>
      <c r="M46" s="95"/>
      <c r="N46" s="91"/>
      <c r="O46" s="91"/>
      <c r="P46" s="91"/>
      <c r="Q46" s="210">
        <f t="shared" si="3"/>
        <v>8</v>
      </c>
      <c r="R46" s="528">
        <f>VLOOKUP(C46,'SẢN LƯỢNG'!D52:AK132,34,0)</f>
        <v>3758</v>
      </c>
      <c r="S46" s="209"/>
      <c r="T46" s="151">
        <f t="shared" si="6"/>
        <v>0</v>
      </c>
      <c r="U46" s="212">
        <f t="shared" si="4"/>
        <v>3758</v>
      </c>
      <c r="V46" s="485">
        <f>VLOOKUP(C46,'Chấm công KT'!D48:AK128,34,0)</f>
        <v>26</v>
      </c>
      <c r="W46" s="485">
        <f>VLOOKUP(C46,'Chấm công KT'!D48:AL128,35,0)</f>
        <v>4</v>
      </c>
      <c r="X46" s="486"/>
      <c r="Y46" s="485">
        <f>VLOOKUP(C46,'Chấm công KT'!D48:AN128,37,0)</f>
        <v>0</v>
      </c>
      <c r="Z46" s="485">
        <f>VLOOKUP(C46,'Chấm công KT'!$D$13:$AO$92,38,0)</f>
        <v>0</v>
      </c>
      <c r="AA46" s="485">
        <f>VLOOKUP(C46,'Chấm công KT'!$D$13:$AP$92,39,0)</f>
        <v>0</v>
      </c>
      <c r="AB46" s="213"/>
      <c r="AC46" s="214">
        <f t="shared" si="5"/>
        <v>8</v>
      </c>
      <c r="AD46" s="92">
        <f>VLOOKUP(C46,'SẢN LƯỢNG'!$D$17:$AR$160,37,0)</f>
        <v>4304</v>
      </c>
      <c r="AE46" s="93"/>
      <c r="AF46" s="77"/>
      <c r="AH46" s="62"/>
      <c r="AI46" s="59"/>
      <c r="AJ46" s="60"/>
      <c r="AK46" s="60"/>
      <c r="AL46" s="60"/>
      <c r="AM46" s="60"/>
      <c r="AN46" s="60"/>
      <c r="AO46" s="60"/>
    </row>
    <row r="47" spans="1:41" ht="18.75" customHeight="1">
      <c r="A47" s="175">
        <v>37</v>
      </c>
      <c r="B47" s="208" t="str">
        <f>'Chấm công KT'!C49</f>
        <v>04058</v>
      </c>
      <c r="C47" s="176" t="str">
        <f>'Chấm công KT'!D49</f>
        <v>T. Bi Ly (2)</v>
      </c>
      <c r="D47" s="90" t="s">
        <v>35</v>
      </c>
      <c r="E47" s="218">
        <f t="shared" si="2"/>
        <v>8</v>
      </c>
      <c r="F47" s="218"/>
      <c r="G47" s="218"/>
      <c r="H47" s="218"/>
      <c r="I47" s="218"/>
      <c r="J47" s="209"/>
      <c r="K47" s="159"/>
      <c r="L47" s="95"/>
      <c r="M47" s="209"/>
      <c r="N47" s="91"/>
      <c r="O47" s="91"/>
      <c r="P47" s="91"/>
      <c r="Q47" s="210">
        <f t="shared" si="3"/>
        <v>8</v>
      </c>
      <c r="R47" s="528">
        <f>VLOOKUP(C47,'SẢN LƯỢNG'!D53:AK133,34,0)</f>
        <v>4169</v>
      </c>
      <c r="S47" s="209"/>
      <c r="T47" s="151">
        <f t="shared" si="6"/>
        <v>0</v>
      </c>
      <c r="U47" s="212">
        <f t="shared" si="4"/>
        <v>4169</v>
      </c>
      <c r="V47" s="485">
        <f>VLOOKUP(C47,'Chấm công KT'!D49:AK129,34,0)</f>
        <v>27</v>
      </c>
      <c r="W47" s="485">
        <f>VLOOKUP(C47,'Chấm công KT'!D49:AL129,35,0)</f>
        <v>4</v>
      </c>
      <c r="X47" s="486"/>
      <c r="Y47" s="485">
        <f>VLOOKUP(C47,'Chấm công KT'!D49:AN129,37,0)</f>
        <v>0</v>
      </c>
      <c r="Z47" s="485">
        <f>VLOOKUP(C47,'Chấm công KT'!$D$13:$AO$92,38,0)</f>
        <v>0</v>
      </c>
      <c r="AA47" s="485">
        <f>VLOOKUP(C47,'Chấm công KT'!$D$13:$AP$92,39,0)</f>
        <v>0</v>
      </c>
      <c r="AB47" s="213"/>
      <c r="AC47" s="214">
        <f t="shared" si="5"/>
        <v>8</v>
      </c>
      <c r="AD47" s="92">
        <f>VLOOKUP(C47,'SẢN LƯỢNG'!$D$17:$AR$160,37,0)</f>
        <v>4193</v>
      </c>
      <c r="AE47" s="93"/>
      <c r="AF47" s="77"/>
      <c r="AH47" s="62"/>
      <c r="AI47" s="59"/>
      <c r="AJ47" s="60"/>
      <c r="AK47" s="60"/>
      <c r="AL47" s="60"/>
      <c r="AM47" s="60"/>
      <c r="AN47" s="60"/>
      <c r="AO47" s="60"/>
    </row>
    <row r="48" spans="1:41" ht="18.75" customHeight="1">
      <c r="A48" s="90">
        <v>38</v>
      </c>
      <c r="B48" s="208" t="str">
        <f>'Chấm công KT'!C50</f>
        <v>03487</v>
      </c>
      <c r="C48" s="176" t="str">
        <f>'Chấm công KT'!D50</f>
        <v>N. Ba Say</v>
      </c>
      <c r="D48" s="90" t="s">
        <v>35</v>
      </c>
      <c r="E48" s="218">
        <f t="shared" si="2"/>
        <v>8</v>
      </c>
      <c r="F48" s="218"/>
      <c r="G48" s="218"/>
      <c r="H48" s="218"/>
      <c r="I48" s="218"/>
      <c r="J48" s="209"/>
      <c r="K48" s="159"/>
      <c r="L48" s="159"/>
      <c r="M48" s="209"/>
      <c r="N48" s="209"/>
      <c r="O48" s="219"/>
      <c r="P48" s="91"/>
      <c r="Q48" s="210">
        <f t="shared" si="3"/>
        <v>8</v>
      </c>
      <c r="R48" s="528">
        <f>VLOOKUP(C48,'SẢN LƯỢNG'!D54:AK134,34,0)</f>
        <v>3281</v>
      </c>
      <c r="S48" s="209"/>
      <c r="T48" s="151">
        <f t="shared" si="6"/>
        <v>0</v>
      </c>
      <c r="U48" s="212">
        <f t="shared" si="4"/>
        <v>3281</v>
      </c>
      <c r="V48" s="485">
        <f>VLOOKUP(C48,'Chấm công KT'!D50:AK130,34,0)</f>
        <v>26</v>
      </c>
      <c r="W48" s="485">
        <f>VLOOKUP(C48,'Chấm công KT'!D50:AL130,35,0)</f>
        <v>4</v>
      </c>
      <c r="X48" s="486"/>
      <c r="Y48" s="485">
        <f>VLOOKUP(C48,'Chấm công KT'!D50:AN130,37,0)</f>
        <v>0</v>
      </c>
      <c r="Z48" s="485">
        <f>VLOOKUP(C48,'Chấm công KT'!$D$13:$AO$92,38,0)</f>
        <v>0</v>
      </c>
      <c r="AA48" s="485">
        <f>VLOOKUP(C48,'Chấm công KT'!$D$13:$AP$92,39,0)</f>
        <v>0</v>
      </c>
      <c r="AB48" s="213"/>
      <c r="AC48" s="214">
        <f t="shared" si="5"/>
        <v>8</v>
      </c>
      <c r="AD48" s="92">
        <f>VLOOKUP(C48,'SẢN LƯỢNG'!$D$17:$AR$160,37,0)</f>
        <v>3710</v>
      </c>
      <c r="AE48" s="93"/>
      <c r="AF48" s="77"/>
      <c r="AH48" s="62"/>
      <c r="AI48" s="59"/>
      <c r="AJ48" s="60"/>
      <c r="AK48" s="60"/>
      <c r="AL48" s="60"/>
      <c r="AM48" s="60"/>
      <c r="AN48" s="60"/>
      <c r="AO48" s="60"/>
    </row>
    <row r="49" spans="1:41" ht="18.75" customHeight="1">
      <c r="A49" s="175">
        <v>39</v>
      </c>
      <c r="B49" s="208" t="str">
        <f>'Chấm công KT'!C51</f>
        <v>03488</v>
      </c>
      <c r="C49" s="176" t="str">
        <f>'Chấm công KT'!D51</f>
        <v>N. Đeng</v>
      </c>
      <c r="D49" s="90" t="s">
        <v>35</v>
      </c>
      <c r="E49" s="218">
        <f t="shared" si="2"/>
        <v>8</v>
      </c>
      <c r="F49" s="218"/>
      <c r="G49" s="218"/>
      <c r="H49" s="218"/>
      <c r="I49" s="218"/>
      <c r="J49" s="209"/>
      <c r="K49" s="159"/>
      <c r="L49" s="159"/>
      <c r="M49" s="209"/>
      <c r="N49" s="209"/>
      <c r="O49" s="219"/>
      <c r="P49" s="91"/>
      <c r="Q49" s="210">
        <f t="shared" si="3"/>
        <v>8</v>
      </c>
      <c r="R49" s="528">
        <f>VLOOKUP(C49,'SẢN LƯỢNG'!D55:AK135,34,0)</f>
        <v>3097</v>
      </c>
      <c r="S49" s="209"/>
      <c r="T49" s="151">
        <f t="shared" si="6"/>
        <v>0</v>
      </c>
      <c r="U49" s="212">
        <f t="shared" si="4"/>
        <v>3097</v>
      </c>
      <c r="V49" s="485">
        <f>VLOOKUP(C49,'Chấm công KT'!D51:AK131,34,0)</f>
        <v>22</v>
      </c>
      <c r="W49" s="485">
        <f>VLOOKUP(C49,'Chấm công KT'!D51:AL131,35,0)</f>
        <v>3</v>
      </c>
      <c r="X49" s="486"/>
      <c r="Y49" s="485">
        <f>VLOOKUP(C49,'Chấm công KT'!D51:AN131,37,0)</f>
        <v>0</v>
      </c>
      <c r="Z49" s="485">
        <f>VLOOKUP(C49,'Chấm công KT'!$D$13:$AO$92,38,0)</f>
        <v>0</v>
      </c>
      <c r="AA49" s="485">
        <f>VLOOKUP(C49,'Chấm công KT'!$D$13:$AP$92,39,0)</f>
        <v>0</v>
      </c>
      <c r="AB49" s="213"/>
      <c r="AC49" s="214">
        <f t="shared" si="5"/>
        <v>8</v>
      </c>
      <c r="AD49" s="92">
        <f>VLOOKUP(C49,'SẢN LƯỢNG'!$D$17:$AR$160,37,0)</f>
        <v>4115</v>
      </c>
      <c r="AE49" s="93"/>
      <c r="AF49" s="77"/>
      <c r="AH49" s="62"/>
      <c r="AI49" s="59"/>
      <c r="AJ49" s="60"/>
      <c r="AK49" s="60"/>
      <c r="AL49" s="60"/>
      <c r="AM49" s="60"/>
      <c r="AN49" s="60"/>
      <c r="AO49" s="60"/>
    </row>
    <row r="50" spans="1:41" ht="18.75" customHeight="1">
      <c r="A50" s="90">
        <v>40</v>
      </c>
      <c r="B50" s="208" t="str">
        <f>'Chấm công KT'!C52</f>
        <v>03489</v>
      </c>
      <c r="C50" s="176" t="str">
        <f>'Chấm công KT'!D52</f>
        <v>T. Tinh</v>
      </c>
      <c r="D50" s="90" t="s">
        <v>35</v>
      </c>
      <c r="E50" s="218">
        <f t="shared" si="2"/>
        <v>8</v>
      </c>
      <c r="F50" s="218"/>
      <c r="G50" s="218"/>
      <c r="H50" s="218"/>
      <c r="I50" s="218"/>
      <c r="J50" s="209"/>
      <c r="K50" s="159"/>
      <c r="L50" s="159"/>
      <c r="M50" s="209"/>
      <c r="N50" s="209"/>
      <c r="O50" s="219"/>
      <c r="P50" s="91"/>
      <c r="Q50" s="210">
        <f t="shared" si="3"/>
        <v>8</v>
      </c>
      <c r="R50" s="528">
        <f>VLOOKUP(C50,'SẢN LƯỢNG'!D56:AK136,34,0)</f>
        <v>3193</v>
      </c>
      <c r="S50" s="209"/>
      <c r="T50" s="151">
        <f t="shared" si="6"/>
        <v>0</v>
      </c>
      <c r="U50" s="212">
        <f t="shared" si="4"/>
        <v>3193</v>
      </c>
      <c r="V50" s="485">
        <f>VLOOKUP(C50,'Chấm công KT'!D52:AK132,34,0)</f>
        <v>26</v>
      </c>
      <c r="W50" s="485">
        <f>VLOOKUP(C50,'Chấm công KT'!D52:AL132,35,0)</f>
        <v>4</v>
      </c>
      <c r="X50" s="486"/>
      <c r="Y50" s="485">
        <f>VLOOKUP(C50,'Chấm công KT'!D52:AN132,37,0)</f>
        <v>0</v>
      </c>
      <c r="Z50" s="485">
        <f>VLOOKUP(C50,'Chấm công KT'!$D$13:$AO$92,38,0)</f>
        <v>0</v>
      </c>
      <c r="AA50" s="485">
        <f>VLOOKUP(C50,'Chấm công KT'!$D$13:$AP$92,39,0)</f>
        <v>0</v>
      </c>
      <c r="AB50" s="213"/>
      <c r="AC50" s="214">
        <f t="shared" si="5"/>
        <v>8</v>
      </c>
      <c r="AD50" s="92">
        <f>VLOOKUP(C50,'SẢN LƯỢNG'!$D$17:$AR$160,37,0)</f>
        <v>3763</v>
      </c>
      <c r="AE50" s="93"/>
      <c r="AF50" s="77"/>
      <c r="AH50" s="62"/>
      <c r="AI50" s="59"/>
      <c r="AJ50" s="60"/>
      <c r="AK50" s="60"/>
      <c r="AL50" s="60"/>
      <c r="AM50" s="60"/>
      <c r="AN50" s="60"/>
      <c r="AO50" s="60"/>
    </row>
    <row r="51" spans="1:41" ht="18.75" customHeight="1">
      <c r="A51" s="175">
        <v>41</v>
      </c>
      <c r="B51" s="208" t="str">
        <f>'Chấm công KT'!C53</f>
        <v>04059</v>
      </c>
      <c r="C51" s="176" t="str">
        <f>'Chấm công KT'!D53</f>
        <v>T. Khăm Pỏi</v>
      </c>
      <c r="D51" s="90" t="s">
        <v>35</v>
      </c>
      <c r="E51" s="218">
        <f t="shared" si="2"/>
        <v>8</v>
      </c>
      <c r="F51" s="218"/>
      <c r="G51" s="218"/>
      <c r="H51" s="218"/>
      <c r="I51" s="218"/>
      <c r="J51" s="209"/>
      <c r="K51" s="159"/>
      <c r="L51" s="159"/>
      <c r="M51" s="209"/>
      <c r="N51" s="91"/>
      <c r="O51" s="91"/>
      <c r="P51" s="91"/>
      <c r="Q51" s="210">
        <f t="shared" si="3"/>
        <v>8</v>
      </c>
      <c r="R51" s="528">
        <f>VLOOKUP(C51,'SẢN LƯỢNG'!D57:AK137,34,0)</f>
        <v>3210</v>
      </c>
      <c r="S51" s="209"/>
      <c r="T51" s="151">
        <f t="shared" si="6"/>
        <v>0</v>
      </c>
      <c r="U51" s="212">
        <f t="shared" si="4"/>
        <v>3210</v>
      </c>
      <c r="V51" s="485">
        <f>VLOOKUP(C51,'Chấm công KT'!D53:AK133,34,0)</f>
        <v>26</v>
      </c>
      <c r="W51" s="485">
        <f>VLOOKUP(C51,'Chấm công KT'!D53:AL133,35,0)</f>
        <v>4</v>
      </c>
      <c r="X51" s="486"/>
      <c r="Y51" s="485">
        <f>VLOOKUP(C51,'Chấm công KT'!D53:AN133,37,0)</f>
        <v>0</v>
      </c>
      <c r="Z51" s="485">
        <f>VLOOKUP(C51,'Chấm công KT'!$D$13:$AO$92,38,0)</f>
        <v>0</v>
      </c>
      <c r="AA51" s="485">
        <f>VLOOKUP(C51,'Chấm công KT'!$D$13:$AP$92,39,0)</f>
        <v>0</v>
      </c>
      <c r="AB51" s="213"/>
      <c r="AC51" s="214">
        <f t="shared" si="5"/>
        <v>8</v>
      </c>
      <c r="AD51" s="92">
        <f>VLOOKUP(C51,'SẢN LƯỢNG'!$D$17:$AR$160,37,0)</f>
        <v>4073</v>
      </c>
      <c r="AE51" s="93"/>
      <c r="AF51" s="77"/>
      <c r="AH51" s="62"/>
      <c r="AI51" s="59"/>
      <c r="AJ51" s="60"/>
      <c r="AK51" s="60"/>
      <c r="AL51" s="60"/>
      <c r="AM51" s="60"/>
      <c r="AN51" s="60"/>
      <c r="AO51" s="60"/>
    </row>
    <row r="52" spans="1:41" ht="18.75" customHeight="1">
      <c r="A52" s="90">
        <v>42</v>
      </c>
      <c r="B52" s="208" t="str">
        <f>'Chấm công KT'!C54</f>
        <v>03491</v>
      </c>
      <c r="C52" s="176" t="str">
        <f>'Chấm công KT'!D54</f>
        <v>Lăm Ngân</v>
      </c>
      <c r="D52" s="90" t="s">
        <v>35</v>
      </c>
      <c r="E52" s="218">
        <f t="shared" si="2"/>
        <v>8</v>
      </c>
      <c r="F52" s="218"/>
      <c r="G52" s="218"/>
      <c r="H52" s="218"/>
      <c r="I52" s="218"/>
      <c r="J52" s="209"/>
      <c r="K52" s="159"/>
      <c r="L52" s="159"/>
      <c r="M52" s="95"/>
      <c r="N52" s="91"/>
      <c r="O52" s="91"/>
      <c r="P52" s="91"/>
      <c r="Q52" s="210">
        <f t="shared" si="3"/>
        <v>8</v>
      </c>
      <c r="R52" s="528">
        <f>VLOOKUP(C52,'SẢN LƯỢNG'!D58:AK138,34,0)</f>
        <v>3734</v>
      </c>
      <c r="S52" s="209"/>
      <c r="T52" s="151">
        <f t="shared" si="6"/>
        <v>0</v>
      </c>
      <c r="U52" s="212">
        <f t="shared" si="4"/>
        <v>3734</v>
      </c>
      <c r="V52" s="485">
        <f>VLOOKUP(C52,'Chấm công KT'!D54:AK134,34,0)</f>
        <v>26</v>
      </c>
      <c r="W52" s="485">
        <f>VLOOKUP(C52,'Chấm công KT'!D54:AL134,35,0)</f>
        <v>4</v>
      </c>
      <c r="X52" s="486"/>
      <c r="Y52" s="485">
        <f>VLOOKUP(C52,'Chấm công KT'!D54:AN134,37,0)</f>
        <v>0</v>
      </c>
      <c r="Z52" s="485">
        <f>VLOOKUP(C52,'Chấm công KT'!$D$13:$AO$92,38,0)</f>
        <v>0</v>
      </c>
      <c r="AA52" s="485">
        <f>VLOOKUP(C52,'Chấm công KT'!$D$13:$AP$92,39,0)</f>
        <v>0</v>
      </c>
      <c r="AB52" s="213"/>
      <c r="AC52" s="214">
        <f t="shared" si="5"/>
        <v>8</v>
      </c>
      <c r="AD52" s="92">
        <f>VLOOKUP(C52,'SẢN LƯỢNG'!$D$17:$AR$160,37,0)</f>
        <v>4220</v>
      </c>
      <c r="AE52" s="93"/>
      <c r="AF52" s="77"/>
      <c r="AG52" s="60"/>
      <c r="AH52" s="62"/>
      <c r="AI52" s="59"/>
      <c r="AJ52" s="60"/>
      <c r="AK52" s="60"/>
      <c r="AL52" s="60"/>
      <c r="AM52" s="60"/>
      <c r="AN52" s="60"/>
      <c r="AO52" s="60"/>
    </row>
    <row r="53" spans="1:41" ht="18.75" customHeight="1">
      <c r="A53" s="175">
        <v>43</v>
      </c>
      <c r="B53" s="208" t="str">
        <f>'Chấm công KT'!C55</f>
        <v>04060</v>
      </c>
      <c r="C53" s="176" t="str">
        <f>'Chấm công KT'!D55</f>
        <v>T. Không</v>
      </c>
      <c r="D53" s="90" t="s">
        <v>35</v>
      </c>
      <c r="E53" s="218">
        <f t="shared" si="2"/>
        <v>8</v>
      </c>
      <c r="F53" s="218"/>
      <c r="G53" s="218"/>
      <c r="H53" s="218"/>
      <c r="I53" s="218"/>
      <c r="J53" s="209"/>
      <c r="K53" s="159"/>
      <c r="L53" s="159"/>
      <c r="M53" s="95"/>
      <c r="N53" s="91"/>
      <c r="O53" s="91"/>
      <c r="P53" s="91"/>
      <c r="Q53" s="210">
        <f t="shared" si="3"/>
        <v>8</v>
      </c>
      <c r="R53" s="528">
        <f>VLOOKUP(C53,'SẢN LƯỢNG'!D59:AK139,34,0)</f>
        <v>4073</v>
      </c>
      <c r="S53" s="209"/>
      <c r="T53" s="151">
        <f t="shared" si="6"/>
        <v>0</v>
      </c>
      <c r="U53" s="212">
        <f t="shared" si="4"/>
        <v>4073</v>
      </c>
      <c r="V53" s="485">
        <f>VLOOKUP(C53,'Chấm công KT'!D55:AK135,34,0)</f>
        <v>27</v>
      </c>
      <c r="W53" s="485">
        <f>VLOOKUP(C53,'Chấm công KT'!D55:AL135,35,0)</f>
        <v>4</v>
      </c>
      <c r="X53" s="486"/>
      <c r="Y53" s="485">
        <f>VLOOKUP(C53,'Chấm công KT'!D55:AN135,37,0)</f>
        <v>0</v>
      </c>
      <c r="Z53" s="485">
        <f>VLOOKUP(C53,'Chấm công KT'!$D$13:$AO$92,38,0)</f>
        <v>0</v>
      </c>
      <c r="AA53" s="485">
        <f>VLOOKUP(C53,'Chấm công KT'!$D$13:$AP$92,39,0)</f>
        <v>0</v>
      </c>
      <c r="AB53" s="213"/>
      <c r="AC53" s="214">
        <f t="shared" si="5"/>
        <v>8</v>
      </c>
      <c r="AD53" s="92">
        <f>VLOOKUP(C53,'SẢN LƯỢNG'!$D$17:$AR$160,37,0)</f>
        <v>3838</v>
      </c>
      <c r="AE53" s="93"/>
      <c r="AF53" s="77"/>
      <c r="AH53" s="62"/>
      <c r="AI53" s="59"/>
      <c r="AJ53" s="60"/>
      <c r="AK53" s="60"/>
      <c r="AL53" s="60"/>
      <c r="AM53" s="60"/>
      <c r="AN53" s="60"/>
      <c r="AO53" s="60"/>
    </row>
    <row r="54" spans="1:41" ht="18.75" customHeight="1">
      <c r="A54" s="90">
        <v>44</v>
      </c>
      <c r="B54" s="208" t="str">
        <f>'Chấm công KT'!C56</f>
        <v>03492</v>
      </c>
      <c r="C54" s="176" t="str">
        <f>'Chấm công KT'!D56</f>
        <v>T. Lem</v>
      </c>
      <c r="D54" s="90" t="s">
        <v>35</v>
      </c>
      <c r="E54" s="218">
        <f t="shared" si="2"/>
        <v>8</v>
      </c>
      <c r="F54" s="218"/>
      <c r="G54" s="218"/>
      <c r="H54" s="218"/>
      <c r="I54" s="218"/>
      <c r="J54" s="209"/>
      <c r="K54" s="159"/>
      <c r="L54" s="95"/>
      <c r="M54" s="209"/>
      <c r="N54" s="91"/>
      <c r="O54" s="91"/>
      <c r="P54" s="91"/>
      <c r="Q54" s="210">
        <f t="shared" si="3"/>
        <v>8</v>
      </c>
      <c r="R54" s="528">
        <f>VLOOKUP(C54,'SẢN LƯỢNG'!D60:AK140,34,0)</f>
        <v>3771</v>
      </c>
      <c r="S54" s="209"/>
      <c r="T54" s="151">
        <f t="shared" si="6"/>
        <v>0</v>
      </c>
      <c r="U54" s="212">
        <f t="shared" si="4"/>
        <v>3771</v>
      </c>
      <c r="V54" s="485">
        <f>VLOOKUP(C54,'Chấm công KT'!D56:AK136,34,0)</f>
        <v>26</v>
      </c>
      <c r="W54" s="485">
        <f>VLOOKUP(C54,'Chấm công KT'!D56:AL136,35,0)</f>
        <v>4</v>
      </c>
      <c r="X54" s="486"/>
      <c r="Y54" s="485">
        <f>VLOOKUP(C54,'Chấm công KT'!D56:AN136,37,0)</f>
        <v>0</v>
      </c>
      <c r="Z54" s="485">
        <f>VLOOKUP(C54,'Chấm công KT'!$D$13:$AO$92,38,0)</f>
        <v>0</v>
      </c>
      <c r="AA54" s="485">
        <f>VLOOKUP(C54,'Chấm công KT'!$D$13:$AP$92,39,0)</f>
        <v>0</v>
      </c>
      <c r="AB54" s="213"/>
      <c r="AC54" s="214">
        <f t="shared" si="5"/>
        <v>8</v>
      </c>
      <c r="AD54" s="92">
        <f>VLOOKUP(C54,'SẢN LƯỢNG'!$D$17:$AR$160,37,0)</f>
        <v>4154</v>
      </c>
      <c r="AE54" s="93"/>
      <c r="AF54" s="77"/>
      <c r="AH54" s="62"/>
      <c r="AI54" s="59"/>
      <c r="AJ54" s="60"/>
      <c r="AK54" s="60"/>
      <c r="AL54" s="60"/>
      <c r="AM54" s="60"/>
      <c r="AN54" s="60"/>
      <c r="AO54" s="60"/>
    </row>
    <row r="55" spans="1:41" ht="18.75" customHeight="1">
      <c r="A55" s="175">
        <v>45</v>
      </c>
      <c r="B55" s="208" t="str">
        <f>'Chấm công KT'!C57</f>
        <v>03493</v>
      </c>
      <c r="C55" s="176" t="str">
        <f>'Chấm công KT'!D57</f>
        <v>T. Pông</v>
      </c>
      <c r="D55" s="90" t="s">
        <v>35</v>
      </c>
      <c r="E55" s="218">
        <f t="shared" si="2"/>
        <v>8</v>
      </c>
      <c r="F55" s="218"/>
      <c r="G55" s="218"/>
      <c r="H55" s="218"/>
      <c r="I55" s="218"/>
      <c r="J55" s="209"/>
      <c r="K55" s="159"/>
      <c r="L55" s="159"/>
      <c r="M55" s="209"/>
      <c r="N55" s="209"/>
      <c r="O55" s="219"/>
      <c r="P55" s="91"/>
      <c r="Q55" s="210">
        <f t="shared" si="3"/>
        <v>8</v>
      </c>
      <c r="R55" s="528">
        <f>VLOOKUP(C55,'SẢN LƯỢNG'!D61:AK141,34,0)</f>
        <v>3690</v>
      </c>
      <c r="S55" s="209"/>
      <c r="T55" s="151">
        <f t="shared" si="6"/>
        <v>0</v>
      </c>
      <c r="U55" s="212">
        <f t="shared" si="4"/>
        <v>3690</v>
      </c>
      <c r="V55" s="485">
        <f>VLOOKUP(C55,'Chấm công KT'!D57:AK137,34,0)</f>
        <v>26</v>
      </c>
      <c r="W55" s="485">
        <f>VLOOKUP(C55,'Chấm công KT'!D57:AL137,35,0)</f>
        <v>4</v>
      </c>
      <c r="X55" s="486"/>
      <c r="Y55" s="485">
        <f>VLOOKUP(C55,'Chấm công KT'!D57:AN137,37,0)</f>
        <v>0</v>
      </c>
      <c r="Z55" s="485">
        <f>VLOOKUP(C55,'Chấm công KT'!$D$13:$AO$92,38,0)</f>
        <v>0</v>
      </c>
      <c r="AA55" s="485">
        <f>VLOOKUP(C55,'Chấm công KT'!$D$13:$AP$92,39,0)</f>
        <v>0</v>
      </c>
      <c r="AB55" s="213"/>
      <c r="AC55" s="214">
        <f t="shared" si="5"/>
        <v>8</v>
      </c>
      <c r="AD55" s="92">
        <f>VLOOKUP(C55,'SẢN LƯỢNG'!$D$17:$AR$160,37,0)</f>
        <v>5054</v>
      </c>
      <c r="AE55" s="93"/>
      <c r="AF55" s="77"/>
      <c r="AH55" s="62"/>
      <c r="AI55" s="59"/>
      <c r="AJ55" s="60"/>
      <c r="AK55" s="60"/>
      <c r="AL55" s="60"/>
      <c r="AM55" s="60"/>
      <c r="AN55" s="60"/>
      <c r="AO55" s="60"/>
    </row>
    <row r="56" spans="1:41" ht="18.75" customHeight="1">
      <c r="A56" s="90">
        <v>46</v>
      </c>
      <c r="B56" s="208" t="str">
        <f>'Chấm công KT'!C58</f>
        <v>03496</v>
      </c>
      <c r="C56" s="176" t="str">
        <f>'Chấm công KT'!D58</f>
        <v>T. Lốp</v>
      </c>
      <c r="D56" s="90" t="s">
        <v>35</v>
      </c>
      <c r="E56" s="218">
        <f t="shared" si="2"/>
        <v>8</v>
      </c>
      <c r="F56" s="218"/>
      <c r="G56" s="218"/>
      <c r="H56" s="218"/>
      <c r="I56" s="218"/>
      <c r="J56" s="209"/>
      <c r="K56" s="159"/>
      <c r="L56" s="159"/>
      <c r="M56" s="209"/>
      <c r="N56" s="209"/>
      <c r="O56" s="219"/>
      <c r="P56" s="91"/>
      <c r="Q56" s="210">
        <f t="shared" si="3"/>
        <v>8</v>
      </c>
      <c r="R56" s="528">
        <f>VLOOKUP(C56,'SẢN LƯỢNG'!D62:AK142,34,0)</f>
        <v>4545</v>
      </c>
      <c r="S56" s="209"/>
      <c r="T56" s="151">
        <f t="shared" si="6"/>
        <v>0</v>
      </c>
      <c r="U56" s="212">
        <f t="shared" si="4"/>
        <v>4545</v>
      </c>
      <c r="V56" s="485">
        <f>VLOOKUP(C56,'Chấm công KT'!D58:AK138,34,0)</f>
        <v>26</v>
      </c>
      <c r="W56" s="485">
        <f>VLOOKUP(C56,'Chấm công KT'!D58:AL138,35,0)</f>
        <v>4</v>
      </c>
      <c r="X56" s="486"/>
      <c r="Y56" s="485">
        <f>VLOOKUP(C56,'Chấm công KT'!D58:AN138,37,0)</f>
        <v>0</v>
      </c>
      <c r="Z56" s="485">
        <f>VLOOKUP(C56,'Chấm công KT'!$D$13:$AO$92,38,0)</f>
        <v>0</v>
      </c>
      <c r="AA56" s="485">
        <f>VLOOKUP(C56,'Chấm công KT'!$D$13:$AP$92,39,0)</f>
        <v>0</v>
      </c>
      <c r="AB56" s="213"/>
      <c r="AC56" s="214">
        <f t="shared" si="5"/>
        <v>8</v>
      </c>
      <c r="AD56" s="92">
        <f>VLOOKUP(C56,'SẢN LƯỢNG'!$D$17:$AR$160,37,0)</f>
        <v>5104</v>
      </c>
      <c r="AE56" s="93"/>
      <c r="AF56" s="77"/>
      <c r="AH56" s="62"/>
      <c r="AI56" s="59"/>
      <c r="AJ56" s="60"/>
      <c r="AK56" s="60"/>
      <c r="AL56" s="60"/>
      <c r="AM56" s="60"/>
      <c r="AN56" s="60"/>
      <c r="AO56" s="60"/>
    </row>
    <row r="57" spans="1:41" ht="18.75" customHeight="1">
      <c r="A57" s="175">
        <v>47</v>
      </c>
      <c r="B57" s="208" t="str">
        <f>'Chấm công KT'!C59</f>
        <v>04061</v>
      </c>
      <c r="C57" s="176" t="str">
        <f>'Chấm công KT'!D59</f>
        <v>N. Nu Ni</v>
      </c>
      <c r="D57" s="90" t="s">
        <v>35</v>
      </c>
      <c r="E57" s="218">
        <f t="shared" si="2"/>
        <v>8</v>
      </c>
      <c r="F57" s="218"/>
      <c r="G57" s="218"/>
      <c r="H57" s="218"/>
      <c r="I57" s="218"/>
      <c r="J57" s="209"/>
      <c r="K57" s="159"/>
      <c r="L57" s="159"/>
      <c r="M57" s="209"/>
      <c r="N57" s="209"/>
      <c r="O57" s="219"/>
      <c r="P57" s="91"/>
      <c r="Q57" s="210">
        <f t="shared" si="3"/>
        <v>8</v>
      </c>
      <c r="R57" s="528">
        <f>VLOOKUP(C57,'SẢN LƯỢNG'!D63:AK143,34,0)</f>
        <v>4645</v>
      </c>
      <c r="S57" s="209"/>
      <c r="T57" s="151">
        <f t="shared" si="6"/>
        <v>0</v>
      </c>
      <c r="U57" s="212">
        <f t="shared" si="4"/>
        <v>4645</v>
      </c>
      <c r="V57" s="485">
        <f>VLOOKUP(C57,'Chấm công KT'!D59:AK139,34,0)</f>
        <v>26</v>
      </c>
      <c r="W57" s="485">
        <f>VLOOKUP(C57,'Chấm công KT'!D59:AL139,35,0)</f>
        <v>4</v>
      </c>
      <c r="X57" s="486"/>
      <c r="Y57" s="485">
        <f>VLOOKUP(C57,'Chấm công KT'!D59:AN139,37,0)</f>
        <v>0</v>
      </c>
      <c r="Z57" s="485">
        <f>VLOOKUP(C57,'Chấm công KT'!$D$13:$AO$92,38,0)</f>
        <v>0</v>
      </c>
      <c r="AA57" s="485">
        <f>VLOOKUP(C57,'Chấm công KT'!$D$13:$AP$92,39,0)</f>
        <v>0</v>
      </c>
      <c r="AB57" s="213"/>
      <c r="AC57" s="214">
        <f t="shared" si="5"/>
        <v>8</v>
      </c>
      <c r="AD57" s="92">
        <f>VLOOKUP(C57,'SẢN LƯỢNG'!$D$17:$AR$160,37,0)</f>
        <v>5065</v>
      </c>
      <c r="AE57" s="93"/>
      <c r="AF57" s="77"/>
      <c r="AG57" s="60"/>
      <c r="AH57" s="60"/>
      <c r="AI57" s="59"/>
      <c r="AJ57" s="60"/>
      <c r="AK57" s="60"/>
      <c r="AL57" s="60"/>
      <c r="AM57" s="60"/>
      <c r="AN57" s="60"/>
      <c r="AO57" s="60"/>
    </row>
    <row r="58" spans="1:41" ht="18.75" customHeight="1">
      <c r="A58" s="90">
        <v>48</v>
      </c>
      <c r="B58" s="208" t="str">
        <f>'Chấm công KT'!C60</f>
        <v>03494</v>
      </c>
      <c r="C58" s="176" t="str">
        <f>'Chấm công KT'!D60</f>
        <v>T. Đi</v>
      </c>
      <c r="D58" s="90" t="s">
        <v>35</v>
      </c>
      <c r="E58" s="218">
        <f t="shared" si="2"/>
        <v>8</v>
      </c>
      <c r="F58" s="218"/>
      <c r="G58" s="218"/>
      <c r="H58" s="218"/>
      <c r="I58" s="218"/>
      <c r="J58" s="209"/>
      <c r="K58" s="159"/>
      <c r="L58" s="159"/>
      <c r="M58" s="209"/>
      <c r="N58" s="209"/>
      <c r="O58" s="219"/>
      <c r="P58" s="91"/>
      <c r="Q58" s="210">
        <f t="shared" si="3"/>
        <v>8</v>
      </c>
      <c r="R58" s="528">
        <f>VLOOKUP(C58,'SẢN LƯỢNG'!D64:AK144,34,0)</f>
        <v>3506</v>
      </c>
      <c r="S58" s="209"/>
      <c r="T58" s="151">
        <f t="shared" si="6"/>
        <v>0</v>
      </c>
      <c r="U58" s="212">
        <f t="shared" si="4"/>
        <v>3506</v>
      </c>
      <c r="V58" s="485">
        <f>VLOOKUP(C58,'Chấm công KT'!D60:AK140,34,0)</f>
        <v>26</v>
      </c>
      <c r="W58" s="485">
        <f>VLOOKUP(C58,'Chấm công KT'!D60:AL140,35,0)</f>
        <v>4</v>
      </c>
      <c r="X58" s="486"/>
      <c r="Y58" s="485">
        <f>VLOOKUP(C58,'Chấm công KT'!D60:AN140,37,0)</f>
        <v>0</v>
      </c>
      <c r="Z58" s="485">
        <f>VLOOKUP(C58,'Chấm công KT'!$D$13:$AO$92,38,0)</f>
        <v>0</v>
      </c>
      <c r="AA58" s="485">
        <f>VLOOKUP(C58,'Chấm công KT'!$D$13:$AP$92,39,0)</f>
        <v>0</v>
      </c>
      <c r="AB58" s="213"/>
      <c r="AC58" s="214">
        <f t="shared" si="5"/>
        <v>8</v>
      </c>
      <c r="AD58" s="92">
        <f>VLOOKUP(C58,'SẢN LƯỢNG'!$D$17:$AR$160,37,0)</f>
        <v>3875</v>
      </c>
      <c r="AE58" s="93"/>
      <c r="AF58" s="77"/>
      <c r="AH58" s="60"/>
      <c r="AI58" s="59"/>
      <c r="AJ58" s="60"/>
      <c r="AK58" s="60"/>
      <c r="AL58" s="60"/>
      <c r="AM58" s="60"/>
      <c r="AN58" s="60"/>
      <c r="AO58" s="60"/>
    </row>
    <row r="59" spans="1:41" ht="18.75" customHeight="1">
      <c r="A59" s="175">
        <v>49</v>
      </c>
      <c r="B59" s="208" t="str">
        <f>'Chấm công KT'!C61</f>
        <v>03495</v>
      </c>
      <c r="C59" s="176" t="str">
        <f>'Chấm công KT'!D61</f>
        <v>N. On Xi</v>
      </c>
      <c r="D59" s="90" t="s">
        <v>35</v>
      </c>
      <c r="E59" s="218">
        <f t="shared" si="2"/>
        <v>8</v>
      </c>
      <c r="F59" s="218"/>
      <c r="G59" s="218"/>
      <c r="H59" s="218"/>
      <c r="I59" s="218"/>
      <c r="J59" s="209"/>
      <c r="K59" s="159"/>
      <c r="L59" s="159"/>
      <c r="M59" s="209"/>
      <c r="N59" s="209"/>
      <c r="O59" s="219"/>
      <c r="P59" s="91"/>
      <c r="Q59" s="210">
        <f t="shared" si="3"/>
        <v>8</v>
      </c>
      <c r="R59" s="528">
        <f>VLOOKUP(C59,'SẢN LƯỢNG'!D65:AK145,34,0)</f>
        <v>4191</v>
      </c>
      <c r="S59" s="209"/>
      <c r="T59" s="151">
        <f t="shared" si="6"/>
        <v>0</v>
      </c>
      <c r="U59" s="212">
        <f t="shared" si="4"/>
        <v>4191</v>
      </c>
      <c r="V59" s="485">
        <f>VLOOKUP(C59,'Chấm công KT'!D61:AK141,34,0)</f>
        <v>27</v>
      </c>
      <c r="W59" s="485">
        <f>VLOOKUP(C59,'Chấm công KT'!D61:AL141,35,0)</f>
        <v>4</v>
      </c>
      <c r="X59" s="486"/>
      <c r="Y59" s="485">
        <f>VLOOKUP(C59,'Chấm công KT'!D61:AN141,37,0)</f>
        <v>0</v>
      </c>
      <c r="Z59" s="485">
        <f>VLOOKUP(C59,'Chấm công KT'!$D$13:$AO$92,38,0)</f>
        <v>0</v>
      </c>
      <c r="AA59" s="485">
        <f>VLOOKUP(C59,'Chấm công KT'!$D$13:$AP$92,39,0)</f>
        <v>0</v>
      </c>
      <c r="AB59" s="213"/>
      <c r="AC59" s="214">
        <f t="shared" si="5"/>
        <v>8</v>
      </c>
      <c r="AD59" s="92">
        <f>VLOOKUP(C59,'SẢN LƯỢNG'!$D$17:$AR$160,37,0)</f>
        <v>3980</v>
      </c>
      <c r="AE59" s="93"/>
      <c r="AF59" s="77"/>
      <c r="AH59" s="60"/>
      <c r="AI59" s="59"/>
      <c r="AJ59" s="60"/>
      <c r="AK59" s="60"/>
      <c r="AL59" s="60"/>
      <c r="AM59" s="60"/>
      <c r="AN59" s="60"/>
      <c r="AO59" s="60"/>
    </row>
    <row r="60" spans="1:41" ht="18.75" customHeight="1">
      <c r="A60" s="90">
        <v>50</v>
      </c>
      <c r="B60" s="208" t="str">
        <f>'Chấm công KT'!C62</f>
        <v>04062</v>
      </c>
      <c r="C60" s="176" t="str">
        <f>'Chấm công KT'!D62</f>
        <v>N. Thông La</v>
      </c>
      <c r="D60" s="90" t="s">
        <v>35</v>
      </c>
      <c r="E60" s="218">
        <f t="shared" si="2"/>
        <v>8</v>
      </c>
      <c r="F60" s="218"/>
      <c r="G60" s="218"/>
      <c r="H60" s="218"/>
      <c r="I60" s="218"/>
      <c r="J60" s="209"/>
      <c r="K60" s="159"/>
      <c r="L60" s="159"/>
      <c r="M60" s="95"/>
      <c r="N60" s="209"/>
      <c r="O60" s="219"/>
      <c r="P60" s="91"/>
      <c r="Q60" s="210">
        <f t="shared" si="3"/>
        <v>8</v>
      </c>
      <c r="R60" s="528">
        <f>VLOOKUP(C60,'SẢN LƯỢNG'!D66:AK146,34,0)</f>
        <v>4517</v>
      </c>
      <c r="S60" s="209"/>
      <c r="T60" s="151">
        <f t="shared" si="6"/>
        <v>0</v>
      </c>
      <c r="U60" s="212">
        <f t="shared" si="4"/>
        <v>4517</v>
      </c>
      <c r="V60" s="485">
        <f>VLOOKUP(C60,'Chấm công KT'!D62:AK142,34,0)</f>
        <v>27</v>
      </c>
      <c r="W60" s="485">
        <f>VLOOKUP(C60,'Chấm công KT'!D62:AL142,35,0)</f>
        <v>4</v>
      </c>
      <c r="X60" s="486"/>
      <c r="Y60" s="485">
        <f>VLOOKUP(C60,'Chấm công KT'!D62:AN142,37,0)</f>
        <v>0</v>
      </c>
      <c r="Z60" s="485">
        <f>VLOOKUP(C60,'Chấm công KT'!$D$13:$AO$92,38,0)</f>
        <v>0</v>
      </c>
      <c r="AA60" s="485">
        <f>VLOOKUP(C60,'Chấm công KT'!$D$13:$AP$92,39,0)</f>
        <v>0</v>
      </c>
      <c r="AB60" s="213"/>
      <c r="AC60" s="214">
        <f t="shared" si="5"/>
        <v>8</v>
      </c>
      <c r="AD60" s="92">
        <f>VLOOKUP(C60,'SẢN LƯỢNG'!$D$17:$AR$160,37,0)</f>
        <v>4866</v>
      </c>
      <c r="AE60" s="93"/>
      <c r="AF60" s="77"/>
      <c r="AH60" s="60"/>
      <c r="AI60" s="59"/>
      <c r="AJ60" s="60"/>
      <c r="AK60" s="60"/>
      <c r="AL60" s="60"/>
      <c r="AM60" s="60"/>
      <c r="AN60" s="60"/>
      <c r="AO60" s="60"/>
    </row>
    <row r="61" spans="1:41" ht="18.75" customHeight="1">
      <c r="A61" s="175">
        <v>51</v>
      </c>
      <c r="B61" s="208" t="str">
        <f>'Chấm công KT'!C63</f>
        <v>03497</v>
      </c>
      <c r="C61" s="176" t="str">
        <f>'Chấm công KT'!D63</f>
        <v>T. Son Xay</v>
      </c>
      <c r="D61" s="90" t="s">
        <v>35</v>
      </c>
      <c r="E61" s="218">
        <f t="shared" si="2"/>
        <v>8</v>
      </c>
      <c r="F61" s="218"/>
      <c r="G61" s="218"/>
      <c r="H61" s="218"/>
      <c r="I61" s="218"/>
      <c r="J61" s="209"/>
      <c r="K61" s="159"/>
      <c r="L61" s="159"/>
      <c r="M61" s="209"/>
      <c r="N61" s="209"/>
      <c r="O61" s="219"/>
      <c r="P61" s="91"/>
      <c r="Q61" s="210">
        <f t="shared" si="3"/>
        <v>8</v>
      </c>
      <c r="R61" s="528">
        <f>VLOOKUP(C61,'SẢN LƯỢNG'!D67:AK147,34,0)</f>
        <v>4517</v>
      </c>
      <c r="S61" s="209"/>
      <c r="T61" s="151">
        <f t="shared" si="6"/>
        <v>0</v>
      </c>
      <c r="U61" s="212">
        <f t="shared" si="4"/>
        <v>4517</v>
      </c>
      <c r="V61" s="485">
        <f>VLOOKUP(C61,'Chấm công KT'!D63:AK143,34,0)</f>
        <v>26</v>
      </c>
      <c r="W61" s="485">
        <f>VLOOKUP(C61,'Chấm công KT'!D63:AL143,35,0)</f>
        <v>4</v>
      </c>
      <c r="X61" s="486"/>
      <c r="Y61" s="485">
        <f>VLOOKUP(C61,'Chấm công KT'!D63:AN143,37,0)</f>
        <v>0</v>
      </c>
      <c r="Z61" s="485">
        <f>VLOOKUP(C61,'Chấm công KT'!$D$13:$AO$92,38,0)</f>
        <v>0</v>
      </c>
      <c r="AA61" s="485">
        <f>VLOOKUP(C61,'Chấm công KT'!$D$13:$AP$92,39,0)</f>
        <v>0</v>
      </c>
      <c r="AB61" s="213"/>
      <c r="AC61" s="214">
        <f t="shared" si="5"/>
        <v>8</v>
      </c>
      <c r="AD61" s="92">
        <f>VLOOKUP(C61,'SẢN LƯỢNG'!$D$17:$AR$160,37,0)</f>
        <v>4888</v>
      </c>
      <c r="AE61" s="93"/>
      <c r="AF61" s="77"/>
      <c r="AH61" s="60"/>
      <c r="AI61" s="59"/>
      <c r="AJ61" s="60"/>
      <c r="AK61" s="60"/>
      <c r="AL61" s="60"/>
      <c r="AM61" s="60"/>
      <c r="AN61" s="60"/>
      <c r="AO61" s="60"/>
    </row>
    <row r="62" spans="1:41" ht="18.75" customHeight="1">
      <c r="A62" s="90">
        <v>52</v>
      </c>
      <c r="B62" s="208" t="str">
        <f>'Chấm công KT'!C64</f>
        <v>03498</v>
      </c>
      <c r="C62" s="176" t="str">
        <f>'Chấm công KT'!D64</f>
        <v>N. Lăm Phay</v>
      </c>
      <c r="D62" s="90" t="s">
        <v>35</v>
      </c>
      <c r="E62" s="218">
        <f t="shared" si="2"/>
        <v>8</v>
      </c>
      <c r="F62" s="218"/>
      <c r="G62" s="218"/>
      <c r="H62" s="218"/>
      <c r="I62" s="218"/>
      <c r="J62" s="209"/>
      <c r="K62" s="159"/>
      <c r="L62" s="95"/>
      <c r="M62" s="95"/>
      <c r="N62" s="91"/>
      <c r="O62" s="91"/>
      <c r="P62" s="91"/>
      <c r="Q62" s="210">
        <f t="shared" si="3"/>
        <v>8</v>
      </c>
      <c r="R62" s="528">
        <f>VLOOKUP(C62,'SẢN LƯỢNG'!D68:AK148,34,0)</f>
        <v>4520</v>
      </c>
      <c r="S62" s="209"/>
      <c r="T62" s="151">
        <f t="shared" si="6"/>
        <v>0</v>
      </c>
      <c r="U62" s="212">
        <f t="shared" si="4"/>
        <v>4520</v>
      </c>
      <c r="V62" s="485">
        <f>VLOOKUP(C62,'Chấm công KT'!D64:AK144,34,0)</f>
        <v>26</v>
      </c>
      <c r="W62" s="485">
        <f>VLOOKUP(C62,'Chấm công KT'!D64:AL144,35,0)</f>
        <v>4</v>
      </c>
      <c r="X62" s="486"/>
      <c r="Y62" s="485">
        <f>VLOOKUP(C62,'Chấm công KT'!D64:AN144,37,0)</f>
        <v>0</v>
      </c>
      <c r="Z62" s="485">
        <f>VLOOKUP(C62,'Chấm công KT'!$D$13:$AO$92,38,0)</f>
        <v>0</v>
      </c>
      <c r="AA62" s="485">
        <f>VLOOKUP(C62,'Chấm công KT'!$D$13:$AP$92,39,0)</f>
        <v>0</v>
      </c>
      <c r="AB62" s="213"/>
      <c r="AC62" s="214">
        <f t="shared" si="5"/>
        <v>8</v>
      </c>
      <c r="AD62" s="92">
        <f>VLOOKUP(C62,'SẢN LƯỢNG'!$D$17:$AR$160,37,0)</f>
        <v>4978</v>
      </c>
      <c r="AE62" s="93"/>
      <c r="AF62" s="77"/>
      <c r="AH62" s="60"/>
      <c r="AI62" s="59"/>
      <c r="AJ62" s="60"/>
      <c r="AK62" s="60"/>
      <c r="AL62" s="60"/>
      <c r="AM62" s="60"/>
      <c r="AN62" s="60"/>
      <c r="AO62" s="60"/>
    </row>
    <row r="63" spans="1:41" ht="18.75" customHeight="1">
      <c r="A63" s="175">
        <v>53</v>
      </c>
      <c r="B63" s="208" t="str">
        <f>'Chấm công KT'!C65</f>
        <v>02706</v>
      </c>
      <c r="C63" s="176" t="str">
        <f>'Chấm công KT'!D65</f>
        <v>T. Nhung</v>
      </c>
      <c r="D63" s="90" t="s">
        <v>35</v>
      </c>
      <c r="E63" s="218">
        <f t="shared" si="2"/>
        <v>8</v>
      </c>
      <c r="F63" s="218"/>
      <c r="G63" s="218"/>
      <c r="H63" s="218"/>
      <c r="I63" s="218"/>
      <c r="J63" s="209"/>
      <c r="K63" s="159"/>
      <c r="L63" s="159"/>
      <c r="M63" s="209"/>
      <c r="N63" s="209"/>
      <c r="O63" s="219"/>
      <c r="P63" s="91"/>
      <c r="Q63" s="210">
        <f t="shared" si="3"/>
        <v>8</v>
      </c>
      <c r="R63" s="528">
        <f>VLOOKUP(C63,'SẢN LƯỢNG'!D69:AK149,34,0)</f>
        <v>4469</v>
      </c>
      <c r="S63" s="209"/>
      <c r="T63" s="151">
        <f>S63*50/100</f>
        <v>0</v>
      </c>
      <c r="U63" s="212">
        <f t="shared" si="4"/>
        <v>4469</v>
      </c>
      <c r="V63" s="485">
        <f>VLOOKUP(C63,'Chấm công KT'!D65:AK145,34,0)</f>
        <v>27</v>
      </c>
      <c r="W63" s="485">
        <f>VLOOKUP(C63,'Chấm công KT'!D65:AL145,35,0)</f>
        <v>4</v>
      </c>
      <c r="X63" s="486"/>
      <c r="Y63" s="485">
        <f>VLOOKUP(C63,'Chấm công KT'!D65:AN145,37,0)</f>
        <v>0</v>
      </c>
      <c r="Z63" s="485">
        <f>VLOOKUP(C63,'Chấm công KT'!$D$13:$AO$92,38,0)</f>
        <v>0</v>
      </c>
      <c r="AA63" s="485">
        <f>VLOOKUP(C63,'Chấm công KT'!$D$13:$AP$92,39,0)</f>
        <v>0</v>
      </c>
      <c r="AB63" s="213"/>
      <c r="AC63" s="214">
        <f t="shared" si="5"/>
        <v>8</v>
      </c>
      <c r="AD63" s="92">
        <f>VLOOKUP(C63,'SẢN LƯỢNG'!$D$17:$AR$160,37,0)</f>
        <v>4751</v>
      </c>
      <c r="AE63" s="93"/>
      <c r="AF63" s="77"/>
      <c r="AH63" s="60"/>
      <c r="AI63" s="59"/>
      <c r="AJ63" s="60"/>
      <c r="AK63" s="60"/>
      <c r="AL63" s="60"/>
      <c r="AM63" s="60"/>
      <c r="AN63" s="60"/>
      <c r="AO63" s="60"/>
    </row>
    <row r="64" spans="1:41" ht="18.75" customHeight="1">
      <c r="A64" s="90">
        <v>54</v>
      </c>
      <c r="B64" s="208">
        <f>'Chấm công KT'!C66</f>
        <v>0</v>
      </c>
      <c r="C64" s="176" t="str">
        <f>'Chấm công KT'!D66</f>
        <v>N. In Ton</v>
      </c>
      <c r="D64" s="90" t="s">
        <v>35</v>
      </c>
      <c r="E64" s="218">
        <f t="shared" si="2"/>
        <v>8</v>
      </c>
      <c r="F64" s="218"/>
      <c r="G64" s="218"/>
      <c r="H64" s="218"/>
      <c r="I64" s="218"/>
      <c r="J64" s="209"/>
      <c r="K64" s="159"/>
      <c r="L64" s="159"/>
      <c r="M64" s="209"/>
      <c r="N64" s="209"/>
      <c r="O64" s="219"/>
      <c r="P64" s="91"/>
      <c r="Q64" s="210">
        <f t="shared" si="3"/>
        <v>8</v>
      </c>
      <c r="R64" s="528">
        <f>VLOOKUP(C64,'SẢN LƯỢNG'!D70:AK150,34,0)</f>
        <v>3480</v>
      </c>
      <c r="S64" s="209"/>
      <c r="T64" s="151">
        <f t="shared" si="6"/>
        <v>0</v>
      </c>
      <c r="U64" s="212">
        <f t="shared" si="4"/>
        <v>3480</v>
      </c>
      <c r="V64" s="485">
        <f>VLOOKUP(C64,'Chấm công KT'!D66:AK146,34,0)</f>
        <v>27</v>
      </c>
      <c r="W64" s="485">
        <f>VLOOKUP(C64,'Chấm công KT'!D66:AL146,35,0)</f>
        <v>4</v>
      </c>
      <c r="X64" s="486"/>
      <c r="Y64" s="485">
        <f>VLOOKUP(C64,'Chấm công KT'!D66:AN146,37,0)</f>
        <v>0</v>
      </c>
      <c r="Z64" s="485">
        <f>VLOOKUP(C64,'Chấm công KT'!$D$13:$AO$92,38,0)</f>
        <v>0</v>
      </c>
      <c r="AA64" s="485">
        <f>VLOOKUP(C64,'Chấm công KT'!$D$13:$AP$92,39,0)</f>
        <v>0</v>
      </c>
      <c r="AB64" s="213"/>
      <c r="AC64" s="214">
        <f t="shared" si="5"/>
        <v>8</v>
      </c>
      <c r="AD64" s="92">
        <f>VLOOKUP(C64,'SẢN LƯỢNG'!$D$17:$AR$160,37,0)</f>
        <v>4111</v>
      </c>
      <c r="AE64" s="93"/>
      <c r="AF64" s="77"/>
      <c r="AH64" s="60"/>
      <c r="AI64" s="59"/>
      <c r="AJ64" s="60"/>
      <c r="AK64" s="60"/>
      <c r="AL64" s="60"/>
      <c r="AM64" s="60"/>
      <c r="AN64" s="60"/>
      <c r="AO64" s="60"/>
    </row>
    <row r="65" spans="1:41" ht="18.75" customHeight="1">
      <c r="A65" s="175">
        <v>55</v>
      </c>
      <c r="B65" s="208" t="str">
        <f>'Chấm công KT'!C67</f>
        <v>04064</v>
      </c>
      <c r="C65" s="176" t="str">
        <f>'Chấm công KT'!D67</f>
        <v>N. Khay Chăn</v>
      </c>
      <c r="D65" s="90" t="s">
        <v>35</v>
      </c>
      <c r="E65" s="218">
        <f t="shared" si="2"/>
        <v>8</v>
      </c>
      <c r="F65" s="218"/>
      <c r="G65" s="218"/>
      <c r="H65" s="218"/>
      <c r="I65" s="218"/>
      <c r="J65" s="209"/>
      <c r="K65" s="159"/>
      <c r="L65" s="95"/>
      <c r="M65" s="95"/>
      <c r="N65" s="91"/>
      <c r="O65" s="91"/>
      <c r="P65" s="91"/>
      <c r="Q65" s="210">
        <f t="shared" si="3"/>
        <v>8</v>
      </c>
      <c r="R65" s="528">
        <f>VLOOKUP(C65,'SẢN LƯỢNG'!D71:AK151,34,0)</f>
        <v>5309</v>
      </c>
      <c r="S65" s="209"/>
      <c r="T65" s="151">
        <f t="shared" si="6"/>
        <v>0</v>
      </c>
      <c r="U65" s="212">
        <f t="shared" si="4"/>
        <v>5309</v>
      </c>
      <c r="V65" s="485">
        <f>VLOOKUP(C65,'Chấm công KT'!D67:AK147,34,0)</f>
        <v>27</v>
      </c>
      <c r="W65" s="485">
        <f>VLOOKUP(C65,'Chấm công KT'!D67:AL147,35,0)</f>
        <v>4</v>
      </c>
      <c r="X65" s="486"/>
      <c r="Y65" s="485">
        <f>VLOOKUP(C65,'Chấm công KT'!D67:AN147,37,0)</f>
        <v>0</v>
      </c>
      <c r="Z65" s="485">
        <f>VLOOKUP(C65,'Chấm công KT'!$D$13:$AO$92,38,0)</f>
        <v>0</v>
      </c>
      <c r="AA65" s="485">
        <f>VLOOKUP(C65,'Chấm công KT'!$D$13:$AP$92,39,0)</f>
        <v>0</v>
      </c>
      <c r="AB65" s="213"/>
      <c r="AC65" s="214">
        <f t="shared" si="5"/>
        <v>8</v>
      </c>
      <c r="AD65" s="92">
        <f>VLOOKUP(C65,'SẢN LƯỢNG'!$D$17:$AR$160,37,0)</f>
        <v>4099</v>
      </c>
      <c r="AE65" s="93"/>
      <c r="AF65" s="77"/>
      <c r="AH65" s="60"/>
      <c r="AI65" s="59"/>
      <c r="AJ65" s="60"/>
      <c r="AK65" s="60"/>
      <c r="AL65" s="60"/>
      <c r="AM65" s="60"/>
      <c r="AN65" s="60"/>
      <c r="AO65" s="60"/>
    </row>
    <row r="66" spans="1:41" ht="18.75" customHeight="1">
      <c r="A66" s="90">
        <v>56</v>
      </c>
      <c r="B66" s="208" t="str">
        <f>'Chấm công KT'!C68</f>
        <v>03501</v>
      </c>
      <c r="C66" s="176" t="str">
        <f>'Chấm công KT'!D68</f>
        <v>T Dăn</v>
      </c>
      <c r="D66" s="90" t="s">
        <v>35</v>
      </c>
      <c r="E66" s="218">
        <f t="shared" si="2"/>
        <v>8</v>
      </c>
      <c r="F66" s="218"/>
      <c r="G66" s="218"/>
      <c r="H66" s="218"/>
      <c r="I66" s="218"/>
      <c r="J66" s="209"/>
      <c r="K66" s="159"/>
      <c r="L66" s="159"/>
      <c r="M66" s="209"/>
      <c r="N66" s="209"/>
      <c r="O66" s="219"/>
      <c r="P66" s="91"/>
      <c r="Q66" s="210">
        <f t="shared" si="3"/>
        <v>8</v>
      </c>
      <c r="R66" s="528">
        <f>VLOOKUP(C66,'SẢN LƯỢNG'!D72:AK152,34,0)</f>
        <v>3494</v>
      </c>
      <c r="S66" s="209"/>
      <c r="T66" s="151">
        <f t="shared" si="6"/>
        <v>0</v>
      </c>
      <c r="U66" s="212">
        <f t="shared" si="4"/>
        <v>3494</v>
      </c>
      <c r="V66" s="485">
        <f>VLOOKUP(C66,'Chấm công KT'!D68:AK148,34,0)</f>
        <v>26</v>
      </c>
      <c r="W66" s="485">
        <f>VLOOKUP(C66,'Chấm công KT'!D68:AL148,35,0)</f>
        <v>4</v>
      </c>
      <c r="X66" s="486"/>
      <c r="Y66" s="485">
        <f>VLOOKUP(C66,'Chấm công KT'!D68:AN148,37,0)</f>
        <v>0</v>
      </c>
      <c r="Z66" s="485">
        <f>VLOOKUP(C66,'Chấm công KT'!$D$13:$AO$92,38,0)</f>
        <v>0</v>
      </c>
      <c r="AA66" s="485">
        <f>VLOOKUP(C66,'Chấm công KT'!$D$13:$AP$92,39,0)</f>
        <v>0</v>
      </c>
      <c r="AB66" s="213"/>
      <c r="AC66" s="214">
        <f t="shared" si="5"/>
        <v>8</v>
      </c>
      <c r="AD66" s="92">
        <f>VLOOKUP(C66,'SẢN LƯỢNG'!$D$17:$AR$160,37,0)</f>
        <v>3204</v>
      </c>
      <c r="AE66" s="93"/>
      <c r="AF66" s="77"/>
      <c r="AH66" s="60"/>
      <c r="AI66" s="63"/>
      <c r="AJ66" s="60"/>
      <c r="AK66" s="60"/>
      <c r="AL66" s="60"/>
      <c r="AM66" s="60"/>
      <c r="AN66" s="60"/>
      <c r="AO66" s="60"/>
    </row>
    <row r="67" spans="1:41" ht="18.75" customHeight="1">
      <c r="A67" s="175">
        <v>57</v>
      </c>
      <c r="B67" s="208" t="str">
        <f>'Chấm công KT'!C69</f>
        <v>03502</v>
      </c>
      <c r="C67" s="176" t="str">
        <f>'Chấm công KT'!D69</f>
        <v>T. Xợt</v>
      </c>
      <c r="D67" s="90" t="s">
        <v>35</v>
      </c>
      <c r="E67" s="218">
        <f t="shared" si="2"/>
        <v>8</v>
      </c>
      <c r="F67" s="218"/>
      <c r="G67" s="218"/>
      <c r="H67" s="218"/>
      <c r="I67" s="218"/>
      <c r="J67" s="209"/>
      <c r="K67" s="159"/>
      <c r="L67" s="159"/>
      <c r="M67" s="209"/>
      <c r="N67" s="209"/>
      <c r="O67" s="219"/>
      <c r="P67" s="91"/>
      <c r="Q67" s="210">
        <f t="shared" si="3"/>
        <v>8</v>
      </c>
      <c r="R67" s="528">
        <f>VLOOKUP(C67,'SẢN LƯỢNG'!D73:AK153,34,0)</f>
        <v>4006</v>
      </c>
      <c r="S67" s="209"/>
      <c r="T67" s="151">
        <f t="shared" si="6"/>
        <v>0</v>
      </c>
      <c r="U67" s="212">
        <f t="shared" si="4"/>
        <v>4006</v>
      </c>
      <c r="V67" s="485">
        <f>VLOOKUP(C67,'Chấm công KT'!D69:AK149,34,0)</f>
        <v>27</v>
      </c>
      <c r="W67" s="485">
        <f>VLOOKUP(C67,'Chấm công KT'!D69:AL149,35,0)</f>
        <v>4</v>
      </c>
      <c r="X67" s="486"/>
      <c r="Y67" s="485">
        <f>VLOOKUP(C67,'Chấm công KT'!D69:AN149,37,0)</f>
        <v>0</v>
      </c>
      <c r="Z67" s="485">
        <f>VLOOKUP(C67,'Chấm công KT'!$D$13:$AO$92,38,0)</f>
        <v>0</v>
      </c>
      <c r="AA67" s="485">
        <f>VLOOKUP(C67,'Chấm công KT'!$D$13:$AP$92,39,0)</f>
        <v>0</v>
      </c>
      <c r="AB67" s="213"/>
      <c r="AC67" s="214">
        <f t="shared" si="5"/>
        <v>8</v>
      </c>
      <c r="AD67" s="92">
        <f>VLOOKUP(C67,'SẢN LƯỢNG'!$D$17:$AR$160,37,0)</f>
        <v>3734</v>
      </c>
      <c r="AE67" s="93"/>
      <c r="AF67" s="77"/>
      <c r="AH67" s="60"/>
      <c r="AI67" s="59"/>
      <c r="AJ67" s="60"/>
      <c r="AK67" s="60"/>
      <c r="AL67" s="60"/>
      <c r="AM67" s="60"/>
      <c r="AN67" s="60"/>
      <c r="AO67" s="60"/>
    </row>
    <row r="68" spans="1:41" ht="18.75" customHeight="1">
      <c r="A68" s="90">
        <v>58</v>
      </c>
      <c r="B68" s="208" t="str">
        <f>'Chấm công KT'!C70</f>
        <v>04065</v>
      </c>
      <c r="C68" s="176" t="str">
        <f>'Chấm công KT'!D70</f>
        <v>N. Phết 2</v>
      </c>
      <c r="D68" s="90" t="s">
        <v>35</v>
      </c>
      <c r="E68" s="218">
        <f t="shared" si="2"/>
        <v>8</v>
      </c>
      <c r="F68" s="218"/>
      <c r="G68" s="218"/>
      <c r="H68" s="218"/>
      <c r="I68" s="218"/>
      <c r="J68" s="209"/>
      <c r="K68" s="159"/>
      <c r="L68" s="159"/>
      <c r="M68" s="209"/>
      <c r="N68" s="209"/>
      <c r="O68" s="219"/>
      <c r="P68" s="91"/>
      <c r="Q68" s="210">
        <f t="shared" si="3"/>
        <v>8</v>
      </c>
      <c r="R68" s="528">
        <f>VLOOKUP(C68,'SẢN LƯỢNG'!D74:AK154,34,0)</f>
        <v>3440</v>
      </c>
      <c r="S68" s="209"/>
      <c r="T68" s="151">
        <f t="shared" si="6"/>
        <v>0</v>
      </c>
      <c r="U68" s="212">
        <f t="shared" si="4"/>
        <v>3440</v>
      </c>
      <c r="V68" s="485">
        <f>VLOOKUP(C68,'Chấm công KT'!D70:AK150,34,0)</f>
        <v>27</v>
      </c>
      <c r="W68" s="485">
        <f>VLOOKUP(C68,'Chấm công KT'!D70:AL150,35,0)</f>
        <v>4</v>
      </c>
      <c r="X68" s="486"/>
      <c r="Y68" s="485">
        <f>VLOOKUP(C68,'Chấm công KT'!D70:AN150,37,0)</f>
        <v>0</v>
      </c>
      <c r="Z68" s="485">
        <f>VLOOKUP(C68,'Chấm công KT'!$D$13:$AO$92,38,0)</f>
        <v>0</v>
      </c>
      <c r="AA68" s="485">
        <f>VLOOKUP(C68,'Chấm công KT'!$D$13:$AP$92,39,0)</f>
        <v>0</v>
      </c>
      <c r="AB68" s="213"/>
      <c r="AC68" s="214">
        <f t="shared" si="5"/>
        <v>8</v>
      </c>
      <c r="AD68" s="92">
        <f>VLOOKUP(C68,'SẢN LƯỢNG'!$D$17:$AR$160,37,0)</f>
        <v>4028</v>
      </c>
      <c r="AE68" s="93"/>
      <c r="AF68" s="77"/>
      <c r="AH68" s="64"/>
      <c r="AI68" s="65"/>
      <c r="AJ68" s="64"/>
      <c r="AK68" s="64"/>
      <c r="AL68" s="60"/>
      <c r="AM68" s="64"/>
      <c r="AN68" s="64"/>
      <c r="AO68" s="60"/>
    </row>
    <row r="69" spans="1:41" ht="18.75" customHeight="1">
      <c r="A69" s="175">
        <v>59</v>
      </c>
      <c r="B69" s="208" t="str">
        <f>'Chấm công KT'!C71</f>
        <v>03504</v>
      </c>
      <c r="C69" s="176" t="str">
        <f>'Chấm công KT'!D71</f>
        <v>T. Cạp</v>
      </c>
      <c r="D69" s="90" t="s">
        <v>35</v>
      </c>
      <c r="E69" s="218">
        <f t="shared" si="2"/>
        <v>8</v>
      </c>
      <c r="F69" s="218"/>
      <c r="G69" s="218"/>
      <c r="H69" s="218"/>
      <c r="I69" s="218"/>
      <c r="J69" s="209"/>
      <c r="K69" s="159"/>
      <c r="L69" s="159"/>
      <c r="M69" s="209"/>
      <c r="N69" s="209"/>
      <c r="O69" s="219"/>
      <c r="P69" s="91"/>
      <c r="Q69" s="210">
        <f t="shared" si="3"/>
        <v>8</v>
      </c>
      <c r="R69" s="528">
        <f>VLOOKUP(C69,'SẢN LƯỢNG'!D75:AK155,34,0)</f>
        <v>3798</v>
      </c>
      <c r="S69" s="209"/>
      <c r="T69" s="151">
        <f t="shared" si="6"/>
        <v>0</v>
      </c>
      <c r="U69" s="212">
        <f t="shared" si="4"/>
        <v>3798</v>
      </c>
      <c r="V69" s="485">
        <f>VLOOKUP(C69,'Chấm công KT'!D71:AK151,34,0)</f>
        <v>26</v>
      </c>
      <c r="W69" s="485">
        <f>VLOOKUP(C69,'Chấm công KT'!D71:AL151,35,0)</f>
        <v>4</v>
      </c>
      <c r="X69" s="486"/>
      <c r="Y69" s="485">
        <f>VLOOKUP(C69,'Chấm công KT'!D71:AN151,37,0)</f>
        <v>0</v>
      </c>
      <c r="Z69" s="485">
        <f>VLOOKUP(C69,'Chấm công KT'!$D$13:$AO$92,38,0)</f>
        <v>0</v>
      </c>
      <c r="AA69" s="485">
        <f>VLOOKUP(C69,'Chấm công KT'!$D$13:$AP$92,39,0)</f>
        <v>0</v>
      </c>
      <c r="AB69" s="213"/>
      <c r="AC69" s="214">
        <f t="shared" si="5"/>
        <v>8</v>
      </c>
      <c r="AD69" s="92">
        <f>VLOOKUP(C69,'SẢN LƯỢNG'!$D$17:$AR$160,37,0)</f>
        <v>3592</v>
      </c>
      <c r="AE69" s="93"/>
      <c r="AF69" s="77"/>
      <c r="AH69" s="62"/>
      <c r="AI69" s="59"/>
      <c r="AJ69" s="60"/>
      <c r="AK69" s="60"/>
      <c r="AL69" s="60"/>
      <c r="AM69" s="60"/>
      <c r="AN69" s="60"/>
      <c r="AO69" s="60"/>
    </row>
    <row r="70" spans="1:41" ht="18.75" customHeight="1">
      <c r="A70" s="90">
        <v>60</v>
      </c>
      <c r="B70" s="208">
        <f>'Chấm công KT'!C72</f>
        <v>0</v>
      </c>
      <c r="C70" s="176" t="str">
        <f>'Chấm công KT'!D72</f>
        <v>N. Ních</v>
      </c>
      <c r="D70" s="90" t="s">
        <v>35</v>
      </c>
      <c r="E70" s="218">
        <f t="shared" si="2"/>
        <v>8</v>
      </c>
      <c r="F70" s="218"/>
      <c r="G70" s="218"/>
      <c r="H70" s="218"/>
      <c r="I70" s="218"/>
      <c r="J70" s="209"/>
      <c r="K70" s="159"/>
      <c r="L70" s="95"/>
      <c r="M70" s="95"/>
      <c r="N70" s="91"/>
      <c r="O70" s="91"/>
      <c r="P70" s="91"/>
      <c r="Q70" s="210">
        <f t="shared" si="3"/>
        <v>8</v>
      </c>
      <c r="R70" s="528">
        <f>VLOOKUP(C70,'SẢN LƯỢNG'!D76:AK156,34,0)</f>
        <v>3861</v>
      </c>
      <c r="S70" s="209"/>
      <c r="T70" s="151">
        <f t="shared" si="6"/>
        <v>0</v>
      </c>
      <c r="U70" s="212">
        <f t="shared" si="4"/>
        <v>3861</v>
      </c>
      <c r="V70" s="485">
        <f>VLOOKUP(C70,'Chấm công KT'!D72:AK152,34,0)</f>
        <v>26</v>
      </c>
      <c r="W70" s="485">
        <f>VLOOKUP(C70,'Chấm công KT'!D72:AL152,35,0)</f>
        <v>4</v>
      </c>
      <c r="X70" s="486"/>
      <c r="Y70" s="485">
        <f>VLOOKUP(C70,'Chấm công KT'!D72:AN152,37,0)</f>
        <v>0</v>
      </c>
      <c r="Z70" s="485">
        <f>VLOOKUP(C70,'Chấm công KT'!$D$13:$AO$92,38,0)</f>
        <v>0</v>
      </c>
      <c r="AA70" s="485">
        <f>VLOOKUP(C70,'Chấm công KT'!$D$13:$AP$92,39,0)</f>
        <v>0</v>
      </c>
      <c r="AB70" s="213"/>
      <c r="AC70" s="214">
        <f t="shared" si="5"/>
        <v>8</v>
      </c>
      <c r="AD70" s="92">
        <f>VLOOKUP(C70,'SẢN LƯỢNG'!$D$17:$AR$160,37,0)</f>
        <v>3688</v>
      </c>
      <c r="AE70" s="93"/>
      <c r="AF70" s="77"/>
      <c r="AH70" s="62"/>
      <c r="AI70" s="59"/>
      <c r="AJ70" s="60"/>
      <c r="AK70" s="60"/>
      <c r="AL70" s="60"/>
      <c r="AM70" s="60"/>
      <c r="AN70" s="60"/>
      <c r="AO70" s="60"/>
    </row>
    <row r="71" spans="1:41" ht="18.75" customHeight="1">
      <c r="A71" s="175">
        <v>61</v>
      </c>
      <c r="B71" s="208" t="str">
        <f>'Chấm công KT'!C73</f>
        <v>03506</v>
      </c>
      <c r="C71" s="176" t="str">
        <f>'Chấm công KT'!D73</f>
        <v>N. Bua Hom</v>
      </c>
      <c r="D71" s="90" t="s">
        <v>35</v>
      </c>
      <c r="E71" s="218">
        <f t="shared" si="2"/>
        <v>8</v>
      </c>
      <c r="F71" s="218"/>
      <c r="G71" s="218"/>
      <c r="H71" s="218"/>
      <c r="I71" s="218"/>
      <c r="J71" s="209"/>
      <c r="K71" s="159"/>
      <c r="L71" s="95"/>
      <c r="M71" s="95"/>
      <c r="N71" s="91"/>
      <c r="O71" s="91"/>
      <c r="P71" s="91"/>
      <c r="Q71" s="210">
        <f t="shared" si="3"/>
        <v>8</v>
      </c>
      <c r="R71" s="528">
        <f>VLOOKUP(C71,'SẢN LƯỢNG'!D77:AK157,34,0)</f>
        <v>4532</v>
      </c>
      <c r="S71" s="209"/>
      <c r="T71" s="151">
        <f t="shared" si="6"/>
        <v>0</v>
      </c>
      <c r="U71" s="212">
        <f t="shared" si="4"/>
        <v>4532</v>
      </c>
      <c r="V71" s="485">
        <f>VLOOKUP(C71,'Chấm công KT'!D73:AK153,34,0)</f>
        <v>27</v>
      </c>
      <c r="W71" s="485">
        <f>VLOOKUP(C71,'Chấm công KT'!D73:AL153,35,0)</f>
        <v>4</v>
      </c>
      <c r="X71" s="486"/>
      <c r="Y71" s="485">
        <f>VLOOKUP(C71,'Chấm công KT'!D73:AN153,37,0)</f>
        <v>0</v>
      </c>
      <c r="Z71" s="485">
        <f>VLOOKUP(C71,'Chấm công KT'!$D$13:$AO$92,38,0)</f>
        <v>0</v>
      </c>
      <c r="AA71" s="485">
        <f>VLOOKUP(C71,'Chấm công KT'!$D$13:$AP$92,39,0)</f>
        <v>0</v>
      </c>
      <c r="AB71" s="213"/>
      <c r="AC71" s="214">
        <f t="shared" si="5"/>
        <v>8</v>
      </c>
      <c r="AD71" s="92">
        <f>VLOOKUP(C71,'SẢN LƯỢNG'!$D$17:$AR$160,37,0)</f>
        <v>4840</v>
      </c>
      <c r="AE71" s="93"/>
      <c r="AF71" s="77"/>
      <c r="AH71" s="62"/>
      <c r="AI71" s="59"/>
      <c r="AJ71" s="60"/>
      <c r="AK71" s="60"/>
      <c r="AL71" s="60"/>
      <c r="AM71" s="60"/>
      <c r="AN71" s="60"/>
      <c r="AO71" s="60"/>
    </row>
    <row r="72" spans="1:41" ht="18.75" customHeight="1">
      <c r="A72" s="90">
        <v>62</v>
      </c>
      <c r="B72" s="208" t="str">
        <f>'Chấm công KT'!C74</f>
        <v>04067</v>
      </c>
      <c r="C72" s="176" t="str">
        <f>'Chấm công KT'!D74</f>
        <v>N. Lăm Phay (2)</v>
      </c>
      <c r="D72" s="90" t="s">
        <v>35</v>
      </c>
      <c r="E72" s="218">
        <f t="shared" si="2"/>
        <v>8</v>
      </c>
      <c r="F72" s="218"/>
      <c r="G72" s="218"/>
      <c r="H72" s="218"/>
      <c r="I72" s="218"/>
      <c r="J72" s="209"/>
      <c r="K72" s="159"/>
      <c r="L72" s="95"/>
      <c r="M72" s="95"/>
      <c r="N72" s="91"/>
      <c r="O72" s="91"/>
      <c r="P72" s="91"/>
      <c r="Q72" s="210">
        <f t="shared" si="3"/>
        <v>8</v>
      </c>
      <c r="R72" s="528">
        <f>VLOOKUP(C72,'SẢN LƯỢNG'!D78:AK158,34,0)</f>
        <v>3169</v>
      </c>
      <c r="S72" s="209"/>
      <c r="T72" s="151">
        <f t="shared" si="6"/>
        <v>0</v>
      </c>
      <c r="U72" s="212">
        <f t="shared" si="4"/>
        <v>3169</v>
      </c>
      <c r="V72" s="485">
        <f>VLOOKUP(C72,'Chấm công KT'!D74:AK154,34,0)</f>
        <v>25</v>
      </c>
      <c r="W72" s="485">
        <f>VLOOKUP(C72,'Chấm công KT'!D74:AL154,35,0)</f>
        <v>4</v>
      </c>
      <c r="X72" s="486"/>
      <c r="Y72" s="485">
        <f>VLOOKUP(C72,'Chấm công KT'!D74:AN154,37,0)</f>
        <v>0</v>
      </c>
      <c r="Z72" s="485">
        <f>VLOOKUP(C72,'Chấm công KT'!$D$13:$AO$92,38,0)</f>
        <v>0</v>
      </c>
      <c r="AA72" s="485">
        <f>VLOOKUP(C72,'Chấm công KT'!$D$13:$AP$92,39,0)</f>
        <v>0</v>
      </c>
      <c r="AB72" s="213"/>
      <c r="AC72" s="214">
        <f t="shared" si="5"/>
        <v>8</v>
      </c>
      <c r="AD72" s="92">
        <f>VLOOKUP(C72,'SẢN LƯỢNG'!$D$17:$AR$160,37,0)</f>
        <v>4031</v>
      </c>
      <c r="AE72" s="93"/>
      <c r="AF72" s="77"/>
      <c r="AG72" s="47"/>
      <c r="AH72" s="62"/>
      <c r="AI72" s="59"/>
      <c r="AJ72" s="60"/>
      <c r="AK72" s="60"/>
      <c r="AL72" s="60"/>
      <c r="AM72" s="60"/>
      <c r="AN72" s="60"/>
      <c r="AO72" s="60"/>
    </row>
    <row r="73" spans="1:41" ht="18.75" customHeight="1">
      <c r="A73" s="175">
        <v>63</v>
      </c>
      <c r="B73" s="208" t="str">
        <f>'Chấm công KT'!C75</f>
        <v>03508</v>
      </c>
      <c r="C73" s="176" t="str">
        <f>'Chấm công KT'!D75</f>
        <v>T. Đèng</v>
      </c>
      <c r="D73" s="90" t="s">
        <v>35</v>
      </c>
      <c r="E73" s="218">
        <f t="shared" si="2"/>
        <v>8</v>
      </c>
      <c r="F73" s="218"/>
      <c r="G73" s="218"/>
      <c r="H73" s="218"/>
      <c r="I73" s="218"/>
      <c r="J73" s="209"/>
      <c r="K73" s="159"/>
      <c r="L73" s="95"/>
      <c r="M73" s="95"/>
      <c r="N73" s="91"/>
      <c r="O73" s="91"/>
      <c r="P73" s="91"/>
      <c r="Q73" s="210">
        <f t="shared" si="3"/>
        <v>8</v>
      </c>
      <c r="R73" s="528">
        <f>VLOOKUP(C73,'SẢN LƯỢNG'!D79:AK160,34,0)</f>
        <v>2667</v>
      </c>
      <c r="S73" s="209"/>
      <c r="T73" s="151">
        <f t="shared" si="6"/>
        <v>0</v>
      </c>
      <c r="U73" s="212">
        <f t="shared" si="4"/>
        <v>2667</v>
      </c>
      <c r="V73" s="485">
        <f>VLOOKUP(C73,'Chấm công KT'!D75:AK155,34,0)</f>
        <v>23</v>
      </c>
      <c r="W73" s="485">
        <f>VLOOKUP(C73,'Chấm công KT'!D75:AL155,35,0)</f>
        <v>3</v>
      </c>
      <c r="X73" s="486"/>
      <c r="Y73" s="485">
        <f>VLOOKUP(C73,'Chấm công KT'!D75:AN155,37,0)</f>
        <v>0</v>
      </c>
      <c r="Z73" s="485">
        <f>VLOOKUP(C73,'Chấm công KT'!$D$13:$AO$92,38,0)</f>
        <v>0</v>
      </c>
      <c r="AA73" s="485">
        <f>VLOOKUP(C73,'Chấm công KT'!$D$13:$AP$92,39,0)</f>
        <v>0</v>
      </c>
      <c r="AB73" s="213"/>
      <c r="AC73" s="214">
        <f t="shared" si="5"/>
        <v>8</v>
      </c>
      <c r="AD73" s="92">
        <f>VLOOKUP(C73,'SẢN LƯỢNG'!$D$17:$AR$160,37,0)</f>
        <v>2921</v>
      </c>
      <c r="AE73" s="93"/>
      <c r="AF73" s="77"/>
      <c r="AH73" s="62"/>
      <c r="AI73" s="59"/>
      <c r="AJ73" s="60"/>
      <c r="AK73" s="60"/>
      <c r="AL73" s="60"/>
      <c r="AM73" s="60"/>
      <c r="AN73" s="60"/>
      <c r="AO73" s="60"/>
    </row>
    <row r="74" spans="1:41" ht="18.75" customHeight="1">
      <c r="A74" s="90">
        <v>64</v>
      </c>
      <c r="B74" s="208" t="str">
        <f>'Chấm công KT'!C76</f>
        <v>03512</v>
      </c>
      <c r="C74" s="176" t="str">
        <f>'Chấm công KT'!D76</f>
        <v>N. Đon</v>
      </c>
      <c r="D74" s="90" t="s">
        <v>35</v>
      </c>
      <c r="E74" s="218">
        <f t="shared" si="2"/>
        <v>8</v>
      </c>
      <c r="F74" s="218"/>
      <c r="G74" s="218"/>
      <c r="H74" s="218"/>
      <c r="I74" s="218"/>
      <c r="J74" s="209"/>
      <c r="K74" s="159"/>
      <c r="L74" s="95"/>
      <c r="M74" s="95"/>
      <c r="N74" s="91"/>
      <c r="O74" s="91"/>
      <c r="P74" s="91"/>
      <c r="Q74" s="210">
        <f t="shared" si="3"/>
        <v>8</v>
      </c>
      <c r="R74" s="528">
        <f>VLOOKUP(C74,'SẢN LƯỢNG'!D80:AK160,34,0)</f>
        <v>3839</v>
      </c>
      <c r="S74" s="209"/>
      <c r="T74" s="151">
        <f t="shared" si="6"/>
        <v>0</v>
      </c>
      <c r="U74" s="212">
        <f t="shared" si="4"/>
        <v>3839</v>
      </c>
      <c r="V74" s="485">
        <f>VLOOKUP(C74,'Chấm công KT'!D76:AK156,34,0)</f>
        <v>27</v>
      </c>
      <c r="W74" s="485">
        <f>VLOOKUP(C74,'Chấm công KT'!D76:AL156,35,0)</f>
        <v>3</v>
      </c>
      <c r="X74" s="486"/>
      <c r="Y74" s="485">
        <f>VLOOKUP(C74,'Chấm công KT'!D76:AN156,37,0)</f>
        <v>0</v>
      </c>
      <c r="Z74" s="485">
        <f>VLOOKUP(C74,'Chấm công KT'!$D$13:$AO$92,38,0)</f>
        <v>0</v>
      </c>
      <c r="AA74" s="485">
        <f>VLOOKUP(C74,'Chấm công KT'!$D$13:$AP$92,39,0)</f>
        <v>0</v>
      </c>
      <c r="AB74" s="213"/>
      <c r="AC74" s="214">
        <f t="shared" si="5"/>
        <v>8</v>
      </c>
      <c r="AD74" s="92">
        <f>VLOOKUP(C74,'SẢN LƯỢNG'!$D$17:$AR$160,37,0)</f>
        <v>3404</v>
      </c>
      <c r="AE74" s="93"/>
      <c r="AF74" s="77"/>
      <c r="AH74" s="62"/>
      <c r="AI74" s="59"/>
      <c r="AJ74" s="60"/>
      <c r="AK74" s="60"/>
      <c r="AL74" s="60"/>
      <c r="AM74" s="60"/>
      <c r="AN74" s="60"/>
      <c r="AO74" s="60"/>
    </row>
    <row r="75" spans="1:41" ht="18.75" customHeight="1">
      <c r="A75" s="175">
        <v>65</v>
      </c>
      <c r="B75" s="208" t="str">
        <f>'Chấm công KT'!C77</f>
        <v>04068</v>
      </c>
      <c r="C75" s="176" t="str">
        <f>'Chấm công KT'!D77</f>
        <v xml:space="preserve">T. La </v>
      </c>
      <c r="D75" s="90" t="s">
        <v>35</v>
      </c>
      <c r="E75" s="218">
        <f t="shared" si="2"/>
        <v>8</v>
      </c>
      <c r="F75" s="218"/>
      <c r="G75" s="218"/>
      <c r="H75" s="218"/>
      <c r="I75" s="218"/>
      <c r="J75" s="209"/>
      <c r="K75" s="159"/>
      <c r="L75" s="95"/>
      <c r="M75" s="95"/>
      <c r="N75" s="91"/>
      <c r="O75" s="91"/>
      <c r="P75" s="91"/>
      <c r="Q75" s="210">
        <f t="shared" si="3"/>
        <v>8</v>
      </c>
      <c r="R75" s="528">
        <f>VLOOKUP(C75,'SẢN LƯỢNG'!D81:AK161,34,0)</f>
        <v>3945</v>
      </c>
      <c r="S75" s="209"/>
      <c r="T75" s="151">
        <f t="shared" si="6"/>
        <v>0</v>
      </c>
      <c r="U75" s="212">
        <f t="shared" si="4"/>
        <v>3945</v>
      </c>
      <c r="V75" s="485">
        <f>VLOOKUP(C75,'Chấm công KT'!D77:AK157,34,0)</f>
        <v>25</v>
      </c>
      <c r="W75" s="485">
        <f>VLOOKUP(C75,'Chấm công KT'!D77:AL157,35,0)</f>
        <v>4</v>
      </c>
      <c r="X75" s="486"/>
      <c r="Y75" s="485">
        <f>VLOOKUP(C75,'Chấm công KT'!D77:AN157,37,0)</f>
        <v>0</v>
      </c>
      <c r="Z75" s="485">
        <f>VLOOKUP(C75,'Chấm công KT'!$D$13:$AO$92,38,0)</f>
        <v>0</v>
      </c>
      <c r="AA75" s="485">
        <f>VLOOKUP(C75,'Chấm công KT'!$D$13:$AP$92,39,0)</f>
        <v>0</v>
      </c>
      <c r="AB75" s="213"/>
      <c r="AC75" s="214">
        <f t="shared" si="5"/>
        <v>8</v>
      </c>
      <c r="AD75" s="92">
        <f>VLOOKUP(C75,'SẢN LƯỢNG'!$D$17:$AR$160,37,0)</f>
        <v>3302</v>
      </c>
      <c r="AE75" s="93"/>
      <c r="AF75" s="77"/>
      <c r="AH75" s="62"/>
      <c r="AI75" s="59"/>
      <c r="AJ75" s="60"/>
      <c r="AK75" s="60"/>
      <c r="AL75" s="60"/>
      <c r="AM75" s="60"/>
      <c r="AN75" s="60"/>
      <c r="AO75" s="60"/>
    </row>
    <row r="76" spans="1:41" ht="18.75" customHeight="1">
      <c r="A76" s="90">
        <v>66</v>
      </c>
      <c r="B76" s="208" t="str">
        <f>'Chấm công KT'!C78</f>
        <v>04069</v>
      </c>
      <c r="C76" s="176" t="str">
        <f>'Chấm công KT'!D78</f>
        <v>T. Bờm</v>
      </c>
      <c r="D76" s="90" t="s">
        <v>35</v>
      </c>
      <c r="E76" s="218">
        <f t="shared" ref="E76:E83" si="7">10/1.25</f>
        <v>8</v>
      </c>
      <c r="F76" s="218"/>
      <c r="G76" s="218"/>
      <c r="H76" s="218"/>
      <c r="I76" s="218"/>
      <c r="J76" s="209"/>
      <c r="K76" s="159"/>
      <c r="L76" s="95"/>
      <c r="M76" s="95"/>
      <c r="N76" s="91"/>
      <c r="O76" s="91"/>
      <c r="P76" s="91"/>
      <c r="Q76" s="210">
        <f t="shared" ref="Q76:Q92" si="8">SUM(E76:P76)</f>
        <v>8</v>
      </c>
      <c r="R76" s="528">
        <f>VLOOKUP(C76,'SẢN LƯỢNG'!D82:AK162,34,0)</f>
        <v>4085</v>
      </c>
      <c r="S76" s="209"/>
      <c r="T76" s="151">
        <f>S76*50/100</f>
        <v>0</v>
      </c>
      <c r="U76" s="212">
        <f t="shared" ref="U76:U93" si="9">R76</f>
        <v>4085</v>
      </c>
      <c r="V76" s="485">
        <f>VLOOKUP(C76,'Chấm công KT'!D78:AK158,34,0)</f>
        <v>26</v>
      </c>
      <c r="W76" s="485">
        <f>VLOOKUP(C76,'Chấm công KT'!D78:AL158,35,0)</f>
        <v>3</v>
      </c>
      <c r="X76" s="486"/>
      <c r="Y76" s="485">
        <f>VLOOKUP(C76,'Chấm công KT'!D78:AN158,37,0)</f>
        <v>0</v>
      </c>
      <c r="Z76" s="485">
        <f>VLOOKUP(C76,'Chấm công KT'!$D$13:$AO$92,38,0)</f>
        <v>0</v>
      </c>
      <c r="AA76" s="485">
        <f>VLOOKUP(C76,'Chấm công KT'!$D$13:$AP$92,39,0)</f>
        <v>0</v>
      </c>
      <c r="AB76" s="213"/>
      <c r="AC76" s="214">
        <f t="shared" si="5"/>
        <v>8</v>
      </c>
      <c r="AD76" s="92">
        <f>VLOOKUP(C76,'SẢN LƯỢNG'!$D$17:$AR$160,37,0)</f>
        <v>3281</v>
      </c>
      <c r="AE76" s="93"/>
      <c r="AF76" s="77"/>
      <c r="AH76" s="62"/>
      <c r="AI76" s="59"/>
      <c r="AJ76" s="60"/>
      <c r="AK76" s="60"/>
      <c r="AL76" s="60"/>
      <c r="AM76" s="60"/>
      <c r="AN76" s="60"/>
      <c r="AO76" s="60"/>
    </row>
    <row r="77" spans="1:41" ht="18.75" customHeight="1">
      <c r="A77" s="175">
        <v>67</v>
      </c>
      <c r="B77" s="208" t="str">
        <f>'Chấm công KT'!C79</f>
        <v>03546</v>
      </c>
      <c r="C77" s="176" t="str">
        <f>'Chấm công KT'!D79</f>
        <v>T. Nọi</v>
      </c>
      <c r="D77" s="90" t="s">
        <v>35</v>
      </c>
      <c r="E77" s="218">
        <f t="shared" si="7"/>
        <v>8</v>
      </c>
      <c r="F77" s="218"/>
      <c r="G77" s="218"/>
      <c r="H77" s="218"/>
      <c r="I77" s="218"/>
      <c r="J77" s="209"/>
      <c r="K77" s="159"/>
      <c r="L77" s="95"/>
      <c r="M77" s="95"/>
      <c r="N77" s="91"/>
      <c r="O77" s="91"/>
      <c r="P77" s="91"/>
      <c r="Q77" s="210">
        <f t="shared" si="8"/>
        <v>8</v>
      </c>
      <c r="R77" s="528">
        <f>VLOOKUP(C77,'SẢN LƯỢNG'!D83:AK163,34,0)</f>
        <v>3076</v>
      </c>
      <c r="S77" s="209"/>
      <c r="T77" s="151">
        <f t="shared" ref="T77:T79" si="10">S77*50/100</f>
        <v>0</v>
      </c>
      <c r="U77" s="212">
        <f t="shared" si="9"/>
        <v>3076</v>
      </c>
      <c r="V77" s="485">
        <f>VLOOKUP(C77,'Chấm công KT'!D79:AK159,34,0)</f>
        <v>25</v>
      </c>
      <c r="W77" s="485">
        <f>VLOOKUP(C77,'Chấm công KT'!D79:AL159,35,0)</f>
        <v>4</v>
      </c>
      <c r="X77" s="486"/>
      <c r="Y77" s="485">
        <f>VLOOKUP(C77,'Chấm công KT'!D79:AN159,37,0)</f>
        <v>0</v>
      </c>
      <c r="Z77" s="485">
        <f>VLOOKUP(C77,'Chấm công KT'!$D$13:$AO$92,38,0)</f>
        <v>0</v>
      </c>
      <c r="AA77" s="485">
        <f>VLOOKUP(C77,'Chấm công KT'!$D$13:$AP$92,39,0)</f>
        <v>0</v>
      </c>
      <c r="AB77" s="213"/>
      <c r="AC77" s="214">
        <f t="shared" ref="AC77:AC79" si="11">Q77</f>
        <v>8</v>
      </c>
      <c r="AD77" s="92">
        <f>VLOOKUP(C77,'SẢN LƯỢNG'!$D$17:$AR$160,37,0)</f>
        <v>3627</v>
      </c>
      <c r="AE77" s="93"/>
      <c r="AF77" s="77"/>
      <c r="AH77" s="62"/>
      <c r="AI77" s="59"/>
      <c r="AJ77" s="60"/>
      <c r="AK77" s="60"/>
      <c r="AL77" s="60"/>
      <c r="AM77" s="60"/>
      <c r="AN77" s="60"/>
      <c r="AO77" s="60"/>
    </row>
    <row r="78" spans="1:41" ht="18.75" customHeight="1">
      <c r="A78" s="90">
        <v>68</v>
      </c>
      <c r="B78" s="208">
        <f>'Chấm công KT'!C80</f>
        <v>0</v>
      </c>
      <c r="C78" s="176" t="str">
        <f>'Chấm công KT'!D80</f>
        <v>T. Kong Ma Ny</v>
      </c>
      <c r="D78" s="90" t="s">
        <v>35</v>
      </c>
      <c r="E78" s="218">
        <f t="shared" si="7"/>
        <v>8</v>
      </c>
      <c r="F78" s="218"/>
      <c r="G78" s="218"/>
      <c r="H78" s="218"/>
      <c r="I78" s="218"/>
      <c r="J78" s="209"/>
      <c r="K78" s="159"/>
      <c r="L78" s="95"/>
      <c r="M78" s="95"/>
      <c r="N78" s="91"/>
      <c r="O78" s="91"/>
      <c r="P78" s="91"/>
      <c r="Q78" s="210">
        <f t="shared" si="8"/>
        <v>8</v>
      </c>
      <c r="R78" s="528">
        <f>VLOOKUP(C78,'SẢN LƯỢNG'!D84:AK164,34,0)</f>
        <v>3469</v>
      </c>
      <c r="S78" s="209"/>
      <c r="T78" s="151">
        <f t="shared" si="10"/>
        <v>0</v>
      </c>
      <c r="U78" s="212">
        <f t="shared" si="9"/>
        <v>3469</v>
      </c>
      <c r="V78" s="485">
        <f>VLOOKUP(C78,'Chấm công KT'!D80:AK160,34,0)</f>
        <v>27</v>
      </c>
      <c r="W78" s="485">
        <f>VLOOKUP(C78,'Chấm công KT'!D80:AL160,35,0)</f>
        <v>4</v>
      </c>
      <c r="X78" s="486"/>
      <c r="Y78" s="485">
        <f>VLOOKUP(C78,'Chấm công KT'!D80:AN160,37,0)</f>
        <v>0</v>
      </c>
      <c r="Z78" s="485">
        <f>VLOOKUP(C78,'Chấm công KT'!$D$13:$AO$92,38,0)</f>
        <v>0</v>
      </c>
      <c r="AA78" s="485">
        <f>VLOOKUP(C78,'Chấm công KT'!$D$13:$AP$92,39,0)</f>
        <v>0</v>
      </c>
      <c r="AB78" s="213"/>
      <c r="AC78" s="214">
        <f t="shared" si="11"/>
        <v>8</v>
      </c>
      <c r="AD78" s="92">
        <f>VLOOKUP(C78,'SẢN LƯỢNG'!$D$17:$AR$160,37,0)</f>
        <v>2977</v>
      </c>
      <c r="AE78" s="93"/>
      <c r="AF78" s="77"/>
      <c r="AH78" s="62"/>
      <c r="AI78" s="59"/>
      <c r="AJ78" s="60"/>
      <c r="AK78" s="60"/>
      <c r="AL78" s="60"/>
      <c r="AM78" s="60"/>
      <c r="AN78" s="60"/>
      <c r="AO78" s="60"/>
    </row>
    <row r="79" spans="1:41" ht="18.75" customHeight="1">
      <c r="A79" s="175">
        <v>69</v>
      </c>
      <c r="B79" s="208">
        <f>'Chấm công KT'!C81</f>
        <v>0</v>
      </c>
      <c r="C79" s="176" t="str">
        <f>'Chấm công KT'!D81</f>
        <v>T. Hô Lông</v>
      </c>
      <c r="D79" s="90" t="s">
        <v>35</v>
      </c>
      <c r="E79" s="218">
        <f t="shared" si="7"/>
        <v>8</v>
      </c>
      <c r="F79" s="218"/>
      <c r="G79" s="218"/>
      <c r="H79" s="218"/>
      <c r="I79" s="218"/>
      <c r="J79" s="209"/>
      <c r="K79" s="159"/>
      <c r="L79" s="95"/>
      <c r="M79" s="95"/>
      <c r="N79" s="91"/>
      <c r="O79" s="91"/>
      <c r="P79" s="91"/>
      <c r="Q79" s="210">
        <f t="shared" si="8"/>
        <v>8</v>
      </c>
      <c r="R79" s="528">
        <f>VLOOKUP(C79,'SẢN LƯỢNG'!D85:AK165,34,0)</f>
        <v>4583</v>
      </c>
      <c r="S79" s="209"/>
      <c r="T79" s="151">
        <f t="shared" si="10"/>
        <v>0</v>
      </c>
      <c r="U79" s="212">
        <f t="shared" si="9"/>
        <v>4583</v>
      </c>
      <c r="V79" s="485">
        <f>VLOOKUP(C79,'Chấm công KT'!D81:AK161,34,0)</f>
        <v>27</v>
      </c>
      <c r="W79" s="485">
        <f>VLOOKUP(C79,'Chấm công KT'!D81:AL161,35,0)</f>
        <v>4</v>
      </c>
      <c r="X79" s="486"/>
      <c r="Y79" s="485">
        <f>VLOOKUP(C79,'Chấm công KT'!D81:AN161,37,0)</f>
        <v>0</v>
      </c>
      <c r="Z79" s="485">
        <f>VLOOKUP(C79,'Chấm công KT'!$D$13:$AO$92,38,0)</f>
        <v>0</v>
      </c>
      <c r="AA79" s="485">
        <f>VLOOKUP(C79,'Chấm công KT'!$D$13:$AP$92,39,0)</f>
        <v>0</v>
      </c>
      <c r="AB79" s="213"/>
      <c r="AC79" s="214">
        <f t="shared" si="11"/>
        <v>8</v>
      </c>
      <c r="AD79" s="92">
        <f>VLOOKUP(C79,'SẢN LƯỢNG'!$D$17:$AR$160,37,0)</f>
        <v>3455</v>
      </c>
      <c r="AE79" s="93"/>
      <c r="AF79" s="77"/>
      <c r="AH79" s="62"/>
      <c r="AI79" s="59"/>
      <c r="AJ79" s="60"/>
      <c r="AK79" s="60"/>
      <c r="AL79" s="60"/>
      <c r="AM79" s="60"/>
      <c r="AN79" s="60"/>
      <c r="AO79" s="60"/>
    </row>
    <row r="80" spans="1:41" ht="18.75" customHeight="1">
      <c r="A80" s="90">
        <v>70</v>
      </c>
      <c r="B80" s="208" t="str">
        <f>'Chấm công KT'!C82</f>
        <v>03515</v>
      </c>
      <c r="C80" s="176" t="str">
        <f>'Chấm công KT'!D82</f>
        <v>N. Xi</v>
      </c>
      <c r="D80" s="90" t="s">
        <v>35</v>
      </c>
      <c r="E80" s="218">
        <f t="shared" si="7"/>
        <v>8</v>
      </c>
      <c r="F80" s="218"/>
      <c r="G80" s="218"/>
      <c r="H80" s="218"/>
      <c r="I80" s="218"/>
      <c r="J80" s="209"/>
      <c r="K80" s="159"/>
      <c r="L80" s="95"/>
      <c r="M80" s="95"/>
      <c r="N80" s="91"/>
      <c r="O80" s="91"/>
      <c r="P80" s="91"/>
      <c r="Q80" s="210">
        <f t="shared" si="8"/>
        <v>8</v>
      </c>
      <c r="R80" s="528">
        <f>VLOOKUP(C80,'SẢN LƯỢNG'!D86:AK166,34,0)</f>
        <v>4054</v>
      </c>
      <c r="S80" s="209"/>
      <c r="T80" s="151">
        <f t="shared" ref="T80:T84" si="12">S80*50/100</f>
        <v>0</v>
      </c>
      <c r="U80" s="212">
        <f t="shared" si="9"/>
        <v>4054</v>
      </c>
      <c r="V80" s="485">
        <f>VLOOKUP(C80,'Chấm công KT'!D82:AK163,34,0)</f>
        <v>27</v>
      </c>
      <c r="W80" s="485">
        <f>VLOOKUP(C80,'Chấm công KT'!D82:AL163,35,0)</f>
        <v>4</v>
      </c>
      <c r="X80" s="486"/>
      <c r="Y80" s="485">
        <f>VLOOKUP(C80,'Chấm công KT'!D82:AN162,37,0)</f>
        <v>0</v>
      </c>
      <c r="Z80" s="485">
        <f>VLOOKUP(C80,'Chấm công KT'!$D$13:$AO$92,38,0)</f>
        <v>0</v>
      </c>
      <c r="AA80" s="485">
        <f>VLOOKUP(C80,'Chấm công KT'!$D$13:$AP$92,39,0)</f>
        <v>0</v>
      </c>
      <c r="AB80" s="213"/>
      <c r="AC80" s="214">
        <f>Q80</f>
        <v>8</v>
      </c>
      <c r="AD80" s="92">
        <f>VLOOKUP(C80,'SẢN LƯỢNG'!$D$17:$AR$160,37,0)</f>
        <v>3934</v>
      </c>
      <c r="AE80" s="93"/>
      <c r="AF80" s="77"/>
      <c r="AH80" s="62"/>
      <c r="AI80" s="59"/>
      <c r="AJ80" s="60"/>
      <c r="AK80" s="60"/>
      <c r="AL80" s="60"/>
      <c r="AM80" s="60"/>
      <c r="AN80" s="60"/>
      <c r="AO80" s="60"/>
    </row>
    <row r="81" spans="1:41" ht="18.75" customHeight="1">
      <c r="A81" s="175">
        <v>71</v>
      </c>
      <c r="B81" s="208" t="str">
        <f>'Chấm công KT'!C83</f>
        <v>03516</v>
      </c>
      <c r="C81" s="176" t="str">
        <f>'Chấm công KT'!D83</f>
        <v>N. Chay</v>
      </c>
      <c r="D81" s="90" t="s">
        <v>35</v>
      </c>
      <c r="E81" s="218">
        <f t="shared" si="7"/>
        <v>8</v>
      </c>
      <c r="F81" s="218"/>
      <c r="G81" s="218"/>
      <c r="H81" s="218"/>
      <c r="I81" s="218"/>
      <c r="J81" s="209"/>
      <c r="K81" s="159"/>
      <c r="L81" s="95"/>
      <c r="M81" s="209"/>
      <c r="N81" s="91"/>
      <c r="O81" s="91"/>
      <c r="P81" s="91"/>
      <c r="Q81" s="210">
        <f t="shared" si="8"/>
        <v>8</v>
      </c>
      <c r="R81" s="528">
        <f>VLOOKUP(C81,'SẢN LƯỢNG'!D87:AK167,34,0)</f>
        <v>3541</v>
      </c>
      <c r="S81" s="209"/>
      <c r="T81" s="151">
        <f t="shared" si="12"/>
        <v>0</v>
      </c>
      <c r="U81" s="212">
        <f t="shared" si="9"/>
        <v>3541</v>
      </c>
      <c r="V81" s="485">
        <f>VLOOKUP(C81,'Chấm công KT'!D83:AK164,34,0)</f>
        <v>26</v>
      </c>
      <c r="W81" s="485">
        <f>VLOOKUP(C81,'Chấm công KT'!D83:AL164,35,0)</f>
        <v>4</v>
      </c>
      <c r="X81" s="486"/>
      <c r="Y81" s="485">
        <f>VLOOKUP(C81,'Chấm công KT'!D83:AN163,37,0)</f>
        <v>0</v>
      </c>
      <c r="Z81" s="485">
        <f>VLOOKUP(C81,'Chấm công KT'!$D$13:$AO$92,38,0)</f>
        <v>0</v>
      </c>
      <c r="AA81" s="485">
        <f>VLOOKUP(C81,'Chấm công KT'!$D$13:$AP$92,39,0)</f>
        <v>0</v>
      </c>
      <c r="AB81" s="213"/>
      <c r="AC81" s="214">
        <f>Q81</f>
        <v>8</v>
      </c>
      <c r="AD81" s="92">
        <f>VLOOKUP(C81,'SẢN LƯỢNG'!$D$17:$AR$160,37,0)</f>
        <v>3858</v>
      </c>
      <c r="AE81" s="93"/>
      <c r="AF81" s="77"/>
      <c r="AH81" s="62"/>
      <c r="AI81" s="59"/>
      <c r="AJ81" s="60"/>
      <c r="AK81" s="60"/>
      <c r="AL81" s="60"/>
      <c r="AM81" s="60"/>
      <c r="AN81" s="60"/>
      <c r="AO81" s="60"/>
    </row>
    <row r="82" spans="1:41" ht="18.75" customHeight="1">
      <c r="A82" s="90">
        <v>72</v>
      </c>
      <c r="B82" s="208" t="str">
        <f>'Chấm công KT'!C84</f>
        <v>03544</v>
      </c>
      <c r="C82" s="176" t="str">
        <f>'Chấm công KT'!D84</f>
        <v>T. Ta</v>
      </c>
      <c r="D82" s="90" t="s">
        <v>35</v>
      </c>
      <c r="E82" s="218">
        <f t="shared" si="7"/>
        <v>8</v>
      </c>
      <c r="F82" s="218"/>
      <c r="G82" s="218"/>
      <c r="H82" s="218"/>
      <c r="I82" s="218"/>
      <c r="J82" s="209"/>
      <c r="K82" s="159"/>
      <c r="L82" s="95"/>
      <c r="M82" s="209"/>
      <c r="N82" s="91"/>
      <c r="O82" s="91"/>
      <c r="P82" s="91"/>
      <c r="Q82" s="210">
        <f t="shared" si="8"/>
        <v>8</v>
      </c>
      <c r="R82" s="528">
        <f>VLOOKUP(C82,'SẢN LƯỢNG'!D88:AK168,34,0)</f>
        <v>2061</v>
      </c>
      <c r="S82" s="209"/>
      <c r="T82" s="151">
        <f t="shared" si="12"/>
        <v>0</v>
      </c>
      <c r="U82" s="212">
        <f t="shared" si="9"/>
        <v>2061</v>
      </c>
      <c r="V82" s="485">
        <f>VLOOKUP(C82,'Chấm công KT'!D84:AK165,34,0)</f>
        <v>21</v>
      </c>
      <c r="W82" s="485">
        <f>VLOOKUP(C82,'Chấm công KT'!D84:AL165,35,0)</f>
        <v>4</v>
      </c>
      <c r="X82" s="486"/>
      <c r="Y82" s="485">
        <f>VLOOKUP(C82,'Chấm công KT'!D84:AN164,37,0)</f>
        <v>0</v>
      </c>
      <c r="Z82" s="485">
        <f>VLOOKUP(C82,'Chấm công KT'!$D$13:$AO$92,38,0)</f>
        <v>0</v>
      </c>
      <c r="AA82" s="485">
        <f>VLOOKUP(C82,'Chấm công KT'!$D$13:$AP$92,39,0)</f>
        <v>0</v>
      </c>
      <c r="AB82" s="213"/>
      <c r="AC82" s="214">
        <f>Q82</f>
        <v>8</v>
      </c>
      <c r="AD82" s="92">
        <f>VLOOKUP(C82,'SẢN LƯỢNG'!$D$17:$AR$160,37,0)</f>
        <v>2714</v>
      </c>
      <c r="AE82" s="93"/>
      <c r="AF82" s="77"/>
      <c r="AH82" s="62"/>
      <c r="AI82" s="59"/>
      <c r="AJ82" s="60"/>
      <c r="AK82" s="60"/>
      <c r="AL82" s="60"/>
      <c r="AM82" s="60"/>
      <c r="AN82" s="60"/>
      <c r="AO82" s="60"/>
    </row>
    <row r="83" spans="1:41" ht="18.75" customHeight="1">
      <c r="A83" s="175">
        <v>73</v>
      </c>
      <c r="B83" s="208" t="str">
        <f>'Chấm công KT'!C85</f>
        <v>04071</v>
      </c>
      <c r="C83" s="176" t="str">
        <f>'Chấm công KT'!D85</f>
        <v>T. Ne</v>
      </c>
      <c r="D83" s="90" t="s">
        <v>35</v>
      </c>
      <c r="E83" s="218">
        <f t="shared" si="7"/>
        <v>8</v>
      </c>
      <c r="F83" s="218"/>
      <c r="G83" s="218"/>
      <c r="H83" s="218"/>
      <c r="I83" s="218"/>
      <c r="J83" s="209"/>
      <c r="K83" s="159"/>
      <c r="L83" s="159"/>
      <c r="M83" s="209"/>
      <c r="N83" s="209"/>
      <c r="O83" s="219"/>
      <c r="P83" s="91"/>
      <c r="Q83" s="210">
        <f t="shared" si="8"/>
        <v>8</v>
      </c>
      <c r="R83" s="528">
        <f>VLOOKUP(C83,'SẢN LƯỢNG'!D89:AK169,34,0)</f>
        <v>2063</v>
      </c>
      <c r="S83" s="209"/>
      <c r="T83" s="151">
        <f t="shared" si="12"/>
        <v>0</v>
      </c>
      <c r="U83" s="212">
        <f t="shared" si="9"/>
        <v>2063</v>
      </c>
      <c r="V83" s="485">
        <f>VLOOKUP(C83,'Chấm công KT'!D85:AK166,34,0)</f>
        <v>21</v>
      </c>
      <c r="W83" s="485">
        <f>VLOOKUP(C83,'Chấm công KT'!D85:AL166,35,0)</f>
        <v>4</v>
      </c>
      <c r="X83" s="486"/>
      <c r="Y83" s="485">
        <f>VLOOKUP(C83,'Chấm công KT'!D85:AN165,37,0)</f>
        <v>0</v>
      </c>
      <c r="Z83" s="485">
        <f>VLOOKUP(C83,'Chấm công KT'!$D$13:$AO$92,38,0)</f>
        <v>0</v>
      </c>
      <c r="AA83" s="485">
        <f>VLOOKUP(C83,'Chấm công KT'!$D$13:$AP$92,39,0)</f>
        <v>0</v>
      </c>
      <c r="AB83" s="213"/>
      <c r="AC83" s="214">
        <f>Q83</f>
        <v>8</v>
      </c>
      <c r="AD83" s="92">
        <f>VLOOKUP(C83,'SẢN LƯỢNG'!$D$17:$AR$160,37,0)</f>
        <v>2721</v>
      </c>
      <c r="AE83" s="93"/>
      <c r="AF83" s="77"/>
      <c r="AH83" s="62"/>
      <c r="AI83" s="59"/>
      <c r="AJ83" s="60"/>
      <c r="AK83" s="60"/>
      <c r="AL83" s="60"/>
      <c r="AM83" s="60"/>
      <c r="AN83" s="60"/>
      <c r="AO83" s="60"/>
    </row>
    <row r="84" spans="1:41" s="429" customFormat="1" ht="18.75" customHeight="1">
      <c r="A84" s="90">
        <v>74</v>
      </c>
      <c r="B84" s="444"/>
      <c r="C84" s="176" t="str">
        <f>'Chấm công KT'!D86</f>
        <v>N. Khăn</v>
      </c>
      <c r="D84" s="443" t="s">
        <v>35</v>
      </c>
      <c r="E84" s="218">
        <f>4/1.25</f>
        <v>3.2</v>
      </c>
      <c r="F84" s="419"/>
      <c r="G84" s="419"/>
      <c r="H84" s="419"/>
      <c r="I84" s="419"/>
      <c r="J84" s="420"/>
      <c r="K84" s="418"/>
      <c r="L84" s="418"/>
      <c r="M84" s="420"/>
      <c r="N84" s="420"/>
      <c r="O84" s="445"/>
      <c r="P84" s="446"/>
      <c r="Q84" s="210">
        <f t="shared" si="8"/>
        <v>3.2</v>
      </c>
      <c r="R84" s="528">
        <f>VLOOKUP(C84,'SẢN LƯỢNG'!D90:AK170,34,0)</f>
        <v>564</v>
      </c>
      <c r="S84" s="209"/>
      <c r="T84" s="434">
        <f t="shared" si="12"/>
        <v>0</v>
      </c>
      <c r="U84" s="212">
        <f t="shared" si="9"/>
        <v>564</v>
      </c>
      <c r="V84" s="485">
        <f>VLOOKUP(C84,'Chấm công KT'!D86:AK167,34,0)</f>
        <v>13</v>
      </c>
      <c r="W84" s="485">
        <f>VLOOKUP(C84,'Chấm công KT'!D86:AL167,35,0)</f>
        <v>2</v>
      </c>
      <c r="X84" s="486"/>
      <c r="Y84" s="485">
        <f>VLOOKUP(C84,'Chấm công KT'!D86:AN166,37,0)</f>
        <v>0</v>
      </c>
      <c r="Z84" s="485">
        <f>VLOOKUP(C84,'Chấm công KT'!$D$13:$AO$92,38,0)</f>
        <v>0</v>
      </c>
      <c r="AA84" s="485">
        <f>VLOOKUP(C84,'Chấm công KT'!$D$13:$AP$92,39,0)</f>
        <v>0</v>
      </c>
      <c r="AB84" s="447"/>
      <c r="AC84" s="448">
        <f>Q84</f>
        <v>3.2</v>
      </c>
      <c r="AD84" s="92">
        <f>VLOOKUP(C84,'SẢN LƯỢNG'!$D$17:$AR$160,37,0)</f>
        <v>2466</v>
      </c>
      <c r="AE84" s="436"/>
      <c r="AF84" s="428"/>
      <c r="AH84" s="437"/>
      <c r="AI84" s="449"/>
      <c r="AJ84" s="438"/>
      <c r="AK84" s="438"/>
      <c r="AL84" s="438"/>
      <c r="AM84" s="438"/>
      <c r="AN84" s="438"/>
      <c r="AO84" s="438"/>
    </row>
    <row r="85" spans="1:41" s="429" customFormat="1" ht="18.75" customHeight="1">
      <c r="A85" s="175">
        <v>75</v>
      </c>
      <c r="B85" s="417"/>
      <c r="C85" s="176" t="str">
        <f>'Chấm công KT'!D87</f>
        <v>T. Lã</v>
      </c>
      <c r="D85" s="443" t="s">
        <v>35</v>
      </c>
      <c r="E85" s="419"/>
      <c r="F85" s="419"/>
      <c r="G85" s="419"/>
      <c r="H85" s="419"/>
      <c r="I85" s="419"/>
      <c r="J85" s="420"/>
      <c r="K85" s="418"/>
      <c r="L85" s="418"/>
      <c r="M85" s="420"/>
      <c r="N85" s="420"/>
      <c r="O85" s="445"/>
      <c r="P85" s="446"/>
      <c r="Q85" s="210">
        <f t="shared" si="8"/>
        <v>0</v>
      </c>
      <c r="R85" s="528">
        <f>VLOOKUP(C85,'SẢN LƯỢNG'!D91:AK171,34,0)</f>
        <v>2447</v>
      </c>
      <c r="S85" s="209"/>
      <c r="T85" s="434">
        <f t="shared" ref="T85:T93" si="13">S85*50/100</f>
        <v>0</v>
      </c>
      <c r="U85" s="212">
        <f t="shared" si="9"/>
        <v>2447</v>
      </c>
      <c r="V85" s="485">
        <f>VLOOKUP(C85,'Chấm công KT'!D87:AK168,34,0)</f>
        <v>20</v>
      </c>
      <c r="W85" s="485">
        <f>VLOOKUP(C85,'Chấm công KT'!D87:AL168,35,0)</f>
        <v>3</v>
      </c>
      <c r="X85" s="486"/>
      <c r="Y85" s="485">
        <f>VLOOKUP(C85,'Chấm công KT'!D87:AN167,37,0)</f>
        <v>0</v>
      </c>
      <c r="Z85" s="485">
        <f>VLOOKUP(C85,'Chấm công KT'!$D$13:$AO$92,38,0)</f>
        <v>0</v>
      </c>
      <c r="AA85" s="485">
        <f>VLOOKUP(C85,'Chấm công KT'!$D$13:$AP$92,39,0)</f>
        <v>0</v>
      </c>
      <c r="AB85" s="447"/>
      <c r="AC85" s="448">
        <f t="shared" ref="AC85:AC94" si="14">Q85</f>
        <v>0</v>
      </c>
      <c r="AD85" s="92">
        <f>VLOOKUP(C85,'SẢN LƯỢNG'!$D$17:$AR$160,37,0)</f>
        <v>1079</v>
      </c>
      <c r="AE85" s="436"/>
      <c r="AF85" s="428"/>
      <c r="AH85" s="437"/>
      <c r="AI85" s="449"/>
      <c r="AJ85" s="438"/>
      <c r="AK85" s="438"/>
      <c r="AL85" s="438"/>
      <c r="AM85" s="438"/>
      <c r="AN85" s="438"/>
      <c r="AO85" s="438"/>
    </row>
    <row r="86" spans="1:41" s="429" customFormat="1" ht="18.75" customHeight="1">
      <c r="A86" s="90">
        <v>76</v>
      </c>
      <c r="B86" s="417"/>
      <c r="C86" s="176" t="str">
        <f>'Chấm công KT'!D88</f>
        <v>N. Veo</v>
      </c>
      <c r="D86" s="443" t="s">
        <v>35</v>
      </c>
      <c r="E86" s="419"/>
      <c r="F86" s="419"/>
      <c r="G86" s="419"/>
      <c r="H86" s="419"/>
      <c r="I86" s="419"/>
      <c r="J86" s="420"/>
      <c r="K86" s="418"/>
      <c r="L86" s="418"/>
      <c r="M86" s="420"/>
      <c r="N86" s="420"/>
      <c r="O86" s="445"/>
      <c r="P86" s="446"/>
      <c r="Q86" s="210">
        <f t="shared" si="8"/>
        <v>0</v>
      </c>
      <c r="R86" s="528">
        <f>VLOOKUP(C86,'SẢN LƯỢNG'!D92:AK172,34,0)</f>
        <v>2022</v>
      </c>
      <c r="S86" s="209"/>
      <c r="T86" s="434">
        <f t="shared" si="13"/>
        <v>0</v>
      </c>
      <c r="U86" s="212">
        <f t="shared" si="9"/>
        <v>2022</v>
      </c>
      <c r="V86" s="485">
        <f>VLOOKUP(C86,'Chấm công KT'!D88:AK169,34,0)</f>
        <v>16</v>
      </c>
      <c r="W86" s="485">
        <f>VLOOKUP(C86,'Chấm công KT'!D88:AL169,35,0)</f>
        <v>2</v>
      </c>
      <c r="X86" s="486"/>
      <c r="Y86" s="485">
        <f>VLOOKUP(C86,'Chấm công KT'!D88:AN168,37,0)</f>
        <v>0</v>
      </c>
      <c r="Z86" s="485">
        <f>VLOOKUP(C86,'Chấm công KT'!$D$13:$AO$92,38,0)</f>
        <v>0</v>
      </c>
      <c r="AA86" s="485">
        <f>VLOOKUP(C86,'Chấm công KT'!$D$13:$AP$92,39,0)</f>
        <v>0</v>
      </c>
      <c r="AB86" s="447"/>
      <c r="AC86" s="448">
        <f t="shared" si="14"/>
        <v>0</v>
      </c>
      <c r="AD86" s="92">
        <f>VLOOKUP(C86,'SẢN LƯỢNG'!$D$17:$AR$160,37,0)</f>
        <v>456</v>
      </c>
      <c r="AE86" s="436"/>
      <c r="AF86" s="428"/>
      <c r="AH86" s="437"/>
      <c r="AI86" s="449"/>
      <c r="AJ86" s="438"/>
      <c r="AK86" s="438"/>
      <c r="AL86" s="438"/>
      <c r="AM86" s="438"/>
      <c r="AN86" s="438"/>
      <c r="AO86" s="438"/>
    </row>
    <row r="87" spans="1:41" s="429" customFormat="1" ht="18.75" customHeight="1">
      <c r="A87" s="175">
        <v>77</v>
      </c>
      <c r="B87" s="417"/>
      <c r="C87" s="176" t="str">
        <f>'Chấm công KT'!D89</f>
        <v>T. Pu</v>
      </c>
      <c r="D87" s="443" t="s">
        <v>35</v>
      </c>
      <c r="E87" s="431"/>
      <c r="F87" s="431"/>
      <c r="G87" s="431"/>
      <c r="H87" s="431"/>
      <c r="I87" s="431"/>
      <c r="J87" s="432"/>
      <c r="K87" s="421"/>
      <c r="L87" s="421"/>
      <c r="M87" s="432"/>
      <c r="N87" s="432"/>
      <c r="O87" s="450"/>
      <c r="P87" s="422"/>
      <c r="Q87" s="210">
        <f t="shared" si="8"/>
        <v>0</v>
      </c>
      <c r="R87" s="528">
        <f>VLOOKUP(C87,'SẢN LƯỢNG'!D93:AK173,34,0)</f>
        <v>1284</v>
      </c>
      <c r="S87" s="209"/>
      <c r="T87" s="434"/>
      <c r="U87" s="212">
        <f t="shared" si="9"/>
        <v>1284</v>
      </c>
      <c r="V87" s="485">
        <f>VLOOKUP(C87,'Chấm công KT'!D89:AK170,34,0)</f>
        <v>10</v>
      </c>
      <c r="W87" s="485">
        <f>VLOOKUP(C87,'Chấm công KT'!D89:AL170,35,0)</f>
        <v>1</v>
      </c>
      <c r="X87" s="486"/>
      <c r="Y87" s="485">
        <f>VLOOKUP(C87,'Chấm công KT'!D89:AN169,37,0)</f>
        <v>0</v>
      </c>
      <c r="Z87" s="485">
        <f>VLOOKUP(C87,'Chấm công KT'!$D$13:$AO$92,38,0)</f>
        <v>0</v>
      </c>
      <c r="AA87" s="485">
        <f>VLOOKUP(C87,'Chấm công KT'!$D$13:$AP$92,39,0)</f>
        <v>0</v>
      </c>
      <c r="AB87" s="447"/>
      <c r="AC87" s="448">
        <f t="shared" si="14"/>
        <v>0</v>
      </c>
      <c r="AD87" s="92">
        <f>VLOOKUP(C87,'SẢN LƯỢNG'!$D$17:$AR$160,37,0)</f>
        <v>397</v>
      </c>
      <c r="AE87" s="436"/>
      <c r="AF87" s="428"/>
      <c r="AH87" s="437"/>
      <c r="AI87" s="449"/>
      <c r="AJ87" s="438"/>
      <c r="AK87" s="438"/>
      <c r="AL87" s="438"/>
      <c r="AM87" s="438"/>
      <c r="AN87" s="438"/>
      <c r="AO87" s="438"/>
    </row>
    <row r="88" spans="1:41" s="429" customFormat="1" ht="18.75" customHeight="1">
      <c r="A88" s="90">
        <v>78</v>
      </c>
      <c r="B88" s="417"/>
      <c r="C88" s="176" t="str">
        <f>'Chấm công KT'!D90</f>
        <v>T. Ta.</v>
      </c>
      <c r="D88" s="443" t="s">
        <v>35</v>
      </c>
      <c r="E88" s="431"/>
      <c r="F88" s="431"/>
      <c r="G88" s="431"/>
      <c r="H88" s="431"/>
      <c r="I88" s="431"/>
      <c r="J88" s="432"/>
      <c r="K88" s="421"/>
      <c r="L88" s="421"/>
      <c r="M88" s="432"/>
      <c r="N88" s="432"/>
      <c r="O88" s="450"/>
      <c r="P88" s="422"/>
      <c r="Q88" s="210">
        <f t="shared" si="8"/>
        <v>0</v>
      </c>
      <c r="R88" s="528">
        <f>VLOOKUP(C88,'SẢN LƯỢNG'!D94:AK174,34,0)</f>
        <v>637</v>
      </c>
      <c r="S88" s="209"/>
      <c r="T88" s="434"/>
      <c r="U88" s="212">
        <f t="shared" si="9"/>
        <v>637</v>
      </c>
      <c r="V88" s="485">
        <f>VLOOKUP(C88,'Chấm công KT'!D90:AK171,34,0)</f>
        <v>7</v>
      </c>
      <c r="W88" s="485">
        <f>VLOOKUP(C88,'Chấm công KT'!D90:AL171,35,0)</f>
        <v>1</v>
      </c>
      <c r="X88" s="486"/>
      <c r="Y88" s="485">
        <f>VLOOKUP(C88,'Chấm công KT'!D90:AN170,37,0)</f>
        <v>0</v>
      </c>
      <c r="Z88" s="485">
        <f>VLOOKUP(C88,'Chấm công KT'!$D$13:$AO$92,38,0)</f>
        <v>0</v>
      </c>
      <c r="AA88" s="485">
        <f>VLOOKUP(C88,'Chấm công KT'!$D$13:$AP$92,39,0)</f>
        <v>0</v>
      </c>
      <c r="AB88" s="447"/>
      <c r="AC88" s="448">
        <f t="shared" si="14"/>
        <v>0</v>
      </c>
      <c r="AD88" s="92">
        <f>VLOOKUP(C88,'SẢN LƯỢNG'!$D$17:$AR$160,37,0)</f>
        <v>325</v>
      </c>
      <c r="AE88" s="436"/>
      <c r="AF88" s="428"/>
      <c r="AH88" s="437"/>
      <c r="AI88" s="449"/>
      <c r="AJ88" s="438"/>
      <c r="AK88" s="438"/>
      <c r="AL88" s="438"/>
      <c r="AM88" s="438"/>
      <c r="AN88" s="438"/>
      <c r="AO88" s="438"/>
    </row>
    <row r="89" spans="1:41" s="429" customFormat="1" ht="18.75" customHeight="1">
      <c r="A89" s="175">
        <v>79</v>
      </c>
      <c r="B89" s="417"/>
      <c r="C89" s="176" t="str">
        <f>'Chấm công KT'!D91</f>
        <v>N. Nang</v>
      </c>
      <c r="D89" s="443" t="s">
        <v>35</v>
      </c>
      <c r="E89" s="431"/>
      <c r="F89" s="431"/>
      <c r="G89" s="431"/>
      <c r="H89" s="431"/>
      <c r="I89" s="431"/>
      <c r="J89" s="432"/>
      <c r="K89" s="421"/>
      <c r="L89" s="421"/>
      <c r="M89" s="432"/>
      <c r="N89" s="432"/>
      <c r="O89" s="450"/>
      <c r="P89" s="422"/>
      <c r="Q89" s="210">
        <f t="shared" si="8"/>
        <v>0</v>
      </c>
      <c r="R89" s="528">
        <f>VLOOKUP(C89,'SẢN LƯỢNG'!D95:AK175,34,0)</f>
        <v>427</v>
      </c>
      <c r="S89" s="209"/>
      <c r="T89" s="434"/>
      <c r="U89" s="212">
        <f t="shared" si="9"/>
        <v>427</v>
      </c>
      <c r="V89" s="485">
        <f>VLOOKUP(C89,'Chấm công KT'!D91:AK172,34,0)</f>
        <v>5</v>
      </c>
      <c r="W89" s="485">
        <f>VLOOKUP(C89,'Chấm công KT'!D91:AL172,35,0)</f>
        <v>1</v>
      </c>
      <c r="X89" s="486"/>
      <c r="Y89" s="485">
        <f>VLOOKUP(C89,'Chấm công KT'!D91:AN171,37,0)</f>
        <v>0</v>
      </c>
      <c r="Z89" s="485">
        <f>VLOOKUP(C89,'Chấm công KT'!$D$13:$AO$92,38,0)</f>
        <v>0</v>
      </c>
      <c r="AA89" s="485">
        <f>VLOOKUP(C89,'Chấm công KT'!$D$13:$AP$92,39,0)</f>
        <v>0</v>
      </c>
      <c r="AB89" s="447"/>
      <c r="AC89" s="448">
        <f t="shared" si="14"/>
        <v>0</v>
      </c>
      <c r="AD89" s="92">
        <f>VLOOKUP(C89,'SẢN LƯỢNG'!$D$17:$AR$160,37,0)</f>
        <v>0</v>
      </c>
      <c r="AE89" s="436"/>
      <c r="AF89" s="428"/>
      <c r="AH89" s="437"/>
      <c r="AI89" s="449"/>
      <c r="AJ89" s="438"/>
      <c r="AK89" s="438"/>
      <c r="AL89" s="438"/>
      <c r="AM89" s="438"/>
      <c r="AN89" s="438"/>
      <c r="AO89" s="438"/>
    </row>
    <row r="90" spans="1:41" s="429" customFormat="1" ht="18.75" customHeight="1">
      <c r="A90" s="90">
        <v>80</v>
      </c>
      <c r="B90" s="417"/>
      <c r="C90" s="176" t="str">
        <f>'Chấm công KT'!D92</f>
        <v>T. Tan</v>
      </c>
      <c r="D90" s="443" t="s">
        <v>327</v>
      </c>
      <c r="E90" s="431"/>
      <c r="F90" s="431"/>
      <c r="G90" s="431"/>
      <c r="H90" s="431"/>
      <c r="I90" s="431"/>
      <c r="J90" s="432"/>
      <c r="K90" s="421"/>
      <c r="L90" s="421"/>
      <c r="M90" s="432"/>
      <c r="N90" s="432"/>
      <c r="O90" s="450"/>
      <c r="P90" s="422"/>
      <c r="Q90" s="210">
        <f t="shared" si="8"/>
        <v>0</v>
      </c>
      <c r="R90" s="528">
        <f>VLOOKUP(C90,'SẢN LƯỢNG'!D96:AK176,34,0)</f>
        <v>331</v>
      </c>
      <c r="S90" s="209"/>
      <c r="T90" s="434"/>
      <c r="U90" s="212">
        <f t="shared" si="9"/>
        <v>331</v>
      </c>
      <c r="V90" s="485">
        <f>VLOOKUP(C90,'Chấm công KT'!D92:AK173,34,0)</f>
        <v>4</v>
      </c>
      <c r="W90" s="485">
        <f>VLOOKUP(C90,'Chấm công KT'!D92:AL173,35,0)</f>
        <v>0</v>
      </c>
      <c r="X90" s="486"/>
      <c r="Y90" s="485">
        <f>VLOOKUP(C90,'Chấm công KT'!D92:AN172,37,0)</f>
        <v>0</v>
      </c>
      <c r="Z90" s="485">
        <f>VLOOKUP(C90,'Chấm công KT'!$D$13:$AO$92,38,0)</f>
        <v>0</v>
      </c>
      <c r="AA90" s="485">
        <f>VLOOKUP(C90,'Chấm công KT'!$D$13:$AP$92,39,0)</f>
        <v>0</v>
      </c>
      <c r="AB90" s="447"/>
      <c r="AC90" s="448">
        <f t="shared" si="14"/>
        <v>0</v>
      </c>
      <c r="AD90" s="92">
        <f>VLOOKUP(C90,'SẢN LƯỢNG'!$D$17:$AR$160,37,0)</f>
        <v>0</v>
      </c>
      <c r="AE90" s="436"/>
      <c r="AF90" s="428"/>
      <c r="AH90" s="437"/>
      <c r="AI90" s="449"/>
      <c r="AJ90" s="438"/>
      <c r="AK90" s="438"/>
      <c r="AL90" s="438"/>
      <c r="AM90" s="438"/>
      <c r="AN90" s="438"/>
      <c r="AO90" s="438"/>
    </row>
    <row r="91" spans="1:41" s="429" customFormat="1" ht="18.75" customHeight="1">
      <c r="A91" s="175">
        <v>81</v>
      </c>
      <c r="B91" s="417"/>
      <c r="C91" s="176" t="s">
        <v>759</v>
      </c>
      <c r="D91" s="443" t="s">
        <v>327</v>
      </c>
      <c r="E91" s="218"/>
      <c r="F91" s="431"/>
      <c r="G91" s="431"/>
      <c r="H91" s="431"/>
      <c r="I91" s="431"/>
      <c r="J91" s="432"/>
      <c r="K91" s="421"/>
      <c r="L91" s="421"/>
      <c r="M91" s="432"/>
      <c r="N91" s="432"/>
      <c r="O91" s="450"/>
      <c r="P91" s="422"/>
      <c r="Q91" s="210">
        <f t="shared" si="8"/>
        <v>0</v>
      </c>
      <c r="R91" s="528" t="e">
        <f>VLOOKUP(C91,'SẢN LƯỢNG'!D97:AK177,34,0)</f>
        <v>#N/A</v>
      </c>
      <c r="S91" s="478"/>
      <c r="T91" s="434"/>
      <c r="U91" s="212" t="e">
        <f t="shared" si="9"/>
        <v>#N/A</v>
      </c>
      <c r="V91" s="485"/>
      <c r="W91" s="485"/>
      <c r="X91" s="486"/>
      <c r="Y91" s="485"/>
      <c r="Z91" s="485"/>
      <c r="AA91" s="485"/>
      <c r="AB91" s="447"/>
      <c r="AC91" s="448">
        <f t="shared" si="14"/>
        <v>0</v>
      </c>
      <c r="AD91" s="92" t="e">
        <f>VLOOKUP(C91,'SẢN LƯỢNG'!$D$17:$AR$160,37,0)</f>
        <v>#N/A</v>
      </c>
      <c r="AE91" s="436"/>
      <c r="AF91" s="428"/>
      <c r="AH91" s="437"/>
      <c r="AI91" s="449"/>
      <c r="AJ91" s="438"/>
      <c r="AK91" s="438"/>
      <c r="AL91" s="438"/>
      <c r="AM91" s="438"/>
      <c r="AN91" s="438"/>
      <c r="AO91" s="438"/>
    </row>
    <row r="92" spans="1:41" s="429" customFormat="1" ht="18.75" customHeight="1">
      <c r="A92" s="90">
        <v>82</v>
      </c>
      <c r="B92" s="417"/>
      <c r="C92" s="176" t="s">
        <v>876</v>
      </c>
      <c r="D92" s="443" t="s">
        <v>327</v>
      </c>
      <c r="E92" s="431"/>
      <c r="F92" s="431"/>
      <c r="G92" s="431"/>
      <c r="H92" s="431"/>
      <c r="I92" s="431"/>
      <c r="J92" s="432"/>
      <c r="K92" s="421"/>
      <c r="L92" s="421"/>
      <c r="M92" s="431"/>
      <c r="N92" s="432"/>
      <c r="O92" s="450"/>
      <c r="P92" s="422"/>
      <c r="Q92" s="210">
        <f t="shared" si="8"/>
        <v>0</v>
      </c>
      <c r="R92" s="528"/>
      <c r="S92" s="420"/>
      <c r="T92" s="434"/>
      <c r="U92" s="541">
        <f t="shared" si="9"/>
        <v>0</v>
      </c>
      <c r="V92" s="485"/>
      <c r="W92" s="485"/>
      <c r="X92" s="486"/>
      <c r="Y92" s="485"/>
      <c r="Z92" s="485"/>
      <c r="AA92" s="485"/>
      <c r="AB92" s="447"/>
      <c r="AC92" s="448">
        <f t="shared" si="14"/>
        <v>0</v>
      </c>
      <c r="AD92" s="92"/>
      <c r="AE92" s="436"/>
      <c r="AF92" s="428"/>
      <c r="AH92" s="437"/>
      <c r="AI92" s="449"/>
      <c r="AJ92" s="438"/>
      <c r="AK92" s="438"/>
      <c r="AL92" s="438"/>
      <c r="AM92" s="438"/>
      <c r="AN92" s="438"/>
      <c r="AO92" s="438"/>
    </row>
    <row r="93" spans="1:41" s="429" customFormat="1" ht="18.75" customHeight="1">
      <c r="A93" s="175">
        <v>83</v>
      </c>
      <c r="B93" s="417"/>
      <c r="C93" s="176" t="s">
        <v>734</v>
      </c>
      <c r="D93" s="443" t="s">
        <v>327</v>
      </c>
      <c r="E93" s="431"/>
      <c r="F93" s="431"/>
      <c r="G93" s="431">
        <v>379.54</v>
      </c>
      <c r="H93" s="431"/>
      <c r="I93" s="431"/>
      <c r="J93" s="432"/>
      <c r="K93" s="421"/>
      <c r="L93" s="421"/>
      <c r="M93" s="1107">
        <f>150.69</f>
        <v>150.69</v>
      </c>
      <c r="N93" s="432"/>
      <c r="O93" s="450"/>
      <c r="P93" s="422"/>
      <c r="Q93" s="210">
        <f>SUM(E93:P93)</f>
        <v>530.23</v>
      </c>
      <c r="R93" s="540"/>
      <c r="S93" s="420"/>
      <c r="T93" s="434">
        <f t="shared" si="13"/>
        <v>0</v>
      </c>
      <c r="U93" s="541">
        <f t="shared" si="9"/>
        <v>0</v>
      </c>
      <c r="V93" s="485"/>
      <c r="W93" s="485"/>
      <c r="X93" s="486"/>
      <c r="Y93" s="485"/>
      <c r="Z93" s="485"/>
      <c r="AA93" s="485"/>
      <c r="AB93" s="447"/>
      <c r="AC93" s="448">
        <f t="shared" si="14"/>
        <v>530.23</v>
      </c>
      <c r="AD93" s="542"/>
      <c r="AE93" s="436"/>
      <c r="AF93" s="428"/>
      <c r="AH93" s="437"/>
      <c r="AI93" s="449"/>
      <c r="AJ93" s="438"/>
      <c r="AK93" s="438"/>
      <c r="AL93" s="438"/>
      <c r="AM93" s="438"/>
      <c r="AN93" s="438"/>
      <c r="AO93" s="438"/>
    </row>
    <row r="94" spans="1:41" s="429" customFormat="1" ht="18.75" customHeight="1">
      <c r="A94" s="90">
        <v>84</v>
      </c>
      <c r="B94" s="417"/>
      <c r="C94" s="543" t="s">
        <v>708</v>
      </c>
      <c r="D94" s="443" t="s">
        <v>327</v>
      </c>
      <c r="E94" s="431"/>
      <c r="F94" s="431"/>
      <c r="H94" s="1108">
        <f>144+1273.6</f>
        <v>1417.6</v>
      </c>
      <c r="I94" s="431"/>
      <c r="J94" s="432"/>
      <c r="K94" s="421"/>
      <c r="L94" s="421"/>
      <c r="M94" s="432"/>
      <c r="N94" s="432"/>
      <c r="O94" s="450"/>
      <c r="P94" s="422"/>
      <c r="Q94" s="210">
        <f>SUM(E94:P94)</f>
        <v>1417.6</v>
      </c>
      <c r="R94" s="432"/>
      <c r="S94" s="432"/>
      <c r="T94" s="439"/>
      <c r="U94" s="544"/>
      <c r="V94" s="485"/>
      <c r="W94" s="485"/>
      <c r="X94" s="486"/>
      <c r="Y94" s="485"/>
      <c r="Z94" s="485"/>
      <c r="AA94" s="485"/>
      <c r="AB94" s="442"/>
      <c r="AC94" s="448">
        <f t="shared" si="14"/>
        <v>1417.6</v>
      </c>
      <c r="AD94" s="542"/>
      <c r="AE94" s="436"/>
      <c r="AF94" s="428"/>
      <c r="AH94" s="437"/>
      <c r="AI94" s="449"/>
      <c r="AJ94" s="438"/>
      <c r="AK94" s="438"/>
      <c r="AL94" s="438"/>
      <c r="AM94" s="438"/>
      <c r="AN94" s="438"/>
      <c r="AO94" s="438"/>
    </row>
    <row r="95" spans="1:41" s="594" customFormat="1" ht="18.75" customHeight="1">
      <c r="A95" s="618"/>
      <c r="B95" s="1460" t="s">
        <v>499</v>
      </c>
      <c r="C95" s="1460"/>
      <c r="D95" s="1460"/>
      <c r="E95" s="539">
        <f>SUM(E96:E161)</f>
        <v>464</v>
      </c>
      <c r="F95" s="539">
        <f t="shared" ref="F95:AC95" si="15">SUM(F96:F161)</f>
        <v>0</v>
      </c>
      <c r="G95" s="539">
        <f t="shared" si="15"/>
        <v>0</v>
      </c>
      <c r="H95" s="539">
        <f t="shared" si="15"/>
        <v>710.2</v>
      </c>
      <c r="I95" s="539">
        <f t="shared" si="15"/>
        <v>0</v>
      </c>
      <c r="J95" s="539">
        <f t="shared" si="15"/>
        <v>0</v>
      </c>
      <c r="K95" s="539">
        <f t="shared" si="15"/>
        <v>0</v>
      </c>
      <c r="L95" s="539">
        <f t="shared" si="15"/>
        <v>0</v>
      </c>
      <c r="M95" s="539">
        <f t="shared" si="15"/>
        <v>442.67</v>
      </c>
      <c r="N95" s="539">
        <f t="shared" si="15"/>
        <v>0</v>
      </c>
      <c r="O95" s="539">
        <f t="shared" si="15"/>
        <v>0</v>
      </c>
      <c r="P95" s="539">
        <f t="shared" si="15"/>
        <v>0</v>
      </c>
      <c r="Q95" s="539">
        <f t="shared" si="15"/>
        <v>1616.8700000000001</v>
      </c>
      <c r="R95" s="539">
        <f t="shared" si="15"/>
        <v>231746</v>
      </c>
      <c r="S95" s="539">
        <f t="shared" si="15"/>
        <v>0</v>
      </c>
      <c r="T95" s="539">
        <f t="shared" si="15"/>
        <v>0</v>
      </c>
      <c r="U95" s="539">
        <f t="shared" si="15"/>
        <v>231746</v>
      </c>
      <c r="V95" s="539">
        <f t="shared" si="15"/>
        <v>1557</v>
      </c>
      <c r="W95" s="539">
        <f t="shared" si="15"/>
        <v>61</v>
      </c>
      <c r="X95" s="539">
        <f t="shared" si="15"/>
        <v>0</v>
      </c>
      <c r="Y95" s="539">
        <f t="shared" si="15"/>
        <v>171</v>
      </c>
      <c r="Z95" s="539">
        <f t="shared" si="15"/>
        <v>0</v>
      </c>
      <c r="AA95" s="539">
        <f t="shared" si="15"/>
        <v>0</v>
      </c>
      <c r="AB95" s="539">
        <f t="shared" si="15"/>
        <v>0</v>
      </c>
      <c r="AC95" s="539">
        <f t="shared" si="15"/>
        <v>1616.8700000000001</v>
      </c>
      <c r="AD95" s="619"/>
      <c r="AE95" s="539">
        <f>SUM(AE96:AE159)</f>
        <v>0</v>
      </c>
      <c r="AF95" s="620">
        <v>1121</v>
      </c>
      <c r="AG95" s="621">
        <v>135</v>
      </c>
      <c r="AH95" s="622">
        <v>1191</v>
      </c>
      <c r="AI95" s="623">
        <v>173</v>
      </c>
      <c r="AJ95" s="624"/>
      <c r="AK95" s="624"/>
      <c r="AL95" s="624"/>
      <c r="AM95" s="624"/>
      <c r="AN95" s="624"/>
      <c r="AO95" s="624"/>
    </row>
    <row r="96" spans="1:41" ht="18.75" customHeight="1">
      <c r="A96" s="152">
        <v>1</v>
      </c>
      <c r="B96" s="208" t="str">
        <f>'Chấm công KT'!C95</f>
        <v>04072</v>
      </c>
      <c r="C96" s="157" t="str">
        <f>'Chấm công KT'!D95</f>
        <v xml:space="preserve">T. Lun </v>
      </c>
      <c r="D96" s="152" t="s">
        <v>26</v>
      </c>
      <c r="E96" s="218">
        <f>10/1.25</f>
        <v>8</v>
      </c>
      <c r="F96" s="218"/>
      <c r="G96" s="218"/>
      <c r="H96" s="218"/>
      <c r="I96" s="218"/>
      <c r="J96" s="209"/>
      <c r="K96" s="159"/>
      <c r="L96" s="159"/>
      <c r="M96" s="95"/>
      <c r="N96" s="91"/>
      <c r="O96" s="173"/>
      <c r="P96" s="148"/>
      <c r="Q96" s="155">
        <f>SUM(E96:P96)</f>
        <v>8</v>
      </c>
      <c r="R96" s="150">
        <f>VLOOKUP(C96,'SẢN LƯỢNG'!$D$99:$AK$160,34,0)</f>
        <v>3742</v>
      </c>
      <c r="S96" s="158"/>
      <c r="T96" s="149">
        <f t="shared" ref="T96" si="16">S96*50/100</f>
        <v>0</v>
      </c>
      <c r="U96" s="212">
        <f t="shared" ref="U96:U157" si="17">R96</f>
        <v>3742</v>
      </c>
      <c r="V96" s="435">
        <f>VLOOKUP(C96,'Chấm công KT'!$D$95:$AK$156,34,0)</f>
        <v>26</v>
      </c>
      <c r="W96" s="435">
        <f>VLOOKUP(C96,'Chấm công KT'!$D$95:$AL$156,35,0)</f>
        <v>1</v>
      </c>
      <c r="X96" s="435">
        <f>VLOOKUP(C96,'Chấm công KT'!D95:AM156,36,0)</f>
        <v>0</v>
      </c>
      <c r="Y96" s="435">
        <f>VLOOKUP(C96,'Chấm công KT'!D95:AN156,37,0)</f>
        <v>3</v>
      </c>
      <c r="Z96" s="485"/>
      <c r="AA96" s="485"/>
      <c r="AB96" s="160"/>
      <c r="AC96" s="156">
        <f t="shared" ref="AC96:AC152" si="18">Q96</f>
        <v>8</v>
      </c>
      <c r="AD96" s="92">
        <f>VLOOKUP(C96,'SẢN LƯỢNG'!$D$17:$AR$160,37,0)</f>
        <v>4099</v>
      </c>
      <c r="AE96" s="153"/>
      <c r="AF96" s="77"/>
      <c r="AH96" s="62"/>
      <c r="AI96" s="59"/>
      <c r="AJ96" s="60"/>
      <c r="AK96" s="60"/>
      <c r="AL96" s="60"/>
      <c r="AM96" s="60"/>
      <c r="AN96" s="60"/>
      <c r="AO96" s="60"/>
    </row>
    <row r="97" spans="1:41" ht="18.75" customHeight="1">
      <c r="A97" s="147">
        <v>2</v>
      </c>
      <c r="B97" s="208" t="str">
        <f>'Chấm công KT'!C96</f>
        <v>03466</v>
      </c>
      <c r="C97" s="157" t="str">
        <f>'Chấm công KT'!D96</f>
        <v>N. Keo</v>
      </c>
      <c r="D97" s="147" t="s">
        <v>26</v>
      </c>
      <c r="E97" s="218">
        <f t="shared" ref="E97:E153" si="19">10/1.25</f>
        <v>8</v>
      </c>
      <c r="F97" s="218"/>
      <c r="G97" s="218"/>
      <c r="H97" s="218"/>
      <c r="I97" s="218"/>
      <c r="J97" s="209"/>
      <c r="K97" s="159"/>
      <c r="L97" s="159"/>
      <c r="M97" s="95"/>
      <c r="N97" s="91"/>
      <c r="O97" s="173"/>
      <c r="P97" s="148"/>
      <c r="Q97" s="155">
        <f t="shared" ref="Q97:Q161" si="20">SUM(E97:P97)</f>
        <v>8</v>
      </c>
      <c r="R97" s="150">
        <f>VLOOKUP(C97,'SẢN LƯỢNG'!$D$99:$AK$160,34,0)</f>
        <v>3580</v>
      </c>
      <c r="S97" s="158"/>
      <c r="T97" s="149">
        <f t="shared" ref="T97:T156" si="21">S97*50/100</f>
        <v>0</v>
      </c>
      <c r="U97" s="212">
        <f t="shared" si="17"/>
        <v>3580</v>
      </c>
      <c r="V97" s="435">
        <f>VLOOKUP(C97,'Chấm công KT'!$D$95:$AK$156,34,0)</f>
        <v>25</v>
      </c>
      <c r="W97" s="435">
        <f>VLOOKUP(C97,'Chấm công KT'!$D$95:$AL$156,35,0)</f>
        <v>1</v>
      </c>
      <c r="X97" s="435">
        <f>VLOOKUP(C97,'Chấm công KT'!D96:AM156,36,0)</f>
        <v>0</v>
      </c>
      <c r="Y97" s="435">
        <f>VLOOKUP(C97,'Chấm công KT'!D96:AN157,37,0)</f>
        <v>3</v>
      </c>
      <c r="Z97" s="485"/>
      <c r="AA97" s="485"/>
      <c r="AB97" s="160"/>
      <c r="AC97" s="156">
        <f t="shared" si="18"/>
        <v>8</v>
      </c>
      <c r="AD97" s="92">
        <f>VLOOKUP(C97,'SẢN LƯỢNG'!$D$17:$AR$160,37,0)</f>
        <v>4330</v>
      </c>
      <c r="AE97" s="157"/>
      <c r="AF97" s="77"/>
      <c r="AH97" s="66"/>
      <c r="AI97" s="65"/>
      <c r="AJ97" s="64"/>
      <c r="AK97" s="64"/>
      <c r="AL97" s="64"/>
      <c r="AM97" s="64"/>
      <c r="AN97" s="64"/>
      <c r="AO97" s="60"/>
    </row>
    <row r="98" spans="1:41" ht="18.75" customHeight="1">
      <c r="A98" s="147">
        <v>3</v>
      </c>
      <c r="B98" s="208" t="str">
        <f>'Chấm công KT'!C97</f>
        <v>03590</v>
      </c>
      <c r="C98" s="157" t="str">
        <f>'Chấm công KT'!D97</f>
        <v>T .Nhum</v>
      </c>
      <c r="D98" s="147" t="s">
        <v>26</v>
      </c>
      <c r="E98" s="218">
        <f t="shared" si="19"/>
        <v>8</v>
      </c>
      <c r="F98" s="218"/>
      <c r="G98" s="218"/>
      <c r="H98" s="218"/>
      <c r="I98" s="218"/>
      <c r="J98" s="209"/>
      <c r="K98" s="159"/>
      <c r="L98" s="159"/>
      <c r="M98" s="95"/>
      <c r="N98" s="91"/>
      <c r="O98" s="173"/>
      <c r="P98" s="148"/>
      <c r="Q98" s="155">
        <f t="shared" si="20"/>
        <v>8</v>
      </c>
      <c r="R98" s="150">
        <f>VLOOKUP(C98,'SẢN LƯỢNG'!$D$99:$AK$160,34,0)</f>
        <v>3738</v>
      </c>
      <c r="S98" s="158"/>
      <c r="T98" s="149">
        <f t="shared" si="21"/>
        <v>0</v>
      </c>
      <c r="U98" s="212">
        <f t="shared" si="17"/>
        <v>3738</v>
      </c>
      <c r="V98" s="435">
        <f>VLOOKUP(C98,'Chấm công KT'!$D$95:$AK$156,34,0)</f>
        <v>27</v>
      </c>
      <c r="W98" s="435">
        <f>VLOOKUP(C98,'Chấm công KT'!$D$95:$AL$156,35,0)</f>
        <v>1</v>
      </c>
      <c r="X98" s="435">
        <f>VLOOKUP(C98,'Chấm công KT'!D97:AM156,36,0)</f>
        <v>0</v>
      </c>
      <c r="Y98" s="435">
        <f>VLOOKUP(C98,'Chấm công KT'!D97:AN158,37,0)</f>
        <v>3</v>
      </c>
      <c r="Z98" s="485"/>
      <c r="AA98" s="485"/>
      <c r="AB98" s="160"/>
      <c r="AC98" s="156">
        <f t="shared" si="18"/>
        <v>8</v>
      </c>
      <c r="AD98" s="92">
        <f>VLOOKUP(C98,'SẢN LƯỢNG'!$D$17:$AR$160,37,0)</f>
        <v>3851</v>
      </c>
      <c r="AE98" s="157"/>
      <c r="AF98" s="77"/>
      <c r="AG98" s="74"/>
      <c r="AH98" s="74"/>
    </row>
    <row r="99" spans="1:41" ht="18.75" customHeight="1">
      <c r="A99" s="147">
        <v>4</v>
      </c>
      <c r="B99" s="208" t="str">
        <f>'Chấm công KT'!C98</f>
        <v>03591</v>
      </c>
      <c r="C99" s="157" t="str">
        <f>'Chấm công KT'!D98</f>
        <v>N.Vông Ma Ni</v>
      </c>
      <c r="D99" s="147" t="s">
        <v>26</v>
      </c>
      <c r="E99" s="218">
        <f t="shared" si="19"/>
        <v>8</v>
      </c>
      <c r="F99" s="218"/>
      <c r="G99" s="218"/>
      <c r="H99" s="218"/>
      <c r="I99" s="218"/>
      <c r="J99" s="209"/>
      <c r="K99" s="159"/>
      <c r="L99" s="159"/>
      <c r="M99" s="95"/>
      <c r="N99" s="91"/>
      <c r="O99" s="173"/>
      <c r="P99" s="148"/>
      <c r="Q99" s="155">
        <f t="shared" si="20"/>
        <v>8</v>
      </c>
      <c r="R99" s="150">
        <f>VLOOKUP(C99,'SẢN LƯỢNG'!$D$99:$AK$160,34,0)</f>
        <v>3849</v>
      </c>
      <c r="S99" s="158"/>
      <c r="T99" s="149">
        <f t="shared" si="21"/>
        <v>0</v>
      </c>
      <c r="U99" s="212">
        <f t="shared" si="17"/>
        <v>3849</v>
      </c>
      <c r="V99" s="435">
        <f>VLOOKUP(C99,'Chấm công KT'!$D$95:$AK$156,34,0)</f>
        <v>26</v>
      </c>
      <c r="W99" s="435">
        <f>VLOOKUP(C99,'Chấm công KT'!$D$95:$AL$156,35,0)</f>
        <v>1</v>
      </c>
      <c r="X99" s="435">
        <f>VLOOKUP(C99,'Chấm công KT'!D98:AM156,36,0)</f>
        <v>0</v>
      </c>
      <c r="Y99" s="435">
        <f>VLOOKUP(C99,'Chấm công KT'!D98:AN159,37,0)</f>
        <v>3</v>
      </c>
      <c r="Z99" s="485"/>
      <c r="AA99" s="485"/>
      <c r="AB99" s="160"/>
      <c r="AC99" s="156">
        <f t="shared" si="18"/>
        <v>8</v>
      </c>
      <c r="AD99" s="92">
        <f>VLOOKUP(C99,'SẢN LƯỢNG'!$D$17:$AR$160,37,0)</f>
        <v>3696</v>
      </c>
      <c r="AE99" s="157"/>
      <c r="AF99" s="77"/>
    </row>
    <row r="100" spans="1:41" ht="18.75" customHeight="1">
      <c r="A100" s="147">
        <v>5</v>
      </c>
      <c r="B100" s="208" t="str">
        <f>'Chấm công KT'!C99</f>
        <v>03592</v>
      </c>
      <c r="C100" s="157" t="str">
        <f>'Chấm công KT'!D99</f>
        <v>Đao Hương</v>
      </c>
      <c r="D100" s="147" t="s">
        <v>26</v>
      </c>
      <c r="E100" s="218">
        <f t="shared" si="19"/>
        <v>8</v>
      </c>
      <c r="F100" s="218"/>
      <c r="G100" s="218"/>
      <c r="H100" s="218"/>
      <c r="I100" s="218"/>
      <c r="J100" s="209"/>
      <c r="K100" s="159"/>
      <c r="L100" s="159"/>
      <c r="M100" s="95"/>
      <c r="N100" s="91"/>
      <c r="O100" s="173"/>
      <c r="P100" s="148"/>
      <c r="Q100" s="155">
        <f t="shared" si="20"/>
        <v>8</v>
      </c>
      <c r="R100" s="150">
        <f>VLOOKUP(C100,'SẢN LƯỢNG'!$D$99:$AK$160,34,0)</f>
        <v>3654</v>
      </c>
      <c r="S100" s="158"/>
      <c r="T100" s="149">
        <f t="shared" si="21"/>
        <v>0</v>
      </c>
      <c r="U100" s="212">
        <f t="shared" si="17"/>
        <v>3654</v>
      </c>
      <c r="V100" s="435">
        <f>VLOOKUP(C100,'Chấm công KT'!$D$95:$AK$156,34,0)</f>
        <v>26</v>
      </c>
      <c r="W100" s="435">
        <f>VLOOKUP(C100,'Chấm công KT'!$D$95:$AL$156,35,0)</f>
        <v>1</v>
      </c>
      <c r="X100" s="435">
        <f>VLOOKUP(C100,'Chấm công KT'!D99:AM156,36,0)</f>
        <v>0</v>
      </c>
      <c r="Y100" s="435">
        <f>VLOOKUP(C100,'Chấm công KT'!D99:AN160,37,0)</f>
        <v>3</v>
      </c>
      <c r="Z100" s="485"/>
      <c r="AA100" s="485"/>
      <c r="AB100" s="160"/>
      <c r="AC100" s="156">
        <f t="shared" si="18"/>
        <v>8</v>
      </c>
      <c r="AD100" s="92">
        <f>VLOOKUP(C100,'SẢN LƯỢNG'!$D$17:$AR$160,37,0)</f>
        <v>3659</v>
      </c>
      <c r="AE100" s="157"/>
      <c r="AF100" s="77">
        <f>241.33-E95</f>
        <v>-222.67</v>
      </c>
    </row>
    <row r="101" spans="1:41" ht="18.75" customHeight="1">
      <c r="A101" s="147">
        <v>6</v>
      </c>
      <c r="B101" s="208" t="str">
        <f>'Chấm công KT'!C100</f>
        <v>03593</v>
      </c>
      <c r="C101" s="157" t="str">
        <f>'Chấm công KT'!D100</f>
        <v>T. Xi Nun</v>
      </c>
      <c r="D101" s="147" t="s">
        <v>26</v>
      </c>
      <c r="E101" s="218">
        <f t="shared" si="19"/>
        <v>8</v>
      </c>
      <c r="F101" s="218"/>
      <c r="G101" s="218"/>
      <c r="H101" s="218"/>
      <c r="I101" s="218"/>
      <c r="J101" s="209"/>
      <c r="K101" s="159"/>
      <c r="L101" s="159"/>
      <c r="M101" s="95"/>
      <c r="N101" s="91"/>
      <c r="O101" s="173"/>
      <c r="P101" s="148"/>
      <c r="Q101" s="155">
        <f t="shared" si="20"/>
        <v>8</v>
      </c>
      <c r="R101" s="150">
        <f>VLOOKUP(C101,'SẢN LƯỢNG'!$D$99:$AK$160,34,0)</f>
        <v>3441</v>
      </c>
      <c r="S101" s="158"/>
      <c r="T101" s="149">
        <f t="shared" si="21"/>
        <v>0</v>
      </c>
      <c r="U101" s="212">
        <f t="shared" si="17"/>
        <v>3441</v>
      </c>
      <c r="V101" s="435">
        <f>VLOOKUP(C101,'Chấm công KT'!$D$95:$AK$156,34,0)</f>
        <v>20</v>
      </c>
      <c r="W101" s="435">
        <f>VLOOKUP(C101,'Chấm công KT'!$D$95:$AL$156,35,0)</f>
        <v>1</v>
      </c>
      <c r="X101" s="435">
        <f>VLOOKUP(C101,'Chấm công KT'!D100:AM156,36,0)</f>
        <v>0</v>
      </c>
      <c r="Y101" s="435">
        <f>VLOOKUP(C101,'Chấm công KT'!D100:AN161,37,0)</f>
        <v>2</v>
      </c>
      <c r="Z101" s="485"/>
      <c r="AA101" s="485"/>
      <c r="AB101" s="160"/>
      <c r="AC101" s="156">
        <f t="shared" si="18"/>
        <v>8</v>
      </c>
      <c r="AD101" s="92">
        <f>VLOOKUP(C101,'SẢN LƯỢNG'!$D$17:$AR$160,37,0)</f>
        <v>4836</v>
      </c>
      <c r="AE101" s="157"/>
      <c r="AF101" s="77"/>
      <c r="AG101" s="75">
        <f>183*0.5</f>
        <v>91.5</v>
      </c>
    </row>
    <row r="102" spans="1:41" ht="18.75" customHeight="1">
      <c r="A102" s="147">
        <v>7</v>
      </c>
      <c r="B102" s="208" t="str">
        <f>'Chấm công KT'!C101</f>
        <v>03594</v>
      </c>
      <c r="C102" s="157" t="str">
        <f>'Chấm công KT'!D101</f>
        <v>T. Bun Hinh</v>
      </c>
      <c r="D102" s="147" t="s">
        <v>26</v>
      </c>
      <c r="E102" s="218">
        <f t="shared" si="19"/>
        <v>8</v>
      </c>
      <c r="F102" s="218"/>
      <c r="G102" s="218"/>
      <c r="H102" s="218"/>
      <c r="I102" s="218"/>
      <c r="J102" s="209"/>
      <c r="K102" s="159"/>
      <c r="L102" s="159"/>
      <c r="M102" s="95"/>
      <c r="N102" s="91"/>
      <c r="O102" s="173"/>
      <c r="P102" s="148"/>
      <c r="Q102" s="155">
        <f t="shared" si="20"/>
        <v>8</v>
      </c>
      <c r="R102" s="150">
        <f>VLOOKUP(C102,'SẢN LƯỢNG'!$D$99:$AK$160,34,0)</f>
        <v>2889</v>
      </c>
      <c r="S102" s="158"/>
      <c r="T102" s="149">
        <f t="shared" si="21"/>
        <v>0</v>
      </c>
      <c r="U102" s="212">
        <f t="shared" si="17"/>
        <v>2889</v>
      </c>
      <c r="V102" s="435">
        <f>VLOOKUP(C102,'Chấm công KT'!$D$95:$AK$156,34,0)</f>
        <v>27</v>
      </c>
      <c r="W102" s="435">
        <f>VLOOKUP(C102,'Chấm công KT'!$D$95:$AL$156,35,0)</f>
        <v>1</v>
      </c>
      <c r="X102" s="435">
        <f>VLOOKUP(C102,'Chấm công KT'!D101:AM156,36,0)</f>
        <v>0</v>
      </c>
      <c r="Y102" s="435">
        <f>VLOOKUP(C102,'Chấm công KT'!D101:AN162,37,0)</f>
        <v>3</v>
      </c>
      <c r="Z102" s="485"/>
      <c r="AA102" s="485"/>
      <c r="AB102" s="160"/>
      <c r="AC102" s="156">
        <f t="shared" si="18"/>
        <v>8</v>
      </c>
      <c r="AD102" s="92">
        <f>VLOOKUP(C102,'SẢN LƯỢNG'!$D$17:$AR$160,37,0)</f>
        <v>3280</v>
      </c>
      <c r="AE102" s="157"/>
      <c r="AF102" s="77"/>
    </row>
    <row r="103" spans="1:41" ht="18.75" customHeight="1">
      <c r="A103" s="147">
        <v>8</v>
      </c>
      <c r="B103" s="208" t="str">
        <f>'Chấm công KT'!C102</f>
        <v>04073</v>
      </c>
      <c r="C103" s="157" t="str">
        <f>'Chấm công KT'!D102</f>
        <v>T. Miềng</v>
      </c>
      <c r="D103" s="147" t="s">
        <v>26</v>
      </c>
      <c r="E103" s="218">
        <f t="shared" si="19"/>
        <v>8</v>
      </c>
      <c r="F103" s="218"/>
      <c r="G103" s="218"/>
      <c r="H103" s="218"/>
      <c r="I103" s="218"/>
      <c r="J103" s="209"/>
      <c r="K103" s="159"/>
      <c r="L103" s="159"/>
      <c r="M103" s="218"/>
      <c r="N103" s="154"/>
      <c r="O103" s="225"/>
      <c r="P103" s="148"/>
      <c r="Q103" s="155">
        <f t="shared" si="20"/>
        <v>8</v>
      </c>
      <c r="R103" s="150">
        <f>VLOOKUP(C103,'SẢN LƯỢNG'!$D$99:$AK$160,34,0)</f>
        <v>2394</v>
      </c>
      <c r="S103" s="158"/>
      <c r="T103" s="149">
        <f t="shared" si="21"/>
        <v>0</v>
      </c>
      <c r="U103" s="212">
        <f t="shared" si="17"/>
        <v>2394</v>
      </c>
      <c r="V103" s="435">
        <f>VLOOKUP(C103,'Chấm công KT'!$D$95:$AK$156,34,0)</f>
        <v>22</v>
      </c>
      <c r="W103" s="435">
        <f>VLOOKUP(C103,'Chấm công KT'!$D$95:$AL$156,35,0)</f>
        <v>0</v>
      </c>
      <c r="X103" s="435">
        <f>VLOOKUP(C103,'Chấm công KT'!D102:AM156,36,0)</f>
        <v>0</v>
      </c>
      <c r="Y103" s="435">
        <f>VLOOKUP(C103,'Chấm công KT'!D102:AN163,37,0)</f>
        <v>0</v>
      </c>
      <c r="Z103" s="485"/>
      <c r="AA103" s="485"/>
      <c r="AB103" s="160"/>
      <c r="AC103" s="156">
        <f t="shared" si="18"/>
        <v>8</v>
      </c>
      <c r="AD103" s="92">
        <f>VLOOKUP(C103,'SẢN LƯỢNG'!$D$17:$AR$160,37,0)</f>
        <v>3374</v>
      </c>
      <c r="AE103" s="157"/>
      <c r="AF103" s="77"/>
    </row>
    <row r="104" spans="1:41" ht="18.75" customHeight="1">
      <c r="A104" s="147">
        <v>9</v>
      </c>
      <c r="B104" s="208" t="str">
        <f>'Chấm công KT'!C103</f>
        <v>03596</v>
      </c>
      <c r="C104" s="157" t="str">
        <f>'Chấm công KT'!D103</f>
        <v>N. Xúc</v>
      </c>
      <c r="D104" s="147" t="s">
        <v>26</v>
      </c>
      <c r="E104" s="218">
        <f t="shared" si="19"/>
        <v>8</v>
      </c>
      <c r="F104" s="218"/>
      <c r="G104" s="218"/>
      <c r="H104" s="218"/>
      <c r="I104" s="218"/>
      <c r="J104" s="209"/>
      <c r="K104" s="159"/>
      <c r="L104" s="159"/>
      <c r="M104" s="154"/>
      <c r="N104" s="154"/>
      <c r="O104" s="225"/>
      <c r="P104" s="148"/>
      <c r="Q104" s="155">
        <f t="shared" si="20"/>
        <v>8</v>
      </c>
      <c r="R104" s="150">
        <f>VLOOKUP(C104,'SẢN LƯỢNG'!$D$99:$AK$160,34,0)</f>
        <v>3481</v>
      </c>
      <c r="S104" s="158"/>
      <c r="T104" s="149">
        <f t="shared" si="21"/>
        <v>0</v>
      </c>
      <c r="U104" s="212">
        <f t="shared" si="17"/>
        <v>3481</v>
      </c>
      <c r="V104" s="435">
        <f>VLOOKUP(C104,'Chấm công KT'!$D$95:$AK$156,34,0)</f>
        <v>26</v>
      </c>
      <c r="W104" s="435">
        <f>VLOOKUP(C104,'Chấm công KT'!$D$95:$AL$156,35,0)</f>
        <v>1</v>
      </c>
      <c r="X104" s="435">
        <f>VLOOKUP(C104,'Chấm công KT'!D103:AM156,36,0)</f>
        <v>0</v>
      </c>
      <c r="Y104" s="435">
        <f>VLOOKUP(C104,'Chấm công KT'!D103:AN164,37,0)</f>
        <v>3</v>
      </c>
      <c r="Z104" s="485"/>
      <c r="AA104" s="485"/>
      <c r="AB104" s="160"/>
      <c r="AC104" s="156">
        <f t="shared" si="18"/>
        <v>8</v>
      </c>
      <c r="AD104" s="92">
        <f>VLOOKUP(C104,'SẢN LƯỢNG'!$D$17:$AR$160,37,0)</f>
        <v>3360</v>
      </c>
      <c r="AE104" s="157"/>
      <c r="AF104" s="77"/>
    </row>
    <row r="105" spans="1:41" ht="18.75" customHeight="1">
      <c r="A105" s="147">
        <v>10</v>
      </c>
      <c r="B105" s="208" t="str">
        <f>'Chấm công KT'!C104</f>
        <v>03597</v>
      </c>
      <c r="C105" s="157" t="str">
        <f>'Chấm công KT'!D104</f>
        <v>N. Lẹ</v>
      </c>
      <c r="D105" s="147" t="s">
        <v>26</v>
      </c>
      <c r="E105" s="218">
        <f t="shared" si="19"/>
        <v>8</v>
      </c>
      <c r="F105" s="218"/>
      <c r="G105" s="218"/>
      <c r="H105" s="218"/>
      <c r="I105" s="218"/>
      <c r="J105" s="209"/>
      <c r="K105" s="159"/>
      <c r="L105" s="159"/>
      <c r="M105" s="209"/>
      <c r="N105" s="91"/>
      <c r="O105" s="173"/>
      <c r="P105" s="148"/>
      <c r="Q105" s="155">
        <f t="shared" si="20"/>
        <v>8</v>
      </c>
      <c r="R105" s="150">
        <f>VLOOKUP(C105,'SẢN LƯỢNG'!$D$99:$AK$160,34,0)</f>
        <v>3868</v>
      </c>
      <c r="S105" s="158"/>
      <c r="T105" s="149">
        <f t="shared" si="21"/>
        <v>0</v>
      </c>
      <c r="U105" s="212">
        <f t="shared" si="17"/>
        <v>3868</v>
      </c>
      <c r="V105" s="435">
        <f>VLOOKUP(C105,'Chấm công KT'!$D$95:$AK$156,34,0)</f>
        <v>27</v>
      </c>
      <c r="W105" s="435">
        <f>VLOOKUP(C105,'Chấm công KT'!$D$95:$AL$156,35,0)</f>
        <v>1</v>
      </c>
      <c r="X105" s="435">
        <f>VLOOKUP(C105,'Chấm công KT'!D104:AM156,36,0)</f>
        <v>0</v>
      </c>
      <c r="Y105" s="435">
        <f>VLOOKUP(C105,'Chấm công KT'!D104:AN165,37,0)</f>
        <v>3</v>
      </c>
      <c r="Z105" s="485"/>
      <c r="AA105" s="485"/>
      <c r="AB105" s="160"/>
      <c r="AC105" s="156">
        <f t="shared" si="18"/>
        <v>8</v>
      </c>
      <c r="AD105" s="92">
        <f>VLOOKUP(C105,'SẢN LƯỢNG'!$D$17:$AR$160,37,0)</f>
        <v>3684</v>
      </c>
      <c r="AE105" s="157"/>
      <c r="AF105" s="77"/>
    </row>
    <row r="106" spans="1:41" ht="18.75" customHeight="1">
      <c r="A106" s="147">
        <v>11</v>
      </c>
      <c r="B106" s="208" t="str">
        <f>'Chấm công KT'!C105</f>
        <v>03598</v>
      </c>
      <c r="C106" s="157" t="str">
        <f>'Chấm công KT'!D105</f>
        <v>N . Thích</v>
      </c>
      <c r="D106" s="147" t="s">
        <v>26</v>
      </c>
      <c r="E106" s="218">
        <f t="shared" si="19"/>
        <v>8</v>
      </c>
      <c r="F106" s="218"/>
      <c r="G106" s="218"/>
      <c r="H106" s="218"/>
      <c r="I106" s="218"/>
      <c r="J106" s="209"/>
      <c r="K106" s="159"/>
      <c r="L106" s="159"/>
      <c r="M106" s="95"/>
      <c r="N106" s="91"/>
      <c r="O106" s="173"/>
      <c r="P106" s="148"/>
      <c r="Q106" s="155">
        <f t="shared" si="20"/>
        <v>8</v>
      </c>
      <c r="R106" s="150">
        <f>VLOOKUP(C106,'SẢN LƯỢNG'!$D$99:$AK$160,34,0)</f>
        <v>3755</v>
      </c>
      <c r="S106" s="158"/>
      <c r="T106" s="149">
        <f t="shared" si="21"/>
        <v>0</v>
      </c>
      <c r="U106" s="212">
        <f t="shared" si="17"/>
        <v>3755</v>
      </c>
      <c r="V106" s="435">
        <f>VLOOKUP(C106,'Chấm công KT'!$D$95:$AK$156,34,0)</f>
        <v>27</v>
      </c>
      <c r="W106" s="435">
        <f>VLOOKUP(C106,'Chấm công KT'!$D$95:$AL$156,35,0)</f>
        <v>1</v>
      </c>
      <c r="X106" s="435">
        <f>VLOOKUP(C106,'Chấm công KT'!D105:AM156,36,0)</f>
        <v>0</v>
      </c>
      <c r="Y106" s="435">
        <f>VLOOKUP(C106,'Chấm công KT'!D105:AN166,37,0)</f>
        <v>3</v>
      </c>
      <c r="Z106" s="485"/>
      <c r="AA106" s="485"/>
      <c r="AB106" s="160"/>
      <c r="AC106" s="156">
        <f t="shared" si="18"/>
        <v>8</v>
      </c>
      <c r="AD106" s="92">
        <f>VLOOKUP(C106,'SẢN LƯỢNG'!$D$17:$AR$160,37,0)</f>
        <v>3611</v>
      </c>
      <c r="AE106" s="157"/>
      <c r="AF106" s="77"/>
    </row>
    <row r="107" spans="1:41" ht="18.75" customHeight="1">
      <c r="A107" s="147">
        <v>12</v>
      </c>
      <c r="B107" s="208" t="str">
        <f>'Chấm công KT'!C106</f>
        <v>03599</v>
      </c>
      <c r="C107" s="157" t="str">
        <f>'Chấm công KT'!D106</f>
        <v>N. Cong Mi</v>
      </c>
      <c r="D107" s="147" t="s">
        <v>26</v>
      </c>
      <c r="E107" s="218">
        <f t="shared" si="19"/>
        <v>8</v>
      </c>
      <c r="F107" s="218"/>
      <c r="G107" s="218"/>
      <c r="H107" s="218"/>
      <c r="I107" s="218"/>
      <c r="J107" s="209"/>
      <c r="K107" s="159"/>
      <c r="L107" s="159"/>
      <c r="M107" s="95"/>
      <c r="N107" s="91"/>
      <c r="O107" s="173"/>
      <c r="P107" s="148"/>
      <c r="Q107" s="155">
        <f t="shared" si="20"/>
        <v>8</v>
      </c>
      <c r="R107" s="150">
        <f>VLOOKUP(C107,'SẢN LƯỢNG'!$D$99:$AK$160,34,0)</f>
        <v>2704</v>
      </c>
      <c r="S107" s="158"/>
      <c r="T107" s="149">
        <f t="shared" si="21"/>
        <v>0</v>
      </c>
      <c r="U107" s="212">
        <f t="shared" si="17"/>
        <v>2704</v>
      </c>
      <c r="V107" s="435">
        <f>VLOOKUP(C107,'Chấm công KT'!$D$95:$AK$156,34,0)</f>
        <v>27</v>
      </c>
      <c r="W107" s="435">
        <f>VLOOKUP(C107,'Chấm công KT'!$D$95:$AL$156,35,0)</f>
        <v>0</v>
      </c>
      <c r="X107" s="435">
        <f>VLOOKUP(C107,'Chấm công KT'!D106:AM156,36,0)</f>
        <v>0</v>
      </c>
      <c r="Y107" s="435">
        <f>VLOOKUP(C107,'Chấm công KT'!D106:AN167,37,0)</f>
        <v>3</v>
      </c>
      <c r="Z107" s="485"/>
      <c r="AA107" s="485"/>
      <c r="AB107" s="160"/>
      <c r="AC107" s="156">
        <f t="shared" si="18"/>
        <v>8</v>
      </c>
      <c r="AD107" s="92">
        <f>VLOOKUP(C107,'SẢN LƯỢNG'!$D$17:$AR$160,37,0)</f>
        <v>3380</v>
      </c>
      <c r="AE107" s="157"/>
      <c r="AF107" s="77"/>
    </row>
    <row r="108" spans="1:41" ht="18.75" customHeight="1">
      <c r="A108" s="147">
        <v>13</v>
      </c>
      <c r="B108" s="208" t="str">
        <f>'Chấm công KT'!C107</f>
        <v>04074</v>
      </c>
      <c r="C108" s="157" t="str">
        <f>'Chấm công KT'!D107</f>
        <v>T. Na</v>
      </c>
      <c r="D108" s="147" t="s">
        <v>26</v>
      </c>
      <c r="E108" s="218">
        <f t="shared" si="19"/>
        <v>8</v>
      </c>
      <c r="F108" s="218"/>
      <c r="G108" s="218"/>
      <c r="H108" s="218"/>
      <c r="I108" s="218"/>
      <c r="J108" s="209"/>
      <c r="K108" s="159"/>
      <c r="L108" s="159"/>
      <c r="M108" s="95"/>
      <c r="N108" s="91"/>
      <c r="O108" s="173"/>
      <c r="P108" s="148"/>
      <c r="Q108" s="155">
        <f t="shared" si="20"/>
        <v>8</v>
      </c>
      <c r="R108" s="150">
        <f>VLOOKUP(C108,'SẢN LƯỢNG'!$D$99:$AK$160,34,0)</f>
        <v>1763</v>
      </c>
      <c r="S108" s="158"/>
      <c r="T108" s="149">
        <f t="shared" si="21"/>
        <v>0</v>
      </c>
      <c r="U108" s="212">
        <f t="shared" si="17"/>
        <v>1763</v>
      </c>
      <c r="V108" s="435">
        <f>VLOOKUP(C108,'Chấm công KT'!$D$95:$AK$156,34,0)</f>
        <v>21</v>
      </c>
      <c r="W108" s="435">
        <f>VLOOKUP(C108,'Chấm công KT'!$D$95:$AL$156,35,0)</f>
        <v>0</v>
      </c>
      <c r="X108" s="435">
        <f>VLOOKUP(C108,'Chấm công KT'!D107:AM156,36,0)</f>
        <v>0</v>
      </c>
      <c r="Y108" s="435">
        <f>VLOOKUP(C108,'Chấm công KT'!D107:AN168,37,0)</f>
        <v>0</v>
      </c>
      <c r="Z108" s="485"/>
      <c r="AA108" s="485"/>
      <c r="AB108" s="160"/>
      <c r="AC108" s="156">
        <f t="shared" si="18"/>
        <v>8</v>
      </c>
      <c r="AD108" s="92">
        <f>VLOOKUP(C108,'SẢN LƯỢNG'!$D$17:$AR$160,37,0)</f>
        <v>3343</v>
      </c>
      <c r="AE108" s="157"/>
      <c r="AF108" s="77"/>
    </row>
    <row r="109" spans="1:41" ht="18.75" customHeight="1">
      <c r="A109" s="147">
        <v>14</v>
      </c>
      <c r="B109" s="208" t="str">
        <f>'Chấm công KT'!C108</f>
        <v>03601</v>
      </c>
      <c r="C109" s="157" t="str">
        <f>'Chấm công KT'!D108</f>
        <v>T. Khăm Mặn</v>
      </c>
      <c r="D109" s="147" t="s">
        <v>26</v>
      </c>
      <c r="E109" s="218">
        <f t="shared" si="19"/>
        <v>8</v>
      </c>
      <c r="F109" s="218"/>
      <c r="G109" s="218"/>
      <c r="H109" s="218"/>
      <c r="I109" s="218"/>
      <c r="J109" s="209"/>
      <c r="K109" s="159"/>
      <c r="L109" s="159"/>
      <c r="M109" s="209"/>
      <c r="N109" s="154"/>
      <c r="O109" s="225"/>
      <c r="P109" s="148"/>
      <c r="Q109" s="155">
        <f t="shared" si="20"/>
        <v>8</v>
      </c>
      <c r="R109" s="150">
        <f>VLOOKUP(C109,'SẢN LƯỢNG'!$D$99:$AK$160,34,0)</f>
        <v>5322</v>
      </c>
      <c r="S109" s="158"/>
      <c r="T109" s="149">
        <f t="shared" si="21"/>
        <v>0</v>
      </c>
      <c r="U109" s="212">
        <f t="shared" si="17"/>
        <v>5322</v>
      </c>
      <c r="V109" s="435">
        <f>VLOOKUP(C109,'Chấm công KT'!$D$95:$AK$156,34,0)</f>
        <v>27</v>
      </c>
      <c r="W109" s="435">
        <f>VLOOKUP(C109,'Chấm công KT'!$D$95:$AL$156,35,0)</f>
        <v>1</v>
      </c>
      <c r="X109" s="435">
        <f>VLOOKUP(C109,'Chấm công KT'!D108:AM156,36,0)</f>
        <v>0</v>
      </c>
      <c r="Y109" s="435">
        <f>VLOOKUP(C109,'Chấm công KT'!D108:AN169,37,0)</f>
        <v>3</v>
      </c>
      <c r="Z109" s="485"/>
      <c r="AA109" s="485"/>
      <c r="AB109" s="160"/>
      <c r="AC109" s="156">
        <f t="shared" si="18"/>
        <v>8</v>
      </c>
      <c r="AD109" s="92">
        <f>VLOOKUP(C109,'SẢN LƯỢNG'!$D$17:$AR$160,37,0)</f>
        <v>5122</v>
      </c>
      <c r="AE109" s="157"/>
      <c r="AF109" s="77"/>
      <c r="AG109" s="57"/>
    </row>
    <row r="110" spans="1:41" ht="18.75" customHeight="1">
      <c r="A110" s="147">
        <v>15</v>
      </c>
      <c r="B110" s="208" t="str">
        <f>'Chấm công KT'!C109</f>
        <v>03602</v>
      </c>
      <c r="C110" s="157" t="str">
        <f>'Chấm công KT'!D109</f>
        <v>T . In Tong</v>
      </c>
      <c r="D110" s="147" t="s">
        <v>26</v>
      </c>
      <c r="E110" s="218">
        <f t="shared" si="19"/>
        <v>8</v>
      </c>
      <c r="F110" s="218"/>
      <c r="G110" s="218"/>
      <c r="H110" s="218"/>
      <c r="I110" s="218"/>
      <c r="J110" s="209"/>
      <c r="K110" s="159"/>
      <c r="L110" s="159"/>
      <c r="M110" s="95"/>
      <c r="N110" s="91"/>
      <c r="O110" s="173"/>
      <c r="P110" s="148"/>
      <c r="Q110" s="155">
        <f t="shared" si="20"/>
        <v>8</v>
      </c>
      <c r="R110" s="150">
        <f>VLOOKUP(C110,'SẢN LƯỢNG'!$D$99:$AK$160,34,0)</f>
        <v>4106</v>
      </c>
      <c r="S110" s="158"/>
      <c r="T110" s="149">
        <f t="shared" si="21"/>
        <v>0</v>
      </c>
      <c r="U110" s="212">
        <f t="shared" si="17"/>
        <v>4106</v>
      </c>
      <c r="V110" s="435">
        <f>VLOOKUP(C110,'Chấm công KT'!$D$95:$AK$156,34,0)</f>
        <v>27</v>
      </c>
      <c r="W110" s="435">
        <f>VLOOKUP(C110,'Chấm công KT'!$D$95:$AL$156,35,0)</f>
        <v>1</v>
      </c>
      <c r="X110" s="435">
        <f>VLOOKUP(C110,'Chấm công KT'!D109:AM156,36,0)</f>
        <v>0</v>
      </c>
      <c r="Y110" s="435">
        <f>VLOOKUP(C110,'Chấm công KT'!D109:AN170,37,0)</f>
        <v>3</v>
      </c>
      <c r="Z110" s="485"/>
      <c r="AA110" s="485"/>
      <c r="AB110" s="160"/>
      <c r="AC110" s="156">
        <f t="shared" si="18"/>
        <v>8</v>
      </c>
      <c r="AD110" s="92">
        <f>VLOOKUP(C110,'SẢN LƯỢNG'!$D$17:$AR$160,37,0)</f>
        <v>3751</v>
      </c>
      <c r="AE110" s="157"/>
      <c r="AF110" s="77"/>
    </row>
    <row r="111" spans="1:41" ht="18.75" customHeight="1">
      <c r="A111" s="147">
        <v>16</v>
      </c>
      <c r="B111" s="208" t="str">
        <f>'Chấm công KT'!C110</f>
        <v>03496</v>
      </c>
      <c r="C111" s="157" t="str">
        <f>'Chấm công KT'!D110</f>
        <v>T. Lốp</v>
      </c>
      <c r="D111" s="147" t="s">
        <v>26</v>
      </c>
      <c r="E111" s="218">
        <f t="shared" si="19"/>
        <v>8</v>
      </c>
      <c r="F111" s="218"/>
      <c r="G111" s="218"/>
      <c r="H111" s="218"/>
      <c r="I111" s="218"/>
      <c r="J111" s="209"/>
      <c r="K111" s="159"/>
      <c r="L111" s="159"/>
      <c r="M111" s="95"/>
      <c r="N111" s="91"/>
      <c r="O111" s="173"/>
      <c r="P111" s="148"/>
      <c r="Q111" s="155">
        <f t="shared" si="20"/>
        <v>8</v>
      </c>
      <c r="R111" s="150">
        <f>VLOOKUP(C111,'SẢN LƯỢNG'!$D$99:$AK$160,34,0)</f>
        <v>3593</v>
      </c>
      <c r="S111" s="158"/>
      <c r="T111" s="149">
        <f t="shared" si="21"/>
        <v>0</v>
      </c>
      <c r="U111" s="212">
        <f t="shared" si="17"/>
        <v>3593</v>
      </c>
      <c r="V111" s="435">
        <f>VLOOKUP(C111,'Chấm công KT'!$D$95:$AK$156,34,0)</f>
        <v>27</v>
      </c>
      <c r="W111" s="435">
        <f>VLOOKUP(C111,'Chấm công KT'!$D$95:$AL$156,35,0)</f>
        <v>1</v>
      </c>
      <c r="X111" s="435">
        <f>VLOOKUP(C111,'Chấm công KT'!D110:AM156,36,0)</f>
        <v>0</v>
      </c>
      <c r="Y111" s="435">
        <f>VLOOKUP(C111,'Chấm công KT'!D110:AN171,37,0)</f>
        <v>3</v>
      </c>
      <c r="Z111" s="485"/>
      <c r="AA111" s="485"/>
      <c r="AB111" s="160"/>
      <c r="AC111" s="156">
        <f t="shared" si="18"/>
        <v>8</v>
      </c>
      <c r="AD111" s="92">
        <f>VLOOKUP(C111,'SẢN LƯỢNG'!$D$17:$AR$160,37,0)</f>
        <v>5104</v>
      </c>
      <c r="AE111" s="157"/>
      <c r="AF111" s="77"/>
    </row>
    <row r="112" spans="1:41" ht="18.75" customHeight="1">
      <c r="A112" s="147">
        <v>17</v>
      </c>
      <c r="B112" s="208" t="str">
        <f>'Chấm công KT'!C111</f>
        <v>03604</v>
      </c>
      <c r="C112" s="157" t="str">
        <f>'Chấm công KT'!D111</f>
        <v>T. Lăm Phêng</v>
      </c>
      <c r="D112" s="147" t="s">
        <v>26</v>
      </c>
      <c r="E112" s="218">
        <f t="shared" si="19"/>
        <v>8</v>
      </c>
      <c r="F112" s="218"/>
      <c r="G112" s="218"/>
      <c r="H112" s="218"/>
      <c r="I112" s="218"/>
      <c r="J112" s="209"/>
      <c r="K112" s="159"/>
      <c r="L112" s="159"/>
      <c r="M112" s="209"/>
      <c r="N112" s="154"/>
      <c r="O112" s="225"/>
      <c r="P112" s="148"/>
      <c r="Q112" s="155">
        <f t="shared" si="20"/>
        <v>8</v>
      </c>
      <c r="R112" s="150">
        <f>VLOOKUP(C112,'SẢN LƯỢNG'!$D$99:$AK$160,34,0)</f>
        <v>6230</v>
      </c>
      <c r="S112" s="158"/>
      <c r="T112" s="149">
        <f t="shared" si="21"/>
        <v>0</v>
      </c>
      <c r="U112" s="212">
        <f t="shared" si="17"/>
        <v>6230</v>
      </c>
      <c r="V112" s="435">
        <f>VLOOKUP(C112,'Chấm công KT'!$D$95:$AK$156,34,0)</f>
        <v>27</v>
      </c>
      <c r="W112" s="435">
        <f>VLOOKUP(C112,'Chấm công KT'!$D$95:$AL$156,35,0)</f>
        <v>2</v>
      </c>
      <c r="X112" s="435">
        <f>VLOOKUP(C112,'Chấm công KT'!D111:AM156,36,0)</f>
        <v>0</v>
      </c>
      <c r="Y112" s="435">
        <f>VLOOKUP(C112,'Chấm công KT'!D111:AN172,37,0)</f>
        <v>2</v>
      </c>
      <c r="Z112" s="485"/>
      <c r="AA112" s="485"/>
      <c r="AB112" s="160"/>
      <c r="AC112" s="156">
        <f t="shared" si="18"/>
        <v>8</v>
      </c>
      <c r="AD112" s="92">
        <f>VLOOKUP(C112,'SẢN LƯỢNG'!$D$17:$AR$160,37,0)</f>
        <v>5990</v>
      </c>
      <c r="AE112" s="157"/>
      <c r="AF112" s="77"/>
    </row>
    <row r="113" spans="1:32" ht="18.75" customHeight="1">
      <c r="A113" s="147">
        <v>18</v>
      </c>
      <c r="B113" s="208" t="str">
        <f>'Chấm công KT'!C112</f>
        <v>04075</v>
      </c>
      <c r="C113" s="157" t="str">
        <f>'Chấm công KT'!D112</f>
        <v>T Xèng</v>
      </c>
      <c r="D113" s="147" t="s">
        <v>26</v>
      </c>
      <c r="E113" s="218">
        <f t="shared" si="19"/>
        <v>8</v>
      </c>
      <c r="F113" s="218"/>
      <c r="G113" s="218"/>
      <c r="H113" s="218"/>
      <c r="I113" s="218"/>
      <c r="J113" s="209"/>
      <c r="K113" s="159"/>
      <c r="L113" s="159"/>
      <c r="M113" s="209"/>
      <c r="N113" s="154"/>
      <c r="O113" s="225"/>
      <c r="P113" s="148"/>
      <c r="Q113" s="155">
        <f t="shared" si="20"/>
        <v>8</v>
      </c>
      <c r="R113" s="150">
        <f>VLOOKUP(C113,'SẢN LƯỢNG'!$D$99:$AK$160,34,0)</f>
        <v>4370</v>
      </c>
      <c r="S113" s="158"/>
      <c r="T113" s="149">
        <f t="shared" si="21"/>
        <v>0</v>
      </c>
      <c r="U113" s="212">
        <f t="shared" si="17"/>
        <v>4370</v>
      </c>
      <c r="V113" s="435">
        <f>VLOOKUP(C113,'Chấm công KT'!$D$95:$AK$156,34,0)</f>
        <v>27</v>
      </c>
      <c r="W113" s="435">
        <f>VLOOKUP(C113,'Chấm công KT'!$D$95:$AL$156,35,0)</f>
        <v>1</v>
      </c>
      <c r="X113" s="435">
        <f>VLOOKUP(C113,'Chấm công KT'!D112:AM156,36,0)</f>
        <v>0</v>
      </c>
      <c r="Y113" s="435">
        <f>VLOOKUP(C113,'Chấm công KT'!D112:AN173,37,0)</f>
        <v>3</v>
      </c>
      <c r="Z113" s="485"/>
      <c r="AA113" s="485"/>
      <c r="AB113" s="160"/>
      <c r="AC113" s="156">
        <f t="shared" si="18"/>
        <v>8</v>
      </c>
      <c r="AD113" s="92">
        <f>VLOOKUP(C113,'SẢN LƯỢNG'!$D$17:$AR$160,37,0)</f>
        <v>4489</v>
      </c>
      <c r="AE113" s="157"/>
      <c r="AF113" s="77"/>
    </row>
    <row r="114" spans="1:32" ht="18.75" customHeight="1">
      <c r="A114" s="147">
        <v>19</v>
      </c>
      <c r="B114" s="208" t="str">
        <f>'Chấm công KT'!C113</f>
        <v>03509</v>
      </c>
      <c r="C114" s="157" t="str">
        <f>'Chấm công KT'!D113</f>
        <v>T. May</v>
      </c>
      <c r="D114" s="147" t="s">
        <v>26</v>
      </c>
      <c r="E114" s="218">
        <f t="shared" si="19"/>
        <v>8</v>
      </c>
      <c r="F114" s="218"/>
      <c r="G114" s="218"/>
      <c r="H114" s="218"/>
      <c r="I114" s="218"/>
      <c r="J114" s="209"/>
      <c r="K114" s="159"/>
      <c r="L114" s="159"/>
      <c r="M114" s="95"/>
      <c r="N114" s="91"/>
      <c r="O114" s="173"/>
      <c r="P114" s="148"/>
      <c r="Q114" s="155">
        <f t="shared" si="20"/>
        <v>8</v>
      </c>
      <c r="R114" s="150">
        <f>VLOOKUP(C114,'SẢN LƯỢNG'!$D$99:$AK$160,34,0)</f>
        <v>3980</v>
      </c>
      <c r="S114" s="158"/>
      <c r="T114" s="149">
        <f t="shared" si="21"/>
        <v>0</v>
      </c>
      <c r="U114" s="212">
        <f t="shared" si="17"/>
        <v>3980</v>
      </c>
      <c r="V114" s="435">
        <f>VLOOKUP(C114,'Chấm công KT'!$D$95:$AK$156,34,0)</f>
        <v>26</v>
      </c>
      <c r="W114" s="435">
        <f>VLOOKUP(C114,'Chấm công KT'!$D$95:$AL$156,35,0)</f>
        <v>1</v>
      </c>
      <c r="X114" s="435">
        <f>VLOOKUP(C114,'Chấm công KT'!D113:AM156,36,0)</f>
        <v>0</v>
      </c>
      <c r="Y114" s="435">
        <f>VLOOKUP(C114,'Chấm công KT'!D113:AN174,37,0)</f>
        <v>3</v>
      </c>
      <c r="Z114" s="485"/>
      <c r="AA114" s="485"/>
      <c r="AB114" s="160"/>
      <c r="AC114" s="156">
        <f t="shared" si="18"/>
        <v>8</v>
      </c>
      <c r="AD114" s="92">
        <f>VLOOKUP(C114,'SẢN LƯỢNG'!$D$17:$AR$160,37,0)</f>
        <v>4071</v>
      </c>
      <c r="AE114" s="157"/>
      <c r="AF114" s="77"/>
    </row>
    <row r="115" spans="1:32" ht="18.75" customHeight="1">
      <c r="A115" s="147">
        <v>20</v>
      </c>
      <c r="B115" s="208" t="str">
        <f>'Chấm công KT'!C114</f>
        <v>03607</v>
      </c>
      <c r="C115" s="157" t="str">
        <f>'Chấm công KT'!D114</f>
        <v>T. Huôn</v>
      </c>
      <c r="D115" s="147" t="s">
        <v>26</v>
      </c>
      <c r="E115" s="218">
        <f t="shared" si="19"/>
        <v>8</v>
      </c>
      <c r="F115" s="218"/>
      <c r="G115" s="218"/>
      <c r="H115" s="218"/>
      <c r="I115" s="218"/>
      <c r="J115" s="209"/>
      <c r="K115" s="159"/>
      <c r="L115" s="159"/>
      <c r="M115" s="95"/>
      <c r="N115" s="91"/>
      <c r="O115" s="173"/>
      <c r="P115" s="148"/>
      <c r="Q115" s="155">
        <f t="shared" si="20"/>
        <v>8</v>
      </c>
      <c r="R115" s="150">
        <f>VLOOKUP(C115,'SẢN LƯỢNG'!$D$99:$AK$160,34,0)</f>
        <v>2789</v>
      </c>
      <c r="S115" s="158"/>
      <c r="T115" s="149">
        <f t="shared" si="21"/>
        <v>0</v>
      </c>
      <c r="U115" s="212">
        <f t="shared" si="17"/>
        <v>2789</v>
      </c>
      <c r="V115" s="435">
        <f>VLOOKUP(C115,'Chấm công KT'!$D$95:$AK$156,34,0)</f>
        <v>25</v>
      </c>
      <c r="W115" s="435">
        <f>VLOOKUP(C115,'Chấm công KT'!$D$95:$AL$156,35,0)</f>
        <v>1</v>
      </c>
      <c r="X115" s="435">
        <f>VLOOKUP(C115,'Chấm công KT'!D114:AM156,36,0)</f>
        <v>0</v>
      </c>
      <c r="Y115" s="435">
        <f>VLOOKUP(C115,'Chấm công KT'!D114:AN175,37,0)</f>
        <v>3</v>
      </c>
      <c r="Z115" s="485"/>
      <c r="AA115" s="485"/>
      <c r="AB115" s="160"/>
      <c r="AC115" s="156">
        <f t="shared" si="18"/>
        <v>8</v>
      </c>
      <c r="AD115" s="92">
        <f>VLOOKUP(C115,'SẢN LƯỢNG'!$D$17:$AR$160,37,0)</f>
        <v>3307</v>
      </c>
      <c r="AE115" s="157"/>
      <c r="AF115" s="77"/>
    </row>
    <row r="116" spans="1:32" ht="18.75" customHeight="1">
      <c r="A116" s="147">
        <v>21</v>
      </c>
      <c r="B116" s="208" t="str">
        <f>'Chấm công KT'!C115</f>
        <v>02729</v>
      </c>
      <c r="C116" s="157" t="str">
        <f>'Chấm công KT'!D115</f>
        <v>N. Lay</v>
      </c>
      <c r="D116" s="147" t="s">
        <v>26</v>
      </c>
      <c r="E116" s="218">
        <f t="shared" si="19"/>
        <v>8</v>
      </c>
      <c r="F116" s="218"/>
      <c r="G116" s="218"/>
      <c r="H116" s="218"/>
      <c r="I116" s="218"/>
      <c r="J116" s="209"/>
      <c r="K116" s="159"/>
      <c r="L116" s="159"/>
      <c r="M116" s="209"/>
      <c r="N116" s="154"/>
      <c r="O116" s="225"/>
      <c r="P116" s="148"/>
      <c r="Q116" s="155">
        <f t="shared" si="20"/>
        <v>8</v>
      </c>
      <c r="R116" s="150">
        <f>VLOOKUP(C116,'SẢN LƯỢNG'!$D$99:$AK$160,34,0)</f>
        <v>2775</v>
      </c>
      <c r="S116" s="158"/>
      <c r="T116" s="149">
        <f t="shared" si="21"/>
        <v>0</v>
      </c>
      <c r="U116" s="212">
        <f t="shared" si="17"/>
        <v>2775</v>
      </c>
      <c r="V116" s="435">
        <f>VLOOKUP(C116,'Chấm công KT'!$D$95:$AK$156,34,0)</f>
        <v>25</v>
      </c>
      <c r="W116" s="435">
        <f>VLOOKUP(C116,'Chấm công KT'!$D$95:$AL$156,35,0)</f>
        <v>1</v>
      </c>
      <c r="X116" s="435">
        <f>VLOOKUP(C116,'Chấm công KT'!D115:AM156,36,0)</f>
        <v>0</v>
      </c>
      <c r="Y116" s="435">
        <f>VLOOKUP(C116,'Chấm công KT'!D115:AN176,37,0)</f>
        <v>3</v>
      </c>
      <c r="Z116" s="485"/>
      <c r="AA116" s="485"/>
      <c r="AB116" s="160"/>
      <c r="AC116" s="156">
        <f t="shared" si="18"/>
        <v>8</v>
      </c>
      <c r="AD116" s="92">
        <f>VLOOKUP(C116,'SẢN LƯỢNG'!$D$17:$AR$160,37,0)</f>
        <v>3221</v>
      </c>
      <c r="AE116" s="157"/>
      <c r="AF116" s="77"/>
    </row>
    <row r="117" spans="1:32" ht="18.75" customHeight="1">
      <c r="A117" s="147">
        <v>22</v>
      </c>
      <c r="B117" s="208" t="str">
        <f>'Chấm công KT'!C116</f>
        <v>03608</v>
      </c>
      <c r="C117" s="157" t="str">
        <f>'Chấm công KT'!D116</f>
        <v>N. Pon</v>
      </c>
      <c r="D117" s="147" t="s">
        <v>26</v>
      </c>
      <c r="E117" s="218">
        <f t="shared" si="19"/>
        <v>8</v>
      </c>
      <c r="F117" s="218"/>
      <c r="G117" s="218"/>
      <c r="H117" s="218"/>
      <c r="I117" s="218"/>
      <c r="J117" s="209"/>
      <c r="K117" s="159"/>
      <c r="L117" s="159"/>
      <c r="M117" s="95"/>
      <c r="N117" s="91"/>
      <c r="O117" s="173"/>
      <c r="P117" s="148"/>
      <c r="Q117" s="155">
        <f t="shared" si="20"/>
        <v>8</v>
      </c>
      <c r="R117" s="150">
        <f>VLOOKUP(C117,'SẢN LƯỢNG'!$D$99:$AK$160,34,0)</f>
        <v>3557</v>
      </c>
      <c r="S117" s="158"/>
      <c r="T117" s="149">
        <f t="shared" si="21"/>
        <v>0</v>
      </c>
      <c r="U117" s="212">
        <f t="shared" si="17"/>
        <v>3557</v>
      </c>
      <c r="V117" s="435">
        <f>VLOOKUP(C117,'Chấm công KT'!$D$95:$AK$156,34,0)</f>
        <v>25</v>
      </c>
      <c r="W117" s="435">
        <f>VLOOKUP(C117,'Chấm công KT'!$D$95:$AL$156,35,0)</f>
        <v>1</v>
      </c>
      <c r="X117" s="435">
        <f>VLOOKUP(C117,'Chấm công KT'!D116:AM156,36,0)</f>
        <v>0</v>
      </c>
      <c r="Y117" s="435">
        <f>VLOOKUP(C117,'Chấm công KT'!D116:AN177,37,0)</f>
        <v>3</v>
      </c>
      <c r="Z117" s="485"/>
      <c r="AA117" s="485"/>
      <c r="AB117" s="160"/>
      <c r="AC117" s="156">
        <f t="shared" si="18"/>
        <v>8</v>
      </c>
      <c r="AD117" s="92">
        <f>VLOOKUP(C117,'SẢN LƯỢNG'!$D$17:$AR$160,37,0)</f>
        <v>4600</v>
      </c>
      <c r="AE117" s="157"/>
      <c r="AF117" s="77"/>
    </row>
    <row r="118" spans="1:32" ht="18.75" customHeight="1">
      <c r="A118" s="147">
        <v>23</v>
      </c>
      <c r="B118" s="208" t="str">
        <f>'Chấm công KT'!C117</f>
        <v>03609</v>
      </c>
      <c r="C118" s="157" t="str">
        <f>'Chấm công KT'!D117</f>
        <v>N. Bun Đi</v>
      </c>
      <c r="D118" s="147" t="s">
        <v>26</v>
      </c>
      <c r="E118" s="218">
        <f t="shared" si="19"/>
        <v>8</v>
      </c>
      <c r="F118" s="218"/>
      <c r="G118" s="218"/>
      <c r="H118" s="218"/>
      <c r="I118" s="218"/>
      <c r="J118" s="209"/>
      <c r="K118" s="159"/>
      <c r="L118" s="159"/>
      <c r="M118" s="95"/>
      <c r="N118" s="91"/>
      <c r="O118" s="173"/>
      <c r="P118" s="148"/>
      <c r="Q118" s="155">
        <f t="shared" si="20"/>
        <v>8</v>
      </c>
      <c r="R118" s="150">
        <f>VLOOKUP(C118,'SẢN LƯỢNG'!$D$99:$AK$160,34,0)</f>
        <v>3436</v>
      </c>
      <c r="S118" s="158"/>
      <c r="T118" s="149">
        <f t="shared" si="21"/>
        <v>0</v>
      </c>
      <c r="U118" s="212">
        <f t="shared" si="17"/>
        <v>3436</v>
      </c>
      <c r="V118" s="435">
        <f>VLOOKUP(C118,'Chấm công KT'!$D$95:$AK$156,34,0)</f>
        <v>27</v>
      </c>
      <c r="W118" s="435">
        <f>VLOOKUP(C118,'Chấm công KT'!$D$95:$AL$156,35,0)</f>
        <v>1</v>
      </c>
      <c r="X118" s="435">
        <f>VLOOKUP(C118,'Chấm công KT'!D117:AM156,36,0)</f>
        <v>0</v>
      </c>
      <c r="Y118" s="435">
        <f>VLOOKUP(C118,'Chấm công KT'!D117:AN178,37,0)</f>
        <v>3</v>
      </c>
      <c r="Z118" s="485"/>
      <c r="AA118" s="485"/>
      <c r="AB118" s="160"/>
      <c r="AC118" s="156">
        <f t="shared" si="18"/>
        <v>8</v>
      </c>
      <c r="AD118" s="92">
        <f>VLOOKUP(C118,'SẢN LƯỢNG'!$D$17:$AR$160,37,0)</f>
        <v>3770</v>
      </c>
      <c r="AE118" s="157"/>
      <c r="AF118" s="77"/>
    </row>
    <row r="119" spans="1:32" ht="18.75" customHeight="1">
      <c r="A119" s="147">
        <v>24</v>
      </c>
      <c r="B119" s="208" t="str">
        <f>'Chấm công KT'!C118</f>
        <v>03610</v>
      </c>
      <c r="C119" s="157" t="str">
        <f>'Chấm công KT'!D118</f>
        <v>N. Phon</v>
      </c>
      <c r="D119" s="147" t="s">
        <v>26</v>
      </c>
      <c r="E119" s="218">
        <f t="shared" si="19"/>
        <v>8</v>
      </c>
      <c r="F119" s="218"/>
      <c r="G119" s="218"/>
      <c r="H119" s="218"/>
      <c r="I119" s="218"/>
      <c r="J119" s="209"/>
      <c r="K119" s="159"/>
      <c r="L119" s="159"/>
      <c r="M119" s="95"/>
      <c r="N119" s="91"/>
      <c r="O119" s="173"/>
      <c r="P119" s="148"/>
      <c r="Q119" s="155">
        <f t="shared" si="20"/>
        <v>8</v>
      </c>
      <c r="R119" s="150">
        <f>VLOOKUP(C119,'SẢN LƯỢNG'!$D$99:$AK$160,34,0)</f>
        <v>3600</v>
      </c>
      <c r="S119" s="158"/>
      <c r="T119" s="149">
        <f t="shared" si="21"/>
        <v>0</v>
      </c>
      <c r="U119" s="212">
        <f t="shared" si="17"/>
        <v>3600</v>
      </c>
      <c r="V119" s="435">
        <f>VLOOKUP(C119,'Chấm công KT'!$D$95:$AK$156,34,0)</f>
        <v>27</v>
      </c>
      <c r="W119" s="435">
        <f>VLOOKUP(C119,'Chấm công KT'!$D$95:$AL$156,35,0)</f>
        <v>1</v>
      </c>
      <c r="X119" s="435">
        <f>VLOOKUP(C119,'Chấm công KT'!D118:AM156,36,0)</f>
        <v>0</v>
      </c>
      <c r="Y119" s="435">
        <f>VLOOKUP(C119,'Chấm công KT'!D118:AN179,37,0)</f>
        <v>3</v>
      </c>
      <c r="Z119" s="485"/>
      <c r="AA119" s="485"/>
      <c r="AB119" s="160"/>
      <c r="AC119" s="156">
        <f t="shared" si="18"/>
        <v>8</v>
      </c>
      <c r="AD119" s="92">
        <f>VLOOKUP(C119,'SẢN LƯỢNG'!$D$17:$AR$160,37,0)</f>
        <v>3706</v>
      </c>
      <c r="AE119" s="157"/>
      <c r="AF119" s="77"/>
    </row>
    <row r="120" spans="1:32" ht="18.75" customHeight="1">
      <c r="A120" s="147">
        <v>25</v>
      </c>
      <c r="B120" s="208" t="str">
        <f>'Chấm công KT'!C119</f>
        <v>04076</v>
      </c>
      <c r="C120" s="157" t="str">
        <f>'Chấm công KT'!D119</f>
        <v xml:space="preserve">N. Bun </v>
      </c>
      <c r="D120" s="147" t="s">
        <v>26</v>
      </c>
      <c r="E120" s="218">
        <f t="shared" si="19"/>
        <v>8</v>
      </c>
      <c r="F120" s="218"/>
      <c r="G120" s="218"/>
      <c r="H120" s="218"/>
      <c r="I120" s="218"/>
      <c r="J120" s="209"/>
      <c r="K120" s="159"/>
      <c r="L120" s="159"/>
      <c r="M120" s="95"/>
      <c r="N120" s="91"/>
      <c r="O120" s="173"/>
      <c r="P120" s="148"/>
      <c r="Q120" s="155">
        <f t="shared" si="20"/>
        <v>8</v>
      </c>
      <c r="R120" s="150">
        <f>VLOOKUP(C120,'SẢN LƯỢNG'!$D$99:$AK$160,34,0)</f>
        <v>4260</v>
      </c>
      <c r="S120" s="158"/>
      <c r="T120" s="149">
        <f t="shared" si="21"/>
        <v>0</v>
      </c>
      <c r="U120" s="212">
        <f t="shared" si="17"/>
        <v>4260</v>
      </c>
      <c r="V120" s="435">
        <f>VLOOKUP(C120,'Chấm công KT'!$D$95:$AK$156,34,0)</f>
        <v>27</v>
      </c>
      <c r="W120" s="435">
        <f>VLOOKUP(C120,'Chấm công KT'!$D$95:$AL$156,35,0)</f>
        <v>1</v>
      </c>
      <c r="X120" s="435">
        <f>VLOOKUP(C120,'Chấm công KT'!D119:AM156,36,0)</f>
        <v>0</v>
      </c>
      <c r="Y120" s="435">
        <f>VLOOKUP(C120,'Chấm công KT'!D119:AN180,37,0)</f>
        <v>3</v>
      </c>
      <c r="Z120" s="485"/>
      <c r="AA120" s="485"/>
      <c r="AB120" s="160"/>
      <c r="AC120" s="156">
        <f t="shared" si="18"/>
        <v>8</v>
      </c>
      <c r="AD120" s="92">
        <f>VLOOKUP(C120,'SẢN LƯỢNG'!$D$17:$AR$160,37,0)</f>
        <v>4599</v>
      </c>
      <c r="AE120" s="157"/>
      <c r="AF120" s="77"/>
    </row>
    <row r="121" spans="1:32" ht="18.75" customHeight="1">
      <c r="A121" s="147">
        <v>26</v>
      </c>
      <c r="B121" s="208" t="str">
        <f>'Chấm công KT'!C120</f>
        <v>03612</v>
      </c>
      <c r="C121" s="157" t="str">
        <f>'Chấm công KT'!D120</f>
        <v>N. Phu Văn</v>
      </c>
      <c r="D121" s="147" t="s">
        <v>26</v>
      </c>
      <c r="E121" s="218">
        <f t="shared" si="19"/>
        <v>8</v>
      </c>
      <c r="F121" s="218"/>
      <c r="G121" s="218"/>
      <c r="H121" s="218"/>
      <c r="I121" s="218"/>
      <c r="J121" s="209"/>
      <c r="K121" s="159"/>
      <c r="L121" s="159"/>
      <c r="M121" s="209"/>
      <c r="N121" s="154"/>
      <c r="O121" s="225"/>
      <c r="P121" s="148"/>
      <c r="Q121" s="155">
        <f t="shared" si="20"/>
        <v>8</v>
      </c>
      <c r="R121" s="150">
        <f>VLOOKUP(C121,'SẢN LƯỢNG'!$D$99:$AK$160,34,0)</f>
        <v>4453</v>
      </c>
      <c r="S121" s="158"/>
      <c r="T121" s="149">
        <f t="shared" si="21"/>
        <v>0</v>
      </c>
      <c r="U121" s="212">
        <f t="shared" si="17"/>
        <v>4453</v>
      </c>
      <c r="V121" s="435">
        <f>VLOOKUP(C121,'Chấm công KT'!$D$95:$AK$156,34,0)</f>
        <v>27</v>
      </c>
      <c r="W121" s="435">
        <f>VLOOKUP(C121,'Chấm công KT'!$D$95:$AL$156,35,0)</f>
        <v>1</v>
      </c>
      <c r="X121" s="435">
        <f>VLOOKUP(C121,'Chấm công KT'!D120:AM156,36,0)</f>
        <v>0</v>
      </c>
      <c r="Y121" s="435">
        <f>VLOOKUP(C121,'Chấm công KT'!D120:AN181,37,0)</f>
        <v>3</v>
      </c>
      <c r="Z121" s="485"/>
      <c r="AA121" s="485"/>
      <c r="AB121" s="160"/>
      <c r="AC121" s="156">
        <f t="shared" si="18"/>
        <v>8</v>
      </c>
      <c r="AD121" s="92">
        <f>VLOOKUP(C121,'SẢN LƯỢNG'!$D$17:$AR$160,37,0)</f>
        <v>4476</v>
      </c>
      <c r="AE121" s="157"/>
      <c r="AF121" s="77"/>
    </row>
    <row r="122" spans="1:32" ht="18.75" customHeight="1">
      <c r="A122" s="147">
        <v>27</v>
      </c>
      <c r="B122" s="208" t="str">
        <f>'Chấm công KT'!C121</f>
        <v>03613</v>
      </c>
      <c r="C122" s="157" t="str">
        <f>'Chấm công KT'!D121</f>
        <v>N. Lỷ</v>
      </c>
      <c r="D122" s="147" t="s">
        <v>26</v>
      </c>
      <c r="E122" s="218">
        <f t="shared" si="19"/>
        <v>8</v>
      </c>
      <c r="F122" s="218"/>
      <c r="G122" s="218"/>
      <c r="H122" s="218"/>
      <c r="I122" s="218"/>
      <c r="J122" s="209"/>
      <c r="K122" s="159"/>
      <c r="L122" s="159"/>
      <c r="M122" s="209"/>
      <c r="N122" s="154"/>
      <c r="O122" s="225"/>
      <c r="P122" s="148"/>
      <c r="Q122" s="155">
        <f t="shared" si="20"/>
        <v>8</v>
      </c>
      <c r="R122" s="150">
        <f>VLOOKUP(C122,'SẢN LƯỢNG'!$D$99:$AK$160,34,0)</f>
        <v>5145</v>
      </c>
      <c r="S122" s="158"/>
      <c r="T122" s="149">
        <f t="shared" si="21"/>
        <v>0</v>
      </c>
      <c r="U122" s="212">
        <f t="shared" si="17"/>
        <v>5145</v>
      </c>
      <c r="V122" s="435">
        <f>VLOOKUP(C122,'Chấm công KT'!$D$95:$AK$156,34,0)</f>
        <v>27</v>
      </c>
      <c r="W122" s="435">
        <f>VLOOKUP(C122,'Chấm công KT'!$D$95:$AL$156,35,0)</f>
        <v>1</v>
      </c>
      <c r="X122" s="435">
        <f>VLOOKUP(C122,'Chấm công KT'!D121:AM156,36,0)</f>
        <v>0</v>
      </c>
      <c r="Y122" s="435">
        <f>VLOOKUP(C122,'Chấm công KT'!D121:AN182,37,0)</f>
        <v>3</v>
      </c>
      <c r="Z122" s="485"/>
      <c r="AA122" s="485"/>
      <c r="AB122" s="160"/>
      <c r="AC122" s="156">
        <f>Q122</f>
        <v>8</v>
      </c>
      <c r="AD122" s="92">
        <f>VLOOKUP(C122,'SẢN LƯỢNG'!$D$17:$AR$160,37,0)</f>
        <v>5498</v>
      </c>
      <c r="AE122" s="157"/>
      <c r="AF122" s="77"/>
    </row>
    <row r="123" spans="1:32" ht="18.75" customHeight="1">
      <c r="A123" s="147">
        <v>28</v>
      </c>
      <c r="B123" s="208" t="str">
        <f>'Chấm công KT'!C122</f>
        <v>04077</v>
      </c>
      <c r="C123" s="157" t="str">
        <f>'Chấm công KT'!D122</f>
        <v>N. Quen</v>
      </c>
      <c r="D123" s="147" t="s">
        <v>26</v>
      </c>
      <c r="E123" s="218">
        <f t="shared" si="19"/>
        <v>8</v>
      </c>
      <c r="F123" s="218"/>
      <c r="G123" s="218"/>
      <c r="H123" s="218"/>
      <c r="I123" s="218"/>
      <c r="J123" s="209"/>
      <c r="K123" s="159"/>
      <c r="L123" s="159"/>
      <c r="M123" s="154"/>
      <c r="N123" s="154"/>
      <c r="O123" s="225"/>
      <c r="P123" s="148"/>
      <c r="Q123" s="155">
        <f t="shared" si="20"/>
        <v>8</v>
      </c>
      <c r="R123" s="150">
        <f>VLOOKUP(C123,'SẢN LƯỢNG'!$D$99:$AK$160,34,0)</f>
        <v>4697</v>
      </c>
      <c r="S123" s="158"/>
      <c r="T123" s="149">
        <f t="shared" si="21"/>
        <v>0</v>
      </c>
      <c r="U123" s="212">
        <f t="shared" si="17"/>
        <v>4697</v>
      </c>
      <c r="V123" s="435">
        <f>VLOOKUP(C123,'Chấm công KT'!$D$95:$AK$156,34,0)</f>
        <v>27</v>
      </c>
      <c r="W123" s="435">
        <f>VLOOKUP(C123,'Chấm công KT'!$D$95:$AL$156,35,0)</f>
        <v>2</v>
      </c>
      <c r="X123" s="435">
        <f>VLOOKUP(C123,'Chấm công KT'!D122:AM156,36,0)</f>
        <v>0</v>
      </c>
      <c r="Y123" s="435">
        <f>VLOOKUP(C123,'Chấm công KT'!D122:AN183,37,0)</f>
        <v>2</v>
      </c>
      <c r="Z123" s="485"/>
      <c r="AA123" s="485"/>
      <c r="AB123" s="160"/>
      <c r="AC123" s="156">
        <f t="shared" si="18"/>
        <v>8</v>
      </c>
      <c r="AD123" s="92">
        <f>VLOOKUP(C123,'SẢN LƯỢNG'!$D$17:$AR$160,37,0)</f>
        <v>4337</v>
      </c>
      <c r="AE123" s="157"/>
      <c r="AF123" s="77"/>
    </row>
    <row r="124" spans="1:32" ht="18.75" customHeight="1">
      <c r="A124" s="147">
        <v>29</v>
      </c>
      <c r="B124" s="208" t="str">
        <f>'Chấm công KT'!C123</f>
        <v>03615</v>
      </c>
      <c r="C124" s="157" t="str">
        <f>'Chấm công KT'!D123</f>
        <v>T. Xi Nuôn</v>
      </c>
      <c r="D124" s="147" t="s">
        <v>26</v>
      </c>
      <c r="E124" s="218">
        <f t="shared" si="19"/>
        <v>8</v>
      </c>
      <c r="F124" s="218"/>
      <c r="G124" s="218"/>
      <c r="H124" s="218"/>
      <c r="I124" s="218"/>
      <c r="J124" s="209"/>
      <c r="K124" s="159"/>
      <c r="L124" s="159"/>
      <c r="M124" s="95"/>
      <c r="N124" s="154"/>
      <c r="O124" s="225"/>
      <c r="P124" s="148"/>
      <c r="Q124" s="155">
        <f t="shared" si="20"/>
        <v>8</v>
      </c>
      <c r="R124" s="150">
        <f>VLOOKUP(C124,'SẢN LƯỢNG'!$D$99:$AK$160,34,0)</f>
        <v>3585</v>
      </c>
      <c r="S124" s="158"/>
      <c r="T124" s="149">
        <f t="shared" si="21"/>
        <v>0</v>
      </c>
      <c r="U124" s="212">
        <f t="shared" si="17"/>
        <v>3585</v>
      </c>
      <c r="V124" s="435">
        <f>VLOOKUP(C124,'Chấm công KT'!$D$95:$AK$156,34,0)</f>
        <v>27</v>
      </c>
      <c r="W124" s="435">
        <f>VLOOKUP(C124,'Chấm công KT'!$D$95:$AL$156,35,0)</f>
        <v>1</v>
      </c>
      <c r="X124" s="435">
        <f>VLOOKUP(C124,'Chấm công KT'!D123:AM156,36,0)</f>
        <v>0</v>
      </c>
      <c r="Y124" s="435">
        <f>VLOOKUP(C124,'Chấm công KT'!D123:AN184,37,0)</f>
        <v>3</v>
      </c>
      <c r="Z124" s="485"/>
      <c r="AA124" s="485"/>
      <c r="AB124" s="160"/>
      <c r="AC124" s="156">
        <f t="shared" si="18"/>
        <v>8</v>
      </c>
      <c r="AD124" s="92">
        <f>VLOOKUP(C124,'SẢN LƯỢNG'!$D$17:$AR$160,37,0)</f>
        <v>3743</v>
      </c>
      <c r="AE124" s="157"/>
      <c r="AF124" s="77"/>
    </row>
    <row r="125" spans="1:32" ht="18.75" customHeight="1">
      <c r="A125" s="147">
        <v>30</v>
      </c>
      <c r="B125" s="208" t="str">
        <f>'Chấm công KT'!C124</f>
        <v>03616</v>
      </c>
      <c r="C125" s="157" t="str">
        <f>'Chấm công KT'!D124</f>
        <v>N. Ốc</v>
      </c>
      <c r="D125" s="147" t="s">
        <v>26</v>
      </c>
      <c r="E125" s="218">
        <f t="shared" si="19"/>
        <v>8</v>
      </c>
      <c r="F125" s="218"/>
      <c r="G125" s="218"/>
      <c r="H125" s="218"/>
      <c r="I125" s="218"/>
      <c r="J125" s="209"/>
      <c r="K125" s="159"/>
      <c r="L125" s="159"/>
      <c r="M125" s="95"/>
      <c r="N125" s="91"/>
      <c r="O125" s="173"/>
      <c r="P125" s="148"/>
      <c r="Q125" s="155">
        <f t="shared" si="20"/>
        <v>8</v>
      </c>
      <c r="R125" s="150">
        <f>VLOOKUP(C125,'SẢN LƯỢNG'!$D$99:$AK$160,34,0)</f>
        <v>4983</v>
      </c>
      <c r="S125" s="158"/>
      <c r="T125" s="149">
        <f t="shared" si="21"/>
        <v>0</v>
      </c>
      <c r="U125" s="212">
        <f>R125</f>
        <v>4983</v>
      </c>
      <c r="V125" s="435">
        <f>VLOOKUP(C125,'Chấm công KT'!$D$95:$AK$156,34,0)</f>
        <v>27</v>
      </c>
      <c r="W125" s="435">
        <f>VLOOKUP(C125,'Chấm công KT'!$D$95:$AL$156,35,0)</f>
        <v>1</v>
      </c>
      <c r="X125" s="435">
        <f>VLOOKUP(C125,'Chấm công KT'!D124:AM156,36,0)</f>
        <v>0</v>
      </c>
      <c r="Y125" s="435">
        <f>VLOOKUP(C125,'Chấm công KT'!D124:AN185,37,0)</f>
        <v>3</v>
      </c>
      <c r="Z125" s="485"/>
      <c r="AA125" s="485"/>
      <c r="AB125" s="160"/>
      <c r="AC125" s="156">
        <f t="shared" si="18"/>
        <v>8</v>
      </c>
      <c r="AD125" s="92">
        <f>VLOOKUP(C125,'SẢN LƯỢNG'!$D$17:$AR$160,37,0)</f>
        <v>5520</v>
      </c>
      <c r="AE125" s="157"/>
      <c r="AF125" s="77"/>
    </row>
    <row r="126" spans="1:32" ht="18.75" customHeight="1">
      <c r="A126" s="147">
        <v>31</v>
      </c>
      <c r="B126" s="208" t="str">
        <f>'Chấm công KT'!C125</f>
        <v>03617</v>
      </c>
      <c r="C126" s="157" t="str">
        <f>'Chấm công KT'!D125</f>
        <v>T. Văn Nô</v>
      </c>
      <c r="D126" s="147" t="s">
        <v>26</v>
      </c>
      <c r="E126" s="218">
        <f t="shared" si="19"/>
        <v>8</v>
      </c>
      <c r="F126" s="218"/>
      <c r="G126" s="218"/>
      <c r="H126" s="218"/>
      <c r="I126" s="218"/>
      <c r="J126" s="209"/>
      <c r="K126" s="159"/>
      <c r="L126" s="159"/>
      <c r="M126" s="95"/>
      <c r="N126" s="91"/>
      <c r="O126" s="173"/>
      <c r="P126" s="148"/>
      <c r="Q126" s="155">
        <f t="shared" si="20"/>
        <v>8</v>
      </c>
      <c r="R126" s="150">
        <f>VLOOKUP(C126,'SẢN LƯỢNG'!$D$99:$AK$160,34,0)</f>
        <v>4530</v>
      </c>
      <c r="S126" s="158"/>
      <c r="T126" s="149">
        <f t="shared" si="21"/>
        <v>0</v>
      </c>
      <c r="U126" s="212">
        <f t="shared" si="17"/>
        <v>4530</v>
      </c>
      <c r="V126" s="435">
        <f>VLOOKUP(C126,'Chấm công KT'!$D$95:$AK$156,34,0)</f>
        <v>27</v>
      </c>
      <c r="W126" s="435">
        <f>VLOOKUP(C126,'Chấm công KT'!$D$95:$AL$156,35,0)</f>
        <v>1</v>
      </c>
      <c r="X126" s="435">
        <f>VLOOKUP(C126,'Chấm công KT'!D125:AM156,36,0)</f>
        <v>0</v>
      </c>
      <c r="Y126" s="435">
        <f>VLOOKUP(C126,'Chấm công KT'!D125:AN186,37,0)</f>
        <v>3</v>
      </c>
      <c r="Z126" s="485"/>
      <c r="AA126" s="485"/>
      <c r="AB126" s="160"/>
      <c r="AC126" s="156">
        <f t="shared" si="18"/>
        <v>8</v>
      </c>
      <c r="AD126" s="92">
        <f>VLOOKUP(C126,'SẢN LƯỢNG'!$D$17:$AR$160,37,0)</f>
        <v>4670</v>
      </c>
      <c r="AE126" s="157"/>
      <c r="AF126" s="77"/>
    </row>
    <row r="127" spans="1:32" ht="18.75" customHeight="1">
      <c r="A127" s="147">
        <v>32</v>
      </c>
      <c r="B127" s="208" t="str">
        <f>'Chấm công KT'!C126</f>
        <v>03618</v>
      </c>
      <c r="C127" s="157" t="str">
        <f>'Chấm công KT'!D126</f>
        <v>N. Văn Ta</v>
      </c>
      <c r="D127" s="147" t="s">
        <v>26</v>
      </c>
      <c r="E127" s="218">
        <f t="shared" si="19"/>
        <v>8</v>
      </c>
      <c r="F127" s="218"/>
      <c r="G127" s="218"/>
      <c r="H127" s="218"/>
      <c r="I127" s="218"/>
      <c r="J127" s="209"/>
      <c r="K127" s="159"/>
      <c r="L127" s="159"/>
      <c r="M127" s="209"/>
      <c r="N127" s="154"/>
      <c r="O127" s="225"/>
      <c r="P127" s="148"/>
      <c r="Q127" s="155">
        <f t="shared" si="20"/>
        <v>8</v>
      </c>
      <c r="R127" s="150">
        <f>VLOOKUP(C127,'SẢN LƯỢNG'!$D$99:$AK$160,34,0)</f>
        <v>3958</v>
      </c>
      <c r="S127" s="158"/>
      <c r="T127" s="149">
        <f t="shared" si="21"/>
        <v>0</v>
      </c>
      <c r="U127" s="212">
        <f t="shared" si="17"/>
        <v>3958</v>
      </c>
      <c r="V127" s="435">
        <f>VLOOKUP(C127,'Chấm công KT'!$D$95:$AK$156,34,0)</f>
        <v>25</v>
      </c>
      <c r="W127" s="435">
        <f>VLOOKUP(C127,'Chấm công KT'!$D$95:$AL$156,35,0)</f>
        <v>2</v>
      </c>
      <c r="X127" s="435">
        <f>VLOOKUP(C127,'Chấm công KT'!D126:AM156,36,0)</f>
        <v>0</v>
      </c>
      <c r="Y127" s="435">
        <f>VLOOKUP(C127,'Chấm công KT'!D126:AN187,37,0)</f>
        <v>2</v>
      </c>
      <c r="Z127" s="485"/>
      <c r="AA127" s="485"/>
      <c r="AB127" s="160"/>
      <c r="AC127" s="156">
        <f t="shared" si="18"/>
        <v>8</v>
      </c>
      <c r="AD127" s="92">
        <f>VLOOKUP(C127,'SẢN LƯỢNG'!$D$17:$AR$160,37,0)</f>
        <v>4914</v>
      </c>
      <c r="AE127" s="157"/>
      <c r="AF127" s="77"/>
    </row>
    <row r="128" spans="1:32" ht="18.75" customHeight="1">
      <c r="A128" s="147">
        <v>33</v>
      </c>
      <c r="B128" s="208" t="str">
        <f>'Chấm công KT'!C127</f>
        <v>03619</v>
      </c>
      <c r="C128" s="157" t="str">
        <f>'Chấm công KT'!D127</f>
        <v>T. Thon</v>
      </c>
      <c r="D128" s="147" t="s">
        <v>26</v>
      </c>
      <c r="E128" s="218">
        <f t="shared" si="19"/>
        <v>8</v>
      </c>
      <c r="F128" s="218"/>
      <c r="G128" s="218"/>
      <c r="H128" s="218"/>
      <c r="I128" s="218"/>
      <c r="J128" s="209"/>
      <c r="K128" s="159"/>
      <c r="L128" s="159"/>
      <c r="M128" s="95"/>
      <c r="N128" s="91"/>
      <c r="O128" s="173"/>
      <c r="P128" s="148"/>
      <c r="Q128" s="155">
        <f t="shared" si="20"/>
        <v>8</v>
      </c>
      <c r="R128" s="150">
        <f>VLOOKUP(C128,'SẢN LƯỢNG'!$D$99:$AK$160,34,0)</f>
        <v>3969</v>
      </c>
      <c r="S128" s="158"/>
      <c r="T128" s="149">
        <f t="shared" si="21"/>
        <v>0</v>
      </c>
      <c r="U128" s="212">
        <f t="shared" si="17"/>
        <v>3969</v>
      </c>
      <c r="V128" s="435">
        <f>VLOOKUP(C128,'Chấm công KT'!$D$95:$AK$156,34,0)</f>
        <v>26</v>
      </c>
      <c r="W128" s="435">
        <f>VLOOKUP(C128,'Chấm công KT'!$D$95:$AL$156,35,0)</f>
        <v>1</v>
      </c>
      <c r="X128" s="435">
        <f>VLOOKUP(C128,'Chấm công KT'!D127:AM156,36,0)</f>
        <v>0</v>
      </c>
      <c r="Y128" s="435">
        <f>VLOOKUP(C128,'Chấm công KT'!D127:AN188,37,0)</f>
        <v>3</v>
      </c>
      <c r="Z128" s="485"/>
      <c r="AA128" s="485"/>
      <c r="AB128" s="160"/>
      <c r="AC128" s="156">
        <f t="shared" si="18"/>
        <v>8</v>
      </c>
      <c r="AD128" s="92">
        <f>VLOOKUP(C128,'SẢN LƯỢNG'!$D$17:$AR$160,37,0)</f>
        <v>3610</v>
      </c>
      <c r="AE128" s="157"/>
      <c r="AF128" s="77"/>
    </row>
    <row r="129" spans="1:33" ht="18.75" customHeight="1">
      <c r="A129" s="147">
        <v>34</v>
      </c>
      <c r="B129" s="208" t="str">
        <f>'Chấm công KT'!C128</f>
        <v>03620</v>
      </c>
      <c r="C129" s="157" t="str">
        <f>'Chấm công KT'!D128</f>
        <v>Bun Thon</v>
      </c>
      <c r="D129" s="147" t="s">
        <v>26</v>
      </c>
      <c r="E129" s="218">
        <f t="shared" si="19"/>
        <v>8</v>
      </c>
      <c r="F129" s="218"/>
      <c r="G129" s="218"/>
      <c r="H129" s="218"/>
      <c r="I129" s="218"/>
      <c r="J129" s="209"/>
      <c r="K129" s="159"/>
      <c r="L129" s="159"/>
      <c r="M129" s="95"/>
      <c r="N129" s="91"/>
      <c r="O129" s="173"/>
      <c r="P129" s="148"/>
      <c r="Q129" s="155">
        <f t="shared" si="20"/>
        <v>8</v>
      </c>
      <c r="R129" s="150">
        <f>VLOOKUP(C129,'SẢN LƯỢNG'!$D$99:$AK$160,34,0)</f>
        <v>2800</v>
      </c>
      <c r="S129" s="158"/>
      <c r="T129" s="149">
        <f t="shared" si="21"/>
        <v>0</v>
      </c>
      <c r="U129" s="212">
        <f t="shared" si="17"/>
        <v>2800</v>
      </c>
      <c r="V129" s="435">
        <f>VLOOKUP(C129,'Chấm công KT'!$D$95:$AK$156,34,0)</f>
        <v>23</v>
      </c>
      <c r="W129" s="435">
        <f>VLOOKUP(C129,'Chấm công KT'!$D$95:$AL$156,35,0)</f>
        <v>1</v>
      </c>
      <c r="X129" s="435">
        <f>VLOOKUP(C129,'Chấm công KT'!D128:AM156,36,0)</f>
        <v>0</v>
      </c>
      <c r="Y129" s="435">
        <f>VLOOKUP(C129,'Chấm công KT'!D128:AN189,37,0)</f>
        <v>3</v>
      </c>
      <c r="Z129" s="485"/>
      <c r="AA129" s="485"/>
      <c r="AB129" s="160"/>
      <c r="AC129" s="156">
        <f t="shared" si="18"/>
        <v>8</v>
      </c>
      <c r="AD129" s="92">
        <f>VLOOKUP(C129,'SẢN LƯỢNG'!$D$17:$AR$160,37,0)</f>
        <v>3738</v>
      </c>
      <c r="AE129" s="157"/>
      <c r="AF129" s="77"/>
    </row>
    <row r="130" spans="1:33" ht="18.75" customHeight="1">
      <c r="A130" s="147">
        <v>35</v>
      </c>
      <c r="B130" s="208" t="str">
        <f>'Chấm công KT'!C129</f>
        <v>04078</v>
      </c>
      <c r="C130" s="157" t="str">
        <f>'Chấm công KT'!D129</f>
        <v>Lăm Thong</v>
      </c>
      <c r="D130" s="147" t="s">
        <v>26</v>
      </c>
      <c r="E130" s="218">
        <f t="shared" si="19"/>
        <v>8</v>
      </c>
      <c r="F130" s="218"/>
      <c r="G130" s="218"/>
      <c r="H130" s="218"/>
      <c r="I130" s="218"/>
      <c r="J130" s="209"/>
      <c r="K130" s="159"/>
      <c r="L130" s="159"/>
      <c r="M130" s="95"/>
      <c r="N130" s="91"/>
      <c r="O130" s="173"/>
      <c r="P130" s="148"/>
      <c r="Q130" s="155">
        <f t="shared" si="20"/>
        <v>8</v>
      </c>
      <c r="R130" s="150">
        <f>VLOOKUP(C130,'SẢN LƯỢNG'!$D$99:$AK$160,34,0)</f>
        <v>3870</v>
      </c>
      <c r="S130" s="158"/>
      <c r="T130" s="149">
        <f t="shared" si="21"/>
        <v>0</v>
      </c>
      <c r="U130" s="212">
        <f t="shared" si="17"/>
        <v>3870</v>
      </c>
      <c r="V130" s="435">
        <f>VLOOKUP(C130,'Chấm công KT'!$D$95:$AK$156,34,0)</f>
        <v>24</v>
      </c>
      <c r="W130" s="435">
        <f>VLOOKUP(C130,'Chấm công KT'!$D$95:$AL$156,35,0)</f>
        <v>1</v>
      </c>
      <c r="X130" s="435">
        <f>VLOOKUP(C130,'Chấm công KT'!D129:AM156,36,0)</f>
        <v>0</v>
      </c>
      <c r="Y130" s="435">
        <f>VLOOKUP(C130,'Chấm công KT'!D129:AN190,37,0)</f>
        <v>3</v>
      </c>
      <c r="Z130" s="485"/>
      <c r="AA130" s="485"/>
      <c r="AB130" s="160"/>
      <c r="AC130" s="156">
        <f t="shared" si="18"/>
        <v>8</v>
      </c>
      <c r="AD130" s="92">
        <f>VLOOKUP(C130,'SẢN LƯỢNG'!$D$17:$AR$160,37,0)</f>
        <v>3820</v>
      </c>
      <c r="AE130" s="157"/>
      <c r="AF130" s="77"/>
    </row>
    <row r="131" spans="1:33" ht="18.75" customHeight="1">
      <c r="A131" s="147">
        <v>36</v>
      </c>
      <c r="B131" s="208" t="str">
        <f>'Chấm công KT'!C130</f>
        <v>03622</v>
      </c>
      <c r="C131" s="157" t="str">
        <f>'Chấm công KT'!D130</f>
        <v>N. Xeo Khăm</v>
      </c>
      <c r="D131" s="147" t="s">
        <v>26</v>
      </c>
      <c r="E131" s="218">
        <f t="shared" si="19"/>
        <v>8</v>
      </c>
      <c r="F131" s="218"/>
      <c r="G131" s="218"/>
      <c r="H131" s="218"/>
      <c r="I131" s="218"/>
      <c r="J131" s="209"/>
      <c r="K131" s="159"/>
      <c r="L131" s="159"/>
      <c r="M131" s="95"/>
      <c r="N131" s="91"/>
      <c r="O131" s="173"/>
      <c r="P131" s="148"/>
      <c r="Q131" s="155">
        <f t="shared" si="20"/>
        <v>8</v>
      </c>
      <c r="R131" s="150">
        <f>VLOOKUP(C131,'SẢN LƯỢNG'!$D$99:$AK$160,34,0)</f>
        <v>5094</v>
      </c>
      <c r="S131" s="158"/>
      <c r="T131" s="149">
        <f t="shared" si="21"/>
        <v>0</v>
      </c>
      <c r="U131" s="212">
        <f t="shared" si="17"/>
        <v>5094</v>
      </c>
      <c r="V131" s="435">
        <f>VLOOKUP(C131,'Chấm công KT'!$D$95:$AK$156,34,0)</f>
        <v>27</v>
      </c>
      <c r="W131" s="435">
        <f>VLOOKUP(C131,'Chấm công KT'!$D$95:$AL$156,35,0)</f>
        <v>1</v>
      </c>
      <c r="X131" s="435">
        <f>VLOOKUP(C131,'Chấm công KT'!D130:AM156,36,0)</f>
        <v>0</v>
      </c>
      <c r="Y131" s="435">
        <f>VLOOKUP(C131,'Chấm công KT'!D130:AN191,37,0)</f>
        <v>3</v>
      </c>
      <c r="Z131" s="485"/>
      <c r="AA131" s="485"/>
      <c r="AB131" s="160"/>
      <c r="AC131" s="156">
        <f t="shared" si="18"/>
        <v>8</v>
      </c>
      <c r="AD131" s="92">
        <f>VLOOKUP(C131,'SẢN LƯỢNG'!$D$17:$AR$160,37,0)</f>
        <v>4770</v>
      </c>
      <c r="AE131" s="157"/>
      <c r="AF131" s="77"/>
    </row>
    <row r="132" spans="1:33" ht="18.75" customHeight="1">
      <c r="A132" s="147">
        <v>37</v>
      </c>
      <c r="B132" s="208" t="str">
        <f>'Chấm công KT'!C131</f>
        <v>03623</v>
      </c>
      <c r="C132" s="157" t="str">
        <f>'Chấm công KT'!D131</f>
        <v>T. Khăm...</v>
      </c>
      <c r="D132" s="147" t="s">
        <v>26</v>
      </c>
      <c r="E132" s="218">
        <f t="shared" si="19"/>
        <v>8</v>
      </c>
      <c r="F132" s="218"/>
      <c r="G132" s="218"/>
      <c r="H132" s="218"/>
      <c r="I132" s="218"/>
      <c r="J132" s="209"/>
      <c r="K132" s="159"/>
      <c r="L132" s="159"/>
      <c r="M132" s="95"/>
      <c r="N132" s="91"/>
      <c r="O132" s="173"/>
      <c r="P132" s="148"/>
      <c r="Q132" s="155">
        <f t="shared" si="20"/>
        <v>8</v>
      </c>
      <c r="R132" s="150">
        <f>VLOOKUP(C132,'SẢN LƯỢNG'!$D$99:$AK$160,34,0)</f>
        <v>4669</v>
      </c>
      <c r="S132" s="158"/>
      <c r="T132" s="149">
        <f t="shared" si="21"/>
        <v>0</v>
      </c>
      <c r="U132" s="212">
        <f t="shared" si="17"/>
        <v>4669</v>
      </c>
      <c r="V132" s="435">
        <f>VLOOKUP(C132,'Chấm công KT'!$D$95:$AK$156,34,0)</f>
        <v>26</v>
      </c>
      <c r="W132" s="435">
        <f>VLOOKUP(C132,'Chấm công KT'!$D$95:$AL$156,35,0)</f>
        <v>1</v>
      </c>
      <c r="X132" s="435">
        <f>VLOOKUP(C132,'Chấm công KT'!D131:AM156,36,0)</f>
        <v>0</v>
      </c>
      <c r="Y132" s="435">
        <f>VLOOKUP(C132,'Chấm công KT'!D131:AN192,37,0)</f>
        <v>2</v>
      </c>
      <c r="Z132" s="485"/>
      <c r="AA132" s="485"/>
      <c r="AB132" s="160"/>
      <c r="AC132" s="156">
        <f t="shared" si="18"/>
        <v>8</v>
      </c>
      <c r="AD132" s="92">
        <f>VLOOKUP(C132,'SẢN LƯỢNG'!$D$17:$AR$160,37,0)</f>
        <v>4945</v>
      </c>
      <c r="AE132" s="157"/>
      <c r="AF132" s="77"/>
    </row>
    <row r="133" spans="1:33" ht="18.75" customHeight="1">
      <c r="A133" s="147">
        <v>38</v>
      </c>
      <c r="B133" s="208" t="str">
        <f>'Chấm công KT'!C132</f>
        <v>03532</v>
      </c>
      <c r="C133" s="157" t="str">
        <f>'Chấm công KT'!D132</f>
        <v>N. Túc</v>
      </c>
      <c r="D133" s="147" t="s">
        <v>26</v>
      </c>
      <c r="E133" s="218">
        <f t="shared" si="19"/>
        <v>8</v>
      </c>
      <c r="F133" s="218"/>
      <c r="G133" s="218"/>
      <c r="H133" s="218"/>
      <c r="I133" s="218"/>
      <c r="J133" s="209"/>
      <c r="K133" s="159"/>
      <c r="L133" s="159"/>
      <c r="M133" s="95"/>
      <c r="N133" s="91"/>
      <c r="O133" s="173"/>
      <c r="P133" s="148"/>
      <c r="Q133" s="155">
        <f t="shared" si="20"/>
        <v>8</v>
      </c>
      <c r="R133" s="150">
        <f>VLOOKUP(C133,'SẢN LƯỢNG'!$D$99:$AK$160,34,0)</f>
        <v>4316</v>
      </c>
      <c r="S133" s="158"/>
      <c r="T133" s="149">
        <f t="shared" si="21"/>
        <v>0</v>
      </c>
      <c r="U133" s="212">
        <f t="shared" si="17"/>
        <v>4316</v>
      </c>
      <c r="V133" s="435">
        <f>VLOOKUP(C133,'Chấm công KT'!$D$95:$AK$156,34,0)</f>
        <v>27</v>
      </c>
      <c r="W133" s="435">
        <f>VLOOKUP(C133,'Chấm công KT'!$D$95:$AL$156,35,0)</f>
        <v>1</v>
      </c>
      <c r="X133" s="435">
        <f>VLOOKUP(C133,'Chấm công KT'!D132:AM156,36,0)</f>
        <v>0</v>
      </c>
      <c r="Y133" s="435">
        <f>VLOOKUP(C133,'Chấm công KT'!D132:AN193,37,0)</f>
        <v>3</v>
      </c>
      <c r="Z133" s="485"/>
      <c r="AA133" s="485"/>
      <c r="AB133" s="160"/>
      <c r="AC133" s="156">
        <f t="shared" si="18"/>
        <v>8</v>
      </c>
      <c r="AD133" s="92">
        <f>VLOOKUP(C133,'SẢN LƯỢNG'!$D$17:$AR$160,37,0)</f>
        <v>4410</v>
      </c>
      <c r="AE133" s="157"/>
      <c r="AF133" s="77"/>
    </row>
    <row r="134" spans="1:33" ht="18.75" customHeight="1">
      <c r="A134" s="147">
        <v>39</v>
      </c>
      <c r="B134" s="208" t="str">
        <f>'Chấm công KT'!C133</f>
        <v>03625</v>
      </c>
      <c r="C134" s="157" t="str">
        <f>'Chấm công KT'!D133</f>
        <v>N. Pheng</v>
      </c>
      <c r="D134" s="147" t="s">
        <v>26</v>
      </c>
      <c r="E134" s="218">
        <f t="shared" si="19"/>
        <v>8</v>
      </c>
      <c r="F134" s="218"/>
      <c r="G134" s="218"/>
      <c r="H134" s="218"/>
      <c r="I134" s="218"/>
      <c r="J134" s="209"/>
      <c r="K134" s="159"/>
      <c r="L134" s="159"/>
      <c r="M134" s="95"/>
      <c r="N134" s="154"/>
      <c r="O134" s="225"/>
      <c r="P134" s="148"/>
      <c r="Q134" s="155">
        <f t="shared" si="20"/>
        <v>8</v>
      </c>
      <c r="R134" s="150">
        <f>VLOOKUP(C134,'SẢN LƯỢNG'!$D$99:$AK$160,34,0)</f>
        <v>5368</v>
      </c>
      <c r="S134" s="158"/>
      <c r="T134" s="149">
        <f t="shared" si="21"/>
        <v>0</v>
      </c>
      <c r="U134" s="212">
        <f t="shared" si="17"/>
        <v>5368</v>
      </c>
      <c r="V134" s="435">
        <f>VLOOKUP(C134,'Chấm công KT'!$D$95:$AK$156,34,0)</f>
        <v>27</v>
      </c>
      <c r="W134" s="435">
        <f>VLOOKUP(C134,'Chấm công KT'!$D$95:$AL$156,35,0)</f>
        <v>1</v>
      </c>
      <c r="X134" s="435">
        <f>VLOOKUP(C134,'Chấm công KT'!D133:AM156,36,0)</f>
        <v>0</v>
      </c>
      <c r="Y134" s="435">
        <f>VLOOKUP(C134,'Chấm công KT'!D133:AN194,37,0)</f>
        <v>3</v>
      </c>
      <c r="Z134" s="485"/>
      <c r="AA134" s="485"/>
      <c r="AB134" s="160"/>
      <c r="AC134" s="156">
        <f t="shared" si="18"/>
        <v>8</v>
      </c>
      <c r="AD134" s="92">
        <f>VLOOKUP(C134,'SẢN LƯỢNG'!$D$17:$AR$160,37,0)</f>
        <v>5011</v>
      </c>
      <c r="AE134" s="157"/>
      <c r="AF134" s="77"/>
    </row>
    <row r="135" spans="1:33" ht="18.75" customHeight="1">
      <c r="A135" s="147">
        <v>40</v>
      </c>
      <c r="B135" s="208" t="str">
        <f>'Chấm công KT'!C134</f>
        <v>03587</v>
      </c>
      <c r="C135" s="157" t="str">
        <f>'Chấm công KT'!D134</f>
        <v>N. Mom</v>
      </c>
      <c r="D135" s="147" t="s">
        <v>26</v>
      </c>
      <c r="E135" s="218">
        <f t="shared" si="19"/>
        <v>8</v>
      </c>
      <c r="F135" s="218"/>
      <c r="G135" s="218"/>
      <c r="H135" s="218"/>
      <c r="I135" s="218"/>
      <c r="J135" s="209"/>
      <c r="K135" s="159"/>
      <c r="L135" s="159"/>
      <c r="M135" s="95"/>
      <c r="N135" s="154"/>
      <c r="O135" s="225"/>
      <c r="P135" s="148"/>
      <c r="Q135" s="155">
        <f t="shared" si="20"/>
        <v>8</v>
      </c>
      <c r="R135" s="150">
        <f>VLOOKUP(C135,'SẢN LƯỢNG'!$D$99:$AK$160,34,0)</f>
        <v>4471</v>
      </c>
      <c r="S135" s="158"/>
      <c r="T135" s="149">
        <f t="shared" si="21"/>
        <v>0</v>
      </c>
      <c r="U135" s="212">
        <f t="shared" si="17"/>
        <v>4471</v>
      </c>
      <c r="V135" s="435">
        <f>VLOOKUP(C135,'Chấm công KT'!$D$95:$AK$156,34,0)</f>
        <v>27</v>
      </c>
      <c r="W135" s="435">
        <f>VLOOKUP(C135,'Chấm công KT'!$D$95:$AL$156,35,0)</f>
        <v>1</v>
      </c>
      <c r="X135" s="435">
        <f>VLOOKUP(C135,'Chấm công KT'!D134:AM156,36,0)</f>
        <v>0</v>
      </c>
      <c r="Y135" s="435">
        <f>VLOOKUP(C135,'Chấm công KT'!D134:AN195,37,0)</f>
        <v>3</v>
      </c>
      <c r="Z135" s="485"/>
      <c r="AA135" s="485"/>
      <c r="AB135" s="160"/>
      <c r="AC135" s="156">
        <f t="shared" si="18"/>
        <v>8</v>
      </c>
      <c r="AD135" s="92">
        <f>VLOOKUP(C135,'SẢN LƯỢNG'!$D$17:$AR$160,37,0)</f>
        <v>4614</v>
      </c>
      <c r="AE135" s="157"/>
      <c r="AF135" s="77"/>
    </row>
    <row r="136" spans="1:33" ht="18.75" customHeight="1">
      <c r="A136" s="147">
        <v>41</v>
      </c>
      <c r="B136" s="208" t="str">
        <f>'Chấm công KT'!C135</f>
        <v>04079</v>
      </c>
      <c r="C136" s="157" t="str">
        <f>'Chấm công KT'!D135</f>
        <v>T. Môn</v>
      </c>
      <c r="D136" s="147" t="s">
        <v>26</v>
      </c>
      <c r="E136" s="218">
        <f t="shared" si="19"/>
        <v>8</v>
      </c>
      <c r="F136" s="218"/>
      <c r="G136" s="218"/>
      <c r="H136" s="218"/>
      <c r="I136" s="218"/>
      <c r="J136" s="209"/>
      <c r="K136" s="159"/>
      <c r="L136" s="159"/>
      <c r="M136" s="209"/>
      <c r="N136" s="154"/>
      <c r="O136" s="225"/>
      <c r="P136" s="148"/>
      <c r="Q136" s="155">
        <f t="shared" si="20"/>
        <v>8</v>
      </c>
      <c r="R136" s="150">
        <f>VLOOKUP(C136,'SẢN LƯỢNG'!$D$99:$AK$160,34,0)</f>
        <v>2898</v>
      </c>
      <c r="S136" s="158"/>
      <c r="T136" s="149">
        <f t="shared" si="21"/>
        <v>0</v>
      </c>
      <c r="U136" s="212">
        <f t="shared" si="17"/>
        <v>2898</v>
      </c>
      <c r="V136" s="435">
        <f>VLOOKUP(C136,'Chấm công KT'!$D$95:$AK$156,34,0)</f>
        <v>27</v>
      </c>
      <c r="W136" s="435">
        <f>VLOOKUP(C136,'Chấm công KT'!$D$95:$AL$156,35,0)</f>
        <v>1</v>
      </c>
      <c r="X136" s="435">
        <f>VLOOKUP(C136,'Chấm công KT'!D135:AM156,36,0)</f>
        <v>0</v>
      </c>
      <c r="Y136" s="435">
        <f>VLOOKUP(C136,'Chấm công KT'!D135:AN196,37,0)</f>
        <v>3</v>
      </c>
      <c r="Z136" s="485"/>
      <c r="AA136" s="485"/>
      <c r="AB136" s="160"/>
      <c r="AC136" s="156">
        <f t="shared" si="18"/>
        <v>8</v>
      </c>
      <c r="AD136" s="92">
        <f>VLOOKUP(C136,'SẢN LƯỢNG'!$D$17:$AR$160,37,0)</f>
        <v>3222</v>
      </c>
      <c r="AE136" s="157"/>
      <c r="AF136" s="77"/>
    </row>
    <row r="137" spans="1:33" ht="18.75" customHeight="1">
      <c r="A137" s="147">
        <v>42</v>
      </c>
      <c r="B137" s="208" t="str">
        <f>'Chấm công KT'!C136</f>
        <v>03628</v>
      </c>
      <c r="C137" s="157" t="str">
        <f>'Chấm công KT'!D136</f>
        <v>Khăn Hạ</v>
      </c>
      <c r="D137" s="147" t="s">
        <v>26</v>
      </c>
      <c r="E137" s="218">
        <f t="shared" si="19"/>
        <v>8</v>
      </c>
      <c r="F137" s="218"/>
      <c r="G137" s="218"/>
      <c r="H137" s="218"/>
      <c r="I137" s="218"/>
      <c r="J137" s="209"/>
      <c r="K137" s="159"/>
      <c r="L137" s="159"/>
      <c r="M137" s="95"/>
      <c r="N137" s="91"/>
      <c r="O137" s="173"/>
      <c r="P137" s="148"/>
      <c r="Q137" s="155">
        <f t="shared" si="20"/>
        <v>8</v>
      </c>
      <c r="R137" s="150">
        <f>VLOOKUP(C137,'SẢN LƯỢNG'!$D$99:$AK$160,34,0)</f>
        <v>2976</v>
      </c>
      <c r="S137" s="158"/>
      <c r="T137" s="149">
        <f t="shared" si="21"/>
        <v>0</v>
      </c>
      <c r="U137" s="212">
        <f t="shared" si="17"/>
        <v>2976</v>
      </c>
      <c r="V137" s="435">
        <f>VLOOKUP(C137,'Chấm công KT'!$D$95:$AK$156,34,0)</f>
        <v>24</v>
      </c>
      <c r="W137" s="435">
        <f>VLOOKUP(C137,'Chấm công KT'!$D$95:$AL$156,35,0)</f>
        <v>1</v>
      </c>
      <c r="X137" s="435">
        <f>VLOOKUP(C137,'Chấm công KT'!D136:AM156,36,0)</f>
        <v>0</v>
      </c>
      <c r="Y137" s="435">
        <f>VLOOKUP(C137,'Chấm công KT'!D136:AN197,37,0)</f>
        <v>2</v>
      </c>
      <c r="Z137" s="485"/>
      <c r="AA137" s="485"/>
      <c r="AB137" s="160"/>
      <c r="AC137" s="156">
        <f t="shared" si="18"/>
        <v>8</v>
      </c>
      <c r="AD137" s="92">
        <f>VLOOKUP(C137,'SẢN LƯỢNG'!$D$17:$AR$160,37,0)</f>
        <v>3869</v>
      </c>
      <c r="AE137" s="157"/>
      <c r="AF137" s="77"/>
    </row>
    <row r="138" spans="1:33" ht="18.75" customHeight="1">
      <c r="A138" s="147">
        <v>43</v>
      </c>
      <c r="B138" s="208" t="str">
        <f>'Chấm công KT'!C137</f>
        <v>03629</v>
      </c>
      <c r="C138" s="157" t="str">
        <f>'Chấm công KT'!D137</f>
        <v>T. Chăn La .</v>
      </c>
      <c r="D138" s="147" t="s">
        <v>26</v>
      </c>
      <c r="E138" s="218">
        <f t="shared" si="19"/>
        <v>8</v>
      </c>
      <c r="F138" s="218"/>
      <c r="G138" s="218"/>
      <c r="H138" s="218"/>
      <c r="I138" s="218"/>
      <c r="J138" s="209"/>
      <c r="K138" s="159"/>
      <c r="L138" s="159"/>
      <c r="M138" s="95"/>
      <c r="N138" s="154"/>
      <c r="O138" s="225"/>
      <c r="P138" s="148"/>
      <c r="Q138" s="155">
        <f t="shared" si="20"/>
        <v>8</v>
      </c>
      <c r="R138" s="150">
        <f>VLOOKUP(C138,'SẢN LƯỢNG'!$D$99:$AK$160,34,0)</f>
        <v>3647</v>
      </c>
      <c r="S138" s="158"/>
      <c r="T138" s="149">
        <f t="shared" si="21"/>
        <v>0</v>
      </c>
      <c r="U138" s="212">
        <f t="shared" si="17"/>
        <v>3647</v>
      </c>
      <c r="V138" s="435">
        <f>VLOOKUP(C138,'Chấm công KT'!$D$95:$AK$156,34,0)</f>
        <v>26</v>
      </c>
      <c r="W138" s="435">
        <f>VLOOKUP(C138,'Chấm công KT'!$D$95:$AL$156,35,0)</f>
        <v>1</v>
      </c>
      <c r="X138" s="435">
        <f>VLOOKUP(C138,'Chấm công KT'!D137:AM156,36,0)</f>
        <v>0</v>
      </c>
      <c r="Y138" s="435">
        <f>VLOOKUP(C138,'Chấm công KT'!D137:AN198,37,0)</f>
        <v>3</v>
      </c>
      <c r="Z138" s="485"/>
      <c r="AA138" s="485"/>
      <c r="AB138" s="160"/>
      <c r="AC138" s="156">
        <f t="shared" si="18"/>
        <v>8</v>
      </c>
      <c r="AD138" s="92">
        <f>VLOOKUP(C138,'SẢN LƯỢNG'!$D$17:$AR$160,37,0)</f>
        <v>3132</v>
      </c>
      <c r="AE138" s="157"/>
      <c r="AF138" s="77"/>
    </row>
    <row r="139" spans="1:33" ht="18.75" customHeight="1">
      <c r="A139" s="147">
        <v>44</v>
      </c>
      <c r="B139" s="208" t="str">
        <f>'Chấm công KT'!C138</f>
        <v>03630</v>
      </c>
      <c r="C139" s="157" t="str">
        <f>'Chấm công KT'!D138</f>
        <v>T. Nú</v>
      </c>
      <c r="D139" s="147" t="s">
        <v>26</v>
      </c>
      <c r="E139" s="218">
        <f t="shared" si="19"/>
        <v>8</v>
      </c>
      <c r="F139" s="218"/>
      <c r="G139" s="218"/>
      <c r="H139" s="218"/>
      <c r="I139" s="218"/>
      <c r="J139" s="209"/>
      <c r="K139" s="159"/>
      <c r="L139" s="159"/>
      <c r="M139" s="95"/>
      <c r="N139" s="91"/>
      <c r="O139" s="173"/>
      <c r="P139" s="148"/>
      <c r="Q139" s="155">
        <f t="shared" si="20"/>
        <v>8</v>
      </c>
      <c r="R139" s="150">
        <f>VLOOKUP(C139,'SẢN LƯỢNG'!$D$99:$AK$160,34,0)</f>
        <v>2844</v>
      </c>
      <c r="S139" s="158"/>
      <c r="T139" s="149">
        <f t="shared" si="21"/>
        <v>0</v>
      </c>
      <c r="U139" s="212">
        <f t="shared" si="17"/>
        <v>2844</v>
      </c>
      <c r="V139" s="435">
        <f>VLOOKUP(C139,'Chấm công KT'!$D$95:$AK$156,34,0)</f>
        <v>25</v>
      </c>
      <c r="W139" s="435">
        <f>VLOOKUP(C139,'Chấm công KT'!$D$95:$AL$156,35,0)</f>
        <v>1</v>
      </c>
      <c r="X139" s="435">
        <f>VLOOKUP(C139,'Chấm công KT'!D138:AM156,36,0)</f>
        <v>0</v>
      </c>
      <c r="Y139" s="435">
        <f>VLOOKUP(C139,'Chấm công KT'!D138:AN199,37,0)</f>
        <v>2</v>
      </c>
      <c r="Z139" s="485"/>
      <c r="AA139" s="485"/>
      <c r="AB139" s="160"/>
      <c r="AC139" s="156">
        <f t="shared" si="18"/>
        <v>8</v>
      </c>
      <c r="AD139" s="92">
        <f>VLOOKUP(C139,'SẢN LƯỢNG'!$D$17:$AR$160,37,0)</f>
        <v>3828</v>
      </c>
      <c r="AE139" s="157"/>
      <c r="AF139" s="77" t="s">
        <v>126</v>
      </c>
      <c r="AG139" s="2">
        <f>1.1-3.19</f>
        <v>-2.09</v>
      </c>
    </row>
    <row r="140" spans="1:33" ht="18.75" customHeight="1">
      <c r="A140" s="147">
        <v>45</v>
      </c>
      <c r="B140" s="208" t="str">
        <f>'Chấm công KT'!C139</f>
        <v>03631</v>
      </c>
      <c r="C140" s="157" t="str">
        <f>'Chấm công KT'!D139</f>
        <v>T. Xan Nha</v>
      </c>
      <c r="D140" s="147" t="s">
        <v>26</v>
      </c>
      <c r="E140" s="218">
        <f t="shared" si="19"/>
        <v>8</v>
      </c>
      <c r="F140" s="218"/>
      <c r="G140" s="218"/>
      <c r="H140" s="218"/>
      <c r="I140" s="218"/>
      <c r="J140" s="209"/>
      <c r="K140" s="159"/>
      <c r="L140" s="159"/>
      <c r="M140" s="95"/>
      <c r="N140" s="154"/>
      <c r="O140" s="225"/>
      <c r="P140" s="148"/>
      <c r="Q140" s="155">
        <f t="shared" si="20"/>
        <v>8</v>
      </c>
      <c r="R140" s="150">
        <f>VLOOKUP(C140,'SẢN LƯỢNG'!$D$99:$AK$160,34,0)</f>
        <v>3967</v>
      </c>
      <c r="S140" s="158"/>
      <c r="T140" s="149">
        <f t="shared" si="21"/>
        <v>0</v>
      </c>
      <c r="U140" s="212">
        <f t="shared" si="17"/>
        <v>3967</v>
      </c>
      <c r="V140" s="435">
        <f>VLOOKUP(C140,'Chấm công KT'!$D$95:$AK$156,34,0)</f>
        <v>26</v>
      </c>
      <c r="W140" s="435">
        <f>VLOOKUP(C140,'Chấm công KT'!$D$95:$AL$156,35,0)</f>
        <v>1</v>
      </c>
      <c r="X140" s="435">
        <f>VLOOKUP(C140,'Chấm công KT'!D139:AM156,36,0)</f>
        <v>0</v>
      </c>
      <c r="Y140" s="435">
        <f>VLOOKUP(C140,'Chấm công KT'!D139:AN200,37,0)</f>
        <v>3</v>
      </c>
      <c r="Z140" s="485"/>
      <c r="AA140" s="485"/>
      <c r="AB140" s="160"/>
      <c r="AC140" s="156">
        <f t="shared" si="18"/>
        <v>8</v>
      </c>
      <c r="AD140" s="92">
        <f>VLOOKUP(C140,'SẢN LƯỢNG'!$D$17:$AR$160,37,0)</f>
        <v>3602</v>
      </c>
      <c r="AE140" s="157"/>
      <c r="AF140" s="77"/>
    </row>
    <row r="141" spans="1:33" ht="18.75" customHeight="1">
      <c r="A141" s="147">
        <v>46</v>
      </c>
      <c r="B141" s="208" t="str">
        <f>'Chấm công KT'!C140</f>
        <v>03632</v>
      </c>
      <c r="C141" s="157" t="str">
        <f>'Chấm công KT'!D140</f>
        <v>T. A lem</v>
      </c>
      <c r="D141" s="147" t="s">
        <v>26</v>
      </c>
      <c r="E141" s="218">
        <f t="shared" si="19"/>
        <v>8</v>
      </c>
      <c r="F141" s="218"/>
      <c r="G141" s="218"/>
      <c r="H141" s="218"/>
      <c r="I141" s="218"/>
      <c r="J141" s="209"/>
      <c r="K141" s="159"/>
      <c r="L141" s="159"/>
      <c r="M141" s="95"/>
      <c r="N141" s="154"/>
      <c r="O141" s="225"/>
      <c r="P141" s="148"/>
      <c r="Q141" s="155">
        <f t="shared" si="20"/>
        <v>8</v>
      </c>
      <c r="R141" s="150">
        <f>VLOOKUP(C141,'SẢN LƯỢNG'!$D$99:$AK$160,34,0)</f>
        <v>4607</v>
      </c>
      <c r="S141" s="158"/>
      <c r="T141" s="149">
        <f t="shared" si="21"/>
        <v>0</v>
      </c>
      <c r="U141" s="212">
        <f t="shared" si="17"/>
        <v>4607</v>
      </c>
      <c r="V141" s="435">
        <f>VLOOKUP(C141,'Chấm công KT'!$D$95:$AK$156,34,0)</f>
        <v>25</v>
      </c>
      <c r="W141" s="435">
        <f>VLOOKUP(C141,'Chấm công KT'!$D$95:$AL$156,35,0)</f>
        <v>1</v>
      </c>
      <c r="X141" s="435">
        <f>VLOOKUP(C141,'Chấm công KT'!D140:AM156,36,0)</f>
        <v>0</v>
      </c>
      <c r="Y141" s="435">
        <f>VLOOKUP(C141,'Chấm công KT'!D140:AN201,37,0)</f>
        <v>3</v>
      </c>
      <c r="Z141" s="485"/>
      <c r="AA141" s="485"/>
      <c r="AB141" s="160"/>
      <c r="AC141" s="156">
        <f t="shared" si="18"/>
        <v>8</v>
      </c>
      <c r="AD141" s="92">
        <f>VLOOKUP(C141,'SẢN LƯỢNG'!$D$17:$AR$160,37,0)</f>
        <v>3622</v>
      </c>
      <c r="AE141" s="157"/>
      <c r="AF141" s="77"/>
    </row>
    <row r="142" spans="1:33" ht="18.75" customHeight="1">
      <c r="A142" s="147">
        <v>47</v>
      </c>
      <c r="B142" s="208" t="str">
        <f>'Chấm công KT'!C141</f>
        <v>04080</v>
      </c>
      <c r="C142" s="157" t="str">
        <f>'Chấm công KT'!D141</f>
        <v>T. Phan</v>
      </c>
      <c r="D142" s="147" t="s">
        <v>26</v>
      </c>
      <c r="E142" s="218">
        <f t="shared" si="19"/>
        <v>8</v>
      </c>
      <c r="F142" s="218"/>
      <c r="G142" s="218"/>
      <c r="H142" s="218"/>
      <c r="I142" s="218"/>
      <c r="J142" s="209"/>
      <c r="K142" s="159"/>
      <c r="L142" s="159"/>
      <c r="M142" s="95"/>
      <c r="N142" s="154"/>
      <c r="O142" s="225"/>
      <c r="P142" s="148"/>
      <c r="Q142" s="155">
        <f t="shared" si="20"/>
        <v>8</v>
      </c>
      <c r="R142" s="150">
        <f>VLOOKUP(C142,'SẢN LƯỢNG'!$D$99:$AK$160,34,0)</f>
        <v>3963</v>
      </c>
      <c r="S142" s="158"/>
      <c r="T142" s="149">
        <f t="shared" si="21"/>
        <v>0</v>
      </c>
      <c r="U142" s="212">
        <f t="shared" si="17"/>
        <v>3963</v>
      </c>
      <c r="V142" s="435">
        <f>VLOOKUP(C142,'Chấm công KT'!$D$95:$AK$156,34,0)</f>
        <v>27</v>
      </c>
      <c r="W142" s="435">
        <f>VLOOKUP(C142,'Chấm công KT'!$D$95:$AL$156,35,0)</f>
        <v>1</v>
      </c>
      <c r="X142" s="435">
        <f>VLOOKUP(C142,'Chấm công KT'!D141:AM156,36,0)</f>
        <v>0</v>
      </c>
      <c r="Y142" s="435">
        <f>VLOOKUP(C142,'Chấm công KT'!D141:AN202,37,0)</f>
        <v>3</v>
      </c>
      <c r="Z142" s="485"/>
      <c r="AA142" s="485"/>
      <c r="AB142" s="160"/>
      <c r="AC142" s="156">
        <f t="shared" si="18"/>
        <v>8</v>
      </c>
      <c r="AD142" s="92">
        <f>VLOOKUP(C142,'SẢN LƯỢNG'!$D$17:$AR$160,37,0)</f>
        <v>4178</v>
      </c>
      <c r="AE142" s="174"/>
      <c r="AF142" s="77"/>
    </row>
    <row r="143" spans="1:33" ht="18.75" customHeight="1">
      <c r="A143" s="147">
        <v>48</v>
      </c>
      <c r="B143" s="208" t="str">
        <f>'Chấm công KT'!C142</f>
        <v>03634</v>
      </c>
      <c r="C143" s="157" t="str">
        <f>'Chấm công KT'!D142</f>
        <v>T . Cổ</v>
      </c>
      <c r="D143" s="147" t="s">
        <v>26</v>
      </c>
      <c r="E143" s="218">
        <f t="shared" si="19"/>
        <v>8</v>
      </c>
      <c r="F143" s="218"/>
      <c r="G143" s="218"/>
      <c r="H143" s="218"/>
      <c r="I143" s="218"/>
      <c r="J143" s="209"/>
      <c r="K143" s="159"/>
      <c r="L143" s="159"/>
      <c r="M143" s="95"/>
      <c r="N143" s="154"/>
      <c r="O143" s="225"/>
      <c r="P143" s="148"/>
      <c r="Q143" s="155">
        <f t="shared" si="20"/>
        <v>8</v>
      </c>
      <c r="R143" s="150">
        <f>VLOOKUP(C143,'SẢN LƯỢNG'!$D$99:$AK$160,34,0)</f>
        <v>5724</v>
      </c>
      <c r="S143" s="158"/>
      <c r="T143" s="149">
        <f t="shared" si="21"/>
        <v>0</v>
      </c>
      <c r="U143" s="212">
        <f t="shared" si="17"/>
        <v>5724</v>
      </c>
      <c r="V143" s="435">
        <f>VLOOKUP(C143,'Chấm công KT'!$D$95:$AK$156,34,0)</f>
        <v>27</v>
      </c>
      <c r="W143" s="435">
        <f>VLOOKUP(C143,'Chấm công KT'!$D$95:$AL$156,35,0)</f>
        <v>1</v>
      </c>
      <c r="X143" s="435">
        <f>VLOOKUP(C143,'Chấm công KT'!D142:AM156,36,0)</f>
        <v>0</v>
      </c>
      <c r="Y143" s="435">
        <f>VLOOKUP(C143,'Chấm công KT'!D142:AN203,37,0)</f>
        <v>3</v>
      </c>
      <c r="Z143" s="485"/>
      <c r="AA143" s="485"/>
      <c r="AB143" s="160"/>
      <c r="AC143" s="156">
        <f t="shared" si="18"/>
        <v>8</v>
      </c>
      <c r="AD143" s="92">
        <f>VLOOKUP(C143,'SẢN LƯỢNG'!$D$17:$AR$160,37,0)</f>
        <v>5271</v>
      </c>
      <c r="AE143" s="174"/>
      <c r="AF143" s="77"/>
    </row>
    <row r="144" spans="1:33" ht="18.75" customHeight="1">
      <c r="A144" s="147">
        <v>49</v>
      </c>
      <c r="B144" s="208" t="str">
        <f>'Chấm công KT'!C143</f>
        <v>03635</v>
      </c>
      <c r="C144" s="157" t="str">
        <f>'Chấm công KT'!D143</f>
        <v>N. Phim Pha</v>
      </c>
      <c r="D144" s="147" t="s">
        <v>26</v>
      </c>
      <c r="E144" s="218">
        <f t="shared" si="19"/>
        <v>8</v>
      </c>
      <c r="F144" s="218"/>
      <c r="G144" s="218"/>
      <c r="H144" s="218"/>
      <c r="I144" s="218"/>
      <c r="J144" s="209"/>
      <c r="K144" s="159"/>
      <c r="L144" s="159"/>
      <c r="M144" s="95"/>
      <c r="N144" s="91"/>
      <c r="O144" s="173"/>
      <c r="P144" s="148"/>
      <c r="Q144" s="155">
        <f t="shared" si="20"/>
        <v>8</v>
      </c>
      <c r="R144" s="150">
        <f>VLOOKUP(C144,'SẢN LƯỢNG'!$D$99:$AK$160,34,0)</f>
        <v>3887</v>
      </c>
      <c r="S144" s="158"/>
      <c r="T144" s="149">
        <f t="shared" si="21"/>
        <v>0</v>
      </c>
      <c r="U144" s="212">
        <f t="shared" si="17"/>
        <v>3887</v>
      </c>
      <c r="V144" s="435">
        <f>VLOOKUP(C144,'Chấm công KT'!$D$95:$AK$156,34,0)</f>
        <v>24</v>
      </c>
      <c r="W144" s="435">
        <f>VLOOKUP(C144,'Chấm công KT'!$D$95:$AL$156,35,0)</f>
        <v>1</v>
      </c>
      <c r="X144" s="435">
        <f>VLOOKUP(C144,'Chấm công KT'!D143:AM156,36,0)</f>
        <v>0</v>
      </c>
      <c r="Y144" s="435">
        <f>VLOOKUP(C144,'Chấm công KT'!D143:AN204,37,0)</f>
        <v>3</v>
      </c>
      <c r="Z144" s="485"/>
      <c r="AA144" s="485"/>
      <c r="AB144" s="160"/>
      <c r="AC144" s="156">
        <f t="shared" si="18"/>
        <v>8</v>
      </c>
      <c r="AD144" s="92">
        <f>VLOOKUP(C144,'SẢN LƯỢNG'!$D$17:$AR$160,37,0)</f>
        <v>3572</v>
      </c>
      <c r="AE144" s="174"/>
      <c r="AF144" s="77"/>
    </row>
    <row r="145" spans="1:32" ht="18.75" customHeight="1">
      <c r="A145" s="147">
        <v>50</v>
      </c>
      <c r="B145" s="208" t="str">
        <f>'Chấm công KT'!C144</f>
        <v>03636</v>
      </c>
      <c r="C145" s="157" t="str">
        <f>'Chấm công KT'!D144</f>
        <v xml:space="preserve">T. Xeng </v>
      </c>
      <c r="D145" s="147" t="s">
        <v>26</v>
      </c>
      <c r="E145" s="218">
        <f t="shared" si="19"/>
        <v>8</v>
      </c>
      <c r="F145" s="218"/>
      <c r="G145" s="218"/>
      <c r="H145" s="218"/>
      <c r="I145" s="218"/>
      <c r="J145" s="209"/>
      <c r="K145" s="159"/>
      <c r="L145" s="159"/>
      <c r="M145" s="95"/>
      <c r="N145" s="154"/>
      <c r="O145" s="225"/>
      <c r="P145" s="148"/>
      <c r="Q145" s="155">
        <f t="shared" si="20"/>
        <v>8</v>
      </c>
      <c r="R145" s="150">
        <f>VLOOKUP(C145,'SẢN LƯỢNG'!$D$99:$AK$160,34,0)</f>
        <v>4571</v>
      </c>
      <c r="S145" s="158"/>
      <c r="T145" s="149">
        <f t="shared" si="21"/>
        <v>0</v>
      </c>
      <c r="U145" s="212">
        <f t="shared" si="17"/>
        <v>4571</v>
      </c>
      <c r="V145" s="435">
        <f>VLOOKUP(C145,'Chấm công KT'!$D$95:$AK$156,34,0)</f>
        <v>27</v>
      </c>
      <c r="W145" s="435">
        <f>VLOOKUP(C145,'Chấm công KT'!$D$95:$AL$156,35,0)</f>
        <v>1</v>
      </c>
      <c r="X145" s="435">
        <f>VLOOKUP(C145,'Chấm công KT'!D144:AM156,36,0)</f>
        <v>0</v>
      </c>
      <c r="Y145" s="435">
        <f>VLOOKUP(C145,'Chấm công KT'!D144:AN205,37,0)</f>
        <v>3</v>
      </c>
      <c r="Z145" s="485"/>
      <c r="AA145" s="485"/>
      <c r="AB145" s="160"/>
      <c r="AC145" s="156">
        <f t="shared" si="18"/>
        <v>8</v>
      </c>
      <c r="AD145" s="92">
        <f>VLOOKUP(C145,'SẢN LƯỢNG'!$D$17:$AR$160,37,0)</f>
        <v>4297</v>
      </c>
      <c r="AE145" s="174"/>
      <c r="AF145" s="77"/>
    </row>
    <row r="146" spans="1:32" ht="18.75" customHeight="1">
      <c r="A146" s="147">
        <v>51</v>
      </c>
      <c r="B146" s="208" t="str">
        <f>'Chấm công KT'!C145</f>
        <v>03637</v>
      </c>
      <c r="C146" s="157" t="str">
        <f>'Chấm công KT'!D145</f>
        <v>T. Vạt</v>
      </c>
      <c r="D146" s="147" t="s">
        <v>26</v>
      </c>
      <c r="E146" s="218">
        <f t="shared" si="19"/>
        <v>8</v>
      </c>
      <c r="F146" s="218"/>
      <c r="G146" s="218"/>
      <c r="H146" s="218"/>
      <c r="I146" s="218"/>
      <c r="J146" s="209"/>
      <c r="K146" s="159"/>
      <c r="L146" s="159"/>
      <c r="M146" s="95"/>
      <c r="N146" s="154"/>
      <c r="O146" s="225"/>
      <c r="P146" s="148"/>
      <c r="Q146" s="155">
        <f t="shared" si="20"/>
        <v>8</v>
      </c>
      <c r="R146" s="150">
        <f>VLOOKUP(C146,'SẢN LƯỢNG'!$D$99:$AK$160,34,0)</f>
        <v>4735</v>
      </c>
      <c r="S146" s="158"/>
      <c r="T146" s="149">
        <f t="shared" si="21"/>
        <v>0</v>
      </c>
      <c r="U146" s="212">
        <f t="shared" si="17"/>
        <v>4735</v>
      </c>
      <c r="V146" s="435">
        <f>VLOOKUP(C146,'Chấm công KT'!$D$95:$AK$156,34,0)</f>
        <v>26</v>
      </c>
      <c r="W146" s="435">
        <f>VLOOKUP(C146,'Chấm công KT'!$D$95:$AL$156,35,0)</f>
        <v>1</v>
      </c>
      <c r="X146" s="435">
        <f>VLOOKUP(C146,'Chấm công KT'!D145:AM156,36,0)</f>
        <v>0</v>
      </c>
      <c r="Y146" s="435">
        <f>VLOOKUP(C146,'Chấm công KT'!D145:AN206,37,0)</f>
        <v>3</v>
      </c>
      <c r="Z146" s="485"/>
      <c r="AA146" s="485"/>
      <c r="AB146" s="160"/>
      <c r="AC146" s="156">
        <f t="shared" si="18"/>
        <v>8</v>
      </c>
      <c r="AD146" s="92">
        <f>VLOOKUP(C146,'SẢN LƯỢNG'!$D$17:$AR$160,37,0)</f>
        <v>4565</v>
      </c>
      <c r="AE146" s="174"/>
      <c r="AF146" s="77"/>
    </row>
    <row r="147" spans="1:32" ht="18.75" customHeight="1">
      <c r="A147" s="147">
        <v>52</v>
      </c>
      <c r="B147" s="208" t="str">
        <f>'Chấm công KT'!C146</f>
        <v>03638</v>
      </c>
      <c r="C147" s="157" t="str">
        <f>'Chấm công KT'!D146</f>
        <v>T. Lay</v>
      </c>
      <c r="D147" s="147" t="s">
        <v>26</v>
      </c>
      <c r="E147" s="218">
        <f t="shared" si="19"/>
        <v>8</v>
      </c>
      <c r="F147" s="218"/>
      <c r="G147" s="218"/>
      <c r="H147" s="218"/>
      <c r="I147" s="218"/>
      <c r="J147" s="209"/>
      <c r="K147" s="159"/>
      <c r="L147" s="159"/>
      <c r="M147" s="95"/>
      <c r="N147" s="154"/>
      <c r="O147" s="225"/>
      <c r="P147" s="148"/>
      <c r="Q147" s="155">
        <f t="shared" si="20"/>
        <v>8</v>
      </c>
      <c r="R147" s="150">
        <f>VLOOKUP(C147,'SẢN LƯỢNG'!$D$99:$AK$160,34,0)</f>
        <v>3929</v>
      </c>
      <c r="S147" s="158"/>
      <c r="T147" s="149">
        <f t="shared" si="21"/>
        <v>0</v>
      </c>
      <c r="U147" s="212">
        <f t="shared" si="17"/>
        <v>3929</v>
      </c>
      <c r="V147" s="435">
        <f>VLOOKUP(C147,'Chấm công KT'!$D$95:$AK$156,34,0)</f>
        <v>25</v>
      </c>
      <c r="W147" s="435">
        <f>VLOOKUP(C147,'Chấm công KT'!$D$95:$AL$156,35,0)</f>
        <v>1</v>
      </c>
      <c r="X147" s="435">
        <f>VLOOKUP(C147,'Chấm công KT'!D146:AM156,36,0)</f>
        <v>0</v>
      </c>
      <c r="Y147" s="435">
        <f>VLOOKUP(C147,'Chấm công KT'!D146:AN207,37,0)</f>
        <v>3</v>
      </c>
      <c r="Z147" s="485"/>
      <c r="AA147" s="485"/>
      <c r="AB147" s="160"/>
      <c r="AC147" s="156">
        <f t="shared" si="18"/>
        <v>8</v>
      </c>
      <c r="AD147" s="92">
        <f>VLOOKUP(C147,'SẢN LƯỢNG'!$D$17:$AR$160,37,0)</f>
        <v>4269</v>
      </c>
      <c r="AE147" s="174"/>
      <c r="AF147" s="77"/>
    </row>
    <row r="148" spans="1:32" ht="18.75" customHeight="1">
      <c r="A148" s="147">
        <v>53</v>
      </c>
      <c r="B148" s="208" t="str">
        <f>'Chấm công KT'!C147</f>
        <v>04081</v>
      </c>
      <c r="C148" s="157" t="str">
        <f>'Chấm công KT'!D147</f>
        <v>N. Nọi</v>
      </c>
      <c r="D148" s="147" t="s">
        <v>26</v>
      </c>
      <c r="E148" s="218">
        <f t="shared" si="19"/>
        <v>8</v>
      </c>
      <c r="F148" s="218"/>
      <c r="G148" s="218"/>
      <c r="H148" s="218"/>
      <c r="I148" s="218"/>
      <c r="J148" s="209"/>
      <c r="K148" s="159"/>
      <c r="L148" s="159"/>
      <c r="M148" s="95"/>
      <c r="N148" s="154"/>
      <c r="O148" s="225"/>
      <c r="P148" s="148"/>
      <c r="Q148" s="155">
        <f t="shared" si="20"/>
        <v>8</v>
      </c>
      <c r="R148" s="150">
        <f>VLOOKUP(C148,'SẢN LƯỢNG'!$D$99:$AK$160,34,0)</f>
        <v>3979</v>
      </c>
      <c r="S148" s="158"/>
      <c r="T148" s="149">
        <f t="shared" si="21"/>
        <v>0</v>
      </c>
      <c r="U148" s="212">
        <f t="shared" si="17"/>
        <v>3979</v>
      </c>
      <c r="V148" s="435">
        <f>VLOOKUP(C148,'Chấm công KT'!$D$95:$AK$156,34,0)</f>
        <v>25</v>
      </c>
      <c r="W148" s="435">
        <f>VLOOKUP(C148,'Chấm công KT'!$D$95:$AL$156,35,0)</f>
        <v>1</v>
      </c>
      <c r="X148" s="435">
        <f>VLOOKUP(C148,'Chấm công KT'!D147:AM156,36,0)</f>
        <v>0</v>
      </c>
      <c r="Y148" s="435">
        <f>VLOOKUP(C148,'Chấm công KT'!D147:AN208,37,0)</f>
        <v>3</v>
      </c>
      <c r="Z148" s="485"/>
      <c r="AA148" s="485"/>
      <c r="AB148" s="160"/>
      <c r="AC148" s="156">
        <f t="shared" si="18"/>
        <v>8</v>
      </c>
      <c r="AD148" s="92">
        <f>VLOOKUP(C148,'SẢN LƯỢNG'!$D$17:$AR$160,37,0)</f>
        <v>4356</v>
      </c>
      <c r="AE148" s="174"/>
      <c r="AF148" s="77"/>
    </row>
    <row r="149" spans="1:32" ht="18.75" customHeight="1">
      <c r="A149" s="147">
        <v>54</v>
      </c>
      <c r="B149" s="208" t="str">
        <f>'Chấm công KT'!C148</f>
        <v>04082</v>
      </c>
      <c r="C149" s="157" t="str">
        <f>'Chấm công KT'!D148</f>
        <v>T Bun Xi</v>
      </c>
      <c r="D149" s="147" t="s">
        <v>26</v>
      </c>
      <c r="E149" s="218">
        <f t="shared" si="19"/>
        <v>8</v>
      </c>
      <c r="F149" s="218"/>
      <c r="G149" s="218"/>
      <c r="H149" s="218"/>
      <c r="I149" s="218"/>
      <c r="J149" s="209"/>
      <c r="K149" s="159"/>
      <c r="L149" s="159"/>
      <c r="M149" s="209"/>
      <c r="N149" s="154"/>
      <c r="O149" s="225"/>
      <c r="P149" s="148"/>
      <c r="Q149" s="155">
        <f t="shared" si="20"/>
        <v>8</v>
      </c>
      <c r="R149" s="150">
        <f>VLOOKUP(C149,'SẢN LƯỢNG'!$D$99:$AK$160,34,0)</f>
        <v>4182</v>
      </c>
      <c r="S149" s="158"/>
      <c r="T149" s="149">
        <f t="shared" si="21"/>
        <v>0</v>
      </c>
      <c r="U149" s="212">
        <f t="shared" si="17"/>
        <v>4182</v>
      </c>
      <c r="V149" s="435">
        <f>VLOOKUP(C149,'Chấm công KT'!$D$95:$AK$156,34,0)</f>
        <v>24</v>
      </c>
      <c r="W149" s="435">
        <f>VLOOKUP(C149,'Chấm công KT'!$D$95:$AL$156,35,0)</f>
        <v>1</v>
      </c>
      <c r="X149" s="435">
        <f>VLOOKUP(C149,'Chấm công KT'!D148:AM156,36,0)</f>
        <v>0</v>
      </c>
      <c r="Y149" s="435">
        <f>VLOOKUP(C149,'Chấm công KT'!D148:AN209,37,0)</f>
        <v>3</v>
      </c>
      <c r="Z149" s="485"/>
      <c r="AA149" s="485"/>
      <c r="AB149" s="160"/>
      <c r="AC149" s="156">
        <f t="shared" si="18"/>
        <v>8</v>
      </c>
      <c r="AD149" s="92">
        <f>VLOOKUP(C149,'SẢN LƯỢNG'!$D$17:$AR$160,37,0)</f>
        <v>4073</v>
      </c>
      <c r="AE149" s="174"/>
      <c r="AF149" s="77"/>
    </row>
    <row r="150" spans="1:32" ht="18.75" customHeight="1">
      <c r="A150" s="147">
        <v>55</v>
      </c>
      <c r="B150" s="208" t="str">
        <f>'Chấm công KT'!C149</f>
        <v>04083</v>
      </c>
      <c r="C150" s="157" t="str">
        <f>'Chấm công KT'!D149</f>
        <v>N. Bù</v>
      </c>
      <c r="D150" s="147" t="s">
        <v>26</v>
      </c>
      <c r="E150" s="218">
        <f t="shared" si="19"/>
        <v>8</v>
      </c>
      <c r="F150" s="218"/>
      <c r="G150" s="218"/>
      <c r="H150" s="218"/>
      <c r="I150" s="218"/>
      <c r="J150" s="209"/>
      <c r="K150" s="159"/>
      <c r="L150" s="159"/>
      <c r="M150" s="95"/>
      <c r="N150" s="154"/>
      <c r="O150" s="225"/>
      <c r="P150" s="148"/>
      <c r="Q150" s="155">
        <f t="shared" si="20"/>
        <v>8</v>
      </c>
      <c r="R150" s="150">
        <f>VLOOKUP(C150,'SẢN LƯỢNG'!$D$99:$AK$160,34,0)</f>
        <v>3805</v>
      </c>
      <c r="S150" s="158"/>
      <c r="T150" s="149">
        <f t="shared" si="21"/>
        <v>0</v>
      </c>
      <c r="U150" s="212">
        <f t="shared" si="17"/>
        <v>3805</v>
      </c>
      <c r="V150" s="435">
        <f>VLOOKUP(C150,'Chấm công KT'!$D$95:$AK$156,34,0)</f>
        <v>24</v>
      </c>
      <c r="W150" s="435">
        <f>VLOOKUP(C150,'Chấm công KT'!$D$95:$AL$156,35,0)</f>
        <v>1</v>
      </c>
      <c r="X150" s="435">
        <f>VLOOKUP(C150,'Chấm công KT'!D149:AM156,36,0)</f>
        <v>0</v>
      </c>
      <c r="Y150" s="435">
        <f>VLOOKUP(C150,'Chấm công KT'!D149:AN210,37,0)</f>
        <v>3</v>
      </c>
      <c r="Z150" s="485"/>
      <c r="AA150" s="485"/>
      <c r="AB150" s="160"/>
      <c r="AC150" s="156">
        <f t="shared" si="18"/>
        <v>8</v>
      </c>
      <c r="AD150" s="92">
        <f>VLOOKUP(C150,'SẢN LƯỢNG'!$D$17:$AR$160,37,0)</f>
        <v>3767</v>
      </c>
      <c r="AE150" s="174"/>
      <c r="AF150" s="77"/>
    </row>
    <row r="151" spans="1:32" ht="18.75" customHeight="1">
      <c r="A151" s="147">
        <v>56</v>
      </c>
      <c r="B151" s="208" t="str">
        <f>'Chấm công KT'!C150</f>
        <v>03642</v>
      </c>
      <c r="C151" s="157" t="str">
        <f>'Chấm công KT'!D150</f>
        <v>T. Xơn</v>
      </c>
      <c r="D151" s="147" t="s">
        <v>26</v>
      </c>
      <c r="E151" s="218">
        <f t="shared" si="19"/>
        <v>8</v>
      </c>
      <c r="F151" s="218"/>
      <c r="G151" s="218"/>
      <c r="H151" s="218"/>
      <c r="I151" s="218"/>
      <c r="J151" s="209"/>
      <c r="K151" s="159"/>
      <c r="L151" s="159"/>
      <c r="M151" s="209"/>
      <c r="N151" s="173"/>
      <c r="O151" s="173"/>
      <c r="P151" s="173"/>
      <c r="Q151" s="155">
        <f t="shared" si="20"/>
        <v>8</v>
      </c>
      <c r="R151" s="150">
        <f>VLOOKUP(C151,'SẢN LƯỢNG'!$D$99:$AK$160,34,0)</f>
        <v>4142</v>
      </c>
      <c r="S151" s="158"/>
      <c r="T151" s="149">
        <f t="shared" si="21"/>
        <v>0</v>
      </c>
      <c r="U151" s="212">
        <f t="shared" si="17"/>
        <v>4142</v>
      </c>
      <c r="V151" s="435">
        <f>VLOOKUP(C151,'Chấm công KT'!$D$95:$AK$156,34,0)</f>
        <v>25</v>
      </c>
      <c r="W151" s="435">
        <f>VLOOKUP(C151,'Chấm công KT'!$D$95:$AL$156,35,0)</f>
        <v>1</v>
      </c>
      <c r="X151" s="435">
        <f>VLOOKUP(C151,'Chấm công KT'!D150:AM156,36,0)</f>
        <v>0</v>
      </c>
      <c r="Y151" s="435">
        <f>VLOOKUP(C151,'Chấm công KT'!D150:AN211,37,0)</f>
        <v>3</v>
      </c>
      <c r="Z151" s="485"/>
      <c r="AA151" s="485"/>
      <c r="AB151" s="160"/>
      <c r="AC151" s="156">
        <f t="shared" si="18"/>
        <v>8</v>
      </c>
      <c r="AD151" s="92">
        <f>VLOOKUP(C151,'SẢN LƯỢNG'!$D$17:$AR$160,37,0)</f>
        <v>3943</v>
      </c>
      <c r="AE151" s="174"/>
      <c r="AF151" s="77"/>
    </row>
    <row r="152" spans="1:32" ht="18.75" customHeight="1">
      <c r="A152" s="147">
        <v>57</v>
      </c>
      <c r="B152" s="208" t="str">
        <f>'Chấm công KT'!C151</f>
        <v>04084</v>
      </c>
      <c r="C152" s="157" t="str">
        <f>'Chấm công KT'!D151</f>
        <v>T. Thi</v>
      </c>
      <c r="D152" s="147" t="s">
        <v>26</v>
      </c>
      <c r="E152" s="218">
        <f t="shared" si="19"/>
        <v>8</v>
      </c>
      <c r="F152" s="218"/>
      <c r="G152" s="218"/>
      <c r="H152" s="218"/>
      <c r="I152" s="218"/>
      <c r="J152" s="209"/>
      <c r="K152" s="159"/>
      <c r="L152" s="159"/>
      <c r="M152" s="209"/>
      <c r="N152" s="173"/>
      <c r="O152" s="173"/>
      <c r="P152" s="173"/>
      <c r="Q152" s="155">
        <f t="shared" si="20"/>
        <v>8</v>
      </c>
      <c r="R152" s="150">
        <f>VLOOKUP(C152,'SẢN LƯỢNG'!$D$99:$AK$160,34,0)</f>
        <v>4774</v>
      </c>
      <c r="S152" s="158"/>
      <c r="T152" s="149">
        <f t="shared" si="21"/>
        <v>0</v>
      </c>
      <c r="U152" s="212">
        <f t="shared" si="17"/>
        <v>4774</v>
      </c>
      <c r="V152" s="435">
        <f>VLOOKUP(C152,'Chấm công KT'!$D$95:$AK$156,34,0)</f>
        <v>25</v>
      </c>
      <c r="W152" s="435">
        <f>VLOOKUP(C152,'Chấm công KT'!$D$95:$AL$156,35,0)</f>
        <v>1</v>
      </c>
      <c r="X152" s="435">
        <f>VLOOKUP(C152,'Chấm công KT'!D151:AM156,36,0)</f>
        <v>0</v>
      </c>
      <c r="Y152" s="435">
        <f>VLOOKUP(C152,'Chấm công KT'!D151:AN212,37,0)</f>
        <v>3</v>
      </c>
      <c r="Z152" s="485"/>
      <c r="AA152" s="485"/>
      <c r="AB152" s="160"/>
      <c r="AC152" s="156">
        <f t="shared" si="18"/>
        <v>8</v>
      </c>
      <c r="AD152" s="92">
        <f>VLOOKUP(C152,'SẢN LƯỢNG'!$D$17:$AR$160,37,0)</f>
        <v>2583</v>
      </c>
      <c r="AE152" s="174"/>
      <c r="AF152" s="77"/>
    </row>
    <row r="153" spans="1:32" ht="18.75" customHeight="1">
      <c r="A153" s="147">
        <v>58</v>
      </c>
      <c r="B153" s="208" t="str">
        <f>'Chấm công KT'!C152</f>
        <v>04085</v>
      </c>
      <c r="C153" s="157" t="str">
        <f>'Chấm công KT'!D152</f>
        <v>On chay</v>
      </c>
      <c r="D153" s="147" t="s">
        <v>26</v>
      </c>
      <c r="E153" s="218">
        <f t="shared" si="19"/>
        <v>8</v>
      </c>
      <c r="F153" s="218"/>
      <c r="G153" s="218"/>
      <c r="H153" s="218"/>
      <c r="I153" s="218"/>
      <c r="J153" s="209"/>
      <c r="K153" s="159"/>
      <c r="L153" s="159"/>
      <c r="M153" s="209"/>
      <c r="N153" s="173"/>
      <c r="O153" s="173"/>
      <c r="P153" s="173"/>
      <c r="Q153" s="155">
        <f t="shared" si="20"/>
        <v>8</v>
      </c>
      <c r="R153" s="150">
        <f>VLOOKUP(C153,'SẢN LƯỢNG'!$D$99:$AK$160,34,0)</f>
        <v>2991</v>
      </c>
      <c r="S153" s="158"/>
      <c r="T153" s="149">
        <f t="shared" si="21"/>
        <v>0</v>
      </c>
      <c r="U153" s="212">
        <f t="shared" si="17"/>
        <v>2991</v>
      </c>
      <c r="V153" s="435">
        <f>VLOOKUP(C153,'Chấm công KT'!$D$95:$AK$156,34,0)</f>
        <v>25</v>
      </c>
      <c r="W153" s="435">
        <f>VLOOKUP(C153,'Chấm công KT'!$D$95:$AL$156,35,0)</f>
        <v>1</v>
      </c>
      <c r="X153" s="435">
        <f>VLOOKUP(C153,'Chấm công KT'!D152:AM156,36,0)</f>
        <v>0</v>
      </c>
      <c r="Y153" s="435">
        <f>VLOOKUP(C153,'Chấm công KT'!D152:AN213,37,0)</f>
        <v>3</v>
      </c>
      <c r="Z153" s="485"/>
      <c r="AA153" s="485"/>
      <c r="AB153" s="160"/>
      <c r="AC153" s="156">
        <f t="shared" ref="AC153:AC161" si="22">Q153</f>
        <v>8</v>
      </c>
      <c r="AD153" s="92">
        <f>VLOOKUP(C153,'SẢN LƯỢNG'!$D$17:$AR$160,37,0)</f>
        <v>3057</v>
      </c>
      <c r="AE153" s="174"/>
      <c r="AF153" s="77"/>
    </row>
    <row r="154" spans="1:32" ht="18.75" customHeight="1">
      <c r="A154" s="147">
        <v>59</v>
      </c>
      <c r="B154" s="458"/>
      <c r="C154" s="157" t="str">
        <f>'Chấm công KT'!D153</f>
        <v>T. Thong</v>
      </c>
      <c r="D154" s="147" t="s">
        <v>26</v>
      </c>
      <c r="E154" s="159"/>
      <c r="F154" s="218"/>
      <c r="G154" s="218"/>
      <c r="H154" s="218"/>
      <c r="I154" s="218"/>
      <c r="J154" s="209"/>
      <c r="K154" s="172"/>
      <c r="L154" s="172"/>
      <c r="M154" s="209"/>
      <c r="N154" s="173"/>
      <c r="O154" s="173"/>
      <c r="P154" s="173"/>
      <c r="Q154" s="155">
        <f t="shared" si="20"/>
        <v>0</v>
      </c>
      <c r="R154" s="150">
        <f>VLOOKUP(C154,'SẢN LƯỢNG'!$D$99:$AK$160,34,0)</f>
        <v>1544</v>
      </c>
      <c r="S154" s="158"/>
      <c r="T154" s="149">
        <f t="shared" si="21"/>
        <v>0</v>
      </c>
      <c r="U154" s="212">
        <f t="shared" si="17"/>
        <v>1544</v>
      </c>
      <c r="V154" s="435">
        <f>VLOOKUP(C154,'Chấm công KT'!$D$95:$AK$156,34,0)</f>
        <v>22</v>
      </c>
      <c r="W154" s="435">
        <f>VLOOKUP(C154,'Chấm công KT'!$D$95:$AL$156,35,0)</f>
        <v>1</v>
      </c>
      <c r="X154" s="435">
        <f>VLOOKUP(C154,'Chấm công KT'!D153:AM156,36,0)</f>
        <v>0</v>
      </c>
      <c r="Y154" s="435">
        <f>VLOOKUP(C154,'Chấm công KT'!D153:AN214,37,0)</f>
        <v>3</v>
      </c>
      <c r="Z154" s="485"/>
      <c r="AA154" s="485"/>
      <c r="AB154" s="160"/>
      <c r="AC154" s="156">
        <f t="shared" si="22"/>
        <v>0</v>
      </c>
      <c r="AD154" s="92">
        <f>VLOOKUP(C154,'SẢN LƯỢNG'!$D$17:$AR$160,37,0)</f>
        <v>1567</v>
      </c>
      <c r="AE154" s="174"/>
      <c r="AF154" s="77"/>
    </row>
    <row r="155" spans="1:32" ht="18.75" customHeight="1">
      <c r="A155" s="147">
        <v>60</v>
      </c>
      <c r="B155" s="458"/>
      <c r="C155" s="157" t="str">
        <f>'Chấm công KT'!D154</f>
        <v>T. Khách</v>
      </c>
      <c r="D155" s="147" t="s">
        <v>26</v>
      </c>
      <c r="E155" s="159"/>
      <c r="F155" s="218"/>
      <c r="G155" s="218"/>
      <c r="H155" s="218"/>
      <c r="I155" s="218"/>
      <c r="J155" s="209"/>
      <c r="K155" s="172"/>
      <c r="L155" s="172"/>
      <c r="M155" s="209"/>
      <c r="N155" s="173"/>
      <c r="O155" s="173"/>
      <c r="P155" s="173"/>
      <c r="Q155" s="155">
        <f t="shared" si="20"/>
        <v>0</v>
      </c>
      <c r="R155" s="150">
        <f>VLOOKUP(C155,'SẢN LƯỢNG'!$D$99:$AK$160,34,0)</f>
        <v>1024</v>
      </c>
      <c r="S155" s="158"/>
      <c r="T155" s="149">
        <f t="shared" si="21"/>
        <v>0</v>
      </c>
      <c r="U155" s="212">
        <f t="shared" si="17"/>
        <v>1024</v>
      </c>
      <c r="V155" s="435">
        <f>VLOOKUP(C155,'Chấm công KT'!$D$95:$AK$156,34,0)</f>
        <v>16</v>
      </c>
      <c r="W155" s="435">
        <f>VLOOKUP(C155,'Chấm công KT'!$D$95:$AL$156,35,0)</f>
        <v>1</v>
      </c>
      <c r="X155" s="435">
        <f>VLOOKUP(C155,'Chấm công KT'!D154:AM156,36,0)</f>
        <v>0</v>
      </c>
      <c r="Y155" s="435">
        <f>VLOOKUP(C155,'Chấm công KT'!D154:AN215,37,0)</f>
        <v>3</v>
      </c>
      <c r="Z155" s="485"/>
      <c r="AA155" s="485"/>
      <c r="AB155" s="160"/>
      <c r="AC155" s="156">
        <f t="shared" si="22"/>
        <v>0</v>
      </c>
      <c r="AD155" s="92">
        <f>VLOOKUP(C155,'SẢN LƯỢNG'!$D$17:$AR$160,37,0)</f>
        <v>1023</v>
      </c>
      <c r="AE155" s="174"/>
      <c r="AF155" s="77"/>
    </row>
    <row r="156" spans="1:32" ht="18.75" customHeight="1">
      <c r="A156" s="147">
        <v>61</v>
      </c>
      <c r="B156" s="458"/>
      <c r="C156" s="157" t="str">
        <f>'Chấm công KT'!D155</f>
        <v>Nang On Xi</v>
      </c>
      <c r="D156" s="147" t="s">
        <v>26</v>
      </c>
      <c r="E156" s="159"/>
      <c r="F156" s="218"/>
      <c r="G156" s="218"/>
      <c r="H156" s="218"/>
      <c r="I156" s="218"/>
      <c r="J156" s="209"/>
      <c r="K156" s="172"/>
      <c r="L156" s="172"/>
      <c r="M156" s="209"/>
      <c r="N156" s="173"/>
      <c r="O156" s="173"/>
      <c r="P156" s="173"/>
      <c r="Q156" s="155">
        <f t="shared" si="20"/>
        <v>0</v>
      </c>
      <c r="R156" s="150">
        <f>VLOOKUP(C156,'SẢN LƯỢNG'!$D$99:$AK$160,34,0)</f>
        <v>429</v>
      </c>
      <c r="S156" s="158"/>
      <c r="T156" s="149">
        <f t="shared" si="21"/>
        <v>0</v>
      </c>
      <c r="U156" s="212">
        <f t="shared" si="17"/>
        <v>429</v>
      </c>
      <c r="V156" s="435">
        <f>VLOOKUP(C156,'Chấm công KT'!$D$95:$AK$156,34,0)</f>
        <v>13</v>
      </c>
      <c r="W156" s="435">
        <f>VLOOKUP(C156,'Chấm công KT'!$D$95:$AL$156,35,0)</f>
        <v>1</v>
      </c>
      <c r="X156" s="435">
        <f>VLOOKUP(C156,'Chấm công KT'!D155:AM156,36,0)</f>
        <v>0</v>
      </c>
      <c r="Y156" s="435">
        <f>VLOOKUP(C156,'Chấm công KT'!D155:AN216,37,0)</f>
        <v>2</v>
      </c>
      <c r="Z156" s="485"/>
      <c r="AA156" s="485"/>
      <c r="AB156" s="160"/>
      <c r="AC156" s="156">
        <f t="shared" si="22"/>
        <v>0</v>
      </c>
      <c r="AD156" s="92">
        <f>VLOOKUP(C156,'SẢN LƯỢNG'!$D$17:$AR$160,37,0)</f>
        <v>517</v>
      </c>
      <c r="AE156" s="174"/>
      <c r="AF156" s="77"/>
    </row>
    <row r="157" spans="1:32" ht="18.75" customHeight="1">
      <c r="A157" s="147">
        <v>62</v>
      </c>
      <c r="B157" s="458"/>
      <c r="C157" s="157" t="str">
        <f>'Chấm công KT'!D156</f>
        <v>Thảo Túc</v>
      </c>
      <c r="D157" s="452"/>
      <c r="E157" s="172"/>
      <c r="F157" s="477"/>
      <c r="G157" s="477"/>
      <c r="H157" s="477"/>
      <c r="I157" s="477"/>
      <c r="J157" s="476"/>
      <c r="K157" s="172"/>
      <c r="L157" s="172"/>
      <c r="M157" s="654"/>
      <c r="N157" s="173"/>
      <c r="O157" s="173"/>
      <c r="P157" s="173"/>
      <c r="Q157" s="155">
        <f t="shared" si="20"/>
        <v>0</v>
      </c>
      <c r="R157" s="150">
        <f>VLOOKUP(C157,'SẢN LƯỢNG'!$D$99:$AK$161,34,0)</f>
        <v>344</v>
      </c>
      <c r="S157" s="158"/>
      <c r="T157" s="149"/>
      <c r="U157" s="212">
        <f t="shared" si="17"/>
        <v>344</v>
      </c>
      <c r="V157" s="435">
        <f>VLOOKUP(C157,'Chấm công KT'!$D$95:$AK$156,34,0)</f>
        <v>11</v>
      </c>
      <c r="W157" s="435">
        <f>VLOOKUP(C157,'Chấm công KT'!$D$95:$AL$156,35,0)</f>
        <v>0</v>
      </c>
      <c r="X157" s="435">
        <f>VLOOKUP(C157,'Chấm công KT'!D156:AM156,36,0)</f>
        <v>0</v>
      </c>
      <c r="Y157" s="435">
        <f>VLOOKUP(C157,'Chấm công KT'!D156:AN217,37,0)</f>
        <v>2</v>
      </c>
      <c r="Z157" s="485"/>
      <c r="AA157" s="485"/>
      <c r="AB157" s="160"/>
      <c r="AC157" s="156">
        <f t="shared" si="22"/>
        <v>0</v>
      </c>
      <c r="AD157" s="92"/>
      <c r="AE157" s="174"/>
      <c r="AF157" s="77"/>
    </row>
    <row r="158" spans="1:32" s="429" customFormat="1" ht="18.75" customHeight="1">
      <c r="A158" s="147">
        <v>63</v>
      </c>
      <c r="B158" s="545"/>
      <c r="C158" s="427" t="s">
        <v>760</v>
      </c>
      <c r="D158" s="430"/>
      <c r="E158" s="421"/>
      <c r="F158" s="431"/>
      <c r="G158" s="431"/>
      <c r="H158" s="431"/>
      <c r="I158" s="431"/>
      <c r="J158" s="432"/>
      <c r="K158" s="421"/>
      <c r="L158" s="421"/>
      <c r="M158" s="450"/>
      <c r="N158" s="422"/>
      <c r="O158" s="422"/>
      <c r="P158" s="422"/>
      <c r="Q158" s="155">
        <f t="shared" si="20"/>
        <v>0</v>
      </c>
      <c r="R158" s="150"/>
      <c r="S158" s="424"/>
      <c r="T158" s="425"/>
      <c r="U158" s="541"/>
      <c r="V158" s="435"/>
      <c r="W158" s="435"/>
      <c r="X158" s="486"/>
      <c r="Y158" s="485"/>
      <c r="Z158" s="485"/>
      <c r="AA158" s="485"/>
      <c r="AB158" s="426"/>
      <c r="AC158" s="547">
        <f t="shared" ref="AC158" si="23">Q158</f>
        <v>0</v>
      </c>
      <c r="AD158" s="92"/>
      <c r="AE158" s="427"/>
      <c r="AF158" s="428"/>
    </row>
    <row r="159" spans="1:32" s="429" customFormat="1" ht="18.75" customHeight="1">
      <c r="A159" s="147">
        <v>64</v>
      </c>
      <c r="B159" s="417"/>
      <c r="C159" s="433" t="s">
        <v>391</v>
      </c>
      <c r="D159" s="430"/>
      <c r="E159" s="421"/>
      <c r="F159" s="431"/>
      <c r="G159" s="431"/>
      <c r="H159" s="431">
        <f>12.24+697.96</f>
        <v>710.2</v>
      </c>
      <c r="I159" s="431"/>
      <c r="J159" s="432"/>
      <c r="K159" s="421"/>
      <c r="L159" s="421"/>
      <c r="M159" s="421"/>
      <c r="N159" s="422"/>
      <c r="O159" s="422"/>
      <c r="P159" s="422"/>
      <c r="Q159" s="155">
        <f t="shared" si="20"/>
        <v>710.2</v>
      </c>
      <c r="R159" s="546"/>
      <c r="S159" s="424"/>
      <c r="T159" s="425"/>
      <c r="U159" s="541"/>
      <c r="V159" s="435"/>
      <c r="W159" s="435"/>
      <c r="X159" s="486"/>
      <c r="Y159" s="485"/>
      <c r="Z159" s="527"/>
      <c r="AA159" s="527"/>
      <c r="AB159" s="426"/>
      <c r="AC159" s="547">
        <f t="shared" si="22"/>
        <v>710.2</v>
      </c>
      <c r="AD159" s="542"/>
      <c r="AE159" s="427"/>
      <c r="AF159" s="428"/>
    </row>
    <row r="160" spans="1:32" s="429" customFormat="1" ht="18.75" customHeight="1">
      <c r="A160" s="147">
        <v>65</v>
      </c>
      <c r="B160" s="417"/>
      <c r="C160" s="543" t="s">
        <v>701</v>
      </c>
      <c r="D160" s="430"/>
      <c r="E160" s="421"/>
      <c r="F160" s="431"/>
      <c r="G160" s="431"/>
      <c r="H160" s="431"/>
      <c r="I160" s="431"/>
      <c r="J160" s="432"/>
      <c r="K160" s="836"/>
      <c r="L160" s="421"/>
      <c r="M160" s="432">
        <f>33.6+408.96+0.11</f>
        <v>442.67</v>
      </c>
      <c r="N160" s="422"/>
      <c r="O160" s="422"/>
      <c r="P160" s="422"/>
      <c r="Q160" s="423">
        <f t="shared" si="20"/>
        <v>442.67</v>
      </c>
      <c r="R160" s="546"/>
      <c r="S160" s="482"/>
      <c r="T160" s="439"/>
      <c r="U160" s="544"/>
      <c r="V160" s="440"/>
      <c r="W160" s="440"/>
      <c r="X160" s="441"/>
      <c r="Y160" s="440"/>
      <c r="Z160" s="527"/>
      <c r="AA160" s="527"/>
      <c r="AB160" s="442"/>
      <c r="AC160" s="547">
        <f t="shared" si="22"/>
        <v>442.67</v>
      </c>
      <c r="AD160" s="542"/>
      <c r="AE160" s="427"/>
      <c r="AF160" s="428"/>
    </row>
    <row r="161" spans="1:41" s="429" customFormat="1" ht="18.75" hidden="1" customHeight="1">
      <c r="A161" s="147">
        <v>66</v>
      </c>
      <c r="B161" s="417"/>
      <c r="C161" s="543" t="s">
        <v>751</v>
      </c>
      <c r="D161" s="430"/>
      <c r="E161" s="421"/>
      <c r="F161" s="431"/>
      <c r="G161" s="431"/>
      <c r="H161" s="431"/>
      <c r="I161" s="431"/>
      <c r="J161" s="432"/>
      <c r="K161" s="836"/>
      <c r="L161" s="421"/>
      <c r="M161" s="432"/>
      <c r="N161" s="422"/>
      <c r="O161" s="422"/>
      <c r="P161" s="422"/>
      <c r="Q161" s="423">
        <f t="shared" si="20"/>
        <v>0</v>
      </c>
      <c r="R161" s="932"/>
      <c r="S161" s="482"/>
      <c r="T161" s="439"/>
      <c r="U161" s="544"/>
      <c r="V161" s="440"/>
      <c r="W161" s="440"/>
      <c r="X161" s="441"/>
      <c r="Y161" s="440"/>
      <c r="Z161" s="527"/>
      <c r="AA161" s="527"/>
      <c r="AB161" s="442"/>
      <c r="AC161" s="547">
        <f t="shared" si="22"/>
        <v>0</v>
      </c>
      <c r="AD161" s="933"/>
      <c r="AE161" s="427"/>
      <c r="AF161" s="428"/>
    </row>
    <row r="162" spans="1:41" ht="18.75" customHeight="1">
      <c r="A162" s="1459" t="s">
        <v>55</v>
      </c>
      <c r="B162" s="1459"/>
      <c r="C162" s="1459"/>
      <c r="D162" s="1459"/>
      <c r="E162" s="224">
        <f>E9</f>
        <v>1051.2</v>
      </c>
      <c r="F162" s="580">
        <f t="shared" ref="F162:AC162" si="24">F9</f>
        <v>0</v>
      </c>
      <c r="G162" s="224">
        <f t="shared" si="24"/>
        <v>379.54</v>
      </c>
      <c r="H162" s="224">
        <f t="shared" si="24"/>
        <v>2127.8000000000002</v>
      </c>
      <c r="I162" s="224">
        <f t="shared" si="24"/>
        <v>0</v>
      </c>
      <c r="J162" s="224">
        <f t="shared" si="24"/>
        <v>0</v>
      </c>
      <c r="K162" s="224">
        <f t="shared" si="24"/>
        <v>0</v>
      </c>
      <c r="L162" s="224">
        <f t="shared" si="24"/>
        <v>0</v>
      </c>
      <c r="M162" s="224">
        <f t="shared" si="24"/>
        <v>593.36</v>
      </c>
      <c r="N162" s="224">
        <f t="shared" si="24"/>
        <v>0</v>
      </c>
      <c r="O162" s="224">
        <f t="shared" si="24"/>
        <v>0</v>
      </c>
      <c r="P162" s="141">
        <f t="shared" si="24"/>
        <v>0</v>
      </c>
      <c r="Q162" s="141">
        <f t="shared" si="24"/>
        <v>4151.8999999999996</v>
      </c>
      <c r="R162" s="224" t="e">
        <f t="shared" si="24"/>
        <v>#N/A</v>
      </c>
      <c r="S162" s="141">
        <f t="shared" si="24"/>
        <v>0</v>
      </c>
      <c r="T162" s="141">
        <f t="shared" si="24"/>
        <v>0</v>
      </c>
      <c r="U162" s="224" t="e">
        <f t="shared" si="24"/>
        <v>#N/A</v>
      </c>
      <c r="V162" s="906">
        <f t="shared" si="24"/>
        <v>3531</v>
      </c>
      <c r="W162" s="906">
        <f t="shared" si="24"/>
        <v>355</v>
      </c>
      <c r="X162" s="906">
        <f t="shared" si="24"/>
        <v>0</v>
      </c>
      <c r="Y162" s="529">
        <f t="shared" si="24"/>
        <v>171</v>
      </c>
      <c r="Z162" s="529">
        <f t="shared" si="24"/>
        <v>0</v>
      </c>
      <c r="AA162" s="529">
        <f t="shared" si="24"/>
        <v>0</v>
      </c>
      <c r="AB162" s="224">
        <f t="shared" si="24"/>
        <v>0</v>
      </c>
      <c r="AC162" s="141">
        <f t="shared" si="24"/>
        <v>4151.8999999999996</v>
      </c>
      <c r="AD162" s="142"/>
      <c r="AE162" s="133"/>
      <c r="AF162" s="134">
        <f>6262+211</f>
        <v>6473</v>
      </c>
      <c r="AG162" s="73"/>
      <c r="AO162" s="2">
        <v>64.900000000000006</v>
      </c>
    </row>
    <row r="163" spans="1:41" ht="18" customHeight="1">
      <c r="R163" s="103"/>
      <c r="V163" s="67" t="s">
        <v>160</v>
      </c>
      <c r="W163" s="67"/>
      <c r="AF163" s="87"/>
      <c r="AG163" s="74">
        <f>89-22</f>
        <v>67</v>
      </c>
      <c r="AO163" s="2">
        <v>27.48</v>
      </c>
    </row>
    <row r="164" spans="1:41" ht="15.75">
      <c r="C164" s="1457" t="s">
        <v>95</v>
      </c>
      <c r="D164" s="1457"/>
      <c r="E164" s="1457"/>
      <c r="F164" s="386"/>
      <c r="G164" s="3"/>
      <c r="H164" s="3"/>
      <c r="I164" s="3"/>
      <c r="J164" s="3"/>
      <c r="K164" s="3"/>
      <c r="L164" s="3"/>
      <c r="M164" s="3"/>
      <c r="N164" s="3"/>
      <c r="O164" s="1472"/>
      <c r="P164" s="1472"/>
      <c r="Q164" s="1472"/>
      <c r="R164" s="103"/>
      <c r="S164" s="45"/>
      <c r="T164" s="3"/>
      <c r="U164" s="1457" t="s">
        <v>111</v>
      </c>
      <c r="V164" s="1457"/>
      <c r="W164" s="1457"/>
      <c r="X164" s="1457"/>
      <c r="Y164" s="1457"/>
      <c r="Z164" s="1457"/>
      <c r="AA164" s="1457"/>
      <c r="AB164" s="1457"/>
      <c r="AC164" s="1457"/>
      <c r="AD164" s="3"/>
      <c r="AE164" s="3"/>
      <c r="AF164" s="36">
        <f>SUM(COUNTIF(AD12:AD160,"A"))</f>
        <v>0</v>
      </c>
      <c r="AG164" s="34"/>
      <c r="AH164" s="2">
        <v>2.21</v>
      </c>
      <c r="AI164" s="2">
        <v>4.6100000000000003</v>
      </c>
      <c r="AJ164" s="2">
        <v>34.04</v>
      </c>
      <c r="AK164" s="2">
        <v>19.05</v>
      </c>
      <c r="AO164" s="2">
        <v>103.6</v>
      </c>
    </row>
    <row r="165" spans="1:41">
      <c r="R165" s="103"/>
      <c r="AF165" s="36">
        <f>SUM(COUNTIF(AD12:AD160,"B"))</f>
        <v>0</v>
      </c>
      <c r="AG165" s="34"/>
      <c r="AH165" s="2">
        <v>2.4900000000000002</v>
      </c>
      <c r="AI165" s="2">
        <v>4.9000000000000004</v>
      </c>
      <c r="AO165" s="2">
        <v>1329.51</v>
      </c>
    </row>
    <row r="166" spans="1:41">
      <c r="G166" s="1471" t="e">
        <f>#REF!*25000</f>
        <v>#REF!</v>
      </c>
      <c r="H166" s="1471"/>
      <c r="I166" s="1471" t="e">
        <f>#REF!*25000</f>
        <v>#REF!</v>
      </c>
      <c r="J166" s="1471"/>
      <c r="R166" s="103"/>
      <c r="AF166" s="36">
        <f>SUM(COUNTIF(AD14:AD163,"C"))</f>
        <v>0</v>
      </c>
      <c r="AG166" s="34"/>
      <c r="AH166" s="2">
        <v>1.64</v>
      </c>
      <c r="AI166" s="2">
        <v>20.7</v>
      </c>
      <c r="AO166" s="2">
        <v>204.12</v>
      </c>
    </row>
    <row r="167" spans="1:41">
      <c r="L167" s="1471"/>
      <c r="M167" s="1471"/>
      <c r="Q167" s="31">
        <f>P162-13726.58</f>
        <v>-13726.58</v>
      </c>
      <c r="R167" s="348"/>
      <c r="AG167" s="34"/>
      <c r="AH167" s="2">
        <v>9.7799999999999994</v>
      </c>
      <c r="AO167" s="2">
        <v>927.08</v>
      </c>
    </row>
    <row r="168" spans="1:41">
      <c r="R168" s="103"/>
      <c r="AG168" s="34"/>
      <c r="AH168" s="2">
        <f>SUM(AH164:AH167)</f>
        <v>16.119999999999997</v>
      </c>
      <c r="AI168" s="2">
        <f>SUM(AI164:AI167)</f>
        <v>30.21</v>
      </c>
      <c r="AJ168" s="2">
        <f>SUM(AJ164:AJ167)</f>
        <v>34.04</v>
      </c>
      <c r="AK168" s="2">
        <f>SUM(AK164:AK167)</f>
        <v>19.05</v>
      </c>
      <c r="AO168" s="2">
        <v>90.76</v>
      </c>
    </row>
    <row r="169" spans="1:41">
      <c r="C169" s="1454" t="s">
        <v>105</v>
      </c>
      <c r="D169" s="1454"/>
      <c r="E169" s="1454"/>
      <c r="F169" s="521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104"/>
      <c r="R169" s="103"/>
      <c r="S169" s="68"/>
      <c r="T169" s="29"/>
      <c r="U169" s="1454" t="s">
        <v>40</v>
      </c>
      <c r="V169" s="1454"/>
      <c r="W169" s="1454"/>
      <c r="X169" s="1454"/>
      <c r="Y169" s="1454"/>
      <c r="Z169" s="1454"/>
      <c r="AA169" s="1454"/>
      <c r="AB169" s="1454"/>
      <c r="AC169" s="1454"/>
      <c r="AD169" s="29"/>
      <c r="AE169" s="29"/>
      <c r="AH169" s="2">
        <f>AH168/0.17</f>
        <v>94.823529411764682</v>
      </c>
      <c r="AI169" s="2">
        <f>AI168/0.2</f>
        <v>151.04999999999998</v>
      </c>
      <c r="AJ169" s="2">
        <f>AJ168/0.25</f>
        <v>136.16</v>
      </c>
      <c r="AK169" s="2">
        <f>AK168/0.18</f>
        <v>105.83333333333334</v>
      </c>
      <c r="AO169" s="2">
        <v>32.67</v>
      </c>
    </row>
    <row r="170" spans="1:41">
      <c r="R170" s="103"/>
      <c r="AO170" s="2">
        <v>11.24</v>
      </c>
    </row>
    <row r="171" spans="1:41">
      <c r="R171" s="103"/>
      <c r="AO171" s="2">
        <f>SUM(AO162:AO170)</f>
        <v>2791.36</v>
      </c>
    </row>
    <row r="172" spans="1:41">
      <c r="R172" s="103"/>
    </row>
    <row r="173" spans="1:41">
      <c r="R173" s="103"/>
    </row>
    <row r="174" spans="1:41">
      <c r="R174" s="103"/>
    </row>
    <row r="175" spans="1:41">
      <c r="O175" s="31">
        <v>16</v>
      </c>
      <c r="P175" s="31">
        <v>4.9000000000000004</v>
      </c>
      <c r="Q175" s="75">
        <v>292.44</v>
      </c>
      <c r="R175" s="787">
        <v>3.2</v>
      </c>
      <c r="T175" s="788">
        <f>Q9-2107.91</f>
        <v>2043.9899999999998</v>
      </c>
    </row>
    <row r="176" spans="1:41">
      <c r="O176" s="31">
        <v>10.4</v>
      </c>
      <c r="P176" s="31">
        <v>249.83</v>
      </c>
      <c r="Q176" s="2">
        <v>244.2</v>
      </c>
      <c r="R176" s="103">
        <v>47.2</v>
      </c>
    </row>
    <row r="177" spans="15:18">
      <c r="O177" s="31">
        <v>298.39999999999998</v>
      </c>
      <c r="Q177" s="2">
        <v>202.24</v>
      </c>
      <c r="R177" s="103"/>
    </row>
    <row r="178" spans="15:18">
      <c r="O178" s="31">
        <v>94.4</v>
      </c>
      <c r="Q178" s="2">
        <v>601.91999999999996</v>
      </c>
      <c r="R178" s="103"/>
    </row>
    <row r="179" spans="15:18">
      <c r="O179" s="75">
        <f>SUM(O175:O178)</f>
        <v>419.19999999999993</v>
      </c>
      <c r="P179" s="75">
        <f>SUM(P175:P178)</f>
        <v>254.73000000000002</v>
      </c>
      <c r="Q179" s="75">
        <f>SUM(Q175:Q178)</f>
        <v>1340.8</v>
      </c>
      <c r="R179" s="75">
        <f>SUM(R175:R178)</f>
        <v>50.400000000000006</v>
      </c>
    </row>
    <row r="180" spans="15:18">
      <c r="R180" s="103"/>
    </row>
    <row r="181" spans="15:18">
      <c r="P181" s="31">
        <f>G162-P179</f>
        <v>124.81</v>
      </c>
      <c r="R181" s="103"/>
    </row>
    <row r="182" spans="15:18">
      <c r="Q182" s="75"/>
      <c r="R182" s="103"/>
    </row>
    <row r="183" spans="15:18">
      <c r="R183" s="103"/>
    </row>
    <row r="184" spans="15:18">
      <c r="R184" s="103"/>
    </row>
    <row r="185" spans="15:18">
      <c r="R185" s="103"/>
    </row>
    <row r="186" spans="15:18">
      <c r="R186" s="103"/>
    </row>
    <row r="187" spans="15:18">
      <c r="R187" s="103"/>
    </row>
    <row r="188" spans="15:18">
      <c r="R188" s="103"/>
    </row>
    <row r="189" spans="15:18">
      <c r="R189" s="103"/>
    </row>
    <row r="190" spans="15:18">
      <c r="R190" s="103"/>
    </row>
    <row r="191" spans="15:18">
      <c r="R191" s="103"/>
    </row>
    <row r="192" spans="15:18">
      <c r="R192" s="103"/>
    </row>
    <row r="193" spans="18:18">
      <c r="R193" s="103"/>
    </row>
    <row r="194" spans="18:18">
      <c r="R194" s="103"/>
    </row>
    <row r="195" spans="18:18">
      <c r="R195" s="103"/>
    </row>
    <row r="196" spans="18:18">
      <c r="R196" s="103"/>
    </row>
    <row r="197" spans="18:18">
      <c r="R197" s="103"/>
    </row>
    <row r="198" spans="18:18">
      <c r="R198" s="103"/>
    </row>
    <row r="199" spans="18:18">
      <c r="R199" s="103"/>
    </row>
    <row r="200" spans="18:18">
      <c r="R200" s="103"/>
    </row>
    <row r="201" spans="18:18">
      <c r="R201" s="103"/>
    </row>
    <row r="202" spans="18:18">
      <c r="R202" s="103"/>
    </row>
    <row r="203" spans="18:18">
      <c r="R203" s="103"/>
    </row>
    <row r="204" spans="18:18">
      <c r="R204" s="103"/>
    </row>
    <row r="205" spans="18:18">
      <c r="R205" s="103"/>
    </row>
    <row r="206" spans="18:18">
      <c r="R206" s="103"/>
    </row>
    <row r="207" spans="18:18">
      <c r="R207" s="103"/>
    </row>
    <row r="208" spans="18:18">
      <c r="R208" s="103"/>
    </row>
    <row r="209" spans="18:18">
      <c r="R209" s="103"/>
    </row>
  </sheetData>
  <mergeCells count="40">
    <mergeCell ref="L167:M167"/>
    <mergeCell ref="G166:H166"/>
    <mergeCell ref="I166:J166"/>
    <mergeCell ref="O164:Q164"/>
    <mergeCell ref="V7:X7"/>
    <mergeCell ref="J7:J8"/>
    <mergeCell ref="K7:K8"/>
    <mergeCell ref="P7:P8"/>
    <mergeCell ref="Q7:Q8"/>
    <mergeCell ref="L7:L8"/>
    <mergeCell ref="I7:I8"/>
    <mergeCell ref="E7:E8"/>
    <mergeCell ref="R2:AE2"/>
    <mergeCell ref="A2:G2"/>
    <mergeCell ref="A3:G3"/>
    <mergeCell ref="A4:G4"/>
    <mergeCell ref="R3:AE3"/>
    <mergeCell ref="A5:AE5"/>
    <mergeCell ref="R7:T7"/>
    <mergeCell ref="H7:H8"/>
    <mergeCell ref="AE7:AE8"/>
    <mergeCell ref="N7:N8"/>
    <mergeCell ref="AC7:AC8"/>
    <mergeCell ref="M7:M8"/>
    <mergeCell ref="C169:E169"/>
    <mergeCell ref="E6:AE6"/>
    <mergeCell ref="G7:G8"/>
    <mergeCell ref="C6:C8"/>
    <mergeCell ref="AD7:AD8"/>
    <mergeCell ref="U164:AC164"/>
    <mergeCell ref="C164:E164"/>
    <mergeCell ref="U169:AC169"/>
    <mergeCell ref="F7:F8"/>
    <mergeCell ref="B9:D9"/>
    <mergeCell ref="A162:D162"/>
    <mergeCell ref="B6:B8"/>
    <mergeCell ref="A6:A8"/>
    <mergeCell ref="D6:D8"/>
    <mergeCell ref="B95:D95"/>
    <mergeCell ref="B10:D10"/>
  </mergeCells>
  <phoneticPr fontId="24" type="noConversion"/>
  <pageMargins left="0.35433070866141736" right="0.19685039370078741" top="0.15748031496062992" bottom="0.15748031496062992" header="0.15748031496062992" footer="0.19685039370078741"/>
  <pageSetup paperSize="9" scale="4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92D050"/>
  </sheetPr>
  <dimension ref="A1:AE199"/>
  <sheetViews>
    <sheetView topLeftCell="A13" zoomScale="40" zoomScaleNormal="40" zoomScaleSheetLayoutView="50" workbookViewId="0">
      <pane ySplit="3" topLeftCell="A91" activePane="bottomLeft" state="frozen"/>
      <selection activeCell="A13" sqref="A13"/>
      <selection pane="bottomLeft" activeCell="G110" sqref="G110"/>
    </sheetView>
  </sheetViews>
  <sheetFormatPr defaultColWidth="9.42578125" defaultRowHeight="23.25"/>
  <cols>
    <col min="1" max="1" width="7.5703125" style="1253" customWidth="1"/>
    <col min="2" max="2" width="15.5703125" style="1253" customWidth="1"/>
    <col min="3" max="3" width="23" style="1323" customWidth="1"/>
    <col min="4" max="4" width="28.7109375" style="1281" customWidth="1"/>
    <col min="5" max="5" width="17.85546875" style="310" customWidth="1"/>
    <col min="6" max="6" width="21.85546875" style="1281" customWidth="1"/>
    <col min="7" max="7" width="21" style="1281" customWidth="1"/>
    <col min="8" max="8" width="16" style="1281" hidden="1" customWidth="1"/>
    <col min="9" max="9" width="16" style="1281" customWidth="1"/>
    <col min="10" max="12" width="20.140625" style="275" customWidth="1"/>
    <col min="13" max="13" width="17.7109375" style="276" customWidth="1"/>
    <col min="14" max="14" width="23.7109375" style="277" customWidth="1"/>
    <col min="15" max="15" width="18" style="1281" customWidth="1"/>
    <col min="16" max="16" width="16.28515625" style="1281" customWidth="1"/>
    <col min="17" max="17" width="19.85546875" style="1281" hidden="1" customWidth="1"/>
    <col min="18" max="18" width="16.7109375" style="1281" hidden="1" customWidth="1"/>
    <col min="19" max="19" width="17.85546875" style="1281" hidden="1" customWidth="1"/>
    <col min="20" max="20" width="14.140625" style="1281" hidden="1" customWidth="1"/>
    <col min="21" max="21" width="19.85546875" style="1281" hidden="1" customWidth="1"/>
    <col min="22" max="22" width="16.7109375" style="1281" hidden="1" customWidth="1"/>
    <col min="23" max="24" width="16" style="1281" hidden="1" customWidth="1"/>
    <col min="25" max="25" width="21.5703125" style="1281" customWidth="1"/>
    <col min="26" max="26" width="25.140625" style="1281" customWidth="1"/>
    <col min="27" max="27" width="16.7109375" style="1281" hidden="1" customWidth="1"/>
    <col min="28" max="28" width="22.5703125" style="1281" customWidth="1"/>
    <col min="29" max="29" width="25.28515625" style="1281" customWidth="1"/>
    <col min="30" max="30" width="25.5703125" style="1281" customWidth="1"/>
    <col min="31" max="31" width="22.28515625" style="1281" bestFit="1" customWidth="1"/>
    <col min="32" max="35" width="9.42578125" style="1281"/>
    <col min="36" max="36" width="9.5703125" style="1281" bestFit="1" customWidth="1"/>
    <col min="37" max="16384" width="9.42578125" style="1281"/>
  </cols>
  <sheetData>
    <row r="1" spans="1:31" ht="25.5">
      <c r="A1" s="1488" t="s">
        <v>51</v>
      </c>
      <c r="B1" s="1488"/>
      <c r="C1" s="1488"/>
      <c r="D1" s="1488"/>
      <c r="E1" s="1488"/>
      <c r="F1" s="1488"/>
      <c r="G1" s="1488"/>
      <c r="H1" s="1488"/>
      <c r="I1" s="1488"/>
      <c r="J1" s="1488"/>
      <c r="K1" s="1488"/>
      <c r="L1" s="1488"/>
      <c r="M1" s="1488"/>
      <c r="N1" s="1488"/>
      <c r="O1" s="1488"/>
      <c r="P1" s="1488"/>
      <c r="Q1" s="1488"/>
      <c r="R1" s="1488"/>
      <c r="S1" s="1488"/>
      <c r="T1" s="1488"/>
      <c r="U1" s="1488"/>
      <c r="V1" s="1488"/>
      <c r="W1" s="1488"/>
      <c r="X1" s="1488"/>
      <c r="Y1" s="1488"/>
      <c r="Z1" s="1488"/>
      <c r="AA1" s="1488"/>
      <c r="AB1" s="1488"/>
    </row>
    <row r="2" spans="1:31" ht="21.75" customHeight="1">
      <c r="A2" s="1488" t="s">
        <v>38</v>
      </c>
      <c r="B2" s="1488"/>
      <c r="C2" s="1488"/>
      <c r="D2" s="1488"/>
      <c r="E2" s="1488"/>
      <c r="F2" s="1488"/>
      <c r="G2" s="1488"/>
      <c r="H2" s="1488"/>
      <c r="I2" s="1488"/>
      <c r="J2" s="1488"/>
      <c r="K2" s="1488"/>
      <c r="L2" s="1488"/>
      <c r="M2" s="1488"/>
      <c r="N2" s="1488"/>
      <c r="O2" s="1488"/>
      <c r="P2" s="1488"/>
      <c r="Q2" s="1488"/>
      <c r="R2" s="1488"/>
      <c r="S2" s="1488"/>
      <c r="T2" s="1488"/>
      <c r="U2" s="1488"/>
      <c r="V2" s="1488"/>
      <c r="W2" s="1488"/>
      <c r="X2" s="1488"/>
      <c r="Y2" s="1488"/>
      <c r="Z2" s="1488"/>
      <c r="AA2" s="1488"/>
      <c r="AB2" s="1488"/>
    </row>
    <row r="3" spans="1:31" ht="26.25" customHeight="1">
      <c r="A3" s="1495" t="s">
        <v>254</v>
      </c>
      <c r="B3" s="1495"/>
      <c r="C3" s="1496"/>
      <c r="D3" s="1496"/>
      <c r="E3" s="1496"/>
      <c r="F3" s="1496"/>
      <c r="G3" s="1496"/>
      <c r="H3" s="1496"/>
      <c r="I3" s="1496"/>
      <c r="J3" s="1496"/>
      <c r="K3" s="1496"/>
      <c r="L3" s="1496"/>
      <c r="M3" s="1496"/>
      <c r="N3" s="1496"/>
      <c r="O3" s="1496"/>
      <c r="P3" s="1496"/>
      <c r="Q3" s="1496"/>
      <c r="R3" s="1496"/>
      <c r="S3" s="1496"/>
      <c r="T3" s="1496"/>
      <c r="U3" s="1496"/>
      <c r="V3" s="1496"/>
      <c r="W3" s="1496"/>
      <c r="X3" s="1496"/>
      <c r="Y3" s="1496"/>
      <c r="Z3" s="1496"/>
      <c r="AA3" s="1496"/>
      <c r="AB3" s="1496"/>
    </row>
    <row r="4" spans="1:31" ht="26.25" customHeight="1">
      <c r="A4" s="719"/>
      <c r="B4" s="719"/>
      <c r="C4" s="719"/>
      <c r="D4" s="719"/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19"/>
      <c r="P4" s="719"/>
      <c r="Q4" s="719"/>
      <c r="R4" s="719"/>
      <c r="S4" s="719"/>
      <c r="T4" s="719"/>
      <c r="U4" s="719"/>
      <c r="V4" s="719"/>
      <c r="W4" s="719"/>
      <c r="X4" s="719"/>
      <c r="Y4" s="719"/>
      <c r="Z4" s="719"/>
      <c r="AA4" s="719"/>
      <c r="AB4" s="719"/>
    </row>
    <row r="5" spans="1:31" ht="26.25" customHeight="1">
      <c r="A5" s="1489" t="s">
        <v>510</v>
      </c>
      <c r="B5" s="1489"/>
      <c r="C5" s="1489"/>
      <c r="D5" s="1489"/>
      <c r="E5" s="1489"/>
      <c r="F5" s="1489"/>
      <c r="G5" s="1489"/>
      <c r="H5" s="1489"/>
      <c r="I5" s="1489"/>
      <c r="J5" s="1489"/>
      <c r="K5" s="1282"/>
      <c r="L5" s="1282"/>
      <c r="M5" s="479"/>
      <c r="N5" s="479"/>
      <c r="O5" s="479"/>
      <c r="P5" s="479"/>
      <c r="Q5" s="479"/>
      <c r="R5" s="479"/>
      <c r="S5" s="479"/>
      <c r="T5" s="479"/>
      <c r="U5" s="479"/>
      <c r="V5" s="479"/>
      <c r="W5" s="479"/>
      <c r="X5" s="479"/>
      <c r="Y5" s="480"/>
      <c r="Z5" s="480"/>
      <c r="AA5" s="480"/>
      <c r="AB5" s="480"/>
    </row>
    <row r="6" spans="1:31" ht="25.5">
      <c r="A6" s="1499" t="s">
        <v>500</v>
      </c>
      <c r="B6" s="1499"/>
      <c r="C6" s="1499"/>
      <c r="D6" s="1499"/>
      <c r="E6" s="1499"/>
      <c r="F6" s="1499"/>
      <c r="G6" s="1499"/>
      <c r="H6" s="1499"/>
      <c r="I6" s="1499"/>
      <c r="J6" s="1499"/>
      <c r="K6" s="1283"/>
      <c r="L6" s="1283"/>
      <c r="M6" s="479"/>
      <c r="N6" s="479"/>
      <c r="O6" s="479"/>
      <c r="P6" s="479"/>
      <c r="Q6" s="479"/>
      <c r="R6" s="479"/>
      <c r="S6" s="479"/>
      <c r="T6" s="479"/>
      <c r="U6" s="479"/>
      <c r="V6" s="479"/>
      <c r="W6" s="479"/>
      <c r="X6" s="479"/>
      <c r="Y6" s="480"/>
      <c r="Z6" s="480"/>
      <c r="AA6" s="480"/>
      <c r="AB6" s="480"/>
    </row>
    <row r="7" spans="1:31" ht="25.5">
      <c r="A7" s="1283"/>
      <c r="B7" s="1283"/>
      <c r="C7" s="1283"/>
      <c r="D7" s="1283"/>
      <c r="E7" s="1283"/>
      <c r="F7" s="1283"/>
      <c r="G7" s="1283"/>
      <c r="H7" s="1283"/>
      <c r="I7" s="1283"/>
      <c r="J7" s="1283"/>
      <c r="K7" s="1283"/>
      <c r="L7" s="1283"/>
      <c r="M7" s="479"/>
      <c r="N7" s="479"/>
      <c r="O7" s="479"/>
      <c r="P7" s="479"/>
      <c r="Q7" s="479"/>
      <c r="R7" s="479"/>
      <c r="S7" s="479"/>
      <c r="T7" s="479"/>
      <c r="U7" s="479"/>
      <c r="V7" s="479"/>
      <c r="W7" s="479"/>
      <c r="X7" s="479"/>
      <c r="Y7" s="480"/>
      <c r="Z7" s="480"/>
      <c r="AA7" s="480"/>
      <c r="AB7" s="480"/>
    </row>
    <row r="8" spans="1:31" ht="33">
      <c r="A8" s="1490" t="s">
        <v>808</v>
      </c>
      <c r="B8" s="1490"/>
      <c r="C8" s="1490"/>
      <c r="D8" s="1490"/>
      <c r="E8" s="1490"/>
      <c r="F8" s="1490"/>
      <c r="G8" s="1490"/>
      <c r="H8" s="1490"/>
      <c r="I8" s="1490"/>
      <c r="J8" s="1490"/>
      <c r="K8" s="1490"/>
      <c r="L8" s="1490"/>
      <c r="M8" s="1490"/>
      <c r="N8" s="1490"/>
      <c r="O8" s="1490"/>
      <c r="P8" s="1490"/>
      <c r="Q8" s="1490"/>
      <c r="R8" s="1490"/>
      <c r="S8" s="1490"/>
      <c r="T8" s="1490"/>
      <c r="U8" s="1490"/>
      <c r="V8" s="1490"/>
      <c r="W8" s="1490"/>
      <c r="X8" s="1490"/>
      <c r="Y8" s="1490"/>
      <c r="Z8" s="1490"/>
      <c r="AA8" s="1490"/>
      <c r="AB8" s="1490"/>
    </row>
    <row r="9" spans="1:31" s="1285" customFormat="1" ht="27.75" customHeight="1">
      <c r="A9" s="1497"/>
      <c r="B9" s="1497"/>
      <c r="C9" s="1497"/>
      <c r="D9" s="1497"/>
      <c r="E9" s="1497"/>
      <c r="F9" s="1497"/>
      <c r="G9" s="1497"/>
      <c r="H9" s="1497"/>
      <c r="I9" s="1497"/>
      <c r="J9" s="1497"/>
      <c r="K9" s="1497"/>
      <c r="L9" s="1497"/>
      <c r="M9" s="1497"/>
      <c r="N9" s="1497"/>
      <c r="O9" s="1497"/>
      <c r="P9" s="1497"/>
      <c r="Q9" s="1497"/>
      <c r="R9" s="1497"/>
      <c r="S9" s="1497"/>
      <c r="T9" s="1497"/>
      <c r="U9" s="1497"/>
      <c r="V9" s="1497"/>
      <c r="W9" s="1497"/>
      <c r="X9" s="1497"/>
      <c r="Y9" s="1497"/>
      <c r="Z9" s="1497"/>
      <c r="AA9" s="1497"/>
      <c r="AB9" s="1497"/>
      <c r="AC9" s="1284" t="s">
        <v>32</v>
      </c>
      <c r="AD9" s="1203">
        <f>'SẢN LƯỢNG'!AK16</f>
        <v>292536</v>
      </c>
    </row>
    <row r="10" spans="1:31" s="1285" customFormat="1" ht="27.75" customHeight="1">
      <c r="A10" s="1498"/>
      <c r="B10" s="1498"/>
      <c r="C10" s="1498"/>
      <c r="D10" s="1498"/>
      <c r="E10" s="1498"/>
      <c r="F10" s="1498"/>
      <c r="G10" s="1498"/>
      <c r="H10" s="1498"/>
      <c r="I10" s="1498"/>
      <c r="J10" s="1498"/>
      <c r="K10" s="1498"/>
      <c r="L10" s="1498"/>
      <c r="M10" s="1498"/>
      <c r="N10" s="1498"/>
      <c r="O10" s="1498"/>
      <c r="P10" s="1498"/>
      <c r="Q10" s="1498"/>
      <c r="R10" s="1498"/>
      <c r="S10" s="1498"/>
      <c r="T10" s="1498"/>
      <c r="U10" s="1498"/>
      <c r="V10" s="1498"/>
      <c r="W10" s="1498"/>
      <c r="X10" s="1498"/>
      <c r="Y10" s="1498"/>
      <c r="Z10" s="1498"/>
      <c r="AA10" s="1498"/>
      <c r="AB10" s="1498"/>
      <c r="AC10" s="1284" t="s">
        <v>369</v>
      </c>
      <c r="AD10" s="1203">
        <f>'SẢN LƯỢNG'!AM16</f>
        <v>129136.23099999997</v>
      </c>
    </row>
    <row r="11" spans="1:31" s="1285" customFormat="1" ht="27" customHeight="1">
      <c r="A11" s="1286"/>
      <c r="B11" s="1286"/>
      <c r="C11" s="1287"/>
      <c r="D11" s="1287"/>
      <c r="E11" s="1288">
        <f>'CNKT '!F10</f>
        <v>611</v>
      </c>
      <c r="F11" s="1289"/>
      <c r="G11" s="1289"/>
      <c r="H11" s="1289"/>
      <c r="I11" s="1289"/>
      <c r="J11" s="1290"/>
      <c r="K11" s="1290"/>
      <c r="L11" s="1290"/>
      <c r="M11" s="1291"/>
      <c r="N11" s="1291"/>
      <c r="O11" s="1291"/>
      <c r="P11" s="1291"/>
      <c r="Q11" s="1291"/>
      <c r="R11" s="1291"/>
      <c r="S11" s="1291"/>
      <c r="T11" s="1291"/>
      <c r="U11" s="1291"/>
      <c r="V11" s="1291"/>
      <c r="W11" s="1291"/>
      <c r="X11" s="1291"/>
      <c r="Y11" s="1291"/>
      <c r="Z11" s="1291"/>
      <c r="AA11" s="1291"/>
      <c r="AB11" s="1291"/>
      <c r="AC11" s="1292" t="s">
        <v>370</v>
      </c>
      <c r="AD11" s="663">
        <v>0.5</v>
      </c>
    </row>
    <row r="12" spans="1:31" ht="30.75" customHeight="1">
      <c r="A12" s="1293"/>
      <c r="B12" s="1293"/>
      <c r="C12" s="1500" t="s">
        <v>258</v>
      </c>
      <c r="D12" s="1500"/>
      <c r="E12" s="1213">
        <f>'CNKT '!F11</f>
        <v>659.96</v>
      </c>
      <c r="F12" s="1294"/>
      <c r="G12" s="1294"/>
      <c r="H12" s="1294"/>
      <c r="I12" s="1294"/>
      <c r="J12" s="801"/>
      <c r="K12" s="801"/>
      <c r="L12" s="801"/>
      <c r="M12" s="802"/>
      <c r="N12" s="803"/>
      <c r="O12" s="804"/>
      <c r="P12" s="804"/>
      <c r="Q12" s="804"/>
      <c r="R12" s="804"/>
      <c r="S12" s="804"/>
      <c r="T12" s="804"/>
      <c r="U12" s="804"/>
      <c r="V12" s="804"/>
      <c r="W12" s="804"/>
      <c r="X12" s="804"/>
      <c r="Y12" s="804"/>
      <c r="Z12" s="1501"/>
      <c r="AA12" s="1501"/>
      <c r="AB12" s="805">
        <f>AD10/AD9</f>
        <v>0.44143705731944094</v>
      </c>
      <c r="AC12" s="1292" t="s">
        <v>371</v>
      </c>
      <c r="AD12" s="929">
        <v>0.54990000000000006</v>
      </c>
    </row>
    <row r="13" spans="1:31" s="1199" customFormat="1" ht="26.25" customHeight="1">
      <c r="A13" s="1485" t="s">
        <v>4</v>
      </c>
      <c r="B13" s="1485" t="s">
        <v>80</v>
      </c>
      <c r="C13" s="1502" t="s">
        <v>13</v>
      </c>
      <c r="D13" s="1485" t="s">
        <v>200</v>
      </c>
      <c r="E13" s="1494" t="s">
        <v>18</v>
      </c>
      <c r="F13" s="1494"/>
      <c r="G13" s="1494"/>
      <c r="H13" s="1494"/>
      <c r="I13" s="1494"/>
      <c r="J13" s="1494"/>
      <c r="K13" s="1494"/>
      <c r="L13" s="1494"/>
      <c r="M13" s="1494"/>
      <c r="N13" s="1494"/>
      <c r="O13" s="1494"/>
      <c r="P13" s="1494"/>
      <c r="Q13" s="1494"/>
      <c r="R13" s="1494"/>
      <c r="S13" s="1494"/>
      <c r="T13" s="1494"/>
      <c r="U13" s="1494"/>
      <c r="V13" s="1494"/>
      <c r="W13" s="1494"/>
      <c r="X13" s="1494"/>
      <c r="Y13" s="1494"/>
      <c r="Z13" s="1484" t="s">
        <v>321</v>
      </c>
      <c r="AA13" s="1484" t="s">
        <v>131</v>
      </c>
      <c r="AB13" s="1484" t="s">
        <v>323</v>
      </c>
    </row>
    <row r="14" spans="1:31" s="1199" customFormat="1" ht="57" customHeight="1">
      <c r="A14" s="1485"/>
      <c r="B14" s="1485"/>
      <c r="C14" s="1502"/>
      <c r="D14" s="1485"/>
      <c r="E14" s="1486" t="s">
        <v>322</v>
      </c>
      <c r="F14" s="1487"/>
      <c r="G14" s="1296"/>
      <c r="H14" s="1296"/>
      <c r="I14" s="1296"/>
      <c r="J14" s="1484" t="s">
        <v>21</v>
      </c>
      <c r="K14" s="1484"/>
      <c r="L14" s="1484"/>
      <c r="M14" s="1484"/>
      <c r="N14" s="1484"/>
      <c r="O14" s="1484" t="s">
        <v>22</v>
      </c>
      <c r="P14" s="1484"/>
      <c r="Q14" s="1484"/>
      <c r="R14" s="1484"/>
      <c r="S14" s="1484"/>
      <c r="T14" s="1484"/>
      <c r="U14" s="1484"/>
      <c r="V14" s="1484"/>
      <c r="W14" s="1484"/>
      <c r="X14" s="1484"/>
      <c r="Y14" s="1484"/>
      <c r="Z14" s="1484"/>
      <c r="AA14" s="1484"/>
      <c r="AB14" s="1484"/>
    </row>
    <row r="15" spans="1:31" s="1261" customFormat="1" ht="159.75" customHeight="1">
      <c r="A15" s="1485"/>
      <c r="B15" s="1485"/>
      <c r="C15" s="1502"/>
      <c r="D15" s="1485"/>
      <c r="E15" s="807" t="s">
        <v>66</v>
      </c>
      <c r="F15" s="1295" t="s">
        <v>23</v>
      </c>
      <c r="G15" s="1295" t="s">
        <v>320</v>
      </c>
      <c r="H15" s="1295" t="s">
        <v>363</v>
      </c>
      <c r="I15" s="808" t="s">
        <v>372</v>
      </c>
      <c r="J15" s="809" t="s">
        <v>364</v>
      </c>
      <c r="K15" s="1297" t="s">
        <v>857</v>
      </c>
      <c r="L15" s="1297" t="s">
        <v>856</v>
      </c>
      <c r="M15" s="806" t="s">
        <v>24</v>
      </c>
      <c r="N15" s="806" t="s">
        <v>25</v>
      </c>
      <c r="O15" s="810" t="s">
        <v>840</v>
      </c>
      <c r="P15" s="1298" t="s">
        <v>837</v>
      </c>
      <c r="Q15" s="1298" t="s">
        <v>843</v>
      </c>
      <c r="R15" s="1298" t="s">
        <v>842</v>
      </c>
      <c r="S15" s="1298" t="s">
        <v>470</v>
      </c>
      <c r="T15" s="1298" t="s">
        <v>844</v>
      </c>
      <c r="U15" s="1298" t="s">
        <v>470</v>
      </c>
      <c r="V15" s="811" t="s">
        <v>757</v>
      </c>
      <c r="W15" s="811" t="s">
        <v>465</v>
      </c>
      <c r="X15" s="811"/>
      <c r="Y15" s="806" t="s">
        <v>16</v>
      </c>
      <c r="Z15" s="1484"/>
      <c r="AA15" s="1484"/>
      <c r="AB15" s="1484"/>
      <c r="AD15" s="1261">
        <f>5.5*E12</f>
        <v>3629.78</v>
      </c>
      <c r="AE15" s="1261">
        <f>265*AD15</f>
        <v>961891.70000000007</v>
      </c>
    </row>
    <row r="16" spans="1:31" s="1261" customFormat="1" ht="57.6" customHeight="1">
      <c r="A16" s="1299">
        <v>1</v>
      </c>
      <c r="B16" s="1299">
        <f>'Chấm công KT'!C13</f>
        <v>0</v>
      </c>
      <c r="C16" s="1300" t="str">
        <f>TONGHOPCONGDOI!C11</f>
        <v xml:space="preserve">T. Lăm  </v>
      </c>
      <c r="D16" s="1300"/>
      <c r="E16" s="1301"/>
      <c r="F16" s="1300">
        <f>E16*25000</f>
        <v>0</v>
      </c>
      <c r="G16" s="1300">
        <f>VLOOKUP(C16,TONGHOPCONGDOI!C11:AE93,16,0)</f>
        <v>4114</v>
      </c>
      <c r="H16" s="1300">
        <f>VLOOKUP(C16,TONGHOPCONGDOI!C11:AE93,17,0)</f>
        <v>0</v>
      </c>
      <c r="I16" s="1300"/>
      <c r="J16" s="812">
        <f>$AD$10/$AD$9*G16+H16*$AD$11+I16*$AD$12</f>
        <v>1816.07205381218</v>
      </c>
      <c r="K16" s="817">
        <f>'SẢN LƯỢNG'!AP17</f>
        <v>131.49148281392226</v>
      </c>
      <c r="L16" s="817">
        <f>'SẢN LƯỢNG'!AQ17</f>
        <v>1947.5635366261022</v>
      </c>
      <c r="M16" s="1299" t="str">
        <f>VLOOKUP(C16,'SẢN LƯỢNG'!D17:AR95,41,0)</f>
        <v>B</v>
      </c>
      <c r="N16" s="1302">
        <f>ROUND((IF(M16="A",(L16*6.1),IF(M16="B",(L16*5.8),IF(M16="C",(L16*5.5),IF(M16="C.",(L16*5.5),IF(M16="D",(L16*5.2),0)))))*$E$11),0)</f>
        <v>6901776</v>
      </c>
      <c r="O16" s="1300">
        <f>VLOOKUP(C16,TONGHOPCONGDOI!$C$11:$V$91,20,0)</f>
        <v>27</v>
      </c>
      <c r="P16" s="1300">
        <f>VLOOKUP(C16,TONGHOPCONGDOI!$C$11:$W$91,21,0)</f>
        <v>4</v>
      </c>
      <c r="Q16" s="1300">
        <f>VLOOKUP(C16,TONGHOPCONGDOI!$C$11:$AD$93,22,0)</f>
        <v>0</v>
      </c>
      <c r="R16" s="1300">
        <f>VLOOKUP(C16,TONGHOPCONGDOI!$C$11:$AD$93,23,0)</f>
        <v>0</v>
      </c>
      <c r="S16" s="1300">
        <f>VLOOKUP(C16,TONGHOPCONGDOI!$C$11:$AD$93,24,0)</f>
        <v>0</v>
      </c>
      <c r="T16" s="1300">
        <f>VLOOKUP(C16,TONGHOPCONGDOI!$C$11:$AD$93,25,0)</f>
        <v>0</v>
      </c>
      <c r="U16" s="1300"/>
      <c r="V16" s="1300">
        <f>R16</f>
        <v>0</v>
      </c>
      <c r="W16" s="1301"/>
      <c r="X16" s="1301"/>
      <c r="Y16" s="813">
        <f>ROUND(((O16*46.1)+(P16*76.9)+(Q16*92.2)+(R16*153.8)+(S16*92.2)+(T16*153.8))*$E$12+(U16*25000)+(V16*100000),0)</f>
        <v>1024456</v>
      </c>
      <c r="Z16" s="1300">
        <f t="shared" ref="Z16:Z47" si="0">F16+N16+Y16</f>
        <v>7926232</v>
      </c>
      <c r="AA16" s="1300"/>
      <c r="AB16" s="1300">
        <f>VLOOKUP(C16,'CNKT '!D16:AC93,24,0)</f>
        <v>7926232</v>
      </c>
      <c r="AC16" s="1261">
        <f>AB16-Z16</f>
        <v>0</v>
      </c>
    </row>
    <row r="17" spans="1:29" s="1261" customFormat="1" ht="50.25" customHeight="1">
      <c r="A17" s="1299">
        <v>2</v>
      </c>
      <c r="B17" s="1299" t="str">
        <f>'Chấm công KT'!C14</f>
        <v>04052</v>
      </c>
      <c r="C17" s="1300" t="str">
        <f>TONGHOPCONGDOI!C12</f>
        <v>T. Feng</v>
      </c>
      <c r="D17" s="1300"/>
      <c r="E17" s="1301"/>
      <c r="F17" s="1300">
        <f t="shared" ref="F17:F80" si="1">E17*25000</f>
        <v>0</v>
      </c>
      <c r="G17" s="1300">
        <f>VLOOKUP(C17,TONGHOPCONGDOI!C12:AE94,16,0)</f>
        <v>4202</v>
      </c>
      <c r="H17" s="1300">
        <f>VLOOKUP(C17,TONGHOPCONGDOI!C12:AE94,17,0)</f>
        <v>0</v>
      </c>
      <c r="I17" s="1300"/>
      <c r="J17" s="812">
        <f>$AD$10/$AD$9*G17+H17*$AD$11+I17*$AD$12</f>
        <v>1854.9185148562908</v>
      </c>
      <c r="K17" s="817">
        <f>'SẢN LƯỢNG'!AP18</f>
        <v>131.79696122004648</v>
      </c>
      <c r="L17" s="817">
        <f>'SẢN LƯỢNG'!AQ18</f>
        <v>1986.7154760763376</v>
      </c>
      <c r="M17" s="1299" t="str">
        <f>VLOOKUP(C17,'SẢN LƯỢNG'!D18:AR96,41,0)</f>
        <v>B</v>
      </c>
      <c r="N17" s="1302">
        <f>ROUND((IF(M17="A",(L17*6.1),IF(M17="B",(L17*5.8),IF(M17="C",(L17*5.5),IF(M17="C.",(L17*5.5),IF(M17="D",(L17*5.2),0)))))*$E$11),0)</f>
        <v>7040522</v>
      </c>
      <c r="O17" s="1300">
        <f>VLOOKUP(C17,TONGHOPCONGDOI!$C$11:$V$91,20,0)</f>
        <v>27</v>
      </c>
      <c r="P17" s="1300">
        <f>VLOOKUP(C17,TONGHOPCONGDOI!$C$11:$W$91,21,0)</f>
        <v>4</v>
      </c>
      <c r="Q17" s="1300">
        <f>VLOOKUP(C17,TONGHOPCONGDOI!$C$11:$AD$93,22,0)</f>
        <v>0</v>
      </c>
      <c r="R17" s="1300">
        <f>VLOOKUP(C17,TONGHOPCONGDOI!$C$11:$AD$93,23,0)</f>
        <v>0</v>
      </c>
      <c r="S17" s="1300">
        <f>VLOOKUP(C17,TONGHOPCONGDOI!$C$11:$AD$93,24,0)</f>
        <v>0</v>
      </c>
      <c r="T17" s="1300">
        <f>VLOOKUP(C17,TONGHOPCONGDOI!$C$11:$AD$93,25,0)</f>
        <v>0</v>
      </c>
      <c r="U17" s="1300"/>
      <c r="V17" s="1300">
        <f t="shared" ref="V17:V80" si="2">R17</f>
        <v>0</v>
      </c>
      <c r="W17" s="1301"/>
      <c r="X17" s="1301"/>
      <c r="Y17" s="813">
        <f t="shared" ref="Y17:Y80" si="3">ROUND(((O17*46.1)+(P17*76.9)+(Q17*92.2)+(R17*153.8)+(S17*92.2)+(T17*153.8))*$E$12+(U17*25000)+(V17*100000),0)</f>
        <v>1024456</v>
      </c>
      <c r="Z17" s="1300">
        <f t="shared" si="0"/>
        <v>8064978</v>
      </c>
      <c r="AA17" s="1300"/>
      <c r="AB17" s="1300">
        <f>VLOOKUP(C17,'CNKT '!D17:AC94,24,0)</f>
        <v>8064978</v>
      </c>
      <c r="AC17" s="1261">
        <f t="shared" ref="AC17:AC79" si="4">AB17-Z17</f>
        <v>0</v>
      </c>
    </row>
    <row r="18" spans="1:29" s="1261" customFormat="1" ht="50.25" customHeight="1">
      <c r="A18" s="1299">
        <v>3</v>
      </c>
      <c r="B18" s="1299" t="str">
        <f>'Chấm công KT'!C15</f>
        <v>02725</v>
      </c>
      <c r="C18" s="1300" t="str">
        <f>TONGHOPCONGDOI!C13</f>
        <v>T. Sa Văn</v>
      </c>
      <c r="D18" s="1300"/>
      <c r="E18" s="1301"/>
      <c r="F18" s="1300">
        <f t="shared" si="1"/>
        <v>0</v>
      </c>
      <c r="G18" s="1300">
        <f>VLOOKUP(C18,TONGHOPCONGDOI!C13:AE94,16,0)</f>
        <v>4404</v>
      </c>
      <c r="H18" s="1300">
        <f>VLOOKUP(C18,TONGHOPCONGDOI!C13:AE94,17,0)</f>
        <v>0</v>
      </c>
      <c r="I18" s="1300"/>
      <c r="J18" s="812">
        <f t="shared" ref="J18:J47" si="5">$AD$10/$AD$9*G18+H18*$AD$11+I18*$AD$12</f>
        <v>1944.0888004348178</v>
      </c>
      <c r="K18" s="817">
        <f>'SẢN LƯỢNG'!AP19</f>
        <v>170.89819720394905</v>
      </c>
      <c r="L18" s="817">
        <f>'SẢN LƯỢNG'!AQ19</f>
        <v>2114.9869976387672</v>
      </c>
      <c r="M18" s="1299" t="str">
        <f>VLOOKUP(C18,'SẢN LƯỢNG'!D19:AR97,41,0)</f>
        <v>B</v>
      </c>
      <c r="N18" s="1302">
        <f t="shared" ref="N18:N80" si="6">ROUND((IF(M18="A",(L18*6.1),IF(M18="B",(L18*5.8),IF(M18="C",(L18*5.5),IF(M18="C.",(L18*5.5),IF(M18="D",(L18*5.2),0)))))*$E$11),0)</f>
        <v>7495091</v>
      </c>
      <c r="O18" s="1300">
        <f>VLOOKUP(C18,TONGHOPCONGDOI!$C$11:$V$91,20,0)</f>
        <v>26</v>
      </c>
      <c r="P18" s="1300">
        <f>VLOOKUP(C18,TONGHOPCONGDOI!$C$11:$W$91,21,0)</f>
        <v>4</v>
      </c>
      <c r="Q18" s="1300">
        <f>VLOOKUP(C18,TONGHOPCONGDOI!$C$11:$AD$93,22,0)</f>
        <v>0</v>
      </c>
      <c r="R18" s="1300">
        <f>VLOOKUP(C18,TONGHOPCONGDOI!$C$11:$AD$93,23,0)</f>
        <v>0</v>
      </c>
      <c r="S18" s="1300">
        <f>VLOOKUP(C18,TONGHOPCONGDOI!$C$11:$AD$93,24,0)</f>
        <v>0</v>
      </c>
      <c r="T18" s="1300">
        <f>VLOOKUP(C18,TONGHOPCONGDOI!$C$11:$AD$93,25,0)</f>
        <v>0</v>
      </c>
      <c r="U18" s="1300"/>
      <c r="V18" s="1300">
        <f t="shared" si="2"/>
        <v>0</v>
      </c>
      <c r="W18" s="1301"/>
      <c r="X18" s="1301"/>
      <c r="Y18" s="813">
        <f t="shared" si="3"/>
        <v>994032</v>
      </c>
      <c r="Z18" s="1300">
        <f t="shared" si="0"/>
        <v>8489123</v>
      </c>
      <c r="AA18" s="1300"/>
      <c r="AB18" s="1300">
        <f>VLOOKUP(C18,'CNKT '!D18:AC95,24,0)</f>
        <v>8489123</v>
      </c>
      <c r="AC18" s="1261">
        <f t="shared" si="4"/>
        <v>0</v>
      </c>
    </row>
    <row r="19" spans="1:29" s="1261" customFormat="1" ht="50.25" customHeight="1">
      <c r="A19" s="1299">
        <v>4</v>
      </c>
      <c r="B19" s="1299" t="str">
        <f>'Chấm công KT'!C16</f>
        <v>04053</v>
      </c>
      <c r="C19" s="1300" t="str">
        <f>TONGHOPCONGDOI!C14</f>
        <v>Lăm Ma Thu</v>
      </c>
      <c r="D19" s="1300"/>
      <c r="E19" s="1301"/>
      <c r="F19" s="1300">
        <f t="shared" si="1"/>
        <v>0</v>
      </c>
      <c r="G19" s="1300">
        <f>VLOOKUP(C19,TONGHOPCONGDOI!C14:AE94,16,0)</f>
        <v>3213</v>
      </c>
      <c r="H19" s="1300">
        <f>VLOOKUP(C19,TONGHOPCONGDOI!C14:AE94,17,0)</f>
        <v>0</v>
      </c>
      <c r="I19" s="1300"/>
      <c r="J19" s="812">
        <f t="shared" si="5"/>
        <v>1418.3372651673637</v>
      </c>
      <c r="K19" s="817">
        <f>'SẢN LƯỢNG'!AP20</f>
        <v>132.78128052866904</v>
      </c>
      <c r="L19" s="817">
        <f>'SẢN LƯỢNG'!AQ20</f>
        <v>1551.1185456960327</v>
      </c>
      <c r="M19" s="1299" t="str">
        <f>VLOOKUP(C19,'SẢN LƯỢNG'!D20:AR98,41,0)</f>
        <v>B</v>
      </c>
      <c r="N19" s="1302">
        <f t="shared" si="6"/>
        <v>5496854</v>
      </c>
      <c r="O19" s="1300">
        <f>VLOOKUP(C19,TONGHOPCONGDOI!$C$11:$V$91,20,0)</f>
        <v>25</v>
      </c>
      <c r="P19" s="1300">
        <f>VLOOKUP(C19,TONGHOPCONGDOI!$C$11:$W$91,21,0)</f>
        <v>4</v>
      </c>
      <c r="Q19" s="1300">
        <f>VLOOKUP(C19,TONGHOPCONGDOI!$C$11:$AD$93,22,0)</f>
        <v>0</v>
      </c>
      <c r="R19" s="1300">
        <f>VLOOKUP(C19,TONGHOPCONGDOI!$C$11:$AD$93,23,0)</f>
        <v>0</v>
      </c>
      <c r="S19" s="1300">
        <f>VLOOKUP(C19,TONGHOPCONGDOI!$C$11:$AD$93,24,0)</f>
        <v>0</v>
      </c>
      <c r="T19" s="1300">
        <f>VLOOKUP(C19,TONGHOPCONGDOI!$C$11:$AD$93,25,0)</f>
        <v>0</v>
      </c>
      <c r="U19" s="1300"/>
      <c r="V19" s="1300">
        <f t="shared" si="2"/>
        <v>0</v>
      </c>
      <c r="W19" s="1301"/>
      <c r="X19" s="1301"/>
      <c r="Y19" s="813">
        <f t="shared" si="3"/>
        <v>963608</v>
      </c>
      <c r="Z19" s="1300">
        <f t="shared" si="0"/>
        <v>6460462</v>
      </c>
      <c r="AA19" s="1300"/>
      <c r="AB19" s="1300">
        <f>VLOOKUP(C19,'CNKT '!D19:AC96,24,0)</f>
        <v>6460462</v>
      </c>
      <c r="AC19" s="1261">
        <f t="shared" si="4"/>
        <v>0</v>
      </c>
    </row>
    <row r="20" spans="1:29" s="1261" customFormat="1" ht="50.25" customHeight="1">
      <c r="A20" s="1299">
        <v>5</v>
      </c>
      <c r="B20" s="1299" t="str">
        <f>'Chấm công KT'!C17</f>
        <v>03459</v>
      </c>
      <c r="C20" s="1300" t="str">
        <f>TONGHOPCONGDOI!C15</f>
        <v>N. Vạt</v>
      </c>
      <c r="D20" s="1300"/>
      <c r="E20" s="1301"/>
      <c r="F20" s="1300">
        <f t="shared" si="1"/>
        <v>0</v>
      </c>
      <c r="G20" s="1300">
        <f>VLOOKUP(C20,TONGHOPCONGDOI!C15:AE94,16,0)</f>
        <v>3660</v>
      </c>
      <c r="H20" s="1300">
        <f>VLOOKUP(C20,TONGHOPCONGDOI!C15:AE94,17,0)</f>
        <v>0</v>
      </c>
      <c r="I20" s="1300"/>
      <c r="J20" s="812">
        <f t="shared" si="5"/>
        <v>1615.6596297891538</v>
      </c>
      <c r="K20" s="817">
        <f>'SẢN LƯỢNG'!AP21</f>
        <v>117.81283862858136</v>
      </c>
      <c r="L20" s="817">
        <f>'SẢN LƯỢNG'!AQ21</f>
        <v>1733.4724684177354</v>
      </c>
      <c r="M20" s="1299" t="str">
        <f>VLOOKUP(C20,'SẢN LƯỢNG'!D21:AR99,41,0)</f>
        <v>B</v>
      </c>
      <c r="N20" s="1302">
        <f t="shared" si="6"/>
        <v>6143080</v>
      </c>
      <c r="O20" s="1300">
        <f>VLOOKUP(C20,TONGHOPCONGDOI!$C$11:$V$91,20,0)</f>
        <v>26</v>
      </c>
      <c r="P20" s="1300">
        <f>VLOOKUP(C20,TONGHOPCONGDOI!$C$11:$W$91,21,0)</f>
        <v>3</v>
      </c>
      <c r="Q20" s="1300">
        <f>VLOOKUP(C20,TONGHOPCONGDOI!$C$11:$AD$93,22,0)</f>
        <v>0</v>
      </c>
      <c r="R20" s="1300">
        <f>VLOOKUP(C20,TONGHOPCONGDOI!$C$11:$AD$93,23,0)</f>
        <v>0</v>
      </c>
      <c r="S20" s="1300">
        <f>VLOOKUP(C20,TONGHOPCONGDOI!$C$11:$AD$93,24,0)</f>
        <v>0</v>
      </c>
      <c r="T20" s="1300">
        <f>VLOOKUP(C20,TONGHOPCONGDOI!$C$11:$AD$93,25,0)</f>
        <v>0</v>
      </c>
      <c r="U20" s="1300"/>
      <c r="V20" s="1300">
        <f t="shared" si="2"/>
        <v>0</v>
      </c>
      <c r="W20" s="1301"/>
      <c r="X20" s="1301"/>
      <c r="Y20" s="813">
        <f t="shared" si="3"/>
        <v>943281</v>
      </c>
      <c r="Z20" s="1300">
        <f t="shared" si="0"/>
        <v>7086361</v>
      </c>
      <c r="AA20" s="1300"/>
      <c r="AB20" s="1300">
        <f>VLOOKUP(C20,'CNKT '!D20:AC97,24,0)</f>
        <v>7086361</v>
      </c>
      <c r="AC20" s="1261">
        <f t="shared" si="4"/>
        <v>0</v>
      </c>
    </row>
    <row r="21" spans="1:29" s="1261" customFormat="1" ht="50.25" customHeight="1">
      <c r="A21" s="1299">
        <v>6</v>
      </c>
      <c r="B21" s="1299" t="str">
        <f>'Chấm công KT'!C18</f>
        <v>04054</v>
      </c>
      <c r="C21" s="1300" t="str">
        <f>TONGHOPCONGDOI!C16</f>
        <v>N. Kay Son</v>
      </c>
      <c r="D21" s="1300"/>
      <c r="E21" s="1301"/>
      <c r="F21" s="1300">
        <f t="shared" si="1"/>
        <v>0</v>
      </c>
      <c r="G21" s="1300">
        <f>VLOOKUP(C21,TONGHOPCONGDOI!C16:AE94,16,0)</f>
        <v>4449</v>
      </c>
      <c r="H21" s="1300">
        <f>VLOOKUP(C21,TONGHOPCONGDOI!C16:AE94,17,0)</f>
        <v>0</v>
      </c>
      <c r="I21" s="1300"/>
      <c r="J21" s="812">
        <f t="shared" si="5"/>
        <v>1963.9534680141928</v>
      </c>
      <c r="K21" s="817">
        <f>'SẢN LƯỢNG'!AP22</f>
        <v>145.6792576761369</v>
      </c>
      <c r="L21" s="817">
        <f>'SẢN LƯỢNG'!AQ22</f>
        <v>2109.6327256903296</v>
      </c>
      <c r="M21" s="1299" t="str">
        <f>VLOOKUP(C21,'SẢN LƯỢNG'!D22:AR100,41,0)</f>
        <v>B</v>
      </c>
      <c r="N21" s="1302">
        <f t="shared" si="6"/>
        <v>7476116</v>
      </c>
      <c r="O21" s="1300">
        <f>VLOOKUP(C21,TONGHOPCONGDOI!$C$11:$V$91,20,0)</f>
        <v>27</v>
      </c>
      <c r="P21" s="1300">
        <f>VLOOKUP(C21,TONGHOPCONGDOI!$C$11:$W$91,21,0)</f>
        <v>4</v>
      </c>
      <c r="Q21" s="1300">
        <f>VLOOKUP(C21,TONGHOPCONGDOI!$C$11:$AD$93,22,0)</f>
        <v>0</v>
      </c>
      <c r="R21" s="1300">
        <f>VLOOKUP(C21,TONGHOPCONGDOI!$C$11:$AD$93,23,0)</f>
        <v>0</v>
      </c>
      <c r="S21" s="1300">
        <f>VLOOKUP(C21,TONGHOPCONGDOI!$C$11:$AD$93,24,0)</f>
        <v>0</v>
      </c>
      <c r="T21" s="1300">
        <f>VLOOKUP(C21,TONGHOPCONGDOI!$C$11:$AD$93,25,0)</f>
        <v>0</v>
      </c>
      <c r="U21" s="1300"/>
      <c r="V21" s="1300">
        <f t="shared" si="2"/>
        <v>0</v>
      </c>
      <c r="W21" s="1301"/>
      <c r="X21" s="1301"/>
      <c r="Y21" s="813">
        <f t="shared" si="3"/>
        <v>1024456</v>
      </c>
      <c r="Z21" s="1300">
        <f t="shared" si="0"/>
        <v>8500572</v>
      </c>
      <c r="AA21" s="1300"/>
      <c r="AB21" s="1300">
        <f>VLOOKUP(C21,'CNKT '!D21:AC97,24,0)</f>
        <v>8500572</v>
      </c>
      <c r="AC21" s="1261">
        <f t="shared" si="4"/>
        <v>0</v>
      </c>
    </row>
    <row r="22" spans="1:29" s="1261" customFormat="1" ht="50.25" customHeight="1">
      <c r="A22" s="1299">
        <v>7</v>
      </c>
      <c r="B22" s="1299" t="str">
        <f>'Chấm công KT'!C19</f>
        <v>04055</v>
      </c>
      <c r="C22" s="1300" t="str">
        <f>TONGHOPCONGDOI!C17</f>
        <v>T. Đèng 1</v>
      </c>
      <c r="D22" s="1300"/>
      <c r="E22" s="1301"/>
      <c r="F22" s="1300">
        <f t="shared" si="1"/>
        <v>0</v>
      </c>
      <c r="G22" s="1300">
        <f>VLOOKUP(C22,TONGHOPCONGDOI!C17:AE94,16,0)</f>
        <v>3953</v>
      </c>
      <c r="H22" s="1300">
        <f>VLOOKUP(C22,TONGHOPCONGDOI!C17:AE94,17,0)</f>
        <v>0</v>
      </c>
      <c r="I22" s="1300"/>
      <c r="J22" s="812">
        <f t="shared" si="5"/>
        <v>1745.0006875837501</v>
      </c>
      <c r="K22" s="817">
        <f>'SẢN LƯỢNG'!AP23</f>
        <v>128.2669885270553</v>
      </c>
      <c r="L22" s="817">
        <f>'SẢN LƯỢNG'!AQ23</f>
        <v>1873.2676761108053</v>
      </c>
      <c r="M22" s="1299" t="str">
        <f>VLOOKUP(C22,'SẢN LƯỢNG'!D23:AR101,41,0)</f>
        <v>A</v>
      </c>
      <c r="N22" s="1302">
        <f t="shared" si="6"/>
        <v>6981856</v>
      </c>
      <c r="O22" s="1300">
        <f>VLOOKUP(C22,TONGHOPCONGDOI!$C$11:$V$91,20,0)</f>
        <v>26</v>
      </c>
      <c r="P22" s="1300">
        <f>VLOOKUP(C22,TONGHOPCONGDOI!$C$11:$W$91,21,0)</f>
        <v>4</v>
      </c>
      <c r="Q22" s="1300">
        <f>VLOOKUP(C22,TONGHOPCONGDOI!$C$11:$AD$93,22,0)</f>
        <v>0</v>
      </c>
      <c r="R22" s="1300">
        <f>VLOOKUP(C22,TONGHOPCONGDOI!$C$11:$AD$93,23,0)</f>
        <v>0</v>
      </c>
      <c r="S22" s="1300">
        <f>VLOOKUP(C22,TONGHOPCONGDOI!$C$11:$AD$93,24,0)</f>
        <v>0</v>
      </c>
      <c r="T22" s="1300">
        <f>VLOOKUP(C22,TONGHOPCONGDOI!$C$11:$AD$93,25,0)</f>
        <v>0</v>
      </c>
      <c r="U22" s="1300"/>
      <c r="V22" s="1300">
        <f t="shared" si="2"/>
        <v>0</v>
      </c>
      <c r="W22" s="1301"/>
      <c r="X22" s="1301"/>
      <c r="Y22" s="813">
        <f t="shared" si="3"/>
        <v>994032</v>
      </c>
      <c r="Z22" s="1300">
        <f t="shared" si="0"/>
        <v>7975888</v>
      </c>
      <c r="AA22" s="1300"/>
      <c r="AB22" s="1300">
        <f>VLOOKUP(C22,'CNKT '!D22:AC98,24,0)</f>
        <v>7975888</v>
      </c>
      <c r="AC22" s="1261">
        <f t="shared" si="4"/>
        <v>0</v>
      </c>
    </row>
    <row r="23" spans="1:29" s="1261" customFormat="1" ht="50.25" customHeight="1">
      <c r="A23" s="1299">
        <v>8</v>
      </c>
      <c r="B23" s="1299" t="str">
        <f>'Chấm công KT'!C20</f>
        <v>03462</v>
      </c>
      <c r="C23" s="1300" t="str">
        <f>TONGHOPCONGDOI!C18</f>
        <v>T . Bua Ngân</v>
      </c>
      <c r="D23" s="1300"/>
      <c r="E23" s="1301"/>
      <c r="F23" s="1300">
        <f t="shared" si="1"/>
        <v>0</v>
      </c>
      <c r="G23" s="1300">
        <f>VLOOKUP(C23,TONGHOPCONGDOI!C18:AE94,16,0)</f>
        <v>3619</v>
      </c>
      <c r="H23" s="1300">
        <f>VLOOKUP(C23,TONGHOPCONGDOI!C18:AE94,17,0)</f>
        <v>0</v>
      </c>
      <c r="I23" s="1300"/>
      <c r="J23" s="812">
        <f t="shared" si="5"/>
        <v>1597.5607104390567</v>
      </c>
      <c r="K23" s="817">
        <f>'SẢN LƯỢNG'!AP24</f>
        <v>114.48651820633964</v>
      </c>
      <c r="L23" s="817">
        <f>'SẢN LƯỢNG'!AQ24</f>
        <v>1712.0472286453967</v>
      </c>
      <c r="M23" s="1299" t="str">
        <f>VLOOKUP(C23,'SẢN LƯỢNG'!D24:AR102,41,0)</f>
        <v>A</v>
      </c>
      <c r="N23" s="1302">
        <f t="shared" si="6"/>
        <v>6380971</v>
      </c>
      <c r="O23" s="1300">
        <f>VLOOKUP(C23,TONGHOPCONGDOI!$C$11:$V$91,20,0)</f>
        <v>27</v>
      </c>
      <c r="P23" s="1300">
        <f>VLOOKUP(C23,TONGHOPCONGDOI!$C$11:$W$91,21,0)</f>
        <v>4</v>
      </c>
      <c r="Q23" s="1300">
        <f>VLOOKUP(C23,TONGHOPCONGDOI!$C$11:$AD$93,22,0)</f>
        <v>0</v>
      </c>
      <c r="R23" s="1300">
        <f>VLOOKUP(C23,TONGHOPCONGDOI!$C$11:$AD$93,23,0)</f>
        <v>0</v>
      </c>
      <c r="S23" s="1300">
        <f>VLOOKUP(C23,TONGHOPCONGDOI!$C$11:$AD$93,24,0)</f>
        <v>0</v>
      </c>
      <c r="T23" s="1300">
        <f>VLOOKUP(C23,TONGHOPCONGDOI!$C$11:$AD$93,25,0)</f>
        <v>0</v>
      </c>
      <c r="U23" s="1300"/>
      <c r="V23" s="1300">
        <f t="shared" si="2"/>
        <v>0</v>
      </c>
      <c r="W23" s="1301"/>
      <c r="X23" s="1301"/>
      <c r="Y23" s="813">
        <f t="shared" si="3"/>
        <v>1024456</v>
      </c>
      <c r="Z23" s="1300">
        <f t="shared" si="0"/>
        <v>7405427</v>
      </c>
      <c r="AA23" s="1300"/>
      <c r="AB23" s="1300">
        <f>VLOOKUP(C23,'CNKT '!D23:AC98,24,0)</f>
        <v>7405427</v>
      </c>
      <c r="AC23" s="1261">
        <f t="shared" si="4"/>
        <v>0</v>
      </c>
    </row>
    <row r="24" spans="1:29" s="1261" customFormat="1" ht="50.25" customHeight="1">
      <c r="A24" s="1299">
        <v>9</v>
      </c>
      <c r="B24" s="1299" t="str">
        <f>'Chấm công KT'!C21</f>
        <v>03463</v>
      </c>
      <c r="C24" s="1300" t="str">
        <f>TONGHOPCONGDOI!C19</f>
        <v>T Căng</v>
      </c>
      <c r="D24" s="1300"/>
      <c r="E24" s="1301"/>
      <c r="F24" s="1300">
        <f t="shared" si="1"/>
        <v>0</v>
      </c>
      <c r="G24" s="1300">
        <f>VLOOKUP(C24,TONGHOPCONGDOI!C19:AE94,16,0)</f>
        <v>4653</v>
      </c>
      <c r="H24" s="1300">
        <f>VLOOKUP(C24,TONGHOPCONGDOI!C19:AE94,17,0)</f>
        <v>0</v>
      </c>
      <c r="I24" s="1300"/>
      <c r="J24" s="812">
        <f t="shared" si="5"/>
        <v>2054.0066277073588</v>
      </c>
      <c r="K24" s="817">
        <f>'SẢN LƯỢNG'!AP25</f>
        <v>162.37874387759527</v>
      </c>
      <c r="L24" s="817">
        <f>'SẢN LƯỢNG'!AQ25</f>
        <v>2216.3853715849541</v>
      </c>
      <c r="M24" s="1299" t="str">
        <f>VLOOKUP(C24,'SẢN LƯỢNG'!D25:AR103,41,0)</f>
        <v>A</v>
      </c>
      <c r="N24" s="1302">
        <f t="shared" si="6"/>
        <v>8260690</v>
      </c>
      <c r="O24" s="1300">
        <f>VLOOKUP(C24,TONGHOPCONGDOI!$C$11:$V$91,20,0)</f>
        <v>27</v>
      </c>
      <c r="P24" s="1300">
        <f>VLOOKUP(C24,TONGHOPCONGDOI!$C$11:$W$91,21,0)</f>
        <v>4</v>
      </c>
      <c r="Q24" s="1300">
        <f>VLOOKUP(C24,TONGHOPCONGDOI!$C$11:$AD$93,22,0)</f>
        <v>0</v>
      </c>
      <c r="R24" s="1300">
        <f>VLOOKUP(C24,TONGHOPCONGDOI!$C$11:$AD$93,23,0)</f>
        <v>0</v>
      </c>
      <c r="S24" s="1300">
        <f>VLOOKUP(C24,TONGHOPCONGDOI!$C$11:$AD$93,24,0)</f>
        <v>0</v>
      </c>
      <c r="T24" s="1300">
        <f>VLOOKUP(C24,TONGHOPCONGDOI!$C$11:$AD$93,25,0)</f>
        <v>0</v>
      </c>
      <c r="U24" s="1300"/>
      <c r="V24" s="1300">
        <f t="shared" si="2"/>
        <v>0</v>
      </c>
      <c r="W24" s="1301"/>
      <c r="X24" s="1301"/>
      <c r="Y24" s="813">
        <f t="shared" si="3"/>
        <v>1024456</v>
      </c>
      <c r="Z24" s="1300">
        <f t="shared" si="0"/>
        <v>9285146</v>
      </c>
      <c r="AA24" s="1300"/>
      <c r="AB24" s="1300">
        <f>VLOOKUP(C24,'CNKT '!D24:AC98,24,0)</f>
        <v>9285146</v>
      </c>
      <c r="AC24" s="1261">
        <f t="shared" si="4"/>
        <v>0</v>
      </c>
    </row>
    <row r="25" spans="1:29" s="1261" customFormat="1" ht="50.25" customHeight="1">
      <c r="A25" s="1299">
        <v>10</v>
      </c>
      <c r="B25" s="1299" t="str">
        <f>'Chấm công KT'!C22</f>
        <v>03464</v>
      </c>
      <c r="C25" s="1300" t="str">
        <f>TONGHOPCONGDOI!C20</f>
        <v>N. Phôn 1</v>
      </c>
      <c r="D25" s="1300"/>
      <c r="E25" s="1301"/>
      <c r="F25" s="1300">
        <f t="shared" si="1"/>
        <v>0</v>
      </c>
      <c r="G25" s="1300">
        <f>VLOOKUP(C25,TONGHOPCONGDOI!C20:AE94,16,0)</f>
        <v>4785</v>
      </c>
      <c r="H25" s="1300">
        <f>VLOOKUP(C25,TONGHOPCONGDOI!C20:AE94,17,0)</f>
        <v>0</v>
      </c>
      <c r="I25" s="1300"/>
      <c r="J25" s="812">
        <f t="shared" si="5"/>
        <v>2112.2763192735247</v>
      </c>
      <c r="K25" s="817">
        <f>'SẢN LƯỢNG'!AP26</f>
        <v>163.97401999846633</v>
      </c>
      <c r="L25" s="817">
        <f>'SẢN LƯỢNG'!AQ26</f>
        <v>2276.2503392719909</v>
      </c>
      <c r="M25" s="1299" t="str">
        <f>VLOOKUP(C25,'SẢN LƯỢNG'!D26:AR104,41,0)</f>
        <v>A</v>
      </c>
      <c r="N25" s="1302">
        <f t="shared" si="6"/>
        <v>8483813</v>
      </c>
      <c r="O25" s="1300">
        <f>VLOOKUP(C25,TONGHOPCONGDOI!$C$11:$V$91,20,0)</f>
        <v>27</v>
      </c>
      <c r="P25" s="1300">
        <f>VLOOKUP(C25,TONGHOPCONGDOI!$C$11:$W$91,21,0)</f>
        <v>4</v>
      </c>
      <c r="Q25" s="1300">
        <f>VLOOKUP(C25,TONGHOPCONGDOI!$C$11:$AD$93,22,0)</f>
        <v>0</v>
      </c>
      <c r="R25" s="1300">
        <f>VLOOKUP(C25,TONGHOPCONGDOI!$C$11:$AD$93,23,0)</f>
        <v>0</v>
      </c>
      <c r="S25" s="1300">
        <f>VLOOKUP(C25,TONGHOPCONGDOI!$C$11:$AD$93,24,0)</f>
        <v>0</v>
      </c>
      <c r="T25" s="1300">
        <f>VLOOKUP(C25,TONGHOPCONGDOI!$C$11:$AD$93,25,0)</f>
        <v>0</v>
      </c>
      <c r="U25" s="1300"/>
      <c r="V25" s="1300">
        <f t="shared" si="2"/>
        <v>0</v>
      </c>
      <c r="W25" s="1301"/>
      <c r="X25" s="1301"/>
      <c r="Y25" s="813">
        <f t="shared" si="3"/>
        <v>1024456</v>
      </c>
      <c r="Z25" s="1300">
        <f t="shared" si="0"/>
        <v>9508269</v>
      </c>
      <c r="AA25" s="1300"/>
      <c r="AB25" s="1300">
        <f>VLOOKUP(C25,'CNKT '!D25:AC98,24,0)</f>
        <v>9508269</v>
      </c>
      <c r="AC25" s="1261">
        <f t="shared" si="4"/>
        <v>0</v>
      </c>
    </row>
    <row r="26" spans="1:29" s="1261" customFormat="1" ht="50.25" customHeight="1">
      <c r="A26" s="1299">
        <v>11</v>
      </c>
      <c r="B26" s="1299" t="str">
        <f>'Chấm công KT'!C23</f>
        <v>03465</v>
      </c>
      <c r="C26" s="1300" t="str">
        <f>TONGHOPCONGDOI!C21</f>
        <v>T. In Păn</v>
      </c>
      <c r="D26" s="1300"/>
      <c r="E26" s="1301"/>
      <c r="F26" s="1300">
        <f t="shared" si="1"/>
        <v>0</v>
      </c>
      <c r="G26" s="1300">
        <f>VLOOKUP(C26,TONGHOPCONGDOI!C21:AE94,16,0)</f>
        <v>4097</v>
      </c>
      <c r="H26" s="1300">
        <f>VLOOKUP(C26,TONGHOPCONGDOI!C21:AE94,17,0)</f>
        <v>0</v>
      </c>
      <c r="I26" s="1300"/>
      <c r="J26" s="812">
        <f t="shared" si="5"/>
        <v>1808.5676238377496</v>
      </c>
      <c r="K26" s="817">
        <f>'SẢN LƯỢNG'!AP27</f>
        <v>134.03713619829091</v>
      </c>
      <c r="L26" s="817">
        <f>'SẢN LƯỢNG'!AQ27</f>
        <v>1942.6047600360407</v>
      </c>
      <c r="M26" s="1299" t="str">
        <f>VLOOKUP(C26,'SẢN LƯỢNG'!D27:AR105,41,0)</f>
        <v>A</v>
      </c>
      <c r="N26" s="1302">
        <f t="shared" si="6"/>
        <v>7240282</v>
      </c>
      <c r="O26" s="1300">
        <f>VLOOKUP(C26,TONGHOPCONGDOI!$C$11:$V$91,20,0)</f>
        <v>26</v>
      </c>
      <c r="P26" s="1300">
        <f>VLOOKUP(C26,TONGHOPCONGDOI!$C$11:$W$91,21,0)</f>
        <v>4</v>
      </c>
      <c r="Q26" s="1300">
        <f>VLOOKUP(C26,TONGHOPCONGDOI!$C$11:$AD$93,22,0)</f>
        <v>0</v>
      </c>
      <c r="R26" s="1300">
        <f>VLOOKUP(C26,TONGHOPCONGDOI!$C$11:$AD$93,23,0)</f>
        <v>0</v>
      </c>
      <c r="S26" s="1300">
        <f>VLOOKUP(C26,TONGHOPCONGDOI!$C$11:$AD$93,24,0)</f>
        <v>0</v>
      </c>
      <c r="T26" s="1300">
        <f>VLOOKUP(C26,TONGHOPCONGDOI!$C$11:$AD$93,25,0)</f>
        <v>0</v>
      </c>
      <c r="U26" s="1300"/>
      <c r="V26" s="1300">
        <f t="shared" si="2"/>
        <v>0</v>
      </c>
      <c r="W26" s="1301"/>
      <c r="X26" s="1301"/>
      <c r="Y26" s="813">
        <f t="shared" si="3"/>
        <v>994032</v>
      </c>
      <c r="Z26" s="1300">
        <f t="shared" si="0"/>
        <v>8234314</v>
      </c>
      <c r="AA26" s="1300"/>
      <c r="AB26" s="1300">
        <f>VLOOKUP(C26,'CNKT '!D26:AC98,24,0)</f>
        <v>8234314</v>
      </c>
      <c r="AC26" s="1261">
        <f t="shared" si="4"/>
        <v>0</v>
      </c>
    </row>
    <row r="27" spans="1:29" s="1261" customFormat="1" ht="50.25" customHeight="1">
      <c r="A27" s="1299">
        <v>12</v>
      </c>
      <c r="B27" s="1299" t="str">
        <f>'Chấm công KT'!C24</f>
        <v>03466</v>
      </c>
      <c r="C27" s="1300" t="str">
        <f>TONGHOPCONGDOI!C22</f>
        <v>N. Keo</v>
      </c>
      <c r="D27" s="1300"/>
      <c r="E27" s="1301"/>
      <c r="F27" s="1300">
        <f t="shared" si="1"/>
        <v>0</v>
      </c>
      <c r="G27" s="1300">
        <f>VLOOKUP(C27,TONGHOPCONGDOI!C22:AE94,16,0)</f>
        <v>4510</v>
      </c>
      <c r="H27" s="1300">
        <f>VLOOKUP(C27,TONGHOPCONGDOI!C22:AE94,17,0)</f>
        <v>0</v>
      </c>
      <c r="I27" s="1300"/>
      <c r="J27" s="812">
        <f t="shared" si="5"/>
        <v>1990.8811285106785</v>
      </c>
      <c r="K27" s="817">
        <f>'SẢN LƯỢNG'!AP28</f>
        <v>146.96905539088368</v>
      </c>
      <c r="L27" s="817">
        <f>'SẢN LƯỢNG'!AQ28</f>
        <v>2137.8501839015626</v>
      </c>
      <c r="M27" s="1299" t="str">
        <f>VLOOKUP(C27,'SẢN LƯỢNG'!D28:AR106,41,0)</f>
        <v>A</v>
      </c>
      <c r="N27" s="1302">
        <f t="shared" si="6"/>
        <v>7967981</v>
      </c>
      <c r="O27" s="1300">
        <f>VLOOKUP(C27,TONGHOPCONGDOI!$C$11:$V$91,20,0)</f>
        <v>27</v>
      </c>
      <c r="P27" s="1300">
        <f>VLOOKUP(C27,TONGHOPCONGDOI!$C$11:$W$91,21,0)</f>
        <v>4</v>
      </c>
      <c r="Q27" s="1300">
        <f>VLOOKUP(C27,TONGHOPCONGDOI!$C$11:$AD$93,22,0)</f>
        <v>0</v>
      </c>
      <c r="R27" s="1300">
        <f>VLOOKUP(C27,TONGHOPCONGDOI!$C$11:$AD$93,23,0)</f>
        <v>0</v>
      </c>
      <c r="S27" s="1300">
        <f>VLOOKUP(C27,TONGHOPCONGDOI!$C$11:$AD$93,24,0)</f>
        <v>0</v>
      </c>
      <c r="T27" s="1300">
        <f>VLOOKUP(C27,TONGHOPCONGDOI!$C$11:$AD$93,25,0)</f>
        <v>0</v>
      </c>
      <c r="U27" s="1300"/>
      <c r="V27" s="1300">
        <f t="shared" si="2"/>
        <v>0</v>
      </c>
      <c r="W27" s="1301"/>
      <c r="X27" s="1301"/>
      <c r="Y27" s="813">
        <f t="shared" si="3"/>
        <v>1024456</v>
      </c>
      <c r="Z27" s="1300">
        <f t="shared" si="0"/>
        <v>8992437</v>
      </c>
      <c r="AA27" s="1300"/>
      <c r="AB27" s="1300">
        <f>VLOOKUP(C27,'CNKT '!D27:AC98,24,0)</f>
        <v>8992437</v>
      </c>
      <c r="AC27" s="1261">
        <f t="shared" si="4"/>
        <v>0</v>
      </c>
    </row>
    <row r="28" spans="1:29" s="1261" customFormat="1" ht="50.25" customHeight="1">
      <c r="A28" s="1299">
        <v>13</v>
      </c>
      <c r="B28" s="1299" t="str">
        <f>'Chấm công KT'!C25</f>
        <v>02727</v>
      </c>
      <c r="C28" s="1300" t="str">
        <f>TONGHOPCONGDOI!C23</f>
        <v>T. Thong Đon</v>
      </c>
      <c r="D28" s="1300"/>
      <c r="E28" s="1301"/>
      <c r="F28" s="1300">
        <f t="shared" si="1"/>
        <v>0</v>
      </c>
      <c r="G28" s="1300">
        <f>VLOOKUP(C28,TONGHOPCONGDOI!C23:AE94,16,0)</f>
        <v>4650</v>
      </c>
      <c r="H28" s="1300">
        <f>VLOOKUP(C28,TONGHOPCONGDOI!C23:AE94,17,0)</f>
        <v>0</v>
      </c>
      <c r="I28" s="1300"/>
      <c r="J28" s="812">
        <f t="shared" si="5"/>
        <v>2052.6823165354003</v>
      </c>
      <c r="K28" s="817">
        <f>'SẢN LƯỢNG'!AP29</f>
        <v>144.49128609676487</v>
      </c>
      <c r="L28" s="817">
        <f>'SẢN LƯỢNG'!AQ29</f>
        <v>2197.1736026321651</v>
      </c>
      <c r="M28" s="1299" t="str">
        <f>VLOOKUP(C28,'SẢN LƯỢNG'!D29:AR107,41,0)</f>
        <v>B</v>
      </c>
      <c r="N28" s="1302">
        <f t="shared" si="6"/>
        <v>7786344</v>
      </c>
      <c r="O28" s="1300">
        <f>VLOOKUP(C28,TONGHOPCONGDOI!$C$11:$V$91,20,0)</f>
        <v>27</v>
      </c>
      <c r="P28" s="1300">
        <f>VLOOKUP(C28,TONGHOPCONGDOI!$C$11:$W$91,21,0)</f>
        <v>4</v>
      </c>
      <c r="Q28" s="1300">
        <f>VLOOKUP(C28,TONGHOPCONGDOI!$C$11:$AD$93,22,0)</f>
        <v>0</v>
      </c>
      <c r="R28" s="1300">
        <f>VLOOKUP(C28,TONGHOPCONGDOI!$C$11:$AD$93,23,0)</f>
        <v>0</v>
      </c>
      <c r="S28" s="1300">
        <f>VLOOKUP(C28,TONGHOPCONGDOI!$C$11:$AD$93,24,0)</f>
        <v>0</v>
      </c>
      <c r="T28" s="1300">
        <f>VLOOKUP(C28,TONGHOPCONGDOI!$C$11:$AD$93,25,0)</f>
        <v>0</v>
      </c>
      <c r="U28" s="1300"/>
      <c r="V28" s="1300">
        <f t="shared" si="2"/>
        <v>0</v>
      </c>
      <c r="W28" s="1301"/>
      <c r="X28" s="1301"/>
      <c r="Y28" s="813">
        <f t="shared" si="3"/>
        <v>1024456</v>
      </c>
      <c r="Z28" s="1300">
        <f t="shared" si="0"/>
        <v>8810800</v>
      </c>
      <c r="AA28" s="1300"/>
      <c r="AB28" s="1300">
        <f>VLOOKUP(C28,'CNKT '!D28:AC98,24,0)</f>
        <v>8810800</v>
      </c>
      <c r="AC28" s="1261">
        <f t="shared" si="4"/>
        <v>0</v>
      </c>
    </row>
    <row r="29" spans="1:29" s="1261" customFormat="1" ht="50.25" customHeight="1">
      <c r="A29" s="1299">
        <v>14</v>
      </c>
      <c r="B29" s="1299" t="str">
        <f>'Chấm công KT'!C26</f>
        <v>03467</v>
      </c>
      <c r="C29" s="1300" t="str">
        <f>TONGHOPCONGDOI!C24</f>
        <v>T. Hin</v>
      </c>
      <c r="D29" s="1300"/>
      <c r="E29" s="1301"/>
      <c r="F29" s="1300">
        <f t="shared" si="1"/>
        <v>0</v>
      </c>
      <c r="G29" s="1300">
        <f>VLOOKUP(C29,TONGHOPCONGDOI!C24:AE94,16,0)</f>
        <v>3720</v>
      </c>
      <c r="H29" s="1300">
        <f>VLOOKUP(C29,TONGHOPCONGDOI!C24:AE94,17,0)</f>
        <v>0</v>
      </c>
      <c r="I29" s="1300"/>
      <c r="J29" s="812">
        <f t="shared" si="5"/>
        <v>1642.1458532283202</v>
      </c>
      <c r="K29" s="817">
        <f>'SẢN LƯỢNG'!AP30</f>
        <v>118.3219693054551</v>
      </c>
      <c r="L29" s="817">
        <f>'SẢN LƯỢNG'!AQ30</f>
        <v>1760.4678225337755</v>
      </c>
      <c r="M29" s="1299" t="str">
        <f>VLOOKUP(C29,'SẢN LƯỢNG'!D30:AR108,41,0)</f>
        <v>A</v>
      </c>
      <c r="N29" s="1302">
        <f t="shared" si="6"/>
        <v>6561440</v>
      </c>
      <c r="O29" s="1300">
        <f>VLOOKUP(C29,TONGHOPCONGDOI!$C$11:$V$91,20,0)</f>
        <v>27</v>
      </c>
      <c r="P29" s="1300">
        <f>VLOOKUP(C29,TONGHOPCONGDOI!$C$11:$W$91,21,0)</f>
        <v>4</v>
      </c>
      <c r="Q29" s="1300">
        <f>VLOOKUP(C29,TONGHOPCONGDOI!$C$11:$AD$93,22,0)</f>
        <v>0</v>
      </c>
      <c r="R29" s="1300">
        <f>VLOOKUP(C29,TONGHOPCONGDOI!$C$11:$AD$93,23,0)</f>
        <v>0</v>
      </c>
      <c r="S29" s="1300">
        <f>VLOOKUP(C29,TONGHOPCONGDOI!$C$11:$AD$93,24,0)</f>
        <v>0</v>
      </c>
      <c r="T29" s="1300">
        <f>VLOOKUP(C29,TONGHOPCONGDOI!$C$11:$AD$93,25,0)</f>
        <v>0</v>
      </c>
      <c r="U29" s="1300"/>
      <c r="V29" s="1300">
        <f t="shared" si="2"/>
        <v>0</v>
      </c>
      <c r="W29" s="1301"/>
      <c r="X29" s="1301"/>
      <c r="Y29" s="813">
        <f t="shared" si="3"/>
        <v>1024456</v>
      </c>
      <c r="Z29" s="1300">
        <f t="shared" si="0"/>
        <v>7585896</v>
      </c>
      <c r="AA29" s="1300"/>
      <c r="AB29" s="1300">
        <f>VLOOKUP(C29,'CNKT '!D29:AC98,24,0)</f>
        <v>7585896</v>
      </c>
      <c r="AC29" s="1261">
        <f t="shared" si="4"/>
        <v>0</v>
      </c>
    </row>
    <row r="30" spans="1:29" s="1261" customFormat="1" ht="50.25" customHeight="1">
      <c r="A30" s="1299">
        <v>15</v>
      </c>
      <c r="B30" s="1299" t="str">
        <f>'Chấm công KT'!C27</f>
        <v>04056</v>
      </c>
      <c r="C30" s="1300" t="str">
        <f>TONGHOPCONGDOI!C25</f>
        <v>N. Ly Phon</v>
      </c>
      <c r="D30" s="1300"/>
      <c r="E30" s="1301"/>
      <c r="F30" s="1300">
        <f t="shared" si="1"/>
        <v>0</v>
      </c>
      <c r="G30" s="1300">
        <f>VLOOKUP(C30,TONGHOPCONGDOI!C25:AE94,16,0)</f>
        <v>3893</v>
      </c>
      <c r="H30" s="1300">
        <f>VLOOKUP(C30,TONGHOPCONGDOI!C25:AE94,17,0)</f>
        <v>0</v>
      </c>
      <c r="I30" s="1300"/>
      <c r="J30" s="812">
        <f t="shared" si="5"/>
        <v>1718.5144641445836</v>
      </c>
      <c r="K30" s="817">
        <f>'SẢN LƯỢNG'!AP31</f>
        <v>116.62486704920931</v>
      </c>
      <c r="L30" s="817">
        <f>'SẢN LƯỢNG'!AQ31</f>
        <v>1835.1393311937929</v>
      </c>
      <c r="M30" s="1299" t="str">
        <f>VLOOKUP(C30,'SẢN LƯỢNG'!D31:AR109,41,0)</f>
        <v>A</v>
      </c>
      <c r="N30" s="1302">
        <f t="shared" si="6"/>
        <v>6839748</v>
      </c>
      <c r="O30" s="1300">
        <f>VLOOKUP(C30,TONGHOPCONGDOI!$C$11:$V$91,20,0)</f>
        <v>27</v>
      </c>
      <c r="P30" s="1300">
        <f>VLOOKUP(C30,TONGHOPCONGDOI!$C$11:$W$91,21,0)</f>
        <v>4</v>
      </c>
      <c r="Q30" s="1300">
        <f>VLOOKUP(C30,TONGHOPCONGDOI!$C$11:$AD$93,22,0)</f>
        <v>0</v>
      </c>
      <c r="R30" s="1300">
        <f>VLOOKUP(C30,TONGHOPCONGDOI!$C$11:$AD$93,23,0)</f>
        <v>0</v>
      </c>
      <c r="S30" s="1300">
        <f>VLOOKUP(C30,TONGHOPCONGDOI!$C$11:$AD$93,24,0)</f>
        <v>0</v>
      </c>
      <c r="T30" s="1300">
        <f>VLOOKUP(C30,TONGHOPCONGDOI!$C$11:$AD$93,25,0)</f>
        <v>0</v>
      </c>
      <c r="U30" s="1300"/>
      <c r="V30" s="1300">
        <f t="shared" si="2"/>
        <v>0</v>
      </c>
      <c r="W30" s="1301"/>
      <c r="X30" s="1301"/>
      <c r="Y30" s="813">
        <f t="shared" si="3"/>
        <v>1024456</v>
      </c>
      <c r="Z30" s="1300">
        <f t="shared" si="0"/>
        <v>7864204</v>
      </c>
      <c r="AA30" s="1300"/>
      <c r="AB30" s="1300">
        <f>VLOOKUP(C30,'CNKT '!D30:AC98,24,0)</f>
        <v>7864204</v>
      </c>
      <c r="AC30" s="1261">
        <f t="shared" si="4"/>
        <v>0</v>
      </c>
    </row>
    <row r="31" spans="1:29" s="1261" customFormat="1" ht="50.25" customHeight="1">
      <c r="A31" s="1299">
        <v>16</v>
      </c>
      <c r="B31" s="1299" t="str">
        <f>'Chấm công KT'!C28</f>
        <v>03469</v>
      </c>
      <c r="C31" s="1300" t="str">
        <f>TONGHOPCONGDOI!C26</f>
        <v>T. Xôm Va Nít</v>
      </c>
      <c r="D31" s="1300"/>
      <c r="E31" s="1301"/>
      <c r="F31" s="1300">
        <f t="shared" si="1"/>
        <v>0</v>
      </c>
      <c r="G31" s="1300">
        <f>VLOOKUP(C31,TONGHOPCONGDOI!C26:AE94,16,0)</f>
        <v>4412</v>
      </c>
      <c r="H31" s="1300">
        <f>VLOOKUP(C31,TONGHOPCONGDOI!C26:AE94,17,0)</f>
        <v>0</v>
      </c>
      <c r="I31" s="1300"/>
      <c r="J31" s="812">
        <f t="shared" si="5"/>
        <v>1947.6202968933735</v>
      </c>
      <c r="K31" s="817">
        <f>'SẢN LƯỢNG'!AP32</f>
        <v>147.74972242875674</v>
      </c>
      <c r="L31" s="817">
        <f>'SẢN LƯỢNG'!AQ32</f>
        <v>2095.3700193221302</v>
      </c>
      <c r="M31" s="1299" t="str">
        <f>VLOOKUP(C31,'SẢN LƯỢNG'!D32:AR110,41,0)</f>
        <v>A</v>
      </c>
      <c r="N31" s="1302">
        <f t="shared" si="6"/>
        <v>7809654</v>
      </c>
      <c r="O31" s="1300">
        <f>VLOOKUP(C31,TONGHOPCONGDOI!$C$11:$V$91,20,0)</f>
        <v>26</v>
      </c>
      <c r="P31" s="1300">
        <f>VLOOKUP(C31,TONGHOPCONGDOI!$C$11:$W$91,21,0)</f>
        <v>4</v>
      </c>
      <c r="Q31" s="1300">
        <f>VLOOKUP(C31,TONGHOPCONGDOI!$C$11:$AD$93,22,0)</f>
        <v>0</v>
      </c>
      <c r="R31" s="1300">
        <f>VLOOKUP(C31,TONGHOPCONGDOI!$C$11:$AD$93,23,0)</f>
        <v>0</v>
      </c>
      <c r="S31" s="1300">
        <f>VLOOKUP(C31,TONGHOPCONGDOI!$C$11:$AD$93,24,0)</f>
        <v>0</v>
      </c>
      <c r="T31" s="1300">
        <f>VLOOKUP(C31,TONGHOPCONGDOI!$C$11:$AD$93,25,0)</f>
        <v>0</v>
      </c>
      <c r="U31" s="1300"/>
      <c r="V31" s="1300">
        <f t="shared" si="2"/>
        <v>0</v>
      </c>
      <c r="W31" s="1301"/>
      <c r="X31" s="1301"/>
      <c r="Y31" s="813">
        <f t="shared" si="3"/>
        <v>994032</v>
      </c>
      <c r="Z31" s="1300">
        <f t="shared" si="0"/>
        <v>8803686</v>
      </c>
      <c r="AA31" s="1300"/>
      <c r="AB31" s="1300">
        <f>VLOOKUP(C31,'CNKT '!D31:AC98,24,0)</f>
        <v>8803686</v>
      </c>
      <c r="AC31" s="1261">
        <f t="shared" si="4"/>
        <v>0</v>
      </c>
    </row>
    <row r="32" spans="1:29" s="1261" customFormat="1" ht="50.25" customHeight="1">
      <c r="A32" s="1299">
        <v>17</v>
      </c>
      <c r="B32" s="1299" t="str">
        <f>'Chấm công KT'!C29</f>
        <v>03470</v>
      </c>
      <c r="C32" s="1300" t="str">
        <f>TONGHOPCONGDOI!C27</f>
        <v>T. Lọi</v>
      </c>
      <c r="D32" s="1300"/>
      <c r="E32" s="1301"/>
      <c r="F32" s="1300">
        <f t="shared" si="1"/>
        <v>0</v>
      </c>
      <c r="G32" s="1300">
        <f>VLOOKUP(C32,TONGHOPCONGDOI!C27:AE94,16,0)</f>
        <v>3677</v>
      </c>
      <c r="H32" s="1300">
        <f>VLOOKUP(C32,TONGHOPCONGDOI!C27:AE94,17,0)</f>
        <v>0</v>
      </c>
      <c r="I32" s="1300"/>
      <c r="J32" s="812">
        <f t="shared" si="5"/>
        <v>1623.1640597635844</v>
      </c>
      <c r="K32" s="817">
        <f>'SẢN LƯỢNG'!AP33</f>
        <v>117.54130226758203</v>
      </c>
      <c r="L32" s="817">
        <f>'SẢN LƯỢNG'!AQ33</f>
        <v>1740.7053620311665</v>
      </c>
      <c r="M32" s="1299" t="str">
        <f>VLOOKUP(C32,'SẢN LƯỢNG'!D33:AR111,41,0)</f>
        <v>A</v>
      </c>
      <c r="N32" s="1302">
        <f t="shared" si="6"/>
        <v>6487783</v>
      </c>
      <c r="O32" s="1300">
        <f>VLOOKUP(C32,TONGHOPCONGDOI!$C$11:$V$91,20,0)</f>
        <v>26</v>
      </c>
      <c r="P32" s="1300">
        <f>VLOOKUP(C32,TONGHOPCONGDOI!$C$11:$W$91,21,0)</f>
        <v>3</v>
      </c>
      <c r="Q32" s="1300">
        <f>VLOOKUP(C32,TONGHOPCONGDOI!$C$11:$AD$93,22,0)</f>
        <v>0</v>
      </c>
      <c r="R32" s="1300">
        <f>VLOOKUP(C32,TONGHOPCONGDOI!$C$11:$AD$93,23,0)</f>
        <v>0</v>
      </c>
      <c r="S32" s="1300">
        <f>VLOOKUP(C32,TONGHOPCONGDOI!$C$11:$AD$93,24,0)</f>
        <v>0</v>
      </c>
      <c r="T32" s="1300">
        <f>VLOOKUP(C32,TONGHOPCONGDOI!$C$11:$AD$93,25,0)</f>
        <v>0</v>
      </c>
      <c r="U32" s="1300"/>
      <c r="V32" s="1300">
        <f t="shared" si="2"/>
        <v>0</v>
      </c>
      <c r="W32" s="1301"/>
      <c r="X32" s="1301"/>
      <c r="Y32" s="813">
        <f t="shared" si="3"/>
        <v>943281</v>
      </c>
      <c r="Z32" s="1300">
        <f t="shared" si="0"/>
        <v>7431064</v>
      </c>
      <c r="AA32" s="1300"/>
      <c r="AB32" s="1300">
        <f>VLOOKUP(C32,'CNKT '!D32:AC98,24,0)</f>
        <v>7431064</v>
      </c>
      <c r="AC32" s="1261">
        <f t="shared" si="4"/>
        <v>0</v>
      </c>
    </row>
    <row r="33" spans="1:29" s="1261" customFormat="1" ht="50.25" customHeight="1">
      <c r="A33" s="1299">
        <v>18</v>
      </c>
      <c r="B33" s="1299" t="str">
        <f>'Chấm công KT'!C30</f>
        <v>03471</v>
      </c>
      <c r="C33" s="1300" t="str">
        <f>TONGHOPCONGDOI!C28</f>
        <v>T. Phô Thong</v>
      </c>
      <c r="D33" s="1300"/>
      <c r="E33" s="1301"/>
      <c r="F33" s="1300">
        <f t="shared" si="1"/>
        <v>0</v>
      </c>
      <c r="G33" s="1300">
        <f>VLOOKUP(C33,TONGHOPCONGDOI!C28:AE94,16,0)</f>
        <v>5164</v>
      </c>
      <c r="H33" s="1300">
        <f>VLOOKUP(C33,TONGHOPCONGDOI!C28:AE94,17,0)</f>
        <v>0</v>
      </c>
      <c r="I33" s="1300"/>
      <c r="J33" s="812">
        <f t="shared" si="5"/>
        <v>2279.5809639975928</v>
      </c>
      <c r="K33" s="817">
        <f>'SẢN LƯỢNG'!AP34</f>
        <v>149.48076673012744</v>
      </c>
      <c r="L33" s="817">
        <f>'SẢN LƯỢNG'!AQ34</f>
        <v>2429.0617307277207</v>
      </c>
      <c r="M33" s="1299" t="str">
        <f>VLOOKUP(C33,'SẢN LƯỢNG'!D34:AR112,41,0)</f>
        <v>A</v>
      </c>
      <c r="N33" s="1302">
        <f t="shared" si="6"/>
        <v>9053356</v>
      </c>
      <c r="O33" s="1300">
        <f>VLOOKUP(C33,TONGHOPCONGDOI!$C$11:$V$91,20,0)</f>
        <v>27</v>
      </c>
      <c r="P33" s="1300">
        <f>VLOOKUP(C33,TONGHOPCONGDOI!$C$11:$W$91,21,0)</f>
        <v>4</v>
      </c>
      <c r="Q33" s="1300">
        <f>VLOOKUP(C33,TONGHOPCONGDOI!$C$11:$AD$93,22,0)</f>
        <v>0</v>
      </c>
      <c r="R33" s="1300">
        <f>VLOOKUP(C33,TONGHOPCONGDOI!$C$11:$AD$93,23,0)</f>
        <v>0</v>
      </c>
      <c r="S33" s="1300">
        <f>VLOOKUP(C33,TONGHOPCONGDOI!$C$11:$AD$93,24,0)</f>
        <v>0</v>
      </c>
      <c r="T33" s="1300">
        <f>VLOOKUP(C33,TONGHOPCONGDOI!$C$11:$AD$93,25,0)</f>
        <v>0</v>
      </c>
      <c r="U33" s="1300"/>
      <c r="V33" s="1300">
        <f t="shared" si="2"/>
        <v>0</v>
      </c>
      <c r="W33" s="1301"/>
      <c r="X33" s="1301"/>
      <c r="Y33" s="813">
        <f t="shared" si="3"/>
        <v>1024456</v>
      </c>
      <c r="Z33" s="1300">
        <f t="shared" si="0"/>
        <v>10077812</v>
      </c>
      <c r="AA33" s="1300"/>
      <c r="AB33" s="1300">
        <f>VLOOKUP(C33,'CNKT '!D33:AC98,24,0)</f>
        <v>10077812</v>
      </c>
      <c r="AC33" s="1261">
        <f t="shared" si="4"/>
        <v>0</v>
      </c>
    </row>
    <row r="34" spans="1:29" s="1261" customFormat="1" ht="50.25" customHeight="1">
      <c r="A34" s="1299">
        <v>19</v>
      </c>
      <c r="B34" s="1299" t="str">
        <f>'Chấm công KT'!C31</f>
        <v>03472</v>
      </c>
      <c r="C34" s="1300" t="str">
        <f>TONGHOPCONGDOI!C29</f>
        <v>N. Soi</v>
      </c>
      <c r="D34" s="1300"/>
      <c r="E34" s="1301"/>
      <c r="F34" s="1300">
        <f t="shared" si="1"/>
        <v>0</v>
      </c>
      <c r="G34" s="1300">
        <f>VLOOKUP(C34,TONGHOPCONGDOI!C29:AE94,16,0)</f>
        <v>3965</v>
      </c>
      <c r="H34" s="1300">
        <f>VLOOKUP(C34,TONGHOPCONGDOI!C29:AE94,17,0)</f>
        <v>0</v>
      </c>
      <c r="I34" s="1300"/>
      <c r="J34" s="812">
        <f t="shared" si="5"/>
        <v>1750.2979322715832</v>
      </c>
      <c r="K34" s="817">
        <f>'SẢN LƯỢNG'!AP35</f>
        <v>113.12883640134304</v>
      </c>
      <c r="L34" s="817">
        <f>'SẢN LƯỢNG'!AQ35</f>
        <v>1863.4267686729265</v>
      </c>
      <c r="M34" s="1299" t="str">
        <f>VLOOKUP(C34,'SẢN LƯỢNG'!D35:AR113,41,0)</f>
        <v>A</v>
      </c>
      <c r="N34" s="1302">
        <f t="shared" si="6"/>
        <v>6945178</v>
      </c>
      <c r="O34" s="1300">
        <f>VLOOKUP(C34,TONGHOPCONGDOI!$C$11:$V$91,20,0)</f>
        <v>26</v>
      </c>
      <c r="P34" s="1300">
        <f>VLOOKUP(C34,TONGHOPCONGDOI!$C$11:$W$91,21,0)</f>
        <v>4</v>
      </c>
      <c r="Q34" s="1300">
        <f>VLOOKUP(C34,TONGHOPCONGDOI!$C$11:$AD$93,22,0)</f>
        <v>0</v>
      </c>
      <c r="R34" s="1300">
        <f>VLOOKUP(C34,TONGHOPCONGDOI!$C$11:$AD$93,23,0)</f>
        <v>0</v>
      </c>
      <c r="S34" s="1300">
        <f>VLOOKUP(C34,TONGHOPCONGDOI!$C$11:$AD$93,24,0)</f>
        <v>0</v>
      </c>
      <c r="T34" s="1300">
        <f>VLOOKUP(C34,TONGHOPCONGDOI!$C$11:$AD$93,25,0)</f>
        <v>0</v>
      </c>
      <c r="U34" s="1300"/>
      <c r="V34" s="1300">
        <f t="shared" si="2"/>
        <v>0</v>
      </c>
      <c r="W34" s="1301"/>
      <c r="X34" s="1301"/>
      <c r="Y34" s="813">
        <f t="shared" si="3"/>
        <v>994032</v>
      </c>
      <c r="Z34" s="1300">
        <f t="shared" si="0"/>
        <v>7939210</v>
      </c>
      <c r="AA34" s="1300"/>
      <c r="AB34" s="1300">
        <f>VLOOKUP(C34,'CNKT '!D34:AC98,24,0)</f>
        <v>7939210</v>
      </c>
      <c r="AC34" s="1261">
        <f t="shared" si="4"/>
        <v>0</v>
      </c>
    </row>
    <row r="35" spans="1:29" s="1261" customFormat="1" ht="50.25" customHeight="1">
      <c r="A35" s="1299">
        <v>20</v>
      </c>
      <c r="B35" s="1299" t="str">
        <f>'Chấm công KT'!C32</f>
        <v>03473</v>
      </c>
      <c r="C35" s="1300" t="str">
        <f>TONGHOPCONGDOI!C30</f>
        <v>N. Me Kha La</v>
      </c>
      <c r="D35" s="1300"/>
      <c r="E35" s="1301"/>
      <c r="F35" s="1300">
        <f t="shared" si="1"/>
        <v>0</v>
      </c>
      <c r="G35" s="1300">
        <f>VLOOKUP(C35,TONGHOPCONGDOI!C30:AE94,16,0)</f>
        <v>4666</v>
      </c>
      <c r="H35" s="1300">
        <f>VLOOKUP(C35,TONGHOPCONGDOI!C30:AE94,17,0)</f>
        <v>0</v>
      </c>
      <c r="I35" s="1300"/>
      <c r="J35" s="812">
        <f t="shared" si="5"/>
        <v>2059.7453094525113</v>
      </c>
      <c r="K35" s="817">
        <f>'SẢN LƯỢNG'!AP36</f>
        <v>161.53019274947238</v>
      </c>
      <c r="L35" s="817">
        <f>'SẢN LƯỢNG'!AQ36</f>
        <v>2221.2755022019837</v>
      </c>
      <c r="M35" s="1299" t="str">
        <f>VLOOKUP(C35,'SẢN LƯỢNG'!D36:AR114,41,0)</f>
        <v>A</v>
      </c>
      <c r="N35" s="1302">
        <f t="shared" si="6"/>
        <v>8278916</v>
      </c>
      <c r="O35" s="1300">
        <f>VLOOKUP(C35,TONGHOPCONGDOI!$C$11:$V$91,20,0)</f>
        <v>27</v>
      </c>
      <c r="P35" s="1300">
        <f>VLOOKUP(C35,TONGHOPCONGDOI!$C$11:$W$91,21,0)</f>
        <v>4</v>
      </c>
      <c r="Q35" s="1300">
        <f>VLOOKUP(C35,TONGHOPCONGDOI!$C$11:$AD$93,22,0)</f>
        <v>0</v>
      </c>
      <c r="R35" s="1300">
        <f>VLOOKUP(C35,TONGHOPCONGDOI!$C$11:$AD$93,23,0)</f>
        <v>0</v>
      </c>
      <c r="S35" s="1300">
        <f>VLOOKUP(C35,TONGHOPCONGDOI!$C$11:$AD$93,24,0)</f>
        <v>0</v>
      </c>
      <c r="T35" s="1300">
        <f>VLOOKUP(C35,TONGHOPCONGDOI!$C$11:$AD$93,25,0)</f>
        <v>0</v>
      </c>
      <c r="U35" s="1300"/>
      <c r="V35" s="1300">
        <f t="shared" si="2"/>
        <v>0</v>
      </c>
      <c r="W35" s="1301"/>
      <c r="X35" s="1301"/>
      <c r="Y35" s="813">
        <f t="shared" si="3"/>
        <v>1024456</v>
      </c>
      <c r="Z35" s="1300">
        <f t="shared" si="0"/>
        <v>9303372</v>
      </c>
      <c r="AA35" s="1300"/>
      <c r="AB35" s="1300">
        <f>VLOOKUP(C35,'CNKT '!D35:AC98,24,0)</f>
        <v>9303372</v>
      </c>
      <c r="AC35" s="1261">
        <f t="shared" si="4"/>
        <v>0</v>
      </c>
    </row>
    <row r="36" spans="1:29" s="1261" customFormat="1" ht="50.25" customHeight="1">
      <c r="A36" s="1299">
        <v>21</v>
      </c>
      <c r="B36" s="1299" t="str">
        <f>'Chấm công KT'!C33</f>
        <v>03474</v>
      </c>
      <c r="C36" s="1300" t="str">
        <f>TONGHOPCONGDOI!C31</f>
        <v>N. Mon Khăm</v>
      </c>
      <c r="D36" s="1300"/>
      <c r="E36" s="1301"/>
      <c r="F36" s="1300">
        <f t="shared" si="1"/>
        <v>0</v>
      </c>
      <c r="G36" s="1300">
        <f>VLOOKUP(C36,TONGHOPCONGDOI!C31:AE94,16,0)</f>
        <v>3785</v>
      </c>
      <c r="H36" s="1300">
        <f>VLOOKUP(C36,TONGHOPCONGDOI!C31:AE94,17,0)</f>
        <v>0</v>
      </c>
      <c r="I36" s="1300"/>
      <c r="J36" s="812">
        <f t="shared" si="5"/>
        <v>1670.8392619540839</v>
      </c>
      <c r="K36" s="817">
        <f>'SẢN LƯỢNG'!AP37</f>
        <v>129.48890215155225</v>
      </c>
      <c r="L36" s="817">
        <f>'SẢN LƯỢNG'!AQ37</f>
        <v>1800.3281641056362</v>
      </c>
      <c r="M36" s="1299" t="str">
        <f>VLOOKUP(C36,'SẢN LƯỢNG'!D37:AR115,41,0)</f>
        <v>B</v>
      </c>
      <c r="N36" s="1302">
        <f t="shared" si="6"/>
        <v>6380003</v>
      </c>
      <c r="O36" s="1300">
        <f>VLOOKUP(C36,TONGHOPCONGDOI!$C$11:$V$91,20,0)</f>
        <v>24</v>
      </c>
      <c r="P36" s="1300">
        <f>VLOOKUP(C36,TONGHOPCONGDOI!$C$11:$W$91,21,0)</f>
        <v>4</v>
      </c>
      <c r="Q36" s="1300">
        <f>VLOOKUP(C36,TONGHOPCONGDOI!$C$11:$AD$93,22,0)</f>
        <v>0</v>
      </c>
      <c r="R36" s="1300">
        <f>VLOOKUP(C36,TONGHOPCONGDOI!$C$11:$AD$93,23,0)</f>
        <v>0</v>
      </c>
      <c r="S36" s="1300">
        <f>VLOOKUP(C36,TONGHOPCONGDOI!$C$11:$AD$93,24,0)</f>
        <v>0</v>
      </c>
      <c r="T36" s="1300">
        <f>VLOOKUP(C36,TONGHOPCONGDOI!$C$11:$AD$93,25,0)</f>
        <v>0</v>
      </c>
      <c r="U36" s="1300"/>
      <c r="V36" s="1300">
        <f t="shared" si="2"/>
        <v>0</v>
      </c>
      <c r="W36" s="1301"/>
      <c r="X36" s="1301"/>
      <c r="Y36" s="813">
        <f t="shared" si="3"/>
        <v>933183</v>
      </c>
      <c r="Z36" s="1300">
        <f t="shared" si="0"/>
        <v>7313186</v>
      </c>
      <c r="AA36" s="1300"/>
      <c r="AB36" s="1300">
        <f>VLOOKUP(C36,'CNKT '!D36:AC98,24,0)</f>
        <v>7313186</v>
      </c>
      <c r="AC36" s="1261">
        <f t="shared" si="4"/>
        <v>0</v>
      </c>
    </row>
    <row r="37" spans="1:29" s="1261" customFormat="1" ht="50.25" customHeight="1">
      <c r="A37" s="1299">
        <v>22</v>
      </c>
      <c r="B37" s="1299">
        <f>'Chấm công KT'!C34</f>
        <v>0</v>
      </c>
      <c r="C37" s="1300" t="str">
        <f>TONGHOPCONGDOI!C32</f>
        <v>N.Choi</v>
      </c>
      <c r="D37" s="1300"/>
      <c r="E37" s="1301"/>
      <c r="F37" s="1300">
        <f t="shared" si="1"/>
        <v>0</v>
      </c>
      <c r="G37" s="1300">
        <f>VLOOKUP(C37,TONGHOPCONGDOI!C32:AE94,16,0)</f>
        <v>3604</v>
      </c>
      <c r="H37" s="1300">
        <f>VLOOKUP(C37,TONGHOPCONGDOI!C32:AE94,17,0)</f>
        <v>0</v>
      </c>
      <c r="I37" s="1300"/>
      <c r="J37" s="812">
        <f t="shared" si="5"/>
        <v>1590.9391545792651</v>
      </c>
      <c r="K37" s="817">
        <f>'SẢN LƯỢNG'!AP38</f>
        <v>130.84658395654887</v>
      </c>
      <c r="L37" s="817">
        <f>'SẢN LƯỢNG'!AQ38</f>
        <v>1721.7857385358138</v>
      </c>
      <c r="M37" s="1299" t="str">
        <f>VLOOKUP(C37,'SẢN LƯỢNG'!D38:AR116,41,0)</f>
        <v>A</v>
      </c>
      <c r="N37" s="1302">
        <f t="shared" si="6"/>
        <v>6417268</v>
      </c>
      <c r="O37" s="1300">
        <f>VLOOKUP(C37,TONGHOPCONGDOI!$C$11:$V$91,20,0)</f>
        <v>26</v>
      </c>
      <c r="P37" s="1300">
        <f>VLOOKUP(C37,TONGHOPCONGDOI!$C$11:$W$91,21,0)</f>
        <v>4</v>
      </c>
      <c r="Q37" s="1300">
        <f>VLOOKUP(C37,TONGHOPCONGDOI!$C$11:$AD$93,22,0)</f>
        <v>0</v>
      </c>
      <c r="R37" s="1300">
        <f>VLOOKUP(C37,TONGHOPCONGDOI!$C$11:$AD$93,23,0)</f>
        <v>0</v>
      </c>
      <c r="S37" s="1300">
        <f>VLOOKUP(C37,TONGHOPCONGDOI!$C$11:$AD$93,24,0)</f>
        <v>0</v>
      </c>
      <c r="T37" s="1300">
        <f>VLOOKUP(C37,TONGHOPCONGDOI!$C$11:$AD$93,25,0)</f>
        <v>0</v>
      </c>
      <c r="U37" s="1300"/>
      <c r="V37" s="1300">
        <f t="shared" si="2"/>
        <v>0</v>
      </c>
      <c r="W37" s="1301"/>
      <c r="X37" s="1301"/>
      <c r="Y37" s="813">
        <f t="shared" si="3"/>
        <v>994032</v>
      </c>
      <c r="Z37" s="1300">
        <f t="shared" si="0"/>
        <v>7411300</v>
      </c>
      <c r="AA37" s="1300"/>
      <c r="AB37" s="1300">
        <f>VLOOKUP(C37,'CNKT '!D37:AC98,24,0)</f>
        <v>7411300</v>
      </c>
      <c r="AC37" s="1261">
        <f t="shared" si="4"/>
        <v>0</v>
      </c>
    </row>
    <row r="38" spans="1:29" s="1261" customFormat="1" ht="50.25" customHeight="1">
      <c r="A38" s="1299">
        <v>23</v>
      </c>
      <c r="B38" s="1299" t="str">
        <f>'Chấm công KT'!C35</f>
        <v>03476</v>
      </c>
      <c r="C38" s="1300" t="str">
        <f>TONGHOPCONGDOI!C33</f>
        <v>T. Bin Ly.</v>
      </c>
      <c r="D38" s="1300"/>
      <c r="E38" s="1301"/>
      <c r="F38" s="1300">
        <f t="shared" si="1"/>
        <v>0</v>
      </c>
      <c r="G38" s="1300">
        <f>VLOOKUP(C38,TONGHOPCONGDOI!C33:AE94,16,0)</f>
        <v>3954</v>
      </c>
      <c r="H38" s="1300">
        <f>VLOOKUP(C38,TONGHOPCONGDOI!C33:AE94,17,0)</f>
        <v>0</v>
      </c>
      <c r="I38" s="1300"/>
      <c r="J38" s="812">
        <f t="shared" si="5"/>
        <v>1745.4421246410695</v>
      </c>
      <c r="K38" s="817">
        <f>'SẢN LƯỢNG'!AP39</f>
        <v>146.15444630788571</v>
      </c>
      <c r="L38" s="817">
        <f>'SẢN LƯỢNG'!AQ39</f>
        <v>1891.5965709489551</v>
      </c>
      <c r="M38" s="1299" t="str">
        <f>VLOOKUP(C38,'SẢN LƯỢNG'!D39:AR117,41,0)</f>
        <v>A</v>
      </c>
      <c r="N38" s="1302">
        <f t="shared" si="6"/>
        <v>7050170</v>
      </c>
      <c r="O38" s="1300">
        <f>VLOOKUP(C38,TONGHOPCONGDOI!$C$11:$V$91,20,0)</f>
        <v>27</v>
      </c>
      <c r="P38" s="1300">
        <f>VLOOKUP(C38,TONGHOPCONGDOI!$C$11:$W$91,21,0)</f>
        <v>4</v>
      </c>
      <c r="Q38" s="1300">
        <f>VLOOKUP(C38,TONGHOPCONGDOI!$C$11:$AD$93,22,0)</f>
        <v>0</v>
      </c>
      <c r="R38" s="1300">
        <f>VLOOKUP(C38,TONGHOPCONGDOI!$C$11:$AD$93,23,0)</f>
        <v>0</v>
      </c>
      <c r="S38" s="1300">
        <f>VLOOKUP(C38,TONGHOPCONGDOI!$C$11:$AD$93,24,0)</f>
        <v>0</v>
      </c>
      <c r="T38" s="1300">
        <f>VLOOKUP(C38,TONGHOPCONGDOI!$C$11:$AD$93,25,0)</f>
        <v>0</v>
      </c>
      <c r="U38" s="1300"/>
      <c r="V38" s="1300">
        <f t="shared" si="2"/>
        <v>0</v>
      </c>
      <c r="W38" s="1301"/>
      <c r="X38" s="1301"/>
      <c r="Y38" s="813">
        <f t="shared" si="3"/>
        <v>1024456</v>
      </c>
      <c r="Z38" s="1300">
        <f t="shared" si="0"/>
        <v>8074626</v>
      </c>
      <c r="AA38" s="1300"/>
      <c r="AB38" s="1300">
        <f>VLOOKUP(C38,'CNKT '!D38:AC98,24,0)</f>
        <v>8074626</v>
      </c>
      <c r="AC38" s="1261">
        <f t="shared" si="4"/>
        <v>0</v>
      </c>
    </row>
    <row r="39" spans="1:29" s="1261" customFormat="1" ht="50.25" customHeight="1">
      <c r="A39" s="1299">
        <v>24</v>
      </c>
      <c r="B39" s="1299">
        <f>'Chấm công KT'!C36</f>
        <v>0</v>
      </c>
      <c r="C39" s="1300" t="str">
        <f>TONGHOPCONGDOI!C34</f>
        <v>N. Tinh</v>
      </c>
      <c r="D39" s="1300"/>
      <c r="E39" s="1301"/>
      <c r="F39" s="1300">
        <f t="shared" si="1"/>
        <v>0</v>
      </c>
      <c r="G39" s="1300">
        <f>VLOOKUP(C39,TONGHOPCONGDOI!C34:AE94,16,0)</f>
        <v>4040</v>
      </c>
      <c r="H39" s="1300">
        <f>VLOOKUP(C39,TONGHOPCONGDOI!C34:AE94,17,0)</f>
        <v>0</v>
      </c>
      <c r="I39" s="1300"/>
      <c r="J39" s="812">
        <f t="shared" si="5"/>
        <v>1783.4057115705414</v>
      </c>
      <c r="K39" s="817">
        <f>'SẢN LƯỢNG'!AP40</f>
        <v>132.20426576154549</v>
      </c>
      <c r="L39" s="817">
        <f>'SẢN LƯỢNG'!AQ40</f>
        <v>1915.6099773320868</v>
      </c>
      <c r="M39" s="1299" t="str">
        <f>VLOOKUP(C39,'SẢN LƯỢNG'!D40:AR118,41,0)</f>
        <v>A</v>
      </c>
      <c r="N39" s="1302">
        <f t="shared" si="6"/>
        <v>7139670</v>
      </c>
      <c r="O39" s="1300">
        <f>VLOOKUP(C39,TONGHOPCONGDOI!$C$11:$V$91,20,0)</f>
        <v>27</v>
      </c>
      <c r="P39" s="1300">
        <f>VLOOKUP(C39,TONGHOPCONGDOI!$C$11:$W$91,21,0)</f>
        <v>4</v>
      </c>
      <c r="Q39" s="1300">
        <f>VLOOKUP(C39,TONGHOPCONGDOI!$C$11:$AD$93,22,0)</f>
        <v>0</v>
      </c>
      <c r="R39" s="1300">
        <f>VLOOKUP(C39,TONGHOPCONGDOI!$C$11:$AD$93,23,0)</f>
        <v>0</v>
      </c>
      <c r="S39" s="1300">
        <f>VLOOKUP(C39,TONGHOPCONGDOI!$C$11:$AD$93,24,0)</f>
        <v>0</v>
      </c>
      <c r="T39" s="1300">
        <f>VLOOKUP(C39,TONGHOPCONGDOI!$C$11:$AD$93,25,0)</f>
        <v>0</v>
      </c>
      <c r="U39" s="1300"/>
      <c r="V39" s="1300">
        <f t="shared" si="2"/>
        <v>0</v>
      </c>
      <c r="W39" s="1301"/>
      <c r="X39" s="1301"/>
      <c r="Y39" s="813">
        <f t="shared" si="3"/>
        <v>1024456</v>
      </c>
      <c r="Z39" s="1300">
        <f t="shared" si="0"/>
        <v>8164126</v>
      </c>
      <c r="AA39" s="1300"/>
      <c r="AB39" s="1300">
        <f>VLOOKUP(C39,'CNKT '!D39:AC98,24,0)</f>
        <v>8164126</v>
      </c>
      <c r="AC39" s="1261">
        <f t="shared" si="4"/>
        <v>0</v>
      </c>
    </row>
    <row r="40" spans="1:29" s="1261" customFormat="1" ht="50.25" customHeight="1">
      <c r="A40" s="1299">
        <v>25</v>
      </c>
      <c r="B40" s="1299" t="str">
        <f>'Chấm công KT'!C37</f>
        <v>03478</v>
      </c>
      <c r="C40" s="1300" t="str">
        <f>TONGHOPCONGDOI!C35</f>
        <v>N. Nong</v>
      </c>
      <c r="D40" s="1300"/>
      <c r="E40" s="1301"/>
      <c r="F40" s="1300">
        <f t="shared" si="1"/>
        <v>0</v>
      </c>
      <c r="G40" s="1300">
        <f>VLOOKUP(C40,TONGHOPCONGDOI!C35:AE94,16,0)</f>
        <v>4012</v>
      </c>
      <c r="H40" s="1300">
        <f>VLOOKUP(C40,TONGHOPCONGDOI!C35:AE94,17,0)</f>
        <v>0</v>
      </c>
      <c r="I40" s="1300"/>
      <c r="J40" s="812">
        <f t="shared" si="5"/>
        <v>1771.045473965597</v>
      </c>
      <c r="K40" s="817">
        <f>'SẢN LƯỢNG'!AP41</f>
        <v>151.04210080587353</v>
      </c>
      <c r="L40" s="817">
        <f>'SẢN LƯỢNG'!AQ41</f>
        <v>1922.0875747714706</v>
      </c>
      <c r="M40" s="1299" t="str">
        <f>VLOOKUP(C40,'SẢN LƯỢNG'!D41:AR119,41,0)</f>
        <v>A</v>
      </c>
      <c r="N40" s="1302">
        <f t="shared" si="6"/>
        <v>7163813</v>
      </c>
      <c r="O40" s="1300">
        <f>VLOOKUP(C40,TONGHOPCONGDOI!$C$11:$V$91,20,0)</f>
        <v>27</v>
      </c>
      <c r="P40" s="1300">
        <f>VLOOKUP(C40,TONGHOPCONGDOI!$C$11:$W$91,21,0)</f>
        <v>4</v>
      </c>
      <c r="Q40" s="1300">
        <f>VLOOKUP(C40,TONGHOPCONGDOI!$C$11:$AD$93,22,0)</f>
        <v>0</v>
      </c>
      <c r="R40" s="1300">
        <f>VLOOKUP(C40,TONGHOPCONGDOI!$C$11:$AD$93,23,0)</f>
        <v>0</v>
      </c>
      <c r="S40" s="1300">
        <f>VLOOKUP(C40,TONGHOPCONGDOI!$C$11:$AD$93,24,0)</f>
        <v>0</v>
      </c>
      <c r="T40" s="1300">
        <f>VLOOKUP(C40,TONGHOPCONGDOI!$C$11:$AD$93,25,0)</f>
        <v>0</v>
      </c>
      <c r="U40" s="1300"/>
      <c r="V40" s="1300">
        <f t="shared" si="2"/>
        <v>0</v>
      </c>
      <c r="W40" s="1301"/>
      <c r="X40" s="1301"/>
      <c r="Y40" s="813">
        <f t="shared" si="3"/>
        <v>1024456</v>
      </c>
      <c r="Z40" s="1300">
        <f t="shared" si="0"/>
        <v>8188269</v>
      </c>
      <c r="AA40" s="1300"/>
      <c r="AB40" s="1300">
        <f>VLOOKUP(C40,'CNKT '!D40:AC98,24,0)</f>
        <v>8188269</v>
      </c>
      <c r="AC40" s="1261">
        <f t="shared" si="4"/>
        <v>0</v>
      </c>
    </row>
    <row r="41" spans="1:29" s="1261" customFormat="1" ht="50.25" customHeight="1">
      <c r="A41" s="1299">
        <v>26</v>
      </c>
      <c r="B41" s="1299" t="str">
        <f>'Chấm công KT'!C38</f>
        <v>03479</v>
      </c>
      <c r="C41" s="1300" t="str">
        <f>TONGHOPCONGDOI!C36</f>
        <v>N. Tun 1</v>
      </c>
      <c r="D41" s="1300"/>
      <c r="E41" s="1301"/>
      <c r="F41" s="1300">
        <f t="shared" si="1"/>
        <v>0</v>
      </c>
      <c r="G41" s="1300">
        <f>VLOOKUP(C41,TONGHOPCONGDOI!C36:AE94,16,0)</f>
        <v>3517</v>
      </c>
      <c r="H41" s="1300">
        <f>VLOOKUP(C41,TONGHOPCONGDOI!C36:AE94,17,0)</f>
        <v>0</v>
      </c>
      <c r="I41" s="1300"/>
      <c r="J41" s="812">
        <f t="shared" si="5"/>
        <v>1552.5341305924737</v>
      </c>
      <c r="K41" s="817">
        <f>'SẢN LƯỢNG'!AP42</f>
        <v>141.87774862214638</v>
      </c>
      <c r="L41" s="817">
        <f>'SẢN LƯỢNG'!AQ42</f>
        <v>1694.4118792146203</v>
      </c>
      <c r="M41" s="1299" t="str">
        <f>VLOOKUP(C41,'SẢN LƯỢNG'!D42:AR120,41,0)</f>
        <v>B</v>
      </c>
      <c r="N41" s="1302">
        <f t="shared" si="6"/>
        <v>6004657</v>
      </c>
      <c r="O41" s="1300">
        <f>VLOOKUP(C41,TONGHOPCONGDOI!$C$11:$V$91,20,0)</f>
        <v>25</v>
      </c>
      <c r="P41" s="1300">
        <f>VLOOKUP(C41,TONGHOPCONGDOI!$C$11:$W$91,21,0)</f>
        <v>4</v>
      </c>
      <c r="Q41" s="1300">
        <f>VLOOKUP(C41,TONGHOPCONGDOI!$C$11:$AD$93,22,0)</f>
        <v>0</v>
      </c>
      <c r="R41" s="1300">
        <f>VLOOKUP(C41,TONGHOPCONGDOI!$C$11:$AD$93,23,0)</f>
        <v>0</v>
      </c>
      <c r="S41" s="1300">
        <f>VLOOKUP(C41,TONGHOPCONGDOI!$C$11:$AD$93,24,0)</f>
        <v>0</v>
      </c>
      <c r="T41" s="1300">
        <f>VLOOKUP(C41,TONGHOPCONGDOI!$C$11:$AD$93,25,0)</f>
        <v>0</v>
      </c>
      <c r="U41" s="1300"/>
      <c r="V41" s="1300">
        <f t="shared" si="2"/>
        <v>0</v>
      </c>
      <c r="W41" s="1301"/>
      <c r="X41" s="1301"/>
      <c r="Y41" s="813">
        <f t="shared" si="3"/>
        <v>963608</v>
      </c>
      <c r="Z41" s="1300">
        <f t="shared" si="0"/>
        <v>6968265</v>
      </c>
      <c r="AA41" s="1300"/>
      <c r="AB41" s="1300">
        <f>VLOOKUP(C41,'CNKT '!D41:AC98,24,0)</f>
        <v>6968265</v>
      </c>
      <c r="AC41" s="1261">
        <f t="shared" si="4"/>
        <v>0</v>
      </c>
    </row>
    <row r="42" spans="1:29" s="1261" customFormat="1" ht="50.25" customHeight="1">
      <c r="A42" s="1299">
        <v>27</v>
      </c>
      <c r="B42" s="1299" t="str">
        <f>'Chấm công KT'!C39</f>
        <v>03480</v>
      </c>
      <c r="C42" s="1300" t="str">
        <f>TONGHOPCONGDOI!C37</f>
        <v>T . Lốc</v>
      </c>
      <c r="D42" s="1300"/>
      <c r="E42" s="1301"/>
      <c r="F42" s="1300">
        <f t="shared" si="1"/>
        <v>0</v>
      </c>
      <c r="G42" s="1300">
        <f>VLOOKUP(C42,TONGHOPCONGDOI!C37:AE94,16,0)</f>
        <v>3582</v>
      </c>
      <c r="H42" s="1300">
        <f>VLOOKUP(C42,TONGHOPCONGDOI!C37:AE94,17,0)</f>
        <v>0</v>
      </c>
      <c r="I42" s="1300"/>
      <c r="J42" s="812">
        <f t="shared" si="5"/>
        <v>1581.2275393182374</v>
      </c>
      <c r="K42" s="817">
        <f>'SẢN LƯỢNG'!AP43</f>
        <v>142.52264747951978</v>
      </c>
      <c r="L42" s="817">
        <f>'SẢN LƯỢNG'!AQ43</f>
        <v>1723.7501867977571</v>
      </c>
      <c r="M42" s="1299" t="str">
        <f>VLOOKUP(C42,'SẢN LƯỢNG'!D43:AR121,41,0)</f>
        <v>A</v>
      </c>
      <c r="N42" s="1302">
        <f t="shared" si="6"/>
        <v>6424589</v>
      </c>
      <c r="O42" s="1300">
        <f>VLOOKUP(C42,TONGHOPCONGDOI!$C$11:$V$91,20,0)</f>
        <v>25</v>
      </c>
      <c r="P42" s="1300">
        <f>VLOOKUP(C42,TONGHOPCONGDOI!$C$11:$W$91,21,0)</f>
        <v>4</v>
      </c>
      <c r="Q42" s="1300">
        <f>VLOOKUP(C42,TONGHOPCONGDOI!$C$11:$AD$93,22,0)</f>
        <v>0</v>
      </c>
      <c r="R42" s="1300">
        <f>VLOOKUP(C42,TONGHOPCONGDOI!$C$11:$AD$93,23,0)</f>
        <v>0</v>
      </c>
      <c r="S42" s="1300">
        <f>VLOOKUP(C42,TONGHOPCONGDOI!$C$11:$AD$93,24,0)</f>
        <v>0</v>
      </c>
      <c r="T42" s="1300">
        <f>VLOOKUP(C42,TONGHOPCONGDOI!$C$11:$AD$93,25,0)</f>
        <v>0</v>
      </c>
      <c r="U42" s="1300"/>
      <c r="V42" s="1300">
        <f t="shared" si="2"/>
        <v>0</v>
      </c>
      <c r="W42" s="1301"/>
      <c r="X42" s="1301"/>
      <c r="Y42" s="813">
        <f t="shared" si="3"/>
        <v>963608</v>
      </c>
      <c r="Z42" s="1300">
        <f t="shared" si="0"/>
        <v>7388197</v>
      </c>
      <c r="AA42" s="1300"/>
      <c r="AB42" s="1300">
        <f>VLOOKUP(C42,'CNKT '!D42:AC98,24,0)</f>
        <v>7388197</v>
      </c>
      <c r="AC42" s="1261">
        <f t="shared" si="4"/>
        <v>0</v>
      </c>
    </row>
    <row r="43" spans="1:29" s="1261" customFormat="1" ht="50.25" customHeight="1">
      <c r="A43" s="1299">
        <v>28</v>
      </c>
      <c r="B43" s="1299" t="str">
        <f>'Chấm công KT'!C40</f>
        <v>03481</v>
      </c>
      <c r="C43" s="1300" t="str">
        <f>TONGHOPCONGDOI!C38</f>
        <v>N . Khâm (1)</v>
      </c>
      <c r="D43" s="1300"/>
      <c r="E43" s="1301"/>
      <c r="F43" s="1300">
        <f t="shared" si="1"/>
        <v>0</v>
      </c>
      <c r="G43" s="1300">
        <f>VLOOKUP(C43,TONGHOPCONGDOI!C38:AE94,16,0)</f>
        <v>3187</v>
      </c>
      <c r="H43" s="1300">
        <f>VLOOKUP(C43,TONGHOPCONGDOI!C38:AE94,17,0)</f>
        <v>0</v>
      </c>
      <c r="I43" s="1300"/>
      <c r="J43" s="812">
        <f t="shared" si="5"/>
        <v>1406.8599016770584</v>
      </c>
      <c r="K43" s="817">
        <f>'SẢN LƯỢNG'!AP44</f>
        <v>149.03952014350352</v>
      </c>
      <c r="L43" s="817">
        <f>'SẢN LƯỢNG'!AQ44</f>
        <v>1555.8994218205619</v>
      </c>
      <c r="M43" s="1299" t="str">
        <f>VLOOKUP(C43,'SẢN LƯỢNG'!D44:AR122,41,0)</f>
        <v>A</v>
      </c>
      <c r="N43" s="1302">
        <f t="shared" si="6"/>
        <v>5798993</v>
      </c>
      <c r="O43" s="1300">
        <f>VLOOKUP(C43,TONGHOPCONGDOI!$C$11:$V$91,20,0)</f>
        <v>24</v>
      </c>
      <c r="P43" s="1300">
        <f>VLOOKUP(C43,TONGHOPCONGDOI!$C$11:$W$91,21,0)</f>
        <v>3</v>
      </c>
      <c r="Q43" s="1300">
        <f>VLOOKUP(C43,TONGHOPCONGDOI!$C$11:$AD$93,22,0)</f>
        <v>0</v>
      </c>
      <c r="R43" s="1300">
        <f>VLOOKUP(C43,TONGHOPCONGDOI!$C$11:$AD$93,23,0)</f>
        <v>0</v>
      </c>
      <c r="S43" s="1300">
        <f>VLOOKUP(C43,TONGHOPCONGDOI!$C$11:$AD$93,24,0)</f>
        <v>0</v>
      </c>
      <c r="T43" s="1300">
        <f>VLOOKUP(C43,TONGHOPCONGDOI!$C$11:$AD$93,25,0)</f>
        <v>0</v>
      </c>
      <c r="U43" s="1300"/>
      <c r="V43" s="1300">
        <f t="shared" si="2"/>
        <v>0</v>
      </c>
      <c r="W43" s="1301"/>
      <c r="X43" s="1301"/>
      <c r="Y43" s="813">
        <f t="shared" si="3"/>
        <v>882433</v>
      </c>
      <c r="Z43" s="1300">
        <f t="shared" si="0"/>
        <v>6681426</v>
      </c>
      <c r="AA43" s="1300"/>
      <c r="AB43" s="1300">
        <f>VLOOKUP(C43,'CNKT '!D43:AC98,24,0)</f>
        <v>6681426</v>
      </c>
      <c r="AC43" s="1261">
        <f t="shared" si="4"/>
        <v>0</v>
      </c>
    </row>
    <row r="44" spans="1:29" s="1261" customFormat="1" ht="50.25" customHeight="1">
      <c r="A44" s="1299">
        <v>29</v>
      </c>
      <c r="B44" s="1299" t="str">
        <f>'Chấm công KT'!C41</f>
        <v>03482</v>
      </c>
      <c r="C44" s="1300" t="str">
        <f>TONGHOPCONGDOI!C39</f>
        <v>T . Phết</v>
      </c>
      <c r="D44" s="1300"/>
      <c r="E44" s="1301"/>
      <c r="F44" s="1300">
        <f t="shared" si="1"/>
        <v>0</v>
      </c>
      <c r="G44" s="1300">
        <f>VLOOKUP(C44,TONGHOPCONGDOI!C39:AE94,16,0)</f>
        <v>3323</v>
      </c>
      <c r="H44" s="1300">
        <f>VLOOKUP(C44,TONGHOPCONGDOI!C39:AE94,17,0)</f>
        <v>0</v>
      </c>
      <c r="I44" s="1300"/>
      <c r="J44" s="812">
        <f t="shared" si="5"/>
        <v>1466.8953414725022</v>
      </c>
      <c r="K44" s="817">
        <f>'SẢN LƯỢNG'!AP45</f>
        <v>153.01073942311862</v>
      </c>
      <c r="L44" s="817">
        <f>'SẢN LƯỢNG'!AQ45</f>
        <v>1619.906080895621</v>
      </c>
      <c r="M44" s="1299" t="str">
        <f>VLOOKUP(C44,'SẢN LƯỢNG'!D45:AR123,41,0)</f>
        <v>A</v>
      </c>
      <c r="N44" s="1302">
        <f t="shared" si="6"/>
        <v>6037552</v>
      </c>
      <c r="O44" s="1300">
        <f>VLOOKUP(C44,TONGHOPCONGDOI!$C$11:$V$91,20,0)</f>
        <v>24</v>
      </c>
      <c r="P44" s="1300">
        <f>VLOOKUP(C44,TONGHOPCONGDOI!$C$11:$W$91,21,0)</f>
        <v>3</v>
      </c>
      <c r="Q44" s="1300">
        <f>VLOOKUP(C44,TONGHOPCONGDOI!$C$11:$AD$93,22,0)</f>
        <v>0</v>
      </c>
      <c r="R44" s="1300">
        <f>VLOOKUP(C44,TONGHOPCONGDOI!$C$11:$AD$93,23,0)</f>
        <v>0</v>
      </c>
      <c r="S44" s="1300">
        <f>VLOOKUP(C44,TONGHOPCONGDOI!$C$11:$AD$93,24,0)</f>
        <v>0</v>
      </c>
      <c r="T44" s="1300">
        <f>VLOOKUP(C44,TONGHOPCONGDOI!$C$11:$AD$93,25,0)</f>
        <v>0</v>
      </c>
      <c r="U44" s="1300"/>
      <c r="V44" s="1300">
        <f t="shared" si="2"/>
        <v>0</v>
      </c>
      <c r="W44" s="1301"/>
      <c r="X44" s="1301"/>
      <c r="Y44" s="813">
        <f t="shared" si="3"/>
        <v>882433</v>
      </c>
      <c r="Z44" s="1300">
        <f t="shared" si="0"/>
        <v>6919985</v>
      </c>
      <c r="AA44" s="1300"/>
      <c r="AB44" s="1300">
        <f>VLOOKUP(C44,'CNKT '!D44:AC98,24,0)</f>
        <v>6919985</v>
      </c>
      <c r="AC44" s="1261">
        <f t="shared" si="4"/>
        <v>0</v>
      </c>
    </row>
    <row r="45" spans="1:29" s="1261" customFormat="1" ht="50.25" customHeight="1">
      <c r="A45" s="1299">
        <v>30</v>
      </c>
      <c r="B45" s="1299" t="str">
        <f>'Chấm công KT'!C42</f>
        <v>03483</v>
      </c>
      <c r="C45" s="1300" t="str">
        <f>TONGHOPCONGDOI!C40</f>
        <v>T. Viêng Sa Văn</v>
      </c>
      <c r="D45" s="1300"/>
      <c r="E45" s="1301"/>
      <c r="F45" s="1300">
        <f t="shared" si="1"/>
        <v>0</v>
      </c>
      <c r="G45" s="1300">
        <f>VLOOKUP(C45,TONGHOPCONGDOI!C40:AE94,16,0)</f>
        <v>3485</v>
      </c>
      <c r="H45" s="1300">
        <f>VLOOKUP(C45,TONGHOPCONGDOI!C40:AE94,17,0)</f>
        <v>0</v>
      </c>
      <c r="I45" s="1300"/>
      <c r="J45" s="812">
        <f t="shared" si="5"/>
        <v>1538.4081447582516</v>
      </c>
      <c r="K45" s="817">
        <f>'SẢN LƯỢNG'!AP46</f>
        <v>160.98712002747374</v>
      </c>
      <c r="L45" s="817">
        <f>'SẢN LƯỢNG'!AQ46</f>
        <v>1699.3952647857254</v>
      </c>
      <c r="M45" s="1299" t="str">
        <f>VLOOKUP(C45,'SẢN LƯỢNG'!D46:AR124,41,0)</f>
        <v>A</v>
      </c>
      <c r="N45" s="1302">
        <f t="shared" si="6"/>
        <v>6333816</v>
      </c>
      <c r="O45" s="1300">
        <f>VLOOKUP(C45,TONGHOPCONGDOI!$C$11:$V$91,20,0)</f>
        <v>25</v>
      </c>
      <c r="P45" s="1300">
        <f>VLOOKUP(C45,TONGHOPCONGDOI!$C$11:$W$91,21,0)</f>
        <v>4</v>
      </c>
      <c r="Q45" s="1300">
        <f>VLOOKUP(C45,TONGHOPCONGDOI!$C$11:$AD$93,22,0)</f>
        <v>0</v>
      </c>
      <c r="R45" s="1300">
        <f>VLOOKUP(C45,TONGHOPCONGDOI!$C$11:$AD$93,23,0)</f>
        <v>0</v>
      </c>
      <c r="S45" s="1300">
        <f>VLOOKUP(C45,TONGHOPCONGDOI!$C$11:$AD$93,24,0)</f>
        <v>0</v>
      </c>
      <c r="T45" s="1300">
        <f>VLOOKUP(C45,TONGHOPCONGDOI!$C$11:$AD$93,25,0)</f>
        <v>0</v>
      </c>
      <c r="U45" s="1300"/>
      <c r="V45" s="1300">
        <f t="shared" si="2"/>
        <v>0</v>
      </c>
      <c r="W45" s="1301"/>
      <c r="X45" s="1301"/>
      <c r="Y45" s="813">
        <f t="shared" si="3"/>
        <v>963608</v>
      </c>
      <c r="Z45" s="1300">
        <f t="shared" si="0"/>
        <v>7297424</v>
      </c>
      <c r="AA45" s="1300"/>
      <c r="AB45" s="1300">
        <f>VLOOKUP(C45,'CNKT '!D45:AC98,24,0)</f>
        <v>7297424</v>
      </c>
      <c r="AC45" s="1261">
        <f t="shared" si="4"/>
        <v>0</v>
      </c>
    </row>
    <row r="46" spans="1:29" s="1261" customFormat="1" ht="50.25" customHeight="1">
      <c r="A46" s="1299">
        <v>31</v>
      </c>
      <c r="B46" s="1299" t="str">
        <f>'Chấm công KT'!C43</f>
        <v>03484</v>
      </c>
      <c r="C46" s="1300" t="str">
        <f>TONGHOPCONGDOI!C41</f>
        <v>T. Ca Te</v>
      </c>
      <c r="D46" s="1300"/>
      <c r="E46" s="1301"/>
      <c r="F46" s="1300">
        <f t="shared" si="1"/>
        <v>0</v>
      </c>
      <c r="G46" s="1300">
        <f>VLOOKUP(C46,TONGHOPCONGDOI!C41:AE94,16,0)</f>
        <v>4270</v>
      </c>
      <c r="H46" s="1300">
        <f>VLOOKUP(C46,TONGHOPCONGDOI!C41:AE94,17,0)</f>
        <v>0</v>
      </c>
      <c r="I46" s="1300"/>
      <c r="J46" s="812">
        <f t="shared" si="5"/>
        <v>1884.9362347540127</v>
      </c>
      <c r="K46" s="817">
        <f>'SẢN LƯỢNG'!AP47</f>
        <v>143.30331451739283</v>
      </c>
      <c r="L46" s="817">
        <f>'SẢN LƯỢNG'!AQ47</f>
        <v>2028.2395492714056</v>
      </c>
      <c r="M46" s="1299" t="str">
        <f>VLOOKUP(C46,'SẢN LƯỢNG'!D47:AR125,41,0)</f>
        <v>B</v>
      </c>
      <c r="N46" s="1302">
        <f t="shared" si="6"/>
        <v>7187675</v>
      </c>
      <c r="O46" s="1300">
        <f>VLOOKUP(C46,TONGHOPCONGDOI!$C$11:$V$91,20,0)</f>
        <v>27</v>
      </c>
      <c r="P46" s="1300">
        <f>VLOOKUP(C46,TONGHOPCONGDOI!$C$11:$W$91,21,0)</f>
        <v>4</v>
      </c>
      <c r="Q46" s="1300">
        <f>VLOOKUP(C46,TONGHOPCONGDOI!$C$11:$AD$93,22,0)</f>
        <v>0</v>
      </c>
      <c r="R46" s="1300">
        <f>VLOOKUP(C46,TONGHOPCONGDOI!$C$11:$AD$93,23,0)</f>
        <v>0</v>
      </c>
      <c r="S46" s="1300">
        <f>VLOOKUP(C46,TONGHOPCONGDOI!$C$11:$AD$93,24,0)</f>
        <v>0</v>
      </c>
      <c r="T46" s="1300">
        <f>VLOOKUP(C46,TONGHOPCONGDOI!$C$11:$AD$93,25,0)</f>
        <v>0</v>
      </c>
      <c r="U46" s="1300"/>
      <c r="V46" s="1300">
        <f t="shared" si="2"/>
        <v>0</v>
      </c>
      <c r="W46" s="1301"/>
      <c r="X46" s="1301"/>
      <c r="Y46" s="813">
        <f t="shared" si="3"/>
        <v>1024456</v>
      </c>
      <c r="Z46" s="1300">
        <f t="shared" si="0"/>
        <v>8212131</v>
      </c>
      <c r="AA46" s="1300"/>
      <c r="AB46" s="1300">
        <f>VLOOKUP(C46,'CNKT '!D46:AC98,24,0)</f>
        <v>8212131</v>
      </c>
      <c r="AC46" s="1261">
        <f t="shared" si="4"/>
        <v>0</v>
      </c>
    </row>
    <row r="47" spans="1:29" s="1261" customFormat="1" ht="50.25" customHeight="1">
      <c r="A47" s="1299">
        <v>32</v>
      </c>
      <c r="B47" s="1299" t="str">
        <f>'Chấm công KT'!C44</f>
        <v>03485</v>
      </c>
      <c r="C47" s="1300" t="str">
        <f>TONGHOPCONGDOI!C42</f>
        <v>T. Lâm Phon</v>
      </c>
      <c r="D47" s="1300"/>
      <c r="E47" s="1301"/>
      <c r="F47" s="1300">
        <f t="shared" si="1"/>
        <v>0</v>
      </c>
      <c r="G47" s="1300">
        <f>VLOOKUP(C47,TONGHOPCONGDOI!C42:AE94,16,0)</f>
        <v>4717</v>
      </c>
      <c r="H47" s="1300">
        <f>VLOOKUP(C47,TONGHOPCONGDOI!C42:AE94,17,0)</f>
        <v>0</v>
      </c>
      <c r="I47" s="1300"/>
      <c r="J47" s="812">
        <f t="shared" si="5"/>
        <v>2082.258599375803</v>
      </c>
      <c r="K47" s="817">
        <f>'SẢN LƯỢNG'!AP48</f>
        <v>152.16218829499573</v>
      </c>
      <c r="L47" s="817">
        <f>'SẢN LƯỢNG'!AQ48</f>
        <v>2234.4207876707987</v>
      </c>
      <c r="M47" s="1299" t="str">
        <f>VLOOKUP(C47,'SẢN LƯỢNG'!D48:AR126,41,0)</f>
        <v>B</v>
      </c>
      <c r="N47" s="1302">
        <f t="shared" si="6"/>
        <v>7918340</v>
      </c>
      <c r="O47" s="1300">
        <f>VLOOKUP(C47,TONGHOPCONGDOI!$C$11:$V$91,20,0)</f>
        <v>27</v>
      </c>
      <c r="P47" s="1300">
        <f>VLOOKUP(C47,TONGHOPCONGDOI!$C$11:$W$91,21,0)</f>
        <v>4</v>
      </c>
      <c r="Q47" s="1300">
        <f>VLOOKUP(C47,TONGHOPCONGDOI!$C$11:$AD$93,22,0)</f>
        <v>0</v>
      </c>
      <c r="R47" s="1300">
        <f>VLOOKUP(C47,TONGHOPCONGDOI!$C$11:$AD$93,23,0)</f>
        <v>0</v>
      </c>
      <c r="S47" s="1300">
        <f>VLOOKUP(C47,TONGHOPCONGDOI!$C$11:$AD$93,24,0)</f>
        <v>0</v>
      </c>
      <c r="T47" s="1300">
        <f>VLOOKUP(C47,TONGHOPCONGDOI!$C$11:$AD$93,25,0)</f>
        <v>0</v>
      </c>
      <c r="U47" s="1300"/>
      <c r="V47" s="1300">
        <f t="shared" si="2"/>
        <v>0</v>
      </c>
      <c r="W47" s="1301"/>
      <c r="X47" s="1301"/>
      <c r="Y47" s="813">
        <f t="shared" si="3"/>
        <v>1024456</v>
      </c>
      <c r="Z47" s="1300">
        <f t="shared" si="0"/>
        <v>8942796</v>
      </c>
      <c r="AA47" s="1300"/>
      <c r="AB47" s="1300">
        <f>VLOOKUP(C47,'CNKT '!D47:AC98,24,0)</f>
        <v>8942796</v>
      </c>
      <c r="AC47" s="1261">
        <f t="shared" si="4"/>
        <v>0</v>
      </c>
    </row>
    <row r="48" spans="1:29" s="1261" customFormat="1" ht="50.25" customHeight="1">
      <c r="A48" s="1299">
        <v>33</v>
      </c>
      <c r="B48" s="1299" t="str">
        <f>'Chấm công KT'!C45</f>
        <v>02712</v>
      </c>
      <c r="C48" s="1300" t="str">
        <f>TONGHOPCONGDOI!C43</f>
        <v>T. Sô Đa</v>
      </c>
      <c r="D48" s="1300"/>
      <c r="E48" s="1301"/>
      <c r="F48" s="1300">
        <f t="shared" si="1"/>
        <v>0</v>
      </c>
      <c r="G48" s="1300">
        <f>VLOOKUP(C48,TONGHOPCONGDOI!C43:AE94,16,0)</f>
        <v>4377</v>
      </c>
      <c r="H48" s="1300">
        <f>VLOOKUP(C48,TONGHOPCONGDOI!C43:AE94,17,0)</f>
        <v>0</v>
      </c>
      <c r="I48" s="1300"/>
      <c r="J48" s="812">
        <f t="shared" ref="J48:J79" si="7">$AD$10/$AD$9*G48+H48*$AD$11+I48*$AD$12</f>
        <v>1932.1699998871929</v>
      </c>
      <c r="K48" s="817">
        <f>'SẢN LƯỢNG'!AP49</f>
        <v>135.39481800328753</v>
      </c>
      <c r="L48" s="817">
        <f>'SẢN LƯỢNG'!AQ49</f>
        <v>2067.5648178904803</v>
      </c>
      <c r="M48" s="1299" t="str">
        <f>VLOOKUP(C48,'SẢN LƯỢNG'!D49:AR127,41,0)</f>
        <v>A</v>
      </c>
      <c r="N48" s="1302">
        <f t="shared" si="6"/>
        <v>7706021</v>
      </c>
      <c r="O48" s="1300">
        <f>VLOOKUP(C48,TONGHOPCONGDOI!$C$11:$V$91,20,0)</f>
        <v>26</v>
      </c>
      <c r="P48" s="1300">
        <f>VLOOKUP(C48,TONGHOPCONGDOI!$C$11:$W$91,21,0)</f>
        <v>4</v>
      </c>
      <c r="Q48" s="1300">
        <f>VLOOKUP(C48,TONGHOPCONGDOI!$C$11:$AD$93,22,0)</f>
        <v>0</v>
      </c>
      <c r="R48" s="1300">
        <f>VLOOKUP(C48,TONGHOPCONGDOI!$C$11:$AD$93,23,0)</f>
        <v>0</v>
      </c>
      <c r="S48" s="1300">
        <f>VLOOKUP(C48,TONGHOPCONGDOI!$C$11:$AD$93,24,0)</f>
        <v>0</v>
      </c>
      <c r="T48" s="1300">
        <f>VLOOKUP(C48,TONGHOPCONGDOI!$C$11:$AD$93,25,0)</f>
        <v>0</v>
      </c>
      <c r="U48" s="1300"/>
      <c r="V48" s="1300">
        <f t="shared" si="2"/>
        <v>0</v>
      </c>
      <c r="W48" s="1301"/>
      <c r="X48" s="1301"/>
      <c r="Y48" s="813">
        <f t="shared" si="3"/>
        <v>994032</v>
      </c>
      <c r="Z48" s="1300">
        <f t="shared" ref="Z48:Z79" si="8">F48+N48+Y48</f>
        <v>8700053</v>
      </c>
      <c r="AA48" s="1300"/>
      <c r="AB48" s="1300">
        <f>VLOOKUP(C48,'CNKT '!D48:AC98,24,0)</f>
        <v>8700053</v>
      </c>
      <c r="AC48" s="1261">
        <f t="shared" si="4"/>
        <v>0</v>
      </c>
    </row>
    <row r="49" spans="1:29" s="1261" customFormat="1" ht="50.25" customHeight="1">
      <c r="A49" s="1299">
        <v>34</v>
      </c>
      <c r="B49" s="1299">
        <f>'Chấm công KT'!C46</f>
        <v>0</v>
      </c>
      <c r="C49" s="1300" t="str">
        <f>TONGHOPCONGDOI!C44</f>
        <v>N. Pheng Mi</v>
      </c>
      <c r="D49" s="1300"/>
      <c r="E49" s="1301"/>
      <c r="F49" s="1300">
        <f t="shared" si="1"/>
        <v>0</v>
      </c>
      <c r="G49" s="1300">
        <f>VLOOKUP(C49,TONGHOPCONGDOI!C44:AE94,16,0)</f>
        <v>4146</v>
      </c>
      <c r="H49" s="1300">
        <f>VLOOKUP(C49,TONGHOPCONGDOI!C44:AE94,17,0)</f>
        <v>0</v>
      </c>
      <c r="I49" s="1300"/>
      <c r="J49" s="812">
        <f t="shared" si="7"/>
        <v>1830.1980396464021</v>
      </c>
      <c r="K49" s="817">
        <f>'SẢN LƯỢNG'!AP50</f>
        <v>151.27969512174795</v>
      </c>
      <c r="L49" s="817">
        <f>'SẢN LƯỢNG'!AQ50</f>
        <v>1981.47773476815</v>
      </c>
      <c r="M49" s="1299" t="str">
        <f>VLOOKUP(C49,'SẢN LƯỢNG'!D50:AR128,41,0)</f>
        <v>B</v>
      </c>
      <c r="N49" s="1302">
        <f t="shared" si="6"/>
        <v>7021961</v>
      </c>
      <c r="O49" s="1300">
        <f>VLOOKUP(C49,TONGHOPCONGDOI!$C$11:$V$91,20,0)</f>
        <v>26</v>
      </c>
      <c r="P49" s="1300">
        <f>VLOOKUP(C49,TONGHOPCONGDOI!$C$11:$W$91,21,0)</f>
        <v>4</v>
      </c>
      <c r="Q49" s="1300">
        <f>VLOOKUP(C49,TONGHOPCONGDOI!$C$11:$AD$93,22,0)</f>
        <v>0</v>
      </c>
      <c r="R49" s="1300">
        <f>VLOOKUP(C49,TONGHOPCONGDOI!$C$11:$AD$93,23,0)</f>
        <v>0</v>
      </c>
      <c r="S49" s="1300">
        <f>VLOOKUP(C49,TONGHOPCONGDOI!$C$11:$AD$93,24,0)</f>
        <v>0</v>
      </c>
      <c r="T49" s="1300">
        <f>VLOOKUP(C49,TONGHOPCONGDOI!$C$11:$AD$93,25,0)</f>
        <v>0</v>
      </c>
      <c r="U49" s="1300"/>
      <c r="V49" s="1300">
        <f t="shared" si="2"/>
        <v>0</v>
      </c>
      <c r="W49" s="1301"/>
      <c r="X49" s="1301"/>
      <c r="Y49" s="813">
        <f t="shared" si="3"/>
        <v>994032</v>
      </c>
      <c r="Z49" s="1300">
        <f t="shared" si="8"/>
        <v>8015993</v>
      </c>
      <c r="AA49" s="1300"/>
      <c r="AB49" s="1300">
        <f>VLOOKUP(C49,'CNKT '!D49:AC98,24,0)</f>
        <v>8015993</v>
      </c>
      <c r="AC49" s="1261">
        <f t="shared" si="4"/>
        <v>0</v>
      </c>
    </row>
    <row r="50" spans="1:29" s="1261" customFormat="1" ht="50.25" customHeight="1">
      <c r="A50" s="1299">
        <v>35</v>
      </c>
      <c r="B50" s="1299" t="str">
        <f>'Chấm công KT'!C47</f>
        <v>02714</v>
      </c>
      <c r="C50" s="1300" t="str">
        <f>TONGHOPCONGDOI!C45</f>
        <v>N. Tủn</v>
      </c>
      <c r="D50" s="1300"/>
      <c r="E50" s="1301"/>
      <c r="F50" s="1300">
        <f t="shared" si="1"/>
        <v>0</v>
      </c>
      <c r="G50" s="1300">
        <f>VLOOKUP(C50,TONGHOPCONGDOI!C45:AE94,16,0)</f>
        <v>3661</v>
      </c>
      <c r="H50" s="1300">
        <f>VLOOKUP(C50,TONGHOPCONGDOI!C45:AE94,17,0)</f>
        <v>0</v>
      </c>
      <c r="I50" s="1300"/>
      <c r="J50" s="812">
        <f t="shared" si="7"/>
        <v>1616.1010668464733</v>
      </c>
      <c r="K50" s="817">
        <f>'SẢN LƯỢNG'!AP51</f>
        <v>144.28763382601537</v>
      </c>
      <c r="L50" s="817">
        <f>'SẢN LƯỢNG'!AQ51</f>
        <v>1760.3887006724885</v>
      </c>
      <c r="M50" s="1299" t="str">
        <f>VLOOKUP(C50,'SẢN LƯỢNG'!D51:AR129,41,0)</f>
        <v>A</v>
      </c>
      <c r="N50" s="1302">
        <f t="shared" si="6"/>
        <v>6561145</v>
      </c>
      <c r="O50" s="1300">
        <f>VLOOKUP(C50,TONGHOPCONGDOI!$C$11:$V$91,20,0)</f>
        <v>26</v>
      </c>
      <c r="P50" s="1300">
        <f>VLOOKUP(C50,TONGHOPCONGDOI!$C$11:$W$91,21,0)</f>
        <v>4</v>
      </c>
      <c r="Q50" s="1300">
        <f>VLOOKUP(C50,TONGHOPCONGDOI!$C$11:$AD$93,22,0)</f>
        <v>0</v>
      </c>
      <c r="R50" s="1300">
        <f>VLOOKUP(C50,TONGHOPCONGDOI!$C$11:$AD$93,23,0)</f>
        <v>0</v>
      </c>
      <c r="S50" s="1300">
        <f>VLOOKUP(C50,TONGHOPCONGDOI!$C$11:$AD$93,24,0)</f>
        <v>0</v>
      </c>
      <c r="T50" s="1300">
        <f>VLOOKUP(C50,TONGHOPCONGDOI!$C$11:$AD$93,25,0)</f>
        <v>0</v>
      </c>
      <c r="U50" s="1300"/>
      <c r="V50" s="1300">
        <f t="shared" si="2"/>
        <v>0</v>
      </c>
      <c r="W50" s="1301"/>
      <c r="X50" s="1301"/>
      <c r="Y50" s="813">
        <f t="shared" si="3"/>
        <v>994032</v>
      </c>
      <c r="Z50" s="1300">
        <f t="shared" si="8"/>
        <v>7555177</v>
      </c>
      <c r="AA50" s="1300"/>
      <c r="AB50" s="1300">
        <f>VLOOKUP(C50,'CNKT '!D50:AC98,24,0)</f>
        <v>7555177</v>
      </c>
      <c r="AC50" s="1261">
        <f t="shared" si="4"/>
        <v>0</v>
      </c>
    </row>
    <row r="51" spans="1:29" s="1261" customFormat="1" ht="50.25" customHeight="1">
      <c r="A51" s="1299">
        <v>36</v>
      </c>
      <c r="B51" s="1299" t="str">
        <f>'Chấm công KT'!C48</f>
        <v>02713</v>
      </c>
      <c r="C51" s="1300" t="str">
        <f>TONGHOPCONGDOI!C46</f>
        <v>T. Lung</v>
      </c>
      <c r="D51" s="1300"/>
      <c r="E51" s="1301"/>
      <c r="F51" s="1300">
        <f t="shared" si="1"/>
        <v>0</v>
      </c>
      <c r="G51" s="1300">
        <f>VLOOKUP(C51,TONGHOPCONGDOI!C46:AE94,16,0)</f>
        <v>3758</v>
      </c>
      <c r="H51" s="1300">
        <f>VLOOKUP(C51,TONGHOPCONGDOI!C46:AE94,17,0)</f>
        <v>0</v>
      </c>
      <c r="I51" s="1300"/>
      <c r="J51" s="812">
        <f t="shared" si="7"/>
        <v>1658.920461406459</v>
      </c>
      <c r="K51" s="817">
        <f>'SẢN LƯỢNG'!AP52</f>
        <v>146.0865622176359</v>
      </c>
      <c r="L51" s="817">
        <f>'SẢN LƯỢNG'!AQ52</f>
        <v>1805.0070236240952</v>
      </c>
      <c r="M51" s="1299" t="str">
        <f>VLOOKUP(C51,'SẢN LƯỢNG'!D52:AR130,41,0)</f>
        <v>A</v>
      </c>
      <c r="N51" s="1302">
        <f t="shared" si="6"/>
        <v>6727442</v>
      </c>
      <c r="O51" s="1300">
        <f>VLOOKUP(C51,TONGHOPCONGDOI!$C$11:$V$91,20,0)</f>
        <v>26</v>
      </c>
      <c r="P51" s="1300">
        <f>VLOOKUP(C51,TONGHOPCONGDOI!$C$11:$W$91,21,0)</f>
        <v>4</v>
      </c>
      <c r="Q51" s="1300">
        <f>VLOOKUP(C51,TONGHOPCONGDOI!$C$11:$AD$93,22,0)</f>
        <v>0</v>
      </c>
      <c r="R51" s="1300">
        <f>VLOOKUP(C51,TONGHOPCONGDOI!$C$11:$AD$93,23,0)</f>
        <v>0</v>
      </c>
      <c r="S51" s="1300">
        <f>VLOOKUP(C51,TONGHOPCONGDOI!$C$11:$AD$93,24,0)</f>
        <v>0</v>
      </c>
      <c r="T51" s="1300">
        <f>VLOOKUP(C51,TONGHOPCONGDOI!$C$11:$AD$93,25,0)</f>
        <v>0</v>
      </c>
      <c r="U51" s="1300"/>
      <c r="V51" s="1300">
        <f t="shared" si="2"/>
        <v>0</v>
      </c>
      <c r="W51" s="1301"/>
      <c r="X51" s="1301"/>
      <c r="Y51" s="813">
        <f t="shared" si="3"/>
        <v>994032</v>
      </c>
      <c r="Z51" s="1300">
        <f t="shared" si="8"/>
        <v>7721474</v>
      </c>
      <c r="AA51" s="1300"/>
      <c r="AB51" s="1300">
        <f>VLOOKUP(C51,'CNKT '!D51:AC98,24,0)</f>
        <v>7721474</v>
      </c>
      <c r="AC51" s="1261">
        <f t="shared" si="4"/>
        <v>0</v>
      </c>
    </row>
    <row r="52" spans="1:29" s="1261" customFormat="1" ht="50.25" customHeight="1">
      <c r="A52" s="1299">
        <v>37</v>
      </c>
      <c r="B52" s="1299" t="str">
        <f>'Chấm công KT'!C49</f>
        <v>04058</v>
      </c>
      <c r="C52" s="1300" t="str">
        <f>TONGHOPCONGDOI!C47</f>
        <v>T. Bi Ly (2)</v>
      </c>
      <c r="D52" s="1300"/>
      <c r="E52" s="1301"/>
      <c r="F52" s="1300">
        <f t="shared" si="1"/>
        <v>0</v>
      </c>
      <c r="G52" s="1300">
        <f>VLOOKUP(C52,TONGHOPCONGDOI!C47:AE94,16,0)</f>
        <v>4169</v>
      </c>
      <c r="H52" s="1300">
        <f>VLOOKUP(C52,TONGHOPCONGDOI!C47:AE94,17,0)</f>
        <v>0</v>
      </c>
      <c r="I52" s="1300"/>
      <c r="J52" s="812">
        <f t="shared" si="7"/>
        <v>1840.3510919647492</v>
      </c>
      <c r="K52" s="817">
        <f>'SẢN LƯỢNG'!AP53</f>
        <v>142.31899520877027</v>
      </c>
      <c r="L52" s="817">
        <f>'SẢN LƯỢNG'!AQ53</f>
        <v>1982.6700871735195</v>
      </c>
      <c r="M52" s="1299" t="str">
        <f>VLOOKUP(C52,'SẢN LƯỢNG'!D53:AR131,41,0)</f>
        <v>A</v>
      </c>
      <c r="N52" s="1302">
        <f t="shared" si="6"/>
        <v>7389610</v>
      </c>
      <c r="O52" s="1300">
        <f>VLOOKUP(C52,TONGHOPCONGDOI!$C$11:$V$91,20,0)</f>
        <v>27</v>
      </c>
      <c r="P52" s="1300">
        <f>VLOOKUP(C52,TONGHOPCONGDOI!$C$11:$W$91,21,0)</f>
        <v>4</v>
      </c>
      <c r="Q52" s="1300">
        <f>VLOOKUP(C52,TONGHOPCONGDOI!$C$11:$AD$93,22,0)</f>
        <v>0</v>
      </c>
      <c r="R52" s="1300">
        <f>VLOOKUP(C52,TONGHOPCONGDOI!$C$11:$AD$93,23,0)</f>
        <v>0</v>
      </c>
      <c r="S52" s="1300">
        <f>VLOOKUP(C52,TONGHOPCONGDOI!$C$11:$AD$93,24,0)</f>
        <v>0</v>
      </c>
      <c r="T52" s="1300">
        <f>VLOOKUP(C52,TONGHOPCONGDOI!$C$11:$AD$93,25,0)</f>
        <v>0</v>
      </c>
      <c r="U52" s="1300"/>
      <c r="V52" s="1300">
        <f t="shared" si="2"/>
        <v>0</v>
      </c>
      <c r="W52" s="1301"/>
      <c r="X52" s="1301"/>
      <c r="Y52" s="813">
        <f t="shared" si="3"/>
        <v>1024456</v>
      </c>
      <c r="Z52" s="1300">
        <f t="shared" si="8"/>
        <v>8414066</v>
      </c>
      <c r="AA52" s="1300"/>
      <c r="AB52" s="1300">
        <f>VLOOKUP(C52,'CNKT '!D52:AC98,24,0)</f>
        <v>8414066</v>
      </c>
      <c r="AC52" s="1261">
        <f t="shared" si="4"/>
        <v>0</v>
      </c>
    </row>
    <row r="53" spans="1:29" s="1261" customFormat="1" ht="50.25" customHeight="1">
      <c r="A53" s="1299">
        <v>38</v>
      </c>
      <c r="B53" s="1299" t="str">
        <f>'Chấm công KT'!C50</f>
        <v>03487</v>
      </c>
      <c r="C53" s="1300" t="str">
        <f>TONGHOPCONGDOI!C48</f>
        <v>N. Ba Say</v>
      </c>
      <c r="D53" s="1300"/>
      <c r="E53" s="1301"/>
      <c r="F53" s="1300">
        <f t="shared" si="1"/>
        <v>0</v>
      </c>
      <c r="G53" s="1300">
        <f>VLOOKUP(C53,TONGHOPCONGDOI!C48:AE94,16,0)</f>
        <v>3281</v>
      </c>
      <c r="H53" s="1300">
        <f>VLOOKUP(C53,TONGHOPCONGDOI!C48:AE94,17,0)</f>
        <v>0</v>
      </c>
      <c r="I53" s="1300"/>
      <c r="J53" s="812">
        <f t="shared" si="7"/>
        <v>1448.3549850650857</v>
      </c>
      <c r="K53" s="817">
        <f>'SẢN LƯỢNG'!AP54</f>
        <v>125.92498741343614</v>
      </c>
      <c r="L53" s="817">
        <f>'SẢN LƯỢNG'!AQ54</f>
        <v>1574.2799724785218</v>
      </c>
      <c r="M53" s="1299" t="str">
        <f>VLOOKUP(C53,'SẢN LƯỢNG'!D54:AR132,41,0)</f>
        <v>B</v>
      </c>
      <c r="N53" s="1302">
        <f t="shared" si="6"/>
        <v>5578933</v>
      </c>
      <c r="O53" s="1300">
        <f>VLOOKUP(C53,TONGHOPCONGDOI!$C$11:$V$91,20,0)</f>
        <v>26</v>
      </c>
      <c r="P53" s="1300">
        <f>VLOOKUP(C53,TONGHOPCONGDOI!$C$11:$W$91,21,0)</f>
        <v>4</v>
      </c>
      <c r="Q53" s="1300">
        <f>VLOOKUP(C53,TONGHOPCONGDOI!$C$11:$AD$93,22,0)</f>
        <v>0</v>
      </c>
      <c r="R53" s="1300">
        <f>VLOOKUP(C53,TONGHOPCONGDOI!$C$11:$AD$93,23,0)</f>
        <v>0</v>
      </c>
      <c r="S53" s="1300">
        <f>VLOOKUP(C53,TONGHOPCONGDOI!$C$11:$AD$93,24,0)</f>
        <v>0</v>
      </c>
      <c r="T53" s="1300">
        <f>VLOOKUP(C53,TONGHOPCONGDOI!$C$11:$AD$93,25,0)</f>
        <v>0</v>
      </c>
      <c r="U53" s="1300"/>
      <c r="V53" s="1300">
        <f t="shared" si="2"/>
        <v>0</v>
      </c>
      <c r="W53" s="1301"/>
      <c r="X53" s="1301"/>
      <c r="Y53" s="813">
        <f t="shared" si="3"/>
        <v>994032</v>
      </c>
      <c r="Z53" s="1300">
        <f t="shared" si="8"/>
        <v>6572965</v>
      </c>
      <c r="AA53" s="1300"/>
      <c r="AB53" s="1300">
        <f>VLOOKUP(C53,'CNKT '!D53:AC98,24,0)</f>
        <v>6572965</v>
      </c>
      <c r="AC53" s="1261">
        <f t="shared" si="4"/>
        <v>0</v>
      </c>
    </row>
    <row r="54" spans="1:29" s="1261" customFormat="1" ht="50.25" customHeight="1">
      <c r="A54" s="1299">
        <v>39</v>
      </c>
      <c r="B54" s="1299" t="str">
        <f>'Chấm công KT'!C51</f>
        <v>03488</v>
      </c>
      <c r="C54" s="1300" t="str">
        <f>TONGHOPCONGDOI!C49</f>
        <v>N. Đeng</v>
      </c>
      <c r="D54" s="1300"/>
      <c r="E54" s="1301"/>
      <c r="F54" s="1300">
        <f t="shared" si="1"/>
        <v>0</v>
      </c>
      <c r="G54" s="1300">
        <f>VLOOKUP(C54,TONGHOPCONGDOI!C49:AE94,16,0)</f>
        <v>3097</v>
      </c>
      <c r="H54" s="1300">
        <f>VLOOKUP(C54,TONGHOPCONGDOI!C49:AE94,17,0)</f>
        <v>0</v>
      </c>
      <c r="I54" s="1300"/>
      <c r="J54" s="812">
        <f t="shared" si="7"/>
        <v>1367.1305665183086</v>
      </c>
      <c r="K54" s="817">
        <f>'SẢN LƯỢNG'!AP55</f>
        <v>139.67151568902688</v>
      </c>
      <c r="L54" s="817">
        <f>'SẢN LƯỢNG'!AQ55</f>
        <v>1506.8020822073356</v>
      </c>
      <c r="M54" s="1299" t="str">
        <f>VLOOKUP(C54,'SẢN LƯỢNG'!D55:AR133,41,0)</f>
        <v>A</v>
      </c>
      <c r="N54" s="1302">
        <f t="shared" si="6"/>
        <v>5616002</v>
      </c>
      <c r="O54" s="1300">
        <f>VLOOKUP(C54,TONGHOPCONGDOI!$C$11:$V$91,20,0)</f>
        <v>22</v>
      </c>
      <c r="P54" s="1300">
        <f>VLOOKUP(C54,TONGHOPCONGDOI!$C$11:$W$91,21,0)</f>
        <v>3</v>
      </c>
      <c r="Q54" s="1300">
        <f>VLOOKUP(C54,TONGHOPCONGDOI!$C$11:$AD$93,22,0)</f>
        <v>0</v>
      </c>
      <c r="R54" s="1300">
        <f>VLOOKUP(C54,TONGHOPCONGDOI!$C$11:$AD$93,23,0)</f>
        <v>0</v>
      </c>
      <c r="S54" s="1300">
        <f>VLOOKUP(C54,TONGHOPCONGDOI!$C$11:$AD$93,24,0)</f>
        <v>0</v>
      </c>
      <c r="T54" s="1300">
        <f>VLOOKUP(C54,TONGHOPCONGDOI!$C$11:$AD$93,25,0)</f>
        <v>0</v>
      </c>
      <c r="U54" s="1300"/>
      <c r="V54" s="1300">
        <f t="shared" si="2"/>
        <v>0</v>
      </c>
      <c r="W54" s="1301"/>
      <c r="X54" s="1301"/>
      <c r="Y54" s="813">
        <f t="shared" si="3"/>
        <v>821584</v>
      </c>
      <c r="Z54" s="1300">
        <f t="shared" si="8"/>
        <v>6437586</v>
      </c>
      <c r="AA54" s="1300"/>
      <c r="AB54" s="1300">
        <f>VLOOKUP(C54,'CNKT '!D54:AC98,24,0)</f>
        <v>6437586</v>
      </c>
      <c r="AC54" s="1261">
        <f t="shared" si="4"/>
        <v>0</v>
      </c>
    </row>
    <row r="55" spans="1:29" s="1261" customFormat="1" ht="50.25" customHeight="1">
      <c r="A55" s="1299">
        <v>40</v>
      </c>
      <c r="B55" s="1299" t="str">
        <f>'Chấm công KT'!C52</f>
        <v>03489</v>
      </c>
      <c r="C55" s="1300" t="str">
        <f>TONGHOPCONGDOI!C50</f>
        <v>T. Tinh</v>
      </c>
      <c r="D55" s="1300"/>
      <c r="E55" s="1301"/>
      <c r="F55" s="1300">
        <f t="shared" si="1"/>
        <v>0</v>
      </c>
      <c r="G55" s="1300">
        <f>VLOOKUP(C55,TONGHOPCONGDOI!C50:AE94,16,0)</f>
        <v>3193</v>
      </c>
      <c r="H55" s="1300">
        <f>VLOOKUP(C55,TONGHOPCONGDOI!C50:AE94,17,0)</f>
        <v>0</v>
      </c>
      <c r="I55" s="1300"/>
      <c r="J55" s="812">
        <f t="shared" si="7"/>
        <v>1409.5085240209748</v>
      </c>
      <c r="K55" s="817">
        <f>'SẢN LƯỢNG'!AP56</f>
        <v>127.72391580505666</v>
      </c>
      <c r="L55" s="817">
        <f>'SẢN LƯỢNG'!AQ56</f>
        <v>1537.2324398260316</v>
      </c>
      <c r="M55" s="1299" t="str">
        <f>VLOOKUP(C55,'SẢN LƯỢNG'!D56:AR134,41,0)</f>
        <v>A</v>
      </c>
      <c r="N55" s="1302">
        <f t="shared" si="6"/>
        <v>5729419</v>
      </c>
      <c r="O55" s="1300">
        <f>VLOOKUP(C55,TONGHOPCONGDOI!$C$11:$V$91,20,0)</f>
        <v>26</v>
      </c>
      <c r="P55" s="1300">
        <f>VLOOKUP(C55,TONGHOPCONGDOI!$C$11:$W$91,21,0)</f>
        <v>4</v>
      </c>
      <c r="Q55" s="1300">
        <f>VLOOKUP(C55,TONGHOPCONGDOI!$C$11:$AD$93,22,0)</f>
        <v>0</v>
      </c>
      <c r="R55" s="1300">
        <f>VLOOKUP(C55,TONGHOPCONGDOI!$C$11:$AD$93,23,0)</f>
        <v>0</v>
      </c>
      <c r="S55" s="1300">
        <f>VLOOKUP(C55,TONGHOPCONGDOI!$C$11:$AD$93,24,0)</f>
        <v>0</v>
      </c>
      <c r="T55" s="1300">
        <f>VLOOKUP(C55,TONGHOPCONGDOI!$C$11:$AD$93,25,0)</f>
        <v>0</v>
      </c>
      <c r="U55" s="1300"/>
      <c r="V55" s="1300">
        <f t="shared" si="2"/>
        <v>0</v>
      </c>
      <c r="W55" s="1301"/>
      <c r="X55" s="1301"/>
      <c r="Y55" s="813">
        <f t="shared" si="3"/>
        <v>994032</v>
      </c>
      <c r="Z55" s="1300">
        <f t="shared" si="8"/>
        <v>6723451</v>
      </c>
      <c r="AA55" s="1300"/>
      <c r="AB55" s="1300">
        <f>VLOOKUP(C55,'CNKT '!D55:AC98,24,0)</f>
        <v>6723451</v>
      </c>
      <c r="AC55" s="1261">
        <f t="shared" si="4"/>
        <v>0</v>
      </c>
    </row>
    <row r="56" spans="1:29" s="1261" customFormat="1" ht="50.25" customHeight="1">
      <c r="A56" s="1299">
        <v>41</v>
      </c>
      <c r="B56" s="1299" t="str">
        <f>'Chấm công KT'!C53</f>
        <v>04059</v>
      </c>
      <c r="C56" s="1300" t="str">
        <f>TONGHOPCONGDOI!C51</f>
        <v>T. Khăm Pỏi</v>
      </c>
      <c r="D56" s="1300"/>
      <c r="E56" s="1301"/>
      <c r="F56" s="1300">
        <f t="shared" si="1"/>
        <v>0</v>
      </c>
      <c r="G56" s="1300">
        <f>VLOOKUP(C56,TONGHOPCONGDOI!C51:AE94,16,0)</f>
        <v>3210</v>
      </c>
      <c r="H56" s="1300">
        <f>VLOOKUP(C56,TONGHOPCONGDOI!C51:AE94,17,0)</f>
        <v>0</v>
      </c>
      <c r="I56" s="1300"/>
      <c r="J56" s="812">
        <f t="shared" si="7"/>
        <v>1417.0129539954055</v>
      </c>
      <c r="K56" s="817">
        <f>'SẢN LƯỢNG'!AP57</f>
        <v>138.24594979378043</v>
      </c>
      <c r="L56" s="817">
        <f>'SẢN LƯỢNG'!AQ57</f>
        <v>1555.258903789186</v>
      </c>
      <c r="M56" s="1299" t="str">
        <f>VLOOKUP(C56,'SẢN LƯỢNG'!D57:AR135,41,0)</f>
        <v>A</v>
      </c>
      <c r="N56" s="1302">
        <f t="shared" si="6"/>
        <v>5796605</v>
      </c>
      <c r="O56" s="1300">
        <f>VLOOKUP(C56,TONGHOPCONGDOI!$C$11:$V$91,20,0)</f>
        <v>26</v>
      </c>
      <c r="P56" s="1300">
        <f>VLOOKUP(C56,TONGHOPCONGDOI!$C$11:$W$91,21,0)</f>
        <v>4</v>
      </c>
      <c r="Q56" s="1300">
        <f>VLOOKUP(C56,TONGHOPCONGDOI!$C$11:$AD$93,22,0)</f>
        <v>0</v>
      </c>
      <c r="R56" s="1300">
        <f>VLOOKUP(C56,TONGHOPCONGDOI!$C$11:$AD$93,23,0)</f>
        <v>0</v>
      </c>
      <c r="S56" s="1300">
        <f>VLOOKUP(C56,TONGHOPCONGDOI!$C$11:$AD$93,24,0)</f>
        <v>0</v>
      </c>
      <c r="T56" s="1300">
        <f>VLOOKUP(C56,TONGHOPCONGDOI!$C$11:$AD$93,25,0)</f>
        <v>0</v>
      </c>
      <c r="U56" s="1300"/>
      <c r="V56" s="1300">
        <f t="shared" si="2"/>
        <v>0</v>
      </c>
      <c r="W56" s="1301"/>
      <c r="X56" s="1301"/>
      <c r="Y56" s="813">
        <f t="shared" si="3"/>
        <v>994032</v>
      </c>
      <c r="Z56" s="1300">
        <f t="shared" si="8"/>
        <v>6790637</v>
      </c>
      <c r="AA56" s="1300"/>
      <c r="AB56" s="1300">
        <f>VLOOKUP(C56,'CNKT '!D56:AC98,24,0)</f>
        <v>6790637</v>
      </c>
      <c r="AC56" s="1261">
        <f t="shared" si="4"/>
        <v>0</v>
      </c>
    </row>
    <row r="57" spans="1:29" s="1261" customFormat="1" ht="50.25" customHeight="1">
      <c r="A57" s="1299">
        <v>42</v>
      </c>
      <c r="B57" s="1299" t="str">
        <f>'Chấm công KT'!C54</f>
        <v>03491</v>
      </c>
      <c r="C57" s="1300" t="str">
        <f>TONGHOPCONGDOI!C52</f>
        <v>Lăm Ngân</v>
      </c>
      <c r="D57" s="1300"/>
      <c r="E57" s="1301"/>
      <c r="F57" s="1300">
        <f t="shared" si="1"/>
        <v>0</v>
      </c>
      <c r="G57" s="1300">
        <f>VLOOKUP(C57,TONGHOPCONGDOI!C52:AE94,16,0)</f>
        <v>3734</v>
      </c>
      <c r="H57" s="1300">
        <f>VLOOKUP(C57,TONGHOPCONGDOI!C52:AE94,17,0)</f>
        <v>0</v>
      </c>
      <c r="I57" s="1300"/>
      <c r="J57" s="812">
        <f t="shared" si="7"/>
        <v>1648.3259720307924</v>
      </c>
      <c r="K57" s="817">
        <f>'SẢN LƯỢNG'!AP58</f>
        <v>143.235430427143</v>
      </c>
      <c r="L57" s="817">
        <f>'SẢN LƯỢNG'!AQ58</f>
        <v>1791.5614024579356</v>
      </c>
      <c r="M57" s="1299" t="str">
        <f>VLOOKUP(C57,'SẢN LƯỢNG'!D58:AR136,41,0)</f>
        <v>A</v>
      </c>
      <c r="N57" s="1302">
        <f t="shared" si="6"/>
        <v>6677329</v>
      </c>
      <c r="O57" s="1300">
        <f>VLOOKUP(C57,TONGHOPCONGDOI!$C$11:$V$91,20,0)</f>
        <v>26</v>
      </c>
      <c r="P57" s="1300">
        <f>VLOOKUP(C57,TONGHOPCONGDOI!$C$11:$W$91,21,0)</f>
        <v>4</v>
      </c>
      <c r="Q57" s="1300">
        <f>VLOOKUP(C57,TONGHOPCONGDOI!$C$11:$AD$93,22,0)</f>
        <v>0</v>
      </c>
      <c r="R57" s="1300">
        <f>VLOOKUP(C57,TONGHOPCONGDOI!$C$11:$AD$93,23,0)</f>
        <v>0</v>
      </c>
      <c r="S57" s="1300">
        <f>VLOOKUP(C57,TONGHOPCONGDOI!$C$11:$AD$93,24,0)</f>
        <v>0</v>
      </c>
      <c r="T57" s="1300">
        <f>VLOOKUP(C57,TONGHOPCONGDOI!$C$11:$AD$93,25,0)</f>
        <v>0</v>
      </c>
      <c r="U57" s="1300"/>
      <c r="V57" s="1300">
        <f t="shared" si="2"/>
        <v>0</v>
      </c>
      <c r="W57" s="1301"/>
      <c r="X57" s="1301"/>
      <c r="Y57" s="813">
        <f t="shared" si="3"/>
        <v>994032</v>
      </c>
      <c r="Z57" s="1300">
        <f t="shared" si="8"/>
        <v>7671361</v>
      </c>
      <c r="AA57" s="1300"/>
      <c r="AB57" s="1300">
        <f>VLOOKUP(C57,'CNKT '!D57:AC98,24,0)</f>
        <v>7671361</v>
      </c>
      <c r="AC57" s="1261">
        <f t="shared" si="4"/>
        <v>0</v>
      </c>
    </row>
    <row r="58" spans="1:29" s="1261" customFormat="1" ht="50.25" customHeight="1">
      <c r="A58" s="1299">
        <v>43</v>
      </c>
      <c r="B58" s="1299" t="str">
        <f>'Chấm công KT'!C55</f>
        <v>04060</v>
      </c>
      <c r="C58" s="1300" t="str">
        <f>TONGHOPCONGDOI!C53</f>
        <v>T. Không</v>
      </c>
      <c r="D58" s="1300"/>
      <c r="E58" s="1301"/>
      <c r="F58" s="1300">
        <f t="shared" si="1"/>
        <v>0</v>
      </c>
      <c r="G58" s="1300">
        <f>VLOOKUP(C58,TONGHOPCONGDOI!C53:AE94,16,0)</f>
        <v>4073</v>
      </c>
      <c r="H58" s="1300">
        <f>VLOOKUP(C58,TONGHOPCONGDOI!C53:AE94,17,0)</f>
        <v>0</v>
      </c>
      <c r="I58" s="1300"/>
      <c r="J58" s="812">
        <f t="shared" si="7"/>
        <v>1797.973134462083</v>
      </c>
      <c r="K58" s="817">
        <f>'SẢN LƯỢNG'!AP59</f>
        <v>130.26956918942531</v>
      </c>
      <c r="L58" s="817">
        <f>'SẢN LƯỢNG'!AQ59</f>
        <v>1928.2427036515085</v>
      </c>
      <c r="M58" s="1299" t="str">
        <f>VLOOKUP(C58,'SẢN LƯỢNG'!D59:AR137,41,0)</f>
        <v>A</v>
      </c>
      <c r="N58" s="1302">
        <f t="shared" si="6"/>
        <v>7186753</v>
      </c>
      <c r="O58" s="1300">
        <f>VLOOKUP(C58,TONGHOPCONGDOI!$C$11:$V$91,20,0)</f>
        <v>27</v>
      </c>
      <c r="P58" s="1300">
        <f>VLOOKUP(C58,TONGHOPCONGDOI!$C$11:$W$91,21,0)</f>
        <v>4</v>
      </c>
      <c r="Q58" s="1300">
        <f>VLOOKUP(C58,TONGHOPCONGDOI!$C$11:$AD$93,22,0)</f>
        <v>0</v>
      </c>
      <c r="R58" s="1300">
        <f>VLOOKUP(C58,TONGHOPCONGDOI!$C$11:$AD$93,23,0)</f>
        <v>0</v>
      </c>
      <c r="S58" s="1300">
        <f>VLOOKUP(C58,TONGHOPCONGDOI!$C$11:$AD$93,24,0)</f>
        <v>0</v>
      </c>
      <c r="T58" s="1300">
        <f>VLOOKUP(C58,TONGHOPCONGDOI!$C$11:$AD$93,25,0)</f>
        <v>0</v>
      </c>
      <c r="U58" s="1300"/>
      <c r="V58" s="1300">
        <f t="shared" si="2"/>
        <v>0</v>
      </c>
      <c r="W58" s="1301"/>
      <c r="X58" s="1301"/>
      <c r="Y58" s="813">
        <f t="shared" si="3"/>
        <v>1024456</v>
      </c>
      <c r="Z58" s="1300">
        <f t="shared" si="8"/>
        <v>8211209</v>
      </c>
      <c r="AA58" s="1300"/>
      <c r="AB58" s="1300">
        <f>VLOOKUP(C58,'CNKT '!D58:AC98,24,0)</f>
        <v>8211209</v>
      </c>
      <c r="AC58" s="1261">
        <f t="shared" si="4"/>
        <v>0</v>
      </c>
    </row>
    <row r="59" spans="1:29" s="1261" customFormat="1" ht="50.25" customHeight="1">
      <c r="A59" s="1299">
        <v>44</v>
      </c>
      <c r="B59" s="1299" t="str">
        <f>'Chấm công KT'!C56</f>
        <v>03492</v>
      </c>
      <c r="C59" s="1300" t="str">
        <f>TONGHOPCONGDOI!C54</f>
        <v>T. Lem</v>
      </c>
      <c r="D59" s="1300"/>
      <c r="E59" s="1301"/>
      <c r="F59" s="1300">
        <f t="shared" si="1"/>
        <v>0</v>
      </c>
      <c r="G59" s="1300">
        <f>VLOOKUP(C59,TONGHOPCONGDOI!C54:AE94,16,0)</f>
        <v>3771</v>
      </c>
      <c r="H59" s="1300">
        <f>VLOOKUP(C59,TONGHOPCONGDOI!C54:AE94,17,0)</f>
        <v>0</v>
      </c>
      <c r="I59" s="1300"/>
      <c r="J59" s="812">
        <f t="shared" si="7"/>
        <v>1664.6591431516117</v>
      </c>
      <c r="K59" s="817">
        <f>'SẢN LƯỢNG'!AP60</f>
        <v>140.99525544889858</v>
      </c>
      <c r="L59" s="817">
        <f>'SẢN LƯỢNG'!AQ60</f>
        <v>1805.6543986005104</v>
      </c>
      <c r="M59" s="1299" t="str">
        <f>VLOOKUP(C59,'SẢN LƯỢNG'!D60:AR138,41,0)</f>
        <v>B</v>
      </c>
      <c r="N59" s="1302">
        <f t="shared" si="6"/>
        <v>6398878</v>
      </c>
      <c r="O59" s="1300">
        <f>VLOOKUP(C59,TONGHOPCONGDOI!$C$11:$V$91,20,0)</f>
        <v>26</v>
      </c>
      <c r="P59" s="1300">
        <f>VLOOKUP(C59,TONGHOPCONGDOI!$C$11:$W$91,21,0)</f>
        <v>4</v>
      </c>
      <c r="Q59" s="1300">
        <f>VLOOKUP(C59,TONGHOPCONGDOI!$C$11:$AD$93,22,0)</f>
        <v>0</v>
      </c>
      <c r="R59" s="1300">
        <f>VLOOKUP(C59,TONGHOPCONGDOI!$C$11:$AD$93,23,0)</f>
        <v>0</v>
      </c>
      <c r="S59" s="1300">
        <f>VLOOKUP(C59,TONGHOPCONGDOI!$C$11:$AD$93,24,0)</f>
        <v>0</v>
      </c>
      <c r="T59" s="1300">
        <f>VLOOKUP(C59,TONGHOPCONGDOI!$C$11:$AD$93,25,0)</f>
        <v>0</v>
      </c>
      <c r="U59" s="1300"/>
      <c r="V59" s="1300">
        <f t="shared" si="2"/>
        <v>0</v>
      </c>
      <c r="W59" s="1301"/>
      <c r="X59" s="1301"/>
      <c r="Y59" s="813">
        <f t="shared" si="3"/>
        <v>994032</v>
      </c>
      <c r="Z59" s="1300">
        <f t="shared" si="8"/>
        <v>7392910</v>
      </c>
      <c r="AA59" s="1300"/>
      <c r="AB59" s="1300">
        <f>VLOOKUP(C59,'CNKT '!D59:AC98,24,0)</f>
        <v>7392910</v>
      </c>
      <c r="AC59" s="1261">
        <f t="shared" si="4"/>
        <v>0</v>
      </c>
    </row>
    <row r="60" spans="1:29" s="1261" customFormat="1" ht="50.25" customHeight="1">
      <c r="A60" s="1299">
        <v>45</v>
      </c>
      <c r="B60" s="1299" t="str">
        <f>'Chấm công KT'!C57</f>
        <v>03493</v>
      </c>
      <c r="C60" s="1300" t="str">
        <f>TONGHOPCONGDOI!C55</f>
        <v>T. Pông</v>
      </c>
      <c r="D60" s="1300"/>
      <c r="E60" s="1301"/>
      <c r="F60" s="1300">
        <f t="shared" si="1"/>
        <v>0</v>
      </c>
      <c r="G60" s="1300">
        <f>VLOOKUP(C60,TONGHOPCONGDOI!C55:AE94,16,0)</f>
        <v>3690</v>
      </c>
      <c r="H60" s="1300">
        <f>VLOOKUP(C60,TONGHOPCONGDOI!C55:AE94,17,0)</f>
        <v>0</v>
      </c>
      <c r="I60" s="1300"/>
      <c r="J60" s="812">
        <f t="shared" si="7"/>
        <v>1628.9027415087371</v>
      </c>
      <c r="K60" s="817">
        <f>'SẢN LƯỢNG'!AP61</f>
        <v>171.54309606132244</v>
      </c>
      <c r="L60" s="817">
        <f>'SẢN LƯỢNG'!AQ61</f>
        <v>1800.4458375700597</v>
      </c>
      <c r="M60" s="1299" t="str">
        <f>VLOOKUP(C60,'SẢN LƯỢNG'!D61:AR139,41,0)</f>
        <v>A</v>
      </c>
      <c r="N60" s="1302">
        <f t="shared" si="6"/>
        <v>6710442</v>
      </c>
      <c r="O60" s="1300">
        <f>VLOOKUP(C60,TONGHOPCONGDOI!$C$11:$V$91,20,0)</f>
        <v>26</v>
      </c>
      <c r="P60" s="1300">
        <f>VLOOKUP(C60,TONGHOPCONGDOI!$C$11:$W$91,21,0)</f>
        <v>4</v>
      </c>
      <c r="Q60" s="1300">
        <f>VLOOKUP(C60,TONGHOPCONGDOI!$C$11:$AD$93,22,0)</f>
        <v>0</v>
      </c>
      <c r="R60" s="1300">
        <f>VLOOKUP(C60,TONGHOPCONGDOI!$C$11:$AD$93,23,0)</f>
        <v>0</v>
      </c>
      <c r="S60" s="1300">
        <f>VLOOKUP(C60,TONGHOPCONGDOI!$C$11:$AD$93,24,0)</f>
        <v>0</v>
      </c>
      <c r="T60" s="1300">
        <f>VLOOKUP(C60,TONGHOPCONGDOI!$C$11:$AD$93,25,0)</f>
        <v>0</v>
      </c>
      <c r="U60" s="1300"/>
      <c r="V60" s="1300">
        <f t="shared" si="2"/>
        <v>0</v>
      </c>
      <c r="W60" s="1301"/>
      <c r="X60" s="1301"/>
      <c r="Y60" s="813">
        <f t="shared" si="3"/>
        <v>994032</v>
      </c>
      <c r="Z60" s="1300">
        <f t="shared" si="8"/>
        <v>7704474</v>
      </c>
      <c r="AA60" s="1300"/>
      <c r="AB60" s="1300">
        <f>VLOOKUP(C60,'CNKT '!D60:AC98,24,0)</f>
        <v>7704474</v>
      </c>
      <c r="AC60" s="1261">
        <f t="shared" si="4"/>
        <v>0</v>
      </c>
    </row>
    <row r="61" spans="1:29" s="1261" customFormat="1" ht="50.25" customHeight="1">
      <c r="A61" s="1299">
        <v>46</v>
      </c>
      <c r="B61" s="1299" t="str">
        <f>'Chấm công KT'!C58</f>
        <v>03496</v>
      </c>
      <c r="C61" s="1300" t="str">
        <f>TONGHOPCONGDOI!C56</f>
        <v>T. Lốp</v>
      </c>
      <c r="D61" s="1300"/>
      <c r="E61" s="1301"/>
      <c r="F61" s="1300">
        <f t="shared" si="1"/>
        <v>0</v>
      </c>
      <c r="G61" s="1300">
        <f>VLOOKUP(C61,TONGHOPCONGDOI!C56:AE94,16,0)</f>
        <v>4545</v>
      </c>
      <c r="H61" s="1300">
        <f>VLOOKUP(C61,TONGHOPCONGDOI!C56:AE94,17,0)</f>
        <v>0</v>
      </c>
      <c r="I61" s="1300"/>
      <c r="J61" s="812">
        <f t="shared" si="7"/>
        <v>2006.3314255168591</v>
      </c>
      <c r="K61" s="817">
        <f>'SẢN LƯỢNG'!AP62</f>
        <v>173.2401983175682</v>
      </c>
      <c r="L61" s="817">
        <f>'SẢN LƯỢNG'!AQ62</f>
        <v>2179.5716238344271</v>
      </c>
      <c r="M61" s="1299" t="str">
        <f>VLOOKUP(C61,'SẢN LƯỢNG'!D62:AR140,41,0)</f>
        <v>A</v>
      </c>
      <c r="N61" s="1302">
        <f t="shared" si="6"/>
        <v>8123481</v>
      </c>
      <c r="O61" s="1300">
        <f>VLOOKUP(C61,TONGHOPCONGDOI!$C$11:$V$91,20,0)</f>
        <v>26</v>
      </c>
      <c r="P61" s="1300">
        <f>VLOOKUP(C61,TONGHOPCONGDOI!$C$11:$W$91,21,0)</f>
        <v>4</v>
      </c>
      <c r="Q61" s="1300">
        <f>VLOOKUP(C61,TONGHOPCONGDOI!$C$11:$AD$93,22,0)</f>
        <v>0</v>
      </c>
      <c r="R61" s="1300">
        <f>VLOOKUP(C61,TONGHOPCONGDOI!$C$11:$AD$93,23,0)</f>
        <v>0</v>
      </c>
      <c r="S61" s="1300">
        <f>VLOOKUP(C61,TONGHOPCONGDOI!$C$11:$AD$93,24,0)</f>
        <v>0</v>
      </c>
      <c r="T61" s="1300">
        <f>VLOOKUP(C61,TONGHOPCONGDOI!$C$11:$AD$93,25,0)</f>
        <v>0</v>
      </c>
      <c r="U61" s="1300"/>
      <c r="V61" s="1300">
        <f t="shared" si="2"/>
        <v>0</v>
      </c>
      <c r="W61" s="1301"/>
      <c r="X61" s="1301"/>
      <c r="Y61" s="813">
        <f t="shared" si="3"/>
        <v>994032</v>
      </c>
      <c r="Z61" s="1300">
        <f t="shared" si="8"/>
        <v>9117513</v>
      </c>
      <c r="AA61" s="1300"/>
      <c r="AB61" s="1300">
        <f>VLOOKUP(C61,'CNKT '!D61:AC98,24,0)</f>
        <v>9117513</v>
      </c>
      <c r="AC61" s="1261">
        <f t="shared" si="4"/>
        <v>0</v>
      </c>
    </row>
    <row r="62" spans="1:29" s="1261" customFormat="1" ht="50.25" customHeight="1">
      <c r="A62" s="1299">
        <v>47</v>
      </c>
      <c r="B62" s="1299" t="str">
        <f>'Chấm công KT'!C59</f>
        <v>04061</v>
      </c>
      <c r="C62" s="1300" t="str">
        <f>TONGHOPCONGDOI!C57</f>
        <v>N. Nu Ni</v>
      </c>
      <c r="D62" s="1300"/>
      <c r="E62" s="1301"/>
      <c r="F62" s="1300">
        <f t="shared" si="1"/>
        <v>0</v>
      </c>
      <c r="G62" s="1300">
        <f>VLOOKUP(C62,TONGHOPCONGDOI!C57:AE94,16,0)</f>
        <v>4645</v>
      </c>
      <c r="H62" s="1300">
        <f>VLOOKUP(C62,TONGHOPCONGDOI!C57:AE94,17,0)</f>
        <v>0</v>
      </c>
      <c r="I62" s="1300"/>
      <c r="J62" s="812">
        <f t="shared" si="7"/>
        <v>2050.4751312488033</v>
      </c>
      <c r="K62" s="817">
        <f>'SẢN LƯỢNG'!AP63</f>
        <v>171.9164585576965</v>
      </c>
      <c r="L62" s="817">
        <f>'SẢN LƯỢNG'!AQ63</f>
        <v>2222.3915898064997</v>
      </c>
      <c r="M62" s="1299" t="str">
        <f>VLOOKUP(C62,'SẢN LƯỢNG'!D63:AR141,41,0)</f>
        <v>B</v>
      </c>
      <c r="N62" s="1302">
        <f t="shared" si="6"/>
        <v>7875711</v>
      </c>
      <c r="O62" s="1300">
        <f>VLOOKUP(C62,TONGHOPCONGDOI!$C$11:$V$91,20,0)</f>
        <v>26</v>
      </c>
      <c r="P62" s="1300">
        <f>VLOOKUP(C62,TONGHOPCONGDOI!$C$11:$W$91,21,0)</f>
        <v>4</v>
      </c>
      <c r="Q62" s="1300">
        <f>VLOOKUP(C62,TONGHOPCONGDOI!$C$11:$AD$93,22,0)</f>
        <v>0</v>
      </c>
      <c r="R62" s="1300">
        <f>VLOOKUP(C62,TONGHOPCONGDOI!$C$11:$AD$93,23,0)</f>
        <v>0</v>
      </c>
      <c r="S62" s="1300">
        <f>VLOOKUP(C62,TONGHOPCONGDOI!$C$11:$AD$93,24,0)</f>
        <v>0</v>
      </c>
      <c r="T62" s="1300">
        <f>VLOOKUP(C62,TONGHOPCONGDOI!$C$11:$AD$93,25,0)</f>
        <v>0</v>
      </c>
      <c r="U62" s="1300"/>
      <c r="V62" s="1300">
        <f t="shared" si="2"/>
        <v>0</v>
      </c>
      <c r="W62" s="1301"/>
      <c r="X62" s="1301"/>
      <c r="Y62" s="813">
        <f t="shared" si="3"/>
        <v>994032</v>
      </c>
      <c r="Z62" s="1300">
        <f t="shared" si="8"/>
        <v>8869743</v>
      </c>
      <c r="AA62" s="1300"/>
      <c r="AB62" s="1300">
        <f>VLOOKUP(C62,'CNKT '!D62:AC98,24,0)</f>
        <v>8869743</v>
      </c>
      <c r="AC62" s="1261">
        <f t="shared" si="4"/>
        <v>0</v>
      </c>
    </row>
    <row r="63" spans="1:29" s="1261" customFormat="1" ht="50.25" customHeight="1">
      <c r="A63" s="1299">
        <v>48</v>
      </c>
      <c r="B63" s="1299" t="str">
        <f>'Chấm công KT'!C60</f>
        <v>03494</v>
      </c>
      <c r="C63" s="1300" t="str">
        <f>TONGHOPCONGDOI!C58</f>
        <v>T. Đi</v>
      </c>
      <c r="D63" s="1300"/>
      <c r="E63" s="1301"/>
      <c r="F63" s="1300">
        <f t="shared" si="1"/>
        <v>0</v>
      </c>
      <c r="G63" s="1300">
        <f>VLOOKUP(C63,TONGHOPCONGDOI!C58:AE94,16,0)</f>
        <v>3506</v>
      </c>
      <c r="H63" s="1300">
        <f>VLOOKUP(C63,TONGHOPCONGDOI!C58:AE94,17,0)</f>
        <v>0</v>
      </c>
      <c r="I63" s="1300"/>
      <c r="J63" s="812">
        <f t="shared" si="7"/>
        <v>1547.67832296196</v>
      </c>
      <c r="K63" s="817">
        <f>'SẢN LƯỢNG'!AP64</f>
        <v>131.52542485904718</v>
      </c>
      <c r="L63" s="817">
        <f>'SẢN LƯỢNG'!AQ64</f>
        <v>1679.2037478210073</v>
      </c>
      <c r="M63" s="1299" t="str">
        <f>VLOOKUP(C63,'SẢN LƯỢNG'!D64:AR142,41,0)</f>
        <v>A</v>
      </c>
      <c r="N63" s="1302">
        <f t="shared" si="6"/>
        <v>6258560</v>
      </c>
      <c r="O63" s="1300">
        <f>VLOOKUP(C63,TONGHOPCONGDOI!$C$11:$V$91,20,0)</f>
        <v>26</v>
      </c>
      <c r="P63" s="1300">
        <f>VLOOKUP(C63,TONGHOPCONGDOI!$C$11:$W$91,21,0)</f>
        <v>4</v>
      </c>
      <c r="Q63" s="1300">
        <f>VLOOKUP(C63,TONGHOPCONGDOI!$C$11:$AD$93,22,0)</f>
        <v>0</v>
      </c>
      <c r="R63" s="1300">
        <f>VLOOKUP(C63,TONGHOPCONGDOI!$C$11:$AD$93,23,0)</f>
        <v>0</v>
      </c>
      <c r="S63" s="1300">
        <f>VLOOKUP(C63,TONGHOPCONGDOI!$C$11:$AD$93,24,0)</f>
        <v>0</v>
      </c>
      <c r="T63" s="1300">
        <f>VLOOKUP(C63,TONGHOPCONGDOI!$C$11:$AD$93,25,0)</f>
        <v>0</v>
      </c>
      <c r="U63" s="1300"/>
      <c r="V63" s="1300">
        <f t="shared" si="2"/>
        <v>0</v>
      </c>
      <c r="W63" s="1301"/>
      <c r="X63" s="1301"/>
      <c r="Y63" s="813">
        <f t="shared" si="3"/>
        <v>994032</v>
      </c>
      <c r="Z63" s="1300">
        <f t="shared" si="8"/>
        <v>7252592</v>
      </c>
      <c r="AA63" s="1300"/>
      <c r="AB63" s="1300">
        <f>VLOOKUP(C63,'CNKT '!D63:AC98,24,0)</f>
        <v>7252592</v>
      </c>
      <c r="AC63" s="1261">
        <f t="shared" si="4"/>
        <v>0</v>
      </c>
    </row>
    <row r="64" spans="1:29" s="1261" customFormat="1" ht="50.25" customHeight="1">
      <c r="A64" s="1299">
        <v>49</v>
      </c>
      <c r="B64" s="1299" t="str">
        <f>'Chấm công KT'!C61</f>
        <v>03495</v>
      </c>
      <c r="C64" s="1300" t="str">
        <f>TONGHOPCONGDOI!C59</f>
        <v>N. On Xi</v>
      </c>
      <c r="D64" s="1300"/>
      <c r="E64" s="1301"/>
      <c r="F64" s="1300">
        <f t="shared" si="1"/>
        <v>0</v>
      </c>
      <c r="G64" s="1300">
        <f>VLOOKUP(C64,TONGHOPCONGDOI!C59:AE94,16,0)</f>
        <v>4191</v>
      </c>
      <c r="H64" s="1300">
        <f>VLOOKUP(C64,TONGHOPCONGDOI!C59:AE94,17,0)</f>
        <v>0</v>
      </c>
      <c r="I64" s="1300"/>
      <c r="J64" s="812">
        <f t="shared" si="7"/>
        <v>1850.0627072257769</v>
      </c>
      <c r="K64" s="817">
        <f>'SẢN LƯỢNG'!AP65</f>
        <v>135.0893395971633</v>
      </c>
      <c r="L64" s="817">
        <f>'SẢN LƯỢNG'!AQ65</f>
        <v>1985.1520468229401</v>
      </c>
      <c r="M64" s="1299" t="str">
        <f>VLOOKUP(C64,'SẢN LƯỢNG'!D65:AR143,41,0)</f>
        <v>A</v>
      </c>
      <c r="N64" s="1302">
        <f t="shared" si="6"/>
        <v>7398860</v>
      </c>
      <c r="O64" s="1300">
        <f>VLOOKUP(C64,TONGHOPCONGDOI!$C$11:$V$91,20,0)</f>
        <v>27</v>
      </c>
      <c r="P64" s="1300">
        <f>VLOOKUP(C64,TONGHOPCONGDOI!$C$11:$W$91,21,0)</f>
        <v>4</v>
      </c>
      <c r="Q64" s="1300">
        <f>VLOOKUP(C64,TONGHOPCONGDOI!$C$11:$AD$93,22,0)</f>
        <v>0</v>
      </c>
      <c r="R64" s="1300">
        <f>VLOOKUP(C64,TONGHOPCONGDOI!$C$11:$AD$93,23,0)</f>
        <v>0</v>
      </c>
      <c r="S64" s="1300">
        <f>VLOOKUP(C64,TONGHOPCONGDOI!$C$11:$AD$93,24,0)</f>
        <v>0</v>
      </c>
      <c r="T64" s="1300">
        <f>VLOOKUP(C64,TONGHOPCONGDOI!$C$11:$AD$93,25,0)</f>
        <v>0</v>
      </c>
      <c r="U64" s="1300"/>
      <c r="V64" s="1300">
        <f t="shared" si="2"/>
        <v>0</v>
      </c>
      <c r="W64" s="1301"/>
      <c r="X64" s="1301"/>
      <c r="Y64" s="813">
        <f t="shared" si="3"/>
        <v>1024456</v>
      </c>
      <c r="Z64" s="1300">
        <f t="shared" si="8"/>
        <v>8423316</v>
      </c>
      <c r="AA64" s="1300"/>
      <c r="AB64" s="1300">
        <f>VLOOKUP(C64,'CNKT '!D64:AC98,24,0)</f>
        <v>8423316</v>
      </c>
      <c r="AC64" s="1261">
        <f t="shared" si="4"/>
        <v>0</v>
      </c>
    </row>
    <row r="65" spans="1:29" s="1261" customFormat="1" ht="50.25" customHeight="1">
      <c r="A65" s="1299">
        <v>50</v>
      </c>
      <c r="B65" s="1299" t="str">
        <f>'Chấm công KT'!C62</f>
        <v>04062</v>
      </c>
      <c r="C65" s="1300" t="str">
        <f>TONGHOPCONGDOI!C60</f>
        <v>N. Thông La</v>
      </c>
      <c r="D65" s="1300"/>
      <c r="E65" s="1301"/>
      <c r="F65" s="1300">
        <f t="shared" si="1"/>
        <v>0</v>
      </c>
      <c r="G65" s="1300">
        <f>VLOOKUP(C65,TONGHOPCONGDOI!C60:AE94,16,0)</f>
        <v>4517</v>
      </c>
      <c r="H65" s="1300">
        <f>VLOOKUP(C65,TONGHOPCONGDOI!C60:AE94,17,0)</f>
        <v>0</v>
      </c>
      <c r="I65" s="1300"/>
      <c r="J65" s="812">
        <f t="shared" si="7"/>
        <v>1993.9711879119147</v>
      </c>
      <c r="K65" s="817">
        <f>'SẢN LƯỢNG'!AP66</f>
        <v>165.16199157783834</v>
      </c>
      <c r="L65" s="817">
        <f>'SẢN LƯỢNG'!AQ66</f>
        <v>2159.1331794897533</v>
      </c>
      <c r="M65" s="1299" t="str">
        <f>VLOOKUP(C65,'SẢN LƯỢNG'!D66:AR144,41,0)</f>
        <v>B</v>
      </c>
      <c r="N65" s="1302">
        <f t="shared" si="6"/>
        <v>7651536</v>
      </c>
      <c r="O65" s="1300">
        <f>VLOOKUP(C65,TONGHOPCONGDOI!$C$11:$V$91,20,0)</f>
        <v>27</v>
      </c>
      <c r="P65" s="1300">
        <f>VLOOKUP(C65,TONGHOPCONGDOI!$C$11:$W$91,21,0)</f>
        <v>4</v>
      </c>
      <c r="Q65" s="1300">
        <f>VLOOKUP(C65,TONGHOPCONGDOI!$C$11:$AD$93,22,0)</f>
        <v>0</v>
      </c>
      <c r="R65" s="1300">
        <f>VLOOKUP(C65,TONGHOPCONGDOI!$C$11:$AD$93,23,0)</f>
        <v>0</v>
      </c>
      <c r="S65" s="1300">
        <f>VLOOKUP(C65,TONGHOPCONGDOI!$C$11:$AD$93,24,0)</f>
        <v>0</v>
      </c>
      <c r="T65" s="1300">
        <f>VLOOKUP(C65,TONGHOPCONGDOI!$C$11:$AD$93,25,0)</f>
        <v>0</v>
      </c>
      <c r="U65" s="1300"/>
      <c r="V65" s="1300">
        <f t="shared" si="2"/>
        <v>0</v>
      </c>
      <c r="W65" s="1301"/>
      <c r="X65" s="1301"/>
      <c r="Y65" s="813">
        <f t="shared" si="3"/>
        <v>1024456</v>
      </c>
      <c r="Z65" s="1300">
        <f t="shared" si="8"/>
        <v>8675992</v>
      </c>
      <c r="AA65" s="1300"/>
      <c r="AB65" s="1300">
        <f>VLOOKUP(C65,'CNKT '!D65:AC98,24,0)</f>
        <v>8675992</v>
      </c>
      <c r="AC65" s="1261">
        <f t="shared" si="4"/>
        <v>0</v>
      </c>
    </row>
    <row r="66" spans="1:29" s="1261" customFormat="1" ht="50.25" customHeight="1">
      <c r="A66" s="1299">
        <v>51</v>
      </c>
      <c r="B66" s="1299" t="str">
        <f>'Chấm công KT'!C63</f>
        <v>03497</v>
      </c>
      <c r="C66" s="1300" t="str">
        <f>TONGHOPCONGDOI!C61</f>
        <v>T. Son Xay</v>
      </c>
      <c r="D66" s="1300"/>
      <c r="E66" s="1301"/>
      <c r="F66" s="1300">
        <f t="shared" si="1"/>
        <v>0</v>
      </c>
      <c r="G66" s="1300">
        <f>VLOOKUP(C66,TONGHOPCONGDOI!C61:AE94,16,0)</f>
        <v>4517</v>
      </c>
      <c r="H66" s="1300">
        <f>VLOOKUP(C66,TONGHOPCONGDOI!C61:AE94,17,0)</f>
        <v>0</v>
      </c>
      <c r="I66" s="1300"/>
      <c r="J66" s="812">
        <f t="shared" si="7"/>
        <v>1993.9711879119147</v>
      </c>
      <c r="K66" s="817">
        <f>'SẢN LƯỢNG'!AP67</f>
        <v>165.90871657058648</v>
      </c>
      <c r="L66" s="817">
        <f>'SẢN LƯỢNG'!AQ67</f>
        <v>2159.8799044825014</v>
      </c>
      <c r="M66" s="1299" t="str">
        <f>VLOOKUP(C66,'SẢN LƯỢNG'!D67:AR145,41,0)</f>
        <v>B</v>
      </c>
      <c r="N66" s="1302">
        <f t="shared" si="6"/>
        <v>7654182</v>
      </c>
      <c r="O66" s="1300">
        <f>VLOOKUP(C66,TONGHOPCONGDOI!$C$11:$V$91,20,0)</f>
        <v>26</v>
      </c>
      <c r="P66" s="1300">
        <f>VLOOKUP(C66,TONGHOPCONGDOI!$C$11:$W$91,21,0)</f>
        <v>4</v>
      </c>
      <c r="Q66" s="1300">
        <f>VLOOKUP(C66,TONGHOPCONGDOI!$C$11:$AD$93,22,0)</f>
        <v>0</v>
      </c>
      <c r="R66" s="1300">
        <f>VLOOKUP(C66,TONGHOPCONGDOI!$C$11:$AD$93,23,0)</f>
        <v>0</v>
      </c>
      <c r="S66" s="1300">
        <f>VLOOKUP(C66,TONGHOPCONGDOI!$C$11:$AD$93,24,0)</f>
        <v>0</v>
      </c>
      <c r="T66" s="1300">
        <f>VLOOKUP(C66,TONGHOPCONGDOI!$C$11:$AD$93,25,0)</f>
        <v>0</v>
      </c>
      <c r="U66" s="1300"/>
      <c r="V66" s="1300">
        <f t="shared" si="2"/>
        <v>0</v>
      </c>
      <c r="W66" s="1301"/>
      <c r="X66" s="1301"/>
      <c r="Y66" s="813">
        <f t="shared" si="3"/>
        <v>994032</v>
      </c>
      <c r="Z66" s="1300">
        <f t="shared" si="8"/>
        <v>8648214</v>
      </c>
      <c r="AA66" s="1300"/>
      <c r="AB66" s="1300">
        <f>VLOOKUP(C66,'CNKT '!D66:AC98,24,0)</f>
        <v>8648214</v>
      </c>
      <c r="AC66" s="1261">
        <f t="shared" si="4"/>
        <v>0</v>
      </c>
    </row>
    <row r="67" spans="1:29" s="1261" customFormat="1" ht="50.25" customHeight="1">
      <c r="A67" s="1299">
        <v>52</v>
      </c>
      <c r="B67" s="1299" t="str">
        <f>'Chấm công KT'!C64</f>
        <v>03498</v>
      </c>
      <c r="C67" s="1300" t="str">
        <f>TONGHOPCONGDOI!C62</f>
        <v>N. Lăm Phay</v>
      </c>
      <c r="D67" s="1300"/>
      <c r="E67" s="1301"/>
      <c r="F67" s="1300">
        <f t="shared" si="1"/>
        <v>0</v>
      </c>
      <c r="G67" s="1300">
        <f>VLOOKUP(C67,TONGHOPCONGDOI!C62:AE94,16,0)</f>
        <v>4520</v>
      </c>
      <c r="H67" s="1300">
        <f>VLOOKUP(C67,TONGHOPCONGDOI!C62:AE94,17,0)</f>
        <v>0</v>
      </c>
      <c r="I67" s="1300"/>
      <c r="J67" s="812">
        <f t="shared" si="7"/>
        <v>1995.295499083873</v>
      </c>
      <c r="K67" s="817">
        <f>'SẢN LƯỢNG'!AP68</f>
        <v>168.96350063182888</v>
      </c>
      <c r="L67" s="817">
        <f>'SẢN LƯỢNG'!AQ68</f>
        <v>2164.258999715702</v>
      </c>
      <c r="M67" s="1299" t="str">
        <f>VLOOKUP(C67,'SẢN LƯỢNG'!D68:AR146,41,0)</f>
        <v>A</v>
      </c>
      <c r="N67" s="1302">
        <f t="shared" si="6"/>
        <v>8066410</v>
      </c>
      <c r="O67" s="1300">
        <f>VLOOKUP(C67,TONGHOPCONGDOI!$C$11:$V$91,20,0)</f>
        <v>26</v>
      </c>
      <c r="P67" s="1300">
        <f>VLOOKUP(C67,TONGHOPCONGDOI!$C$11:$W$91,21,0)</f>
        <v>4</v>
      </c>
      <c r="Q67" s="1300">
        <f>VLOOKUP(C67,TONGHOPCONGDOI!$C$11:$AD$93,22,0)</f>
        <v>0</v>
      </c>
      <c r="R67" s="1300">
        <f>VLOOKUP(C67,TONGHOPCONGDOI!$C$11:$AD$93,23,0)</f>
        <v>0</v>
      </c>
      <c r="S67" s="1300">
        <f>VLOOKUP(C67,TONGHOPCONGDOI!$C$11:$AD$93,24,0)</f>
        <v>0</v>
      </c>
      <c r="T67" s="1300">
        <f>VLOOKUP(C67,TONGHOPCONGDOI!$C$11:$AD$93,25,0)</f>
        <v>0</v>
      </c>
      <c r="U67" s="1300"/>
      <c r="V67" s="1300">
        <f t="shared" si="2"/>
        <v>0</v>
      </c>
      <c r="W67" s="1301"/>
      <c r="X67" s="1301"/>
      <c r="Y67" s="813">
        <f t="shared" si="3"/>
        <v>994032</v>
      </c>
      <c r="Z67" s="1300">
        <f t="shared" si="8"/>
        <v>9060442</v>
      </c>
      <c r="AA67" s="1300"/>
      <c r="AB67" s="1300">
        <f>VLOOKUP(C67,'CNKT '!D67:AC98,24,0)</f>
        <v>9060442</v>
      </c>
      <c r="AC67" s="1261">
        <f t="shared" si="4"/>
        <v>0</v>
      </c>
    </row>
    <row r="68" spans="1:29" s="1261" customFormat="1" ht="50.25" customHeight="1">
      <c r="A68" s="1299">
        <v>53</v>
      </c>
      <c r="B68" s="1299" t="str">
        <f>'Chấm công KT'!C65</f>
        <v>02706</v>
      </c>
      <c r="C68" s="1300" t="str">
        <f>TONGHOPCONGDOI!C63</f>
        <v>T. Nhung</v>
      </c>
      <c r="D68" s="1300"/>
      <c r="E68" s="1301"/>
      <c r="F68" s="1300">
        <f t="shared" si="1"/>
        <v>0</v>
      </c>
      <c r="G68" s="1300">
        <f>VLOOKUP(C68,TONGHOPCONGDOI!C63:AE94,16,0)</f>
        <v>4469</v>
      </c>
      <c r="H68" s="1300">
        <f>VLOOKUP(C68,TONGHOPCONGDOI!C63:AE94,17,0)</f>
        <v>0</v>
      </c>
      <c r="I68" s="1300"/>
      <c r="J68" s="812">
        <f t="shared" si="7"/>
        <v>1972.7822091605815</v>
      </c>
      <c r="K68" s="817">
        <f>'SẢN LƯỢNG'!AP69</f>
        <v>161.25865638847307</v>
      </c>
      <c r="L68" s="817">
        <f>'SẢN LƯỢNG'!AQ69</f>
        <v>2134.0408655490546</v>
      </c>
      <c r="M68" s="1299" t="str">
        <f>VLOOKUP(C68,'SẢN LƯỢNG'!D69:AR147,41,0)</f>
        <v>A</v>
      </c>
      <c r="N68" s="1302">
        <f t="shared" si="6"/>
        <v>7953784</v>
      </c>
      <c r="O68" s="1300">
        <f>VLOOKUP(C68,TONGHOPCONGDOI!$C$11:$V$91,20,0)</f>
        <v>27</v>
      </c>
      <c r="P68" s="1300">
        <f>VLOOKUP(C68,TONGHOPCONGDOI!$C$11:$W$91,21,0)</f>
        <v>4</v>
      </c>
      <c r="Q68" s="1300">
        <f>VLOOKUP(C68,TONGHOPCONGDOI!$C$11:$AD$93,22,0)</f>
        <v>0</v>
      </c>
      <c r="R68" s="1300">
        <f>VLOOKUP(C68,TONGHOPCONGDOI!$C$11:$AD$93,23,0)</f>
        <v>0</v>
      </c>
      <c r="S68" s="1300">
        <f>VLOOKUP(C68,TONGHOPCONGDOI!$C$11:$AD$93,24,0)</f>
        <v>0</v>
      </c>
      <c r="T68" s="1300">
        <f>VLOOKUP(C68,TONGHOPCONGDOI!$C$11:$AD$93,25,0)</f>
        <v>0</v>
      </c>
      <c r="U68" s="1300"/>
      <c r="V68" s="1300">
        <f t="shared" si="2"/>
        <v>0</v>
      </c>
      <c r="W68" s="1301"/>
      <c r="X68" s="1301"/>
      <c r="Y68" s="813">
        <f t="shared" si="3"/>
        <v>1024456</v>
      </c>
      <c r="Z68" s="1300">
        <f t="shared" si="8"/>
        <v>8978240</v>
      </c>
      <c r="AA68" s="1300"/>
      <c r="AB68" s="1300">
        <f>VLOOKUP(C68,'CNKT '!D68:AC98,24,0)</f>
        <v>8978240</v>
      </c>
      <c r="AC68" s="1261">
        <f t="shared" si="4"/>
        <v>0</v>
      </c>
    </row>
    <row r="69" spans="1:29" s="1261" customFormat="1" ht="50.25" customHeight="1">
      <c r="A69" s="1299">
        <v>54</v>
      </c>
      <c r="B69" s="1299">
        <f>'Chấm công KT'!C66</f>
        <v>0</v>
      </c>
      <c r="C69" s="1300" t="str">
        <f>TONGHOPCONGDOI!C64</f>
        <v>N. In Ton</v>
      </c>
      <c r="D69" s="1300"/>
      <c r="E69" s="1301"/>
      <c r="F69" s="1300">
        <f t="shared" si="1"/>
        <v>0</v>
      </c>
      <c r="G69" s="1300">
        <f>VLOOKUP(C69,TONGHOPCONGDOI!C64:AE94,16,0)</f>
        <v>3480</v>
      </c>
      <c r="H69" s="1300">
        <f>VLOOKUP(C69,TONGHOPCONGDOI!C64:AE94,17,0)</f>
        <v>0</v>
      </c>
      <c r="I69" s="1300"/>
      <c r="J69" s="812">
        <f t="shared" si="7"/>
        <v>1536.2009594716544</v>
      </c>
      <c r="K69" s="817">
        <f>'SẢN LƯỢNG'!AP70</f>
        <v>139.53574750852721</v>
      </c>
      <c r="L69" s="817">
        <f>'SẢN LƯỢNG'!AQ70</f>
        <v>1675.7367069801817</v>
      </c>
      <c r="M69" s="1299" t="str">
        <f>VLOOKUP(C69,'SẢN LƯỢNG'!D70:AR148,41,0)</f>
        <v>A</v>
      </c>
      <c r="N69" s="1302">
        <f t="shared" si="6"/>
        <v>6245638</v>
      </c>
      <c r="O69" s="1300">
        <f>VLOOKUP(C69,TONGHOPCONGDOI!$C$11:$V$91,20,0)</f>
        <v>27</v>
      </c>
      <c r="P69" s="1300">
        <f>VLOOKUP(C69,TONGHOPCONGDOI!$C$11:$W$91,21,0)</f>
        <v>4</v>
      </c>
      <c r="Q69" s="1300">
        <f>VLOOKUP(C69,TONGHOPCONGDOI!$C$11:$AD$93,22,0)</f>
        <v>0</v>
      </c>
      <c r="R69" s="1300">
        <f>VLOOKUP(C69,TONGHOPCONGDOI!$C$11:$AD$93,23,0)</f>
        <v>0</v>
      </c>
      <c r="S69" s="1300">
        <f>VLOOKUP(C69,TONGHOPCONGDOI!$C$11:$AD$93,24,0)</f>
        <v>0</v>
      </c>
      <c r="T69" s="1300">
        <f>VLOOKUP(C69,TONGHOPCONGDOI!$C$11:$AD$93,25,0)</f>
        <v>0</v>
      </c>
      <c r="U69" s="1300"/>
      <c r="V69" s="1300">
        <f t="shared" si="2"/>
        <v>0</v>
      </c>
      <c r="W69" s="1301"/>
      <c r="X69" s="1301"/>
      <c r="Y69" s="813">
        <f t="shared" si="3"/>
        <v>1024456</v>
      </c>
      <c r="Z69" s="1300">
        <f t="shared" si="8"/>
        <v>7270094</v>
      </c>
      <c r="AA69" s="1300"/>
      <c r="AB69" s="1300">
        <f>VLOOKUP(C69,'CNKT '!D69:AC98,24,0)</f>
        <v>7270094</v>
      </c>
      <c r="AC69" s="1261">
        <f t="shared" si="4"/>
        <v>0</v>
      </c>
    </row>
    <row r="70" spans="1:29" s="1261" customFormat="1" ht="50.25" customHeight="1">
      <c r="A70" s="1299">
        <v>55</v>
      </c>
      <c r="B70" s="1299" t="str">
        <f>'Chấm công KT'!C67</f>
        <v>04064</v>
      </c>
      <c r="C70" s="1300" t="str">
        <f>TONGHOPCONGDOI!C65</f>
        <v>N. Khay Chăn</v>
      </c>
      <c r="D70" s="1300"/>
      <c r="E70" s="1301"/>
      <c r="F70" s="1300">
        <f t="shared" si="1"/>
        <v>0</v>
      </c>
      <c r="G70" s="1300">
        <f>VLOOKUP(C70,TONGHOPCONGDOI!C65:AE94,16,0)</f>
        <v>5309</v>
      </c>
      <c r="H70" s="1300">
        <f>VLOOKUP(C70,TONGHOPCONGDOI!C65:AE94,17,0)</f>
        <v>0</v>
      </c>
      <c r="I70" s="1300"/>
      <c r="J70" s="812">
        <f t="shared" si="7"/>
        <v>2343.589337308912</v>
      </c>
      <c r="K70" s="817">
        <f>'SẢN LƯỢNG'!AP71</f>
        <v>139.12844296702823</v>
      </c>
      <c r="L70" s="817">
        <f>'SẢN LƯỢNG'!AQ71</f>
        <v>2482.7177802759402</v>
      </c>
      <c r="M70" s="1299" t="str">
        <f>VLOOKUP(C70,'SẢN LƯỢNG'!D71:AR149,41,0)</f>
        <v>A</v>
      </c>
      <c r="N70" s="1302">
        <f t="shared" si="6"/>
        <v>9253337</v>
      </c>
      <c r="O70" s="1300">
        <f>VLOOKUP(C70,TONGHOPCONGDOI!$C$11:$V$91,20,0)</f>
        <v>27</v>
      </c>
      <c r="P70" s="1300">
        <f>VLOOKUP(C70,TONGHOPCONGDOI!$C$11:$W$91,21,0)</f>
        <v>4</v>
      </c>
      <c r="Q70" s="1300">
        <f>VLOOKUP(C70,TONGHOPCONGDOI!$C$11:$AD$93,22,0)</f>
        <v>0</v>
      </c>
      <c r="R70" s="1300">
        <f>VLOOKUP(C70,TONGHOPCONGDOI!$C$11:$AD$93,23,0)</f>
        <v>0</v>
      </c>
      <c r="S70" s="1300">
        <f>VLOOKUP(C70,TONGHOPCONGDOI!$C$11:$AD$93,24,0)</f>
        <v>0</v>
      </c>
      <c r="T70" s="1300">
        <f>VLOOKUP(C70,TONGHOPCONGDOI!$C$11:$AD$93,25,0)</f>
        <v>0</v>
      </c>
      <c r="U70" s="1300"/>
      <c r="V70" s="1300">
        <f t="shared" si="2"/>
        <v>0</v>
      </c>
      <c r="W70" s="1301"/>
      <c r="X70" s="1301"/>
      <c r="Y70" s="813">
        <f t="shared" si="3"/>
        <v>1024456</v>
      </c>
      <c r="Z70" s="1300">
        <f t="shared" si="8"/>
        <v>10277793</v>
      </c>
      <c r="AA70" s="1300"/>
      <c r="AB70" s="1300">
        <f>VLOOKUP(C70,'CNKT '!D70:AC98,24,0)</f>
        <v>10277793</v>
      </c>
      <c r="AC70" s="1261">
        <f t="shared" si="4"/>
        <v>0</v>
      </c>
    </row>
    <row r="71" spans="1:29" s="1261" customFormat="1" ht="50.25" customHeight="1">
      <c r="A71" s="1299">
        <v>56</v>
      </c>
      <c r="B71" s="1299" t="str">
        <f>'Chấm công KT'!C68</f>
        <v>03501</v>
      </c>
      <c r="C71" s="1300" t="str">
        <f>TONGHOPCONGDOI!C66</f>
        <v>T Dăn</v>
      </c>
      <c r="D71" s="1300"/>
      <c r="E71" s="1301"/>
      <c r="F71" s="1300">
        <f t="shared" si="1"/>
        <v>0</v>
      </c>
      <c r="G71" s="1300">
        <f>VLOOKUP(C71,TONGHOPCONGDOI!C66:AE94,16,0)</f>
        <v>3494</v>
      </c>
      <c r="H71" s="1300">
        <f>VLOOKUP(C71,TONGHOPCONGDOI!C66:AE94,17,0)</f>
        <v>0</v>
      </c>
      <c r="I71" s="1300"/>
      <c r="J71" s="812">
        <f t="shared" si="7"/>
        <v>1542.3810782741266</v>
      </c>
      <c r="K71" s="817">
        <f>'SẢN LƯỢNG'!AP72</f>
        <v>108.75031258022895</v>
      </c>
      <c r="L71" s="817">
        <f>'SẢN LƯỢNG'!AQ72</f>
        <v>1651.1313908543555</v>
      </c>
      <c r="M71" s="1299" t="str">
        <f>VLOOKUP(C71,'SẢN LƯỢNG'!D72:AR150,41,0)</f>
        <v>B</v>
      </c>
      <c r="N71" s="1302">
        <f t="shared" si="6"/>
        <v>5851279</v>
      </c>
      <c r="O71" s="1300">
        <f>VLOOKUP(C71,TONGHOPCONGDOI!$C$11:$V$91,20,0)</f>
        <v>26</v>
      </c>
      <c r="P71" s="1300">
        <f>VLOOKUP(C71,TONGHOPCONGDOI!$C$11:$W$91,21,0)</f>
        <v>4</v>
      </c>
      <c r="Q71" s="1300">
        <f>VLOOKUP(C71,TONGHOPCONGDOI!$C$11:$AD$93,22,0)</f>
        <v>0</v>
      </c>
      <c r="R71" s="1300">
        <f>VLOOKUP(C71,TONGHOPCONGDOI!$C$11:$AD$93,23,0)</f>
        <v>0</v>
      </c>
      <c r="S71" s="1300">
        <f>VLOOKUP(C71,TONGHOPCONGDOI!$C$11:$AD$93,24,0)</f>
        <v>0</v>
      </c>
      <c r="T71" s="1300">
        <f>VLOOKUP(C71,TONGHOPCONGDOI!$C$11:$AD$93,25,0)</f>
        <v>0</v>
      </c>
      <c r="U71" s="1300"/>
      <c r="V71" s="1300">
        <f t="shared" si="2"/>
        <v>0</v>
      </c>
      <c r="W71" s="1301"/>
      <c r="X71" s="1301"/>
      <c r="Y71" s="813">
        <f t="shared" si="3"/>
        <v>994032</v>
      </c>
      <c r="Z71" s="1300">
        <f t="shared" si="8"/>
        <v>6845311</v>
      </c>
      <c r="AA71" s="1300"/>
      <c r="AB71" s="1300">
        <f>VLOOKUP(C71,'CNKT '!D71:AC98,24,0)</f>
        <v>6845311</v>
      </c>
      <c r="AC71" s="1261">
        <f t="shared" si="4"/>
        <v>0</v>
      </c>
    </row>
    <row r="72" spans="1:29" s="1261" customFormat="1" ht="50.25" customHeight="1">
      <c r="A72" s="1299">
        <v>57</v>
      </c>
      <c r="B72" s="1299" t="str">
        <f>'Chấm công KT'!C69</f>
        <v>03502</v>
      </c>
      <c r="C72" s="1300" t="str">
        <f>TONGHOPCONGDOI!C67</f>
        <v>T. Xợt</v>
      </c>
      <c r="D72" s="1300"/>
      <c r="E72" s="1301"/>
      <c r="F72" s="1300">
        <f t="shared" si="1"/>
        <v>0</v>
      </c>
      <c r="G72" s="1300">
        <f>VLOOKUP(C72,TONGHOPCONGDOI!C67:AE94,16,0)</f>
        <v>4006</v>
      </c>
      <c r="H72" s="1300">
        <f>VLOOKUP(C72,TONGHOPCONGDOI!C67:AE94,17,0)</f>
        <v>0</v>
      </c>
      <c r="I72" s="1300"/>
      <c r="J72" s="812">
        <f t="shared" si="7"/>
        <v>1768.3968516216803</v>
      </c>
      <c r="K72" s="817">
        <f>'SẢN LƯỢNG'!AP73</f>
        <v>126.73959649643412</v>
      </c>
      <c r="L72" s="817">
        <f>'SẢN LƯỢNG'!AQ73</f>
        <v>1895.1364481181147</v>
      </c>
      <c r="M72" s="1299" t="str">
        <f>VLOOKUP(C72,'SẢN LƯỢNG'!D73:AR151,41,0)</f>
        <v>A</v>
      </c>
      <c r="N72" s="1302">
        <f t="shared" si="6"/>
        <v>7063363</v>
      </c>
      <c r="O72" s="1300">
        <f>VLOOKUP(C72,TONGHOPCONGDOI!$C$11:$V$91,20,0)</f>
        <v>27</v>
      </c>
      <c r="P72" s="1300">
        <f>VLOOKUP(C72,TONGHOPCONGDOI!$C$11:$W$91,21,0)</f>
        <v>4</v>
      </c>
      <c r="Q72" s="1300">
        <f>VLOOKUP(C72,TONGHOPCONGDOI!$C$11:$AD$93,22,0)</f>
        <v>0</v>
      </c>
      <c r="R72" s="1300">
        <f>VLOOKUP(C72,TONGHOPCONGDOI!$C$11:$AD$93,23,0)</f>
        <v>0</v>
      </c>
      <c r="S72" s="1300">
        <f>VLOOKUP(C72,TONGHOPCONGDOI!$C$11:$AD$93,24,0)</f>
        <v>0</v>
      </c>
      <c r="T72" s="1300">
        <f>VLOOKUP(C72,TONGHOPCONGDOI!$C$11:$AD$93,25,0)</f>
        <v>0</v>
      </c>
      <c r="U72" s="1300"/>
      <c r="V72" s="1300">
        <f t="shared" si="2"/>
        <v>0</v>
      </c>
      <c r="W72" s="1301"/>
      <c r="X72" s="1301"/>
      <c r="Y72" s="813">
        <f t="shared" si="3"/>
        <v>1024456</v>
      </c>
      <c r="Z72" s="1300">
        <f t="shared" si="8"/>
        <v>8087819</v>
      </c>
      <c r="AA72" s="1300"/>
      <c r="AB72" s="1300">
        <f>VLOOKUP(C72,'CNKT '!D72:AC98,24,0)</f>
        <v>8087819</v>
      </c>
      <c r="AC72" s="1261">
        <f t="shared" si="4"/>
        <v>0</v>
      </c>
    </row>
    <row r="73" spans="1:29" s="1261" customFormat="1" ht="50.25" customHeight="1">
      <c r="A73" s="1299">
        <v>58</v>
      </c>
      <c r="B73" s="1299" t="str">
        <f>'Chấm công KT'!C70</f>
        <v>04065</v>
      </c>
      <c r="C73" s="1300" t="str">
        <f>TONGHOPCONGDOI!C68</f>
        <v>N. Phết 2</v>
      </c>
      <c r="D73" s="1300"/>
      <c r="E73" s="1301"/>
      <c r="F73" s="1300">
        <f t="shared" si="1"/>
        <v>0</v>
      </c>
      <c r="G73" s="1300">
        <f>VLOOKUP(C73,TONGHOPCONGDOI!C68:AE94,16,0)</f>
        <v>3440</v>
      </c>
      <c r="H73" s="1300">
        <f>VLOOKUP(C73,TONGHOPCONGDOI!C68:AE94,17,0)</f>
        <v>0</v>
      </c>
      <c r="I73" s="1300"/>
      <c r="J73" s="812">
        <f t="shared" si="7"/>
        <v>1518.5434771788769</v>
      </c>
      <c r="K73" s="817">
        <f>'SẢN LƯỢNG'!AP74</f>
        <v>136.71855776315925</v>
      </c>
      <c r="L73" s="817">
        <f>'SẢN LƯỢNG'!AQ74</f>
        <v>1655.2620349420361</v>
      </c>
      <c r="M73" s="1299" t="str">
        <f>VLOOKUP(C73,'SẢN LƯỢNG'!D74:AR152,41,0)</f>
        <v>A</v>
      </c>
      <c r="N73" s="1302">
        <f t="shared" si="6"/>
        <v>6169327</v>
      </c>
      <c r="O73" s="1300">
        <f>VLOOKUP(C73,TONGHOPCONGDOI!$C$11:$V$91,20,0)</f>
        <v>27</v>
      </c>
      <c r="P73" s="1300">
        <f>VLOOKUP(C73,TONGHOPCONGDOI!$C$11:$W$91,21,0)</f>
        <v>4</v>
      </c>
      <c r="Q73" s="1300">
        <f>VLOOKUP(C73,TONGHOPCONGDOI!$C$11:$AD$93,22,0)</f>
        <v>0</v>
      </c>
      <c r="R73" s="1300">
        <f>VLOOKUP(C73,TONGHOPCONGDOI!$C$11:$AD$93,23,0)</f>
        <v>0</v>
      </c>
      <c r="S73" s="1300">
        <f>VLOOKUP(C73,TONGHOPCONGDOI!$C$11:$AD$93,24,0)</f>
        <v>0</v>
      </c>
      <c r="T73" s="1300">
        <f>VLOOKUP(C73,TONGHOPCONGDOI!$C$11:$AD$93,25,0)</f>
        <v>0</v>
      </c>
      <c r="U73" s="1300"/>
      <c r="V73" s="1300">
        <f t="shared" si="2"/>
        <v>0</v>
      </c>
      <c r="W73" s="1301"/>
      <c r="X73" s="1301"/>
      <c r="Y73" s="813">
        <f t="shared" si="3"/>
        <v>1024456</v>
      </c>
      <c r="Z73" s="1300">
        <f t="shared" si="8"/>
        <v>7193783</v>
      </c>
      <c r="AA73" s="1300"/>
      <c r="AB73" s="1300">
        <f>VLOOKUP(C73,'CNKT '!D73:AC98,24,0)</f>
        <v>7193783</v>
      </c>
      <c r="AC73" s="1261">
        <f t="shared" si="4"/>
        <v>0</v>
      </c>
    </row>
    <row r="74" spans="1:29" s="1261" customFormat="1" ht="50.25" customHeight="1">
      <c r="A74" s="1299">
        <v>59</v>
      </c>
      <c r="B74" s="1299" t="str">
        <f>'Chấm công KT'!C71</f>
        <v>03504</v>
      </c>
      <c r="C74" s="1300" t="str">
        <f>TONGHOPCONGDOI!C69</f>
        <v>T. Cạp</v>
      </c>
      <c r="D74" s="1300"/>
      <c r="E74" s="1301"/>
      <c r="F74" s="1300">
        <f t="shared" si="1"/>
        <v>0</v>
      </c>
      <c r="G74" s="1300">
        <f>VLOOKUP(C74,TONGHOPCONGDOI!C69:AE94,16,0)</f>
        <v>3798</v>
      </c>
      <c r="H74" s="1300">
        <f>VLOOKUP(C74,TONGHOPCONGDOI!C69:AE94,17,0)</f>
        <v>0</v>
      </c>
      <c r="I74" s="1300"/>
      <c r="J74" s="812">
        <f t="shared" si="7"/>
        <v>1676.5779436992366</v>
      </c>
      <c r="K74" s="817">
        <f>'SẢN LƯỢNG'!AP75</f>
        <v>121.91982608869611</v>
      </c>
      <c r="L74" s="817">
        <f>'SẢN LƯỢNG'!AQ75</f>
        <v>1798.4977697879328</v>
      </c>
      <c r="M74" s="1299" t="str">
        <f>VLOOKUP(C74,'SẢN LƯỢNG'!D75:AR153,41,0)</f>
        <v>B</v>
      </c>
      <c r="N74" s="1302">
        <f t="shared" si="6"/>
        <v>6373516</v>
      </c>
      <c r="O74" s="1300">
        <f>VLOOKUP(C74,TONGHOPCONGDOI!$C$11:$V$91,20,0)</f>
        <v>26</v>
      </c>
      <c r="P74" s="1300">
        <f>VLOOKUP(C74,TONGHOPCONGDOI!$C$11:$W$91,21,0)</f>
        <v>4</v>
      </c>
      <c r="Q74" s="1300">
        <f>VLOOKUP(C74,TONGHOPCONGDOI!$C$11:$AD$93,22,0)</f>
        <v>0</v>
      </c>
      <c r="R74" s="1300">
        <f>VLOOKUP(C74,TONGHOPCONGDOI!$C$11:$AD$93,23,0)</f>
        <v>0</v>
      </c>
      <c r="S74" s="1300">
        <f>VLOOKUP(C74,TONGHOPCONGDOI!$C$11:$AD$93,24,0)</f>
        <v>0</v>
      </c>
      <c r="T74" s="1300">
        <f>VLOOKUP(C74,TONGHOPCONGDOI!$C$11:$AD$93,25,0)</f>
        <v>0</v>
      </c>
      <c r="U74" s="1300"/>
      <c r="V74" s="1300">
        <f t="shared" si="2"/>
        <v>0</v>
      </c>
      <c r="W74" s="1301"/>
      <c r="X74" s="1301"/>
      <c r="Y74" s="813">
        <f t="shared" si="3"/>
        <v>994032</v>
      </c>
      <c r="Z74" s="1300">
        <f t="shared" si="8"/>
        <v>7367548</v>
      </c>
      <c r="AA74" s="1300"/>
      <c r="AB74" s="1300">
        <f>VLOOKUP(C74,'CNKT '!D74:AC98,24,0)</f>
        <v>7367548</v>
      </c>
      <c r="AC74" s="1261">
        <f t="shared" si="4"/>
        <v>0</v>
      </c>
    </row>
    <row r="75" spans="1:29" s="1261" customFormat="1" ht="50.25" customHeight="1">
      <c r="A75" s="1299">
        <v>60</v>
      </c>
      <c r="B75" s="1299">
        <f>'Chấm công KT'!C72</f>
        <v>0</v>
      </c>
      <c r="C75" s="1300" t="str">
        <f>TONGHOPCONGDOI!C70</f>
        <v>N. Ních</v>
      </c>
      <c r="D75" s="1300"/>
      <c r="E75" s="1301"/>
      <c r="F75" s="1300">
        <f t="shared" si="1"/>
        <v>0</v>
      </c>
      <c r="G75" s="1300">
        <f>VLOOKUP(C75,TONGHOPCONGDOI!C70:AE94,16,0)</f>
        <v>3861</v>
      </c>
      <c r="H75" s="1300">
        <f>VLOOKUP(C75,TONGHOPCONGDOI!C70:AE94,17,0)</f>
        <v>0</v>
      </c>
      <c r="I75" s="1300"/>
      <c r="J75" s="812">
        <f t="shared" si="7"/>
        <v>1704.3884783103615</v>
      </c>
      <c r="K75" s="817">
        <f>'SẢN LƯỢNG'!AP76</f>
        <v>125.178262420688</v>
      </c>
      <c r="L75" s="817">
        <f>'SẢN LƯỢNG'!AQ76</f>
        <v>1829.5667407310493</v>
      </c>
      <c r="M75" s="1299" t="str">
        <f>VLOOKUP(C75,'SẢN LƯỢNG'!D76:AR154,41,0)</f>
        <v>B</v>
      </c>
      <c r="N75" s="1302">
        <f t="shared" si="6"/>
        <v>6483619</v>
      </c>
      <c r="O75" s="1300">
        <f>VLOOKUP(C75,TONGHOPCONGDOI!$C$11:$V$91,20,0)</f>
        <v>26</v>
      </c>
      <c r="P75" s="1300">
        <f>VLOOKUP(C75,TONGHOPCONGDOI!$C$11:$W$91,21,0)</f>
        <v>4</v>
      </c>
      <c r="Q75" s="1300">
        <f>VLOOKUP(C75,TONGHOPCONGDOI!$C$11:$AD$93,22,0)</f>
        <v>0</v>
      </c>
      <c r="R75" s="1300">
        <f>VLOOKUP(C75,TONGHOPCONGDOI!$C$11:$AD$93,23,0)</f>
        <v>0</v>
      </c>
      <c r="S75" s="1300">
        <f>VLOOKUP(C75,TONGHOPCONGDOI!$C$11:$AD$93,24,0)</f>
        <v>0</v>
      </c>
      <c r="T75" s="1300">
        <f>VLOOKUP(C75,TONGHOPCONGDOI!$C$11:$AD$93,25,0)</f>
        <v>0</v>
      </c>
      <c r="U75" s="1300"/>
      <c r="V75" s="1300">
        <f t="shared" si="2"/>
        <v>0</v>
      </c>
      <c r="W75" s="1301"/>
      <c r="X75" s="1301"/>
      <c r="Y75" s="813">
        <f t="shared" si="3"/>
        <v>994032</v>
      </c>
      <c r="Z75" s="1300">
        <f t="shared" si="8"/>
        <v>7477651</v>
      </c>
      <c r="AA75" s="1300"/>
      <c r="AB75" s="1300">
        <f>VLOOKUP(C75,'CNKT '!D75:AC98,24,0)</f>
        <v>7477651</v>
      </c>
      <c r="AC75" s="1261">
        <f t="shared" si="4"/>
        <v>0</v>
      </c>
    </row>
    <row r="76" spans="1:29" s="1261" customFormat="1" ht="50.25" customHeight="1">
      <c r="A76" s="1299">
        <v>61</v>
      </c>
      <c r="B76" s="1299" t="str">
        <f>'Chấm công KT'!C73</f>
        <v>03506</v>
      </c>
      <c r="C76" s="1300" t="str">
        <f>TONGHOPCONGDOI!C71</f>
        <v>N. Bua Hom</v>
      </c>
      <c r="D76" s="1300"/>
      <c r="E76" s="1301"/>
      <c r="F76" s="1300">
        <f t="shared" si="1"/>
        <v>0</v>
      </c>
      <c r="G76" s="1300">
        <f>VLOOKUP(C76,TONGHOPCONGDOI!C71:AE94,16,0)</f>
        <v>4532</v>
      </c>
      <c r="H76" s="1300">
        <f>VLOOKUP(C76,TONGHOPCONGDOI!C71:AE94,17,0)</f>
        <v>0</v>
      </c>
      <c r="I76" s="1300"/>
      <c r="J76" s="812">
        <f t="shared" si="7"/>
        <v>2000.5927437717064</v>
      </c>
      <c r="K76" s="817">
        <f>'SẢN LƯỢNG'!AP77</f>
        <v>164.27949840459056</v>
      </c>
      <c r="L76" s="817">
        <f>'SẢN LƯỢNG'!AQ77</f>
        <v>2164.8722421762968</v>
      </c>
      <c r="M76" s="1299" t="str">
        <f>VLOOKUP(C76,'SẢN LƯỢNG'!D77:AR155,41,0)</f>
        <v>A</v>
      </c>
      <c r="N76" s="1302">
        <f t="shared" si="6"/>
        <v>8068695</v>
      </c>
      <c r="O76" s="1300">
        <f>VLOOKUP(C76,TONGHOPCONGDOI!$C$11:$V$91,20,0)</f>
        <v>27</v>
      </c>
      <c r="P76" s="1300">
        <f>VLOOKUP(C76,TONGHOPCONGDOI!$C$11:$W$91,21,0)</f>
        <v>4</v>
      </c>
      <c r="Q76" s="1300">
        <f>VLOOKUP(C76,TONGHOPCONGDOI!$C$11:$AD$93,22,0)</f>
        <v>0</v>
      </c>
      <c r="R76" s="1300">
        <f>VLOOKUP(C76,TONGHOPCONGDOI!$C$11:$AD$93,23,0)</f>
        <v>0</v>
      </c>
      <c r="S76" s="1300">
        <f>VLOOKUP(C76,TONGHOPCONGDOI!$C$11:$AD$93,24,0)</f>
        <v>0</v>
      </c>
      <c r="T76" s="1300">
        <f>VLOOKUP(C76,TONGHOPCONGDOI!$C$11:$AD$93,25,0)</f>
        <v>0</v>
      </c>
      <c r="U76" s="1300"/>
      <c r="V76" s="1300">
        <f t="shared" si="2"/>
        <v>0</v>
      </c>
      <c r="W76" s="1301"/>
      <c r="X76" s="1301"/>
      <c r="Y76" s="813">
        <f t="shared" si="3"/>
        <v>1024456</v>
      </c>
      <c r="Z76" s="1300">
        <f t="shared" si="8"/>
        <v>9093151</v>
      </c>
      <c r="AA76" s="1300"/>
      <c r="AB76" s="1300">
        <f>VLOOKUP(C76,'CNKT '!D76:AC98,24,0)</f>
        <v>9093151</v>
      </c>
      <c r="AC76" s="1261">
        <f t="shared" si="4"/>
        <v>0</v>
      </c>
    </row>
    <row r="77" spans="1:29" s="1261" customFormat="1" ht="50.25" customHeight="1">
      <c r="A77" s="1299">
        <v>62</v>
      </c>
      <c r="B77" s="1299" t="str">
        <f>'Chấm công KT'!C74</f>
        <v>04067</v>
      </c>
      <c r="C77" s="1300" t="str">
        <f>TONGHOPCONGDOI!C72</f>
        <v>N. Lăm Phay (2)</v>
      </c>
      <c r="D77" s="1300"/>
      <c r="E77" s="1301"/>
      <c r="F77" s="1300">
        <f t="shared" si="1"/>
        <v>0</v>
      </c>
      <c r="G77" s="1300">
        <f>VLOOKUP(C77,TONGHOPCONGDOI!C72:AE94,16,0)</f>
        <v>3169</v>
      </c>
      <c r="H77" s="1300">
        <f>VLOOKUP(C77,TONGHOPCONGDOI!C72:AE94,17,0)</f>
        <v>0</v>
      </c>
      <c r="I77" s="1300"/>
      <c r="J77" s="812">
        <f t="shared" si="7"/>
        <v>1398.9140346453084</v>
      </c>
      <c r="K77" s="817">
        <f>'SẢN LƯỢNG'!AP78</f>
        <v>136.82038389853398</v>
      </c>
      <c r="L77" s="817">
        <f>'SẢN LƯỢNG'!AQ78</f>
        <v>1535.7344185438421</v>
      </c>
      <c r="M77" s="1299" t="str">
        <f>VLOOKUP(C77,'SẢN LƯỢNG'!D78:AR156,41,0)</f>
        <v>A</v>
      </c>
      <c r="N77" s="1302">
        <f t="shared" si="6"/>
        <v>5723836</v>
      </c>
      <c r="O77" s="1300">
        <f>VLOOKUP(C77,TONGHOPCONGDOI!$C$11:$V$91,20,0)</f>
        <v>25</v>
      </c>
      <c r="P77" s="1300">
        <f>VLOOKUP(C77,TONGHOPCONGDOI!$C$11:$W$91,21,0)</f>
        <v>4</v>
      </c>
      <c r="Q77" s="1300">
        <f>VLOOKUP(C77,TONGHOPCONGDOI!$C$11:$AD$93,22,0)</f>
        <v>0</v>
      </c>
      <c r="R77" s="1300">
        <f>VLOOKUP(C77,TONGHOPCONGDOI!$C$11:$AD$93,23,0)</f>
        <v>0</v>
      </c>
      <c r="S77" s="1300">
        <f>VLOOKUP(C77,TONGHOPCONGDOI!$C$11:$AD$93,24,0)</f>
        <v>0</v>
      </c>
      <c r="T77" s="1300">
        <f>VLOOKUP(C77,TONGHOPCONGDOI!$C$11:$AD$93,25,0)</f>
        <v>0</v>
      </c>
      <c r="U77" s="1300"/>
      <c r="V77" s="1300">
        <f t="shared" si="2"/>
        <v>0</v>
      </c>
      <c r="W77" s="1301"/>
      <c r="X77" s="1301"/>
      <c r="Y77" s="813">
        <f t="shared" si="3"/>
        <v>963608</v>
      </c>
      <c r="Z77" s="1300">
        <f t="shared" si="8"/>
        <v>6687444</v>
      </c>
      <c r="AA77" s="1300"/>
      <c r="AB77" s="1300">
        <f>VLOOKUP(C77,'CNKT '!D77:AC98,24,0)</f>
        <v>6687444</v>
      </c>
      <c r="AC77" s="1261">
        <f t="shared" si="4"/>
        <v>0</v>
      </c>
    </row>
    <row r="78" spans="1:29" s="1261" customFormat="1" ht="50.25" customHeight="1">
      <c r="A78" s="1299">
        <v>63</v>
      </c>
      <c r="B78" s="1299" t="str">
        <f>'Chấm công KT'!C75</f>
        <v>03508</v>
      </c>
      <c r="C78" s="1300" t="str">
        <f>TONGHOPCONGDOI!C73</f>
        <v>T. Đèng</v>
      </c>
      <c r="D78" s="1300"/>
      <c r="E78" s="1301"/>
      <c r="F78" s="1300">
        <f t="shared" si="1"/>
        <v>0</v>
      </c>
      <c r="G78" s="1300">
        <f>VLOOKUP(C78,TONGHOPCONGDOI!C73:AE94,16,0)</f>
        <v>2667</v>
      </c>
      <c r="H78" s="1300">
        <f>VLOOKUP(C78,TONGHOPCONGDOI!C73:AE94,17,0)</f>
        <v>0</v>
      </c>
      <c r="I78" s="1300"/>
      <c r="J78" s="812">
        <f t="shared" si="7"/>
        <v>1177.312631870949</v>
      </c>
      <c r="K78" s="817">
        <f>'SẢN LƯỢNG'!AP79</f>
        <v>99.144713809877885</v>
      </c>
      <c r="L78" s="817">
        <f>'SẢN LƯỢNG'!AQ79</f>
        <v>1276.4573456808268</v>
      </c>
      <c r="M78" s="1299" t="str">
        <f>VLOOKUP(C78,'SẢN LƯỢNG'!D79:AR157,41,0)</f>
        <v>B</v>
      </c>
      <c r="N78" s="1302">
        <f t="shared" si="6"/>
        <v>4523510</v>
      </c>
      <c r="O78" s="1300">
        <f>VLOOKUP(C78,TONGHOPCONGDOI!$C$11:$V$91,20,0)</f>
        <v>23</v>
      </c>
      <c r="P78" s="1300">
        <f>VLOOKUP(C78,TONGHOPCONGDOI!$C$11:$W$91,21,0)</f>
        <v>3</v>
      </c>
      <c r="Q78" s="1300">
        <f>VLOOKUP(C78,TONGHOPCONGDOI!$C$11:$AD$93,22,0)</f>
        <v>0</v>
      </c>
      <c r="R78" s="1300">
        <f>VLOOKUP(C78,TONGHOPCONGDOI!$C$11:$AD$93,23,0)</f>
        <v>0</v>
      </c>
      <c r="S78" s="1300">
        <f>VLOOKUP(C78,TONGHOPCONGDOI!$C$11:$AD$93,24,0)</f>
        <v>0</v>
      </c>
      <c r="T78" s="1300">
        <f>VLOOKUP(C78,TONGHOPCONGDOI!$C$11:$AD$93,25,0)</f>
        <v>0</v>
      </c>
      <c r="U78" s="1300"/>
      <c r="V78" s="1300">
        <f t="shared" si="2"/>
        <v>0</v>
      </c>
      <c r="W78" s="1301"/>
      <c r="X78" s="1301"/>
      <c r="Y78" s="813">
        <f t="shared" si="3"/>
        <v>852008</v>
      </c>
      <c r="Z78" s="1300">
        <f t="shared" si="8"/>
        <v>5375518</v>
      </c>
      <c r="AA78" s="1300"/>
      <c r="AB78" s="1300">
        <f>VLOOKUP(C78,'CNKT '!D78:AC98,24,0)</f>
        <v>5375518</v>
      </c>
      <c r="AC78" s="1261">
        <f t="shared" si="4"/>
        <v>0</v>
      </c>
    </row>
    <row r="79" spans="1:29" s="1261" customFormat="1" ht="50.25" customHeight="1">
      <c r="A79" s="1299">
        <v>64</v>
      </c>
      <c r="B79" s="1299" t="str">
        <f>'Chấm công KT'!C76</f>
        <v>03512</v>
      </c>
      <c r="C79" s="1300" t="str">
        <f>TONGHOPCONGDOI!C74</f>
        <v>N. Đon</v>
      </c>
      <c r="D79" s="1300"/>
      <c r="E79" s="1301"/>
      <c r="F79" s="1300">
        <f t="shared" si="1"/>
        <v>0</v>
      </c>
      <c r="G79" s="1300">
        <f>VLOOKUP(C79,TONGHOPCONGDOI!C74:AE94,16,0)</f>
        <v>3839</v>
      </c>
      <c r="H79" s="1300">
        <f>VLOOKUP(C79,TONGHOPCONGDOI!C74:AE94,17,0)</f>
        <v>0</v>
      </c>
      <c r="I79" s="1300"/>
      <c r="J79" s="812">
        <f t="shared" si="7"/>
        <v>1694.6768630493339</v>
      </c>
      <c r="K79" s="817">
        <f>'SẢN LƯỢNG'!AP80</f>
        <v>115.53872160521203</v>
      </c>
      <c r="L79" s="817">
        <f>'SẢN LƯỢNG'!AQ80</f>
        <v>1810.2155846545459</v>
      </c>
      <c r="M79" s="1299" t="str">
        <f>VLOOKUP(C79,'SẢN LƯỢNG'!D80:AR158,41,0)</f>
        <v>B</v>
      </c>
      <c r="N79" s="1302">
        <f t="shared" si="6"/>
        <v>6415042</v>
      </c>
      <c r="O79" s="1300">
        <f>VLOOKUP(C79,TONGHOPCONGDOI!$C$11:$V$91,20,0)</f>
        <v>27</v>
      </c>
      <c r="P79" s="1300">
        <f>VLOOKUP(C79,TONGHOPCONGDOI!$C$11:$W$91,21,0)</f>
        <v>3</v>
      </c>
      <c r="Q79" s="1300">
        <f>VLOOKUP(C79,TONGHOPCONGDOI!$C$11:$AD$93,22,0)</f>
        <v>0</v>
      </c>
      <c r="R79" s="1300">
        <f>VLOOKUP(C79,TONGHOPCONGDOI!$C$11:$AD$93,23,0)</f>
        <v>0</v>
      </c>
      <c r="S79" s="1300">
        <f>VLOOKUP(C79,TONGHOPCONGDOI!$C$11:$AD$93,24,0)</f>
        <v>0</v>
      </c>
      <c r="T79" s="1300">
        <f>VLOOKUP(C79,TONGHOPCONGDOI!$C$11:$AD$93,25,0)</f>
        <v>0</v>
      </c>
      <c r="U79" s="1300"/>
      <c r="V79" s="1300">
        <f t="shared" si="2"/>
        <v>0</v>
      </c>
      <c r="W79" s="1301"/>
      <c r="X79" s="1301"/>
      <c r="Y79" s="813">
        <f t="shared" si="3"/>
        <v>973705</v>
      </c>
      <c r="Z79" s="1300">
        <f t="shared" si="8"/>
        <v>7388747</v>
      </c>
      <c r="AA79" s="1300"/>
      <c r="AB79" s="1300">
        <f>VLOOKUP(C79,'CNKT '!D79:AC98,24,0)</f>
        <v>7388747</v>
      </c>
      <c r="AC79" s="1261">
        <f t="shared" si="4"/>
        <v>0</v>
      </c>
    </row>
    <row r="80" spans="1:29" s="1261" customFormat="1" ht="50.25" customHeight="1">
      <c r="A80" s="1299">
        <v>65</v>
      </c>
      <c r="B80" s="1299" t="str">
        <f>'Chấm công KT'!C77</f>
        <v>04068</v>
      </c>
      <c r="C80" s="1300" t="str">
        <f>TONGHOPCONGDOI!C75</f>
        <v xml:space="preserve">T. La </v>
      </c>
      <c r="D80" s="1300"/>
      <c r="E80" s="1301"/>
      <c r="F80" s="1300">
        <f t="shared" si="1"/>
        <v>0</v>
      </c>
      <c r="G80" s="1300">
        <f>VLOOKUP(C80,TONGHOPCONGDOI!C75:AE94,16,0)</f>
        <v>3945</v>
      </c>
      <c r="H80" s="1300">
        <f>VLOOKUP(C80,TONGHOPCONGDOI!C75:AE94,17,0)</f>
        <v>0</v>
      </c>
      <c r="I80" s="1300"/>
      <c r="J80" s="812">
        <f t="shared" ref="J80" si="9">$AD$10/$AD$9*G80+H80*$AD$11+I80*$AD$12</f>
        <v>1741.4691911251946</v>
      </c>
      <c r="K80" s="817">
        <f>'SẢN LƯỢNG'!AP81</f>
        <v>112.07663300247066</v>
      </c>
      <c r="L80" s="817">
        <f>'SẢN LƯỢNG'!AQ81</f>
        <v>1853.5458241276651</v>
      </c>
      <c r="M80" s="1299" t="str">
        <f>VLOOKUP(C80,'SẢN LƯỢNG'!D81:AR159,41,0)</f>
        <v>B</v>
      </c>
      <c r="N80" s="1302">
        <f t="shared" si="6"/>
        <v>6568596</v>
      </c>
      <c r="O80" s="1300">
        <f>VLOOKUP(C80,TONGHOPCONGDOI!$C$11:$V$91,20,0)</f>
        <v>25</v>
      </c>
      <c r="P80" s="1300">
        <f>VLOOKUP(C80,TONGHOPCONGDOI!$C$11:$W$91,21,0)</f>
        <v>4</v>
      </c>
      <c r="Q80" s="1300">
        <f>VLOOKUP(C80,TONGHOPCONGDOI!$C$11:$AD$93,22,0)</f>
        <v>0</v>
      </c>
      <c r="R80" s="1300">
        <f>VLOOKUP(C80,TONGHOPCONGDOI!$C$11:$AD$93,23,0)</f>
        <v>0</v>
      </c>
      <c r="S80" s="1300">
        <f>VLOOKUP(C80,TONGHOPCONGDOI!$C$11:$AD$93,24,0)</f>
        <v>0</v>
      </c>
      <c r="T80" s="1300">
        <f>VLOOKUP(C80,TONGHOPCONGDOI!$C$11:$AD$93,25,0)</f>
        <v>0</v>
      </c>
      <c r="U80" s="1300"/>
      <c r="V80" s="1300">
        <f t="shared" si="2"/>
        <v>0</v>
      </c>
      <c r="W80" s="1301"/>
      <c r="X80" s="1301"/>
      <c r="Y80" s="813">
        <f t="shared" si="3"/>
        <v>963608</v>
      </c>
      <c r="Z80" s="1300">
        <f t="shared" ref="Z80:Z99" si="10">F80+N80+Y80</f>
        <v>7532204</v>
      </c>
      <c r="AA80" s="1300"/>
      <c r="AB80" s="1300">
        <f>VLOOKUP(C80,'CNKT '!D80:AC98,24,0)</f>
        <v>7532204</v>
      </c>
      <c r="AC80" s="1261">
        <f t="shared" ref="AC80:AC87" si="11">AB80-Z80</f>
        <v>0</v>
      </c>
    </row>
    <row r="81" spans="1:29" s="1261" customFormat="1" ht="50.25" customHeight="1">
      <c r="A81" s="1299">
        <v>66</v>
      </c>
      <c r="B81" s="1299" t="str">
        <f>'Chấm công KT'!C78</f>
        <v>04069</v>
      </c>
      <c r="C81" s="1300" t="str">
        <f>TONGHOPCONGDOI!C76</f>
        <v>T. Bờm</v>
      </c>
      <c r="D81" s="1300"/>
      <c r="E81" s="1301"/>
      <c r="F81" s="1300">
        <f t="shared" ref="F81:F98" si="12">E81*25000</f>
        <v>0</v>
      </c>
      <c r="G81" s="1300">
        <f>VLOOKUP(C81,TONGHOPCONGDOI!C76:AE94,16,0)</f>
        <v>4085</v>
      </c>
      <c r="H81" s="1300">
        <f>VLOOKUP(C81,TONGHOPCONGDOI!C76:AE94,17,0)</f>
        <v>0</v>
      </c>
      <c r="I81" s="1300"/>
      <c r="J81" s="812">
        <f t="shared" ref="J81:J92" si="13">$AD$10/$AD$9*G81+H81*$AD$11+I81*$AD$12</f>
        <v>1803.2703791499162</v>
      </c>
      <c r="K81" s="817">
        <f>'SẢN LƯỢNG'!AP82</f>
        <v>111.36385005484743</v>
      </c>
      <c r="L81" s="817">
        <f>'SẢN LƯỢNG'!AQ82</f>
        <v>1914.6342292047639</v>
      </c>
      <c r="M81" s="1299" t="str">
        <f>VLOOKUP(C81,'SẢN LƯỢNG'!D82:AR160,41,0)</f>
        <v>A</v>
      </c>
      <c r="N81" s="1302">
        <f t="shared" ref="N81:N95" si="14">ROUND((IF(M81="A",(L81*6.1),IF(M81="B",(L81*5.8),IF(M81="C",(L81*5.5),IF(M81="C.",(L81*5.5),IF(M81="D",(L81*5.2),0)))))*$E$11),0)</f>
        <v>7136033</v>
      </c>
      <c r="O81" s="1300">
        <f>VLOOKUP(C81,TONGHOPCONGDOI!$C$11:$V$91,20,0)</f>
        <v>26</v>
      </c>
      <c r="P81" s="1300">
        <f>VLOOKUP(C81,TONGHOPCONGDOI!$C$11:$W$91,21,0)</f>
        <v>3</v>
      </c>
      <c r="Q81" s="1300">
        <f>VLOOKUP(C81,TONGHOPCONGDOI!$C$11:$AD$93,22,0)</f>
        <v>0</v>
      </c>
      <c r="R81" s="1300">
        <f>VLOOKUP(C81,TONGHOPCONGDOI!$C$11:$AD$93,23,0)</f>
        <v>0</v>
      </c>
      <c r="S81" s="1300">
        <f>VLOOKUP(C81,TONGHOPCONGDOI!$C$11:$AD$93,24,0)</f>
        <v>0</v>
      </c>
      <c r="T81" s="1300">
        <f>VLOOKUP(C81,TONGHOPCONGDOI!$C$11:$AD$93,25,0)</f>
        <v>0</v>
      </c>
      <c r="U81" s="1300"/>
      <c r="V81" s="1300">
        <f t="shared" ref="V81:V88" si="15">R81</f>
        <v>0</v>
      </c>
      <c r="W81" s="1301"/>
      <c r="X81" s="1301"/>
      <c r="Y81" s="813">
        <f t="shared" ref="Y81:Y95" si="16">ROUND(((O81*46.1)+(P81*76.9)+(Q81*92.2)+(R81*153.8)+(S81*92.2)+(T81*153.8))*$E$12+(U81*25000)+(V81*100000),0)</f>
        <v>943281</v>
      </c>
      <c r="Z81" s="1300">
        <f t="shared" si="10"/>
        <v>8079314</v>
      </c>
      <c r="AA81" s="1300"/>
      <c r="AB81" s="1300">
        <f>VLOOKUP(C81,'CNKT '!D81:AC98,24,0)</f>
        <v>8079314</v>
      </c>
      <c r="AC81" s="1261">
        <f t="shared" si="11"/>
        <v>0</v>
      </c>
    </row>
    <row r="82" spans="1:29" s="1261" customFormat="1" ht="50.25" customHeight="1">
      <c r="A82" s="1299">
        <v>67</v>
      </c>
      <c r="B82" s="1299" t="str">
        <f>'Chấm công KT'!C79</f>
        <v>03546</v>
      </c>
      <c r="C82" s="1300" t="str">
        <f>TONGHOPCONGDOI!C77</f>
        <v>T. Nọi</v>
      </c>
      <c r="D82" s="1300"/>
      <c r="E82" s="1301"/>
      <c r="F82" s="1300">
        <f t="shared" si="12"/>
        <v>0</v>
      </c>
      <c r="G82" s="1300">
        <f>VLOOKUP(C82,TONGHOPCONGDOI!C77:AE94,16,0)</f>
        <v>3076</v>
      </c>
      <c r="H82" s="1300">
        <f>VLOOKUP(C82,TONGHOPCONGDOI!C77:AE94,17,0)</f>
        <v>0</v>
      </c>
      <c r="I82" s="1300"/>
      <c r="J82" s="812">
        <f t="shared" si="13"/>
        <v>1357.8603883146004</v>
      </c>
      <c r="K82" s="817">
        <f>'SẢN LƯỢNG'!AP83</f>
        <v>123.10779766806816</v>
      </c>
      <c r="L82" s="817">
        <f>'SẢN LƯỢNG'!AQ83</f>
        <v>1480.9681859826683</v>
      </c>
      <c r="M82" s="1299" t="str">
        <f>VLOOKUP(C82,'SẢN LƯỢNG'!D83:AR161,41,0)</f>
        <v>B</v>
      </c>
      <c r="N82" s="1302">
        <f t="shared" si="14"/>
        <v>5248255</v>
      </c>
      <c r="O82" s="1300">
        <f>VLOOKUP(C82,TONGHOPCONGDOI!$C$11:$V$91,20,0)</f>
        <v>25</v>
      </c>
      <c r="P82" s="1300">
        <f>VLOOKUP(C82,TONGHOPCONGDOI!$C$11:$W$91,21,0)</f>
        <v>4</v>
      </c>
      <c r="Q82" s="1300">
        <f>VLOOKUP(C82,TONGHOPCONGDOI!$C$11:$AD$93,22,0)</f>
        <v>0</v>
      </c>
      <c r="R82" s="1300">
        <f>VLOOKUP(C82,TONGHOPCONGDOI!$C$11:$AD$93,23,0)</f>
        <v>0</v>
      </c>
      <c r="S82" s="1300">
        <f>VLOOKUP(C82,TONGHOPCONGDOI!$C$11:$AD$93,24,0)</f>
        <v>0</v>
      </c>
      <c r="T82" s="1300">
        <f>VLOOKUP(C82,TONGHOPCONGDOI!$C$11:$AD$93,25,0)</f>
        <v>0</v>
      </c>
      <c r="U82" s="1300"/>
      <c r="V82" s="1300">
        <f t="shared" si="15"/>
        <v>0</v>
      </c>
      <c r="W82" s="1301"/>
      <c r="X82" s="1301"/>
      <c r="Y82" s="813">
        <f t="shared" si="16"/>
        <v>963608</v>
      </c>
      <c r="Z82" s="1300">
        <f t="shared" si="10"/>
        <v>6211863</v>
      </c>
      <c r="AA82" s="1300"/>
      <c r="AB82" s="1300">
        <f>VLOOKUP(C82,'CNKT '!D82:AC98,24,0)</f>
        <v>6211863</v>
      </c>
      <c r="AC82" s="1261">
        <f t="shared" si="11"/>
        <v>0</v>
      </c>
    </row>
    <row r="83" spans="1:29" s="1261" customFormat="1" ht="50.25" customHeight="1">
      <c r="A83" s="1299">
        <v>68</v>
      </c>
      <c r="B83" s="1299">
        <f>'Chấm công KT'!C80</f>
        <v>0</v>
      </c>
      <c r="C83" s="1300" t="str">
        <f>TONGHOPCONGDOI!C78</f>
        <v>T. Kong Ma Ny</v>
      </c>
      <c r="D83" s="1300"/>
      <c r="E83" s="1301"/>
      <c r="F83" s="1300">
        <f t="shared" si="12"/>
        <v>0</v>
      </c>
      <c r="G83" s="1300">
        <f>VLOOKUP(C83,TONGHOPCONGDOI!C78:AE94,16,0)</f>
        <v>3469</v>
      </c>
      <c r="H83" s="1300">
        <f>VLOOKUP(C83,TONGHOPCONGDOI!C78:AE94,17,0)</f>
        <v>0</v>
      </c>
      <c r="I83" s="1300"/>
      <c r="J83" s="812">
        <f t="shared" si="13"/>
        <v>1531.3451518411407</v>
      </c>
      <c r="K83" s="817">
        <f>'SẢN LƯỢNG'!AP84</f>
        <v>101.04546833687314</v>
      </c>
      <c r="L83" s="817">
        <f>'SẢN LƯỢNG'!AQ84</f>
        <v>1632.3906201780139</v>
      </c>
      <c r="M83" s="1299" t="str">
        <f>VLOOKUP(C83,'SẢN LƯỢNG'!D84:AR162,41,0)</f>
        <v>B</v>
      </c>
      <c r="N83" s="1302">
        <f t="shared" si="14"/>
        <v>5784866</v>
      </c>
      <c r="O83" s="1300">
        <f>VLOOKUP(C83,TONGHOPCONGDOI!$C$11:$V$91,20,0)</f>
        <v>27</v>
      </c>
      <c r="P83" s="1300">
        <f>VLOOKUP(C83,TONGHOPCONGDOI!$C$11:$W$91,21,0)</f>
        <v>4</v>
      </c>
      <c r="Q83" s="1300">
        <f>VLOOKUP(C83,TONGHOPCONGDOI!$C$11:$AD$93,22,0)</f>
        <v>0</v>
      </c>
      <c r="R83" s="1300">
        <f>VLOOKUP(C83,TONGHOPCONGDOI!$C$11:$AD$93,23,0)</f>
        <v>0</v>
      </c>
      <c r="S83" s="1300">
        <f>VLOOKUP(C83,TONGHOPCONGDOI!$C$11:$AD$93,24,0)</f>
        <v>0</v>
      </c>
      <c r="T83" s="1300">
        <f>VLOOKUP(C83,TONGHOPCONGDOI!$C$11:$AD$93,25,0)</f>
        <v>0</v>
      </c>
      <c r="U83" s="1300"/>
      <c r="V83" s="1300">
        <f t="shared" si="15"/>
        <v>0</v>
      </c>
      <c r="W83" s="1301"/>
      <c r="X83" s="1301"/>
      <c r="Y83" s="813">
        <f t="shared" si="16"/>
        <v>1024456</v>
      </c>
      <c r="Z83" s="1300">
        <f t="shared" si="10"/>
        <v>6809322</v>
      </c>
      <c r="AA83" s="1300"/>
      <c r="AB83" s="1300">
        <f>VLOOKUP(C83,'CNKT '!D83:AC98,24,0)</f>
        <v>6809322</v>
      </c>
      <c r="AC83" s="1261">
        <f t="shared" si="11"/>
        <v>0</v>
      </c>
    </row>
    <row r="84" spans="1:29" s="1261" customFormat="1" ht="50.25" customHeight="1">
      <c r="A84" s="1299">
        <v>69</v>
      </c>
      <c r="B84" s="1299">
        <f>'Chấm công KT'!C81</f>
        <v>0</v>
      </c>
      <c r="C84" s="1300" t="str">
        <f>TONGHOPCONGDOI!C79</f>
        <v>T. Hô Lông</v>
      </c>
      <c r="D84" s="1300"/>
      <c r="E84" s="1301"/>
      <c r="F84" s="1300">
        <f t="shared" si="12"/>
        <v>0</v>
      </c>
      <c r="G84" s="1300">
        <f>VLOOKUP(C84,TONGHOPCONGDOI!C79:AE94,16,0)</f>
        <v>4583</v>
      </c>
      <c r="H84" s="1300">
        <f>VLOOKUP(C84,TONGHOPCONGDOI!C79:AE94,17,0)</f>
        <v>0</v>
      </c>
      <c r="I84" s="1300"/>
      <c r="J84" s="812">
        <f t="shared" si="13"/>
        <v>2023.1060336949979</v>
      </c>
      <c r="K84" s="817">
        <f>'SẢN LƯỢNG'!AP85</f>
        <v>117.26976590658271</v>
      </c>
      <c r="L84" s="817">
        <f>'SẢN LƯỢNG'!AQ85</f>
        <v>2140.3757996015806</v>
      </c>
      <c r="M84" s="1299" t="str">
        <f>VLOOKUP(C84,'SẢN LƯỢNG'!D85:AR163,41,0)</f>
        <v>B</v>
      </c>
      <c r="N84" s="1302">
        <f t="shared" si="14"/>
        <v>7585064</v>
      </c>
      <c r="O84" s="1300">
        <f>VLOOKUP(C84,TONGHOPCONGDOI!$C$11:$V$91,20,0)</f>
        <v>27</v>
      </c>
      <c r="P84" s="1300">
        <f>VLOOKUP(C84,TONGHOPCONGDOI!$C$11:$W$91,21,0)</f>
        <v>4</v>
      </c>
      <c r="Q84" s="1300">
        <f>VLOOKUP(C84,TONGHOPCONGDOI!$C$11:$AD$93,22,0)</f>
        <v>0</v>
      </c>
      <c r="R84" s="1300">
        <f>VLOOKUP(C84,TONGHOPCONGDOI!$C$11:$AD$93,23,0)</f>
        <v>0</v>
      </c>
      <c r="S84" s="1300">
        <f>VLOOKUP(C84,TONGHOPCONGDOI!$C$11:$AD$93,24,0)</f>
        <v>0</v>
      </c>
      <c r="T84" s="1300">
        <f>VLOOKUP(C84,TONGHOPCONGDOI!$C$11:$AD$93,25,0)</f>
        <v>0</v>
      </c>
      <c r="U84" s="1300"/>
      <c r="V84" s="1300">
        <f t="shared" si="15"/>
        <v>0</v>
      </c>
      <c r="W84" s="1301"/>
      <c r="X84" s="1301"/>
      <c r="Y84" s="813">
        <f t="shared" si="16"/>
        <v>1024456</v>
      </c>
      <c r="Z84" s="1300">
        <f t="shared" si="10"/>
        <v>8609520</v>
      </c>
      <c r="AA84" s="1300"/>
      <c r="AB84" s="1300">
        <f>VLOOKUP(C84,'CNKT '!D84:AC98,24,0)</f>
        <v>8609520</v>
      </c>
      <c r="AC84" s="1261">
        <f t="shared" si="11"/>
        <v>0</v>
      </c>
    </row>
    <row r="85" spans="1:29" s="1261" customFormat="1" ht="50.25" customHeight="1">
      <c r="A85" s="1299">
        <v>70</v>
      </c>
      <c r="B85" s="1299" t="str">
        <f>'Chấm công KT'!C82</f>
        <v>03515</v>
      </c>
      <c r="C85" s="1300" t="str">
        <f>TONGHOPCONGDOI!C80</f>
        <v>N. Xi</v>
      </c>
      <c r="D85" s="1300"/>
      <c r="E85" s="1301"/>
      <c r="F85" s="1300">
        <f t="shared" si="12"/>
        <v>0</v>
      </c>
      <c r="G85" s="1300">
        <f>VLOOKUP(C85,TONGHOPCONGDOI!C80:AE94,16,0)</f>
        <v>4054</v>
      </c>
      <c r="H85" s="1300">
        <f>VLOOKUP(C85,TONGHOPCONGDOI!C80:AE94,17,0)</f>
        <v>0</v>
      </c>
      <c r="I85" s="1300"/>
      <c r="J85" s="812">
        <f t="shared" si="13"/>
        <v>1789.5858303730136</v>
      </c>
      <c r="K85" s="817">
        <f>'SẢN LƯỢNG'!AP86</f>
        <v>133.52800552141719</v>
      </c>
      <c r="L85" s="817">
        <f>'SẢN LƯỢNG'!AQ86</f>
        <v>1923.1138358944308</v>
      </c>
      <c r="M85" s="1299" t="str">
        <f>VLOOKUP(C85,'SẢN LƯỢNG'!D86:AR164,41,0)</f>
        <v>A</v>
      </c>
      <c r="N85" s="1302">
        <f t="shared" si="14"/>
        <v>7167638</v>
      </c>
      <c r="O85" s="1300">
        <f>VLOOKUP(C85,TONGHOPCONGDOI!$C$11:$V$91,20,0)</f>
        <v>27</v>
      </c>
      <c r="P85" s="1300">
        <f>VLOOKUP(C85,TONGHOPCONGDOI!$C$11:$W$91,21,0)</f>
        <v>4</v>
      </c>
      <c r="Q85" s="1300">
        <f>VLOOKUP(C85,TONGHOPCONGDOI!$C$11:$AD$93,22,0)</f>
        <v>0</v>
      </c>
      <c r="R85" s="1300">
        <f>VLOOKUP(C85,TONGHOPCONGDOI!$C$11:$AD$93,23,0)</f>
        <v>0</v>
      </c>
      <c r="S85" s="1300">
        <f>VLOOKUP(C85,TONGHOPCONGDOI!$C$11:$AD$93,24,0)</f>
        <v>0</v>
      </c>
      <c r="T85" s="1300">
        <f>VLOOKUP(C85,TONGHOPCONGDOI!$C$11:$AD$93,25,0)</f>
        <v>0</v>
      </c>
      <c r="U85" s="1300"/>
      <c r="V85" s="1300">
        <f t="shared" si="15"/>
        <v>0</v>
      </c>
      <c r="W85" s="1301"/>
      <c r="X85" s="1301"/>
      <c r="Y85" s="813">
        <f t="shared" si="16"/>
        <v>1024456</v>
      </c>
      <c r="Z85" s="1300">
        <f t="shared" si="10"/>
        <v>8192094</v>
      </c>
      <c r="AA85" s="1300"/>
      <c r="AB85" s="1300">
        <f>VLOOKUP(C85,'CNKT '!D85:AC98,24,0)</f>
        <v>8192094</v>
      </c>
      <c r="AC85" s="1261">
        <f t="shared" si="11"/>
        <v>0</v>
      </c>
    </row>
    <row r="86" spans="1:29" s="1261" customFormat="1" ht="50.25" customHeight="1">
      <c r="A86" s="1299">
        <v>71</v>
      </c>
      <c r="B86" s="1299" t="str">
        <f>'Chấm công KT'!C83</f>
        <v>03516</v>
      </c>
      <c r="C86" s="1300" t="str">
        <f>TONGHOPCONGDOI!C81</f>
        <v>N. Chay</v>
      </c>
      <c r="D86" s="1300"/>
      <c r="E86" s="1301"/>
      <c r="F86" s="1300">
        <f t="shared" si="12"/>
        <v>0</v>
      </c>
      <c r="G86" s="1300">
        <f>VLOOKUP(C86,TONGHOPCONGDOI!C81:AE94,16,0)</f>
        <v>3541</v>
      </c>
      <c r="H86" s="1300">
        <f>VLOOKUP(C86,TONGHOPCONGDOI!C81:AE94,17,0)</f>
        <v>0</v>
      </c>
      <c r="I86" s="1300"/>
      <c r="J86" s="812">
        <f t="shared" si="13"/>
        <v>1563.1286199681404</v>
      </c>
      <c r="K86" s="817">
        <f>'SẢN LƯỢNG'!AP87</f>
        <v>130.94841009192362</v>
      </c>
      <c r="L86" s="817">
        <f>'SẢN LƯỢNG'!AQ87</f>
        <v>1694.0770300600643</v>
      </c>
      <c r="M86" s="1299" t="str">
        <f>VLOOKUP(C86,'SẢN LƯỢNG'!D87:AR165,41,0)</f>
        <v>A</v>
      </c>
      <c r="N86" s="1302">
        <f t="shared" si="14"/>
        <v>6313994</v>
      </c>
      <c r="O86" s="1300">
        <f>VLOOKUP(C86,TONGHOPCONGDOI!$C$11:$V$91,20,0)</f>
        <v>26</v>
      </c>
      <c r="P86" s="1300">
        <f>VLOOKUP(C86,TONGHOPCONGDOI!$C$11:$W$91,21,0)</f>
        <v>4</v>
      </c>
      <c r="Q86" s="1300">
        <f>VLOOKUP(C86,TONGHOPCONGDOI!$C$11:$AD$93,22,0)</f>
        <v>0</v>
      </c>
      <c r="R86" s="1300">
        <f>VLOOKUP(C86,TONGHOPCONGDOI!$C$11:$AD$93,23,0)</f>
        <v>0</v>
      </c>
      <c r="S86" s="1300">
        <f>VLOOKUP(C86,TONGHOPCONGDOI!$C$11:$AD$93,24,0)</f>
        <v>0</v>
      </c>
      <c r="T86" s="1300">
        <f>VLOOKUP(C86,TONGHOPCONGDOI!$C$11:$AD$93,25,0)</f>
        <v>0</v>
      </c>
      <c r="U86" s="1300"/>
      <c r="V86" s="1300">
        <f t="shared" si="15"/>
        <v>0</v>
      </c>
      <c r="W86" s="1301"/>
      <c r="X86" s="1301"/>
      <c r="Y86" s="813">
        <f t="shared" si="16"/>
        <v>994032</v>
      </c>
      <c r="Z86" s="1300">
        <f t="shared" si="10"/>
        <v>7308026</v>
      </c>
      <c r="AA86" s="1300"/>
      <c r="AB86" s="1300">
        <f>VLOOKUP(C86,'CNKT '!D86:AC98,24,0)</f>
        <v>7308026</v>
      </c>
      <c r="AC86" s="1261">
        <f>AB86-Z86</f>
        <v>0</v>
      </c>
    </row>
    <row r="87" spans="1:29" s="1261" customFormat="1" ht="50.25" customHeight="1">
      <c r="A87" s="1299">
        <v>72</v>
      </c>
      <c r="B87" s="1299" t="str">
        <f>'Chấm công KT'!C84</f>
        <v>03544</v>
      </c>
      <c r="C87" s="1300" t="str">
        <f>TONGHOPCONGDOI!C82</f>
        <v>T. Ta</v>
      </c>
      <c r="D87" s="1300"/>
      <c r="E87" s="1301"/>
      <c r="F87" s="1300">
        <f t="shared" si="12"/>
        <v>0</v>
      </c>
      <c r="G87" s="1300">
        <f>VLOOKUP(C87,TONGHOPCONGDOI!C82:AE94,16,0)</f>
        <v>2061</v>
      </c>
      <c r="H87" s="1300">
        <f>VLOOKUP(C87,TONGHOPCONGDOI!C82:AE94,17,0)</f>
        <v>0</v>
      </c>
      <c r="I87" s="1300"/>
      <c r="J87" s="812">
        <f t="shared" si="13"/>
        <v>909.80177513536773</v>
      </c>
      <c r="K87" s="817">
        <f>'SẢN LƯỢNG'!AP88</f>
        <v>92.118710469020414</v>
      </c>
      <c r="L87" s="817">
        <f>'SẢN LƯỢNG'!AQ88</f>
        <v>1001.9204856043882</v>
      </c>
      <c r="M87" s="1299" t="str">
        <f>VLOOKUP(C87,'SẢN LƯỢNG'!D88:AR166,41,0)</f>
        <v>A</v>
      </c>
      <c r="N87" s="1302">
        <f t="shared" si="14"/>
        <v>3734258</v>
      </c>
      <c r="O87" s="1300">
        <f>VLOOKUP(C87,TONGHOPCONGDOI!$C$11:$V$91,20,0)</f>
        <v>21</v>
      </c>
      <c r="P87" s="1300">
        <f>VLOOKUP(C87,TONGHOPCONGDOI!$C$11:$W$91,21,0)</f>
        <v>4</v>
      </c>
      <c r="Q87" s="1300">
        <f>VLOOKUP(C87,TONGHOPCONGDOI!$C$11:$AD$93,22,0)</f>
        <v>0</v>
      </c>
      <c r="R87" s="1300">
        <f>VLOOKUP(C87,TONGHOPCONGDOI!$C$11:$AD$93,23,0)</f>
        <v>0</v>
      </c>
      <c r="S87" s="1300">
        <f>VLOOKUP(C87,TONGHOPCONGDOI!$C$11:$AD$93,24,0)</f>
        <v>0</v>
      </c>
      <c r="T87" s="1300">
        <f>VLOOKUP(C87,TONGHOPCONGDOI!$C$11:$AD$93,25,0)</f>
        <v>0</v>
      </c>
      <c r="U87" s="1300"/>
      <c r="V87" s="1300">
        <f t="shared" si="15"/>
        <v>0</v>
      </c>
      <c r="W87" s="1301"/>
      <c r="X87" s="1301"/>
      <c r="Y87" s="813">
        <f t="shared" si="16"/>
        <v>841911</v>
      </c>
      <c r="Z87" s="1300">
        <f t="shared" si="10"/>
        <v>4576169</v>
      </c>
      <c r="AA87" s="1300"/>
      <c r="AB87" s="1300">
        <f>VLOOKUP(C87,'CNKT '!D87:AC98,24,0)</f>
        <v>4576169</v>
      </c>
      <c r="AC87" s="1261">
        <f t="shared" si="11"/>
        <v>0</v>
      </c>
    </row>
    <row r="88" spans="1:29" s="1261" customFormat="1" ht="50.25" customHeight="1">
      <c r="A88" s="1299">
        <v>73</v>
      </c>
      <c r="B88" s="1299" t="str">
        <f>'Chấm công KT'!C85</f>
        <v>04071</v>
      </c>
      <c r="C88" s="1300" t="str">
        <f>TONGHOPCONGDOI!C83</f>
        <v>T. Ne</v>
      </c>
      <c r="D88" s="1300"/>
      <c r="E88" s="1301"/>
      <c r="F88" s="1300">
        <f t="shared" si="12"/>
        <v>0</v>
      </c>
      <c r="G88" s="1300">
        <f>VLOOKUP(C88,TONGHOPCONGDOI!C83:AE94,16,0)</f>
        <v>2063</v>
      </c>
      <c r="H88" s="1300">
        <f>VLOOKUP(C88,TONGHOPCONGDOI!C83:AE94,17,0)</f>
        <v>0</v>
      </c>
      <c r="I88" s="1300"/>
      <c r="J88" s="812">
        <f t="shared" si="13"/>
        <v>910.68464925000671</v>
      </c>
      <c r="K88" s="817">
        <f>'SẢN LƯỢNG'!AP89</f>
        <v>92.356304784894803</v>
      </c>
      <c r="L88" s="817">
        <f>'SẢN LƯỢNG'!AQ89</f>
        <v>1003.0409540349015</v>
      </c>
      <c r="M88" s="1299" t="str">
        <f>VLOOKUP(C88,'SẢN LƯỢNG'!D89:AR167,41,0)</f>
        <v>A</v>
      </c>
      <c r="N88" s="1302">
        <f t="shared" si="14"/>
        <v>3738434</v>
      </c>
      <c r="O88" s="1300">
        <f>VLOOKUP(C88,TONGHOPCONGDOI!$C$11:$V$91,20,0)</f>
        <v>21</v>
      </c>
      <c r="P88" s="1300">
        <f>VLOOKUP(C88,TONGHOPCONGDOI!$C$11:$W$91,21,0)</f>
        <v>4</v>
      </c>
      <c r="Q88" s="1300">
        <f>VLOOKUP(C88,TONGHOPCONGDOI!$C$11:$AD$93,22,0)</f>
        <v>0</v>
      </c>
      <c r="R88" s="1300">
        <f>VLOOKUP(C88,TONGHOPCONGDOI!$C$11:$AD$93,23,0)</f>
        <v>0</v>
      </c>
      <c r="S88" s="1300">
        <f>VLOOKUP(C88,TONGHOPCONGDOI!$C$11:$AD$93,24,0)</f>
        <v>0</v>
      </c>
      <c r="T88" s="1300">
        <f>VLOOKUP(C88,TONGHOPCONGDOI!$C$11:$AD$93,25,0)</f>
        <v>0</v>
      </c>
      <c r="U88" s="1300"/>
      <c r="V88" s="1300">
        <f t="shared" si="15"/>
        <v>0</v>
      </c>
      <c r="W88" s="1301"/>
      <c r="X88" s="1301"/>
      <c r="Y88" s="813">
        <f t="shared" si="16"/>
        <v>841911</v>
      </c>
      <c r="Z88" s="1300">
        <f t="shared" si="10"/>
        <v>4580345</v>
      </c>
      <c r="AA88" s="1300"/>
      <c r="AB88" s="1300">
        <f>VLOOKUP(C88,'CNKT '!D88:AC98,24,0)</f>
        <v>4580345</v>
      </c>
      <c r="AC88" s="1261">
        <f t="shared" ref="AC88:AC96" si="17">AB88-Z88</f>
        <v>0</v>
      </c>
    </row>
    <row r="89" spans="1:29" s="1261" customFormat="1" ht="50.25" customHeight="1">
      <c r="A89" s="1299">
        <v>74</v>
      </c>
      <c r="B89" s="1299"/>
      <c r="C89" s="1300" t="str">
        <f>TONGHOPCONGDOI!C84</f>
        <v>N. Khăn</v>
      </c>
      <c r="D89" s="1300"/>
      <c r="E89" s="1301"/>
      <c r="F89" s="1300">
        <f t="shared" si="12"/>
        <v>0</v>
      </c>
      <c r="G89" s="1300">
        <f>VLOOKUP(C89,TONGHOPCONGDOI!C84:AE94,16,0)</f>
        <v>564</v>
      </c>
      <c r="H89" s="1300">
        <f>VLOOKUP(C89,TONGHOPCONGDOI!C84:AE94,17,0)</f>
        <v>0</v>
      </c>
      <c r="I89" s="1300"/>
      <c r="J89" s="812">
        <f t="shared" si="13"/>
        <v>248.97050032816469</v>
      </c>
      <c r="K89" s="817">
        <f>'SẢN LƯỢNG'!AP90</f>
        <v>83.701083278041381</v>
      </c>
      <c r="L89" s="817">
        <f>'SẢN LƯỢNG'!AQ90</f>
        <v>332.67158360620613</v>
      </c>
      <c r="M89" s="1299" t="str">
        <f>VLOOKUP(C89,'SẢN LƯỢNG'!D90:AR168,41,0)</f>
        <v>C.</v>
      </c>
      <c r="N89" s="1302">
        <f t="shared" si="14"/>
        <v>1117943</v>
      </c>
      <c r="O89" s="1300">
        <f>VLOOKUP(C89,TONGHOPCONGDOI!$C$11:$V$91,20,0)</f>
        <v>13</v>
      </c>
      <c r="P89" s="1300">
        <f>VLOOKUP(C89,TONGHOPCONGDOI!$C$11:$W$91,21,0)</f>
        <v>2</v>
      </c>
      <c r="Q89" s="1300">
        <f>VLOOKUP(C89,TONGHOPCONGDOI!$C$11:$AD$93,22,0)</f>
        <v>0</v>
      </c>
      <c r="R89" s="1300">
        <f>VLOOKUP(C89,TONGHOPCONGDOI!$C$11:$AD$93,23,0)</f>
        <v>0</v>
      </c>
      <c r="S89" s="1300">
        <f>VLOOKUP(C89,TONGHOPCONGDOI!$C$11:$AD$93,24,0)</f>
        <v>0</v>
      </c>
      <c r="T89" s="1300">
        <f>VLOOKUP(C89,TONGHOPCONGDOI!$C$11:$AD$93,25,0)</f>
        <v>0</v>
      </c>
      <c r="U89" s="1300"/>
      <c r="V89" s="1300">
        <f t="shared" ref="V89:V95" si="18">R89</f>
        <v>0</v>
      </c>
      <c r="W89" s="1301"/>
      <c r="X89" s="1301"/>
      <c r="Y89" s="813">
        <f t="shared" si="16"/>
        <v>497016</v>
      </c>
      <c r="Z89" s="1300">
        <f>F89+N89+Y89</f>
        <v>1614959</v>
      </c>
      <c r="AA89" s="1300"/>
      <c r="AB89" s="1300">
        <f>VLOOKUP(C89,'CNKT '!D89:AC98,24,0)</f>
        <v>1614959</v>
      </c>
      <c r="AC89" s="1261">
        <f t="shared" si="17"/>
        <v>0</v>
      </c>
    </row>
    <row r="90" spans="1:29" s="1261" customFormat="1" ht="50.25" customHeight="1">
      <c r="A90" s="1299">
        <v>75</v>
      </c>
      <c r="B90" s="1299"/>
      <c r="C90" s="1300" t="str">
        <f>TONGHOPCONGDOI!C85</f>
        <v>T. Lã</v>
      </c>
      <c r="D90" s="1300"/>
      <c r="E90" s="1301"/>
      <c r="F90" s="1300">
        <f t="shared" si="12"/>
        <v>0</v>
      </c>
      <c r="G90" s="1300">
        <f>VLOOKUP(C90,TONGHOPCONGDOI!C85:AE94,16,0)</f>
        <v>2447</v>
      </c>
      <c r="H90" s="1300">
        <f>VLOOKUP(C90,TONGHOPCONGDOI!C85:AE94,17,0)</f>
        <v>0</v>
      </c>
      <c r="I90" s="1300"/>
      <c r="J90" s="812">
        <f t="shared" si="13"/>
        <v>1080.196479260672</v>
      </c>
      <c r="K90" s="817">
        <f>'SẢN LƯỢNG'!AP91</f>
        <v>36.623466689783719</v>
      </c>
      <c r="L90" s="817">
        <f>'SẢN LƯỢNG'!AQ91</f>
        <v>1116.8199459504558</v>
      </c>
      <c r="M90" s="1299" t="str">
        <f>VLOOKUP(C90,'SẢN LƯỢNG'!D91:AR169,41,0)</f>
        <v>C.</v>
      </c>
      <c r="N90" s="1302">
        <f t="shared" si="14"/>
        <v>3753073</v>
      </c>
      <c r="O90" s="1300">
        <f>VLOOKUP(C90,TONGHOPCONGDOI!$C$11:$V$91,20,0)</f>
        <v>20</v>
      </c>
      <c r="P90" s="1300">
        <f>VLOOKUP(C90,TONGHOPCONGDOI!$C$11:$W$91,21,0)</f>
        <v>3</v>
      </c>
      <c r="Q90" s="1300">
        <f>VLOOKUP(C90,TONGHOPCONGDOI!$C$11:$AD$93,22,0)</f>
        <v>0</v>
      </c>
      <c r="R90" s="1300">
        <f>VLOOKUP(C90,TONGHOPCONGDOI!$C$11:$AD$93,23,0)</f>
        <v>0</v>
      </c>
      <c r="S90" s="1300">
        <f>VLOOKUP(C90,TONGHOPCONGDOI!$C$11:$AD$93,24,0)</f>
        <v>0</v>
      </c>
      <c r="T90" s="1300">
        <f>VLOOKUP(C90,TONGHOPCONGDOI!$C$11:$AD$93,25,0)</f>
        <v>0</v>
      </c>
      <c r="U90" s="1300"/>
      <c r="V90" s="1300">
        <f t="shared" si="18"/>
        <v>0</v>
      </c>
      <c r="W90" s="1301"/>
      <c r="X90" s="1301"/>
      <c r="Y90" s="813">
        <f t="shared" si="16"/>
        <v>760736</v>
      </c>
      <c r="Z90" s="1300">
        <f t="shared" si="10"/>
        <v>4513809</v>
      </c>
      <c r="AA90" s="1300"/>
      <c r="AB90" s="1300">
        <f>VLOOKUP(C90,'CNKT '!D90:AC98,24,0)</f>
        <v>4513809</v>
      </c>
      <c r="AC90" s="1261">
        <f t="shared" si="17"/>
        <v>0</v>
      </c>
    </row>
    <row r="91" spans="1:29" s="1261" customFormat="1" ht="50.25" customHeight="1">
      <c r="A91" s="1299">
        <v>76</v>
      </c>
      <c r="B91" s="1299"/>
      <c r="C91" s="1300" t="str">
        <f>TONGHOPCONGDOI!C86</f>
        <v>N. Veo</v>
      </c>
      <c r="D91" s="1300"/>
      <c r="E91" s="1301"/>
      <c r="F91" s="1300">
        <f t="shared" si="12"/>
        <v>0</v>
      </c>
      <c r="G91" s="1300">
        <f>VLOOKUP(C91,TONGHOPCONGDOI!C86:AE94,16,0)</f>
        <v>2022</v>
      </c>
      <c r="H91" s="1300">
        <f>VLOOKUP(C91,TONGHOPCONGDOI!C86:AE94,17,0)</f>
        <v>0</v>
      </c>
      <c r="I91" s="1300"/>
      <c r="J91" s="812">
        <f t="shared" si="13"/>
        <v>892.58572989990955</v>
      </c>
      <c r="K91" s="817">
        <f>'SẢN LƯỢNG'!AP92</f>
        <v>15.477572576961423</v>
      </c>
      <c r="L91" s="817">
        <f>'SẢN LƯỢNG'!AQ92</f>
        <v>908.06330247687106</v>
      </c>
      <c r="M91" s="1299" t="str">
        <f>VLOOKUP(C91,'SẢN LƯỢNG'!D92:AR170,41,0)</f>
        <v>C.</v>
      </c>
      <c r="N91" s="1302">
        <f t="shared" si="14"/>
        <v>3051547</v>
      </c>
      <c r="O91" s="1300">
        <f>VLOOKUP(C91,TONGHOPCONGDOI!$C$11:$V$91,20,0)</f>
        <v>16</v>
      </c>
      <c r="P91" s="1300">
        <f>VLOOKUP(C91,TONGHOPCONGDOI!$C$11:$W$91,21,0)</f>
        <v>2</v>
      </c>
      <c r="Q91" s="1300">
        <f>VLOOKUP(C91,TONGHOPCONGDOI!$C$11:$AD$93,22,0)</f>
        <v>0</v>
      </c>
      <c r="R91" s="1300">
        <f>VLOOKUP(C91,TONGHOPCONGDOI!$C$11:$AD$93,23,0)</f>
        <v>0</v>
      </c>
      <c r="S91" s="1300">
        <f>VLOOKUP(C91,TONGHOPCONGDOI!$C$11:$AD$93,24,0)</f>
        <v>0</v>
      </c>
      <c r="T91" s="1300">
        <f>VLOOKUP(C91,TONGHOPCONGDOI!$C$11:$AD$93,25,0)</f>
        <v>0</v>
      </c>
      <c r="U91" s="1300"/>
      <c r="V91" s="1300">
        <f t="shared" si="18"/>
        <v>0</v>
      </c>
      <c r="W91" s="1301"/>
      <c r="X91" s="1301"/>
      <c r="Y91" s="813">
        <f t="shared" si="16"/>
        <v>588288</v>
      </c>
      <c r="Z91" s="1300">
        <f t="shared" si="10"/>
        <v>3639835</v>
      </c>
      <c r="AA91" s="1300"/>
      <c r="AB91" s="1300">
        <f>VLOOKUP(C91,'CNKT '!D91:AC98,24,0)</f>
        <v>3639835</v>
      </c>
      <c r="AC91" s="1261">
        <f t="shared" si="17"/>
        <v>0</v>
      </c>
    </row>
    <row r="92" spans="1:29" s="1261" customFormat="1" ht="50.25" customHeight="1">
      <c r="A92" s="1299">
        <v>77</v>
      </c>
      <c r="B92" s="1299"/>
      <c r="C92" s="1300" t="str">
        <f>TONGHOPCONGDOI!C87</f>
        <v>T. Pu</v>
      </c>
      <c r="D92" s="1300"/>
      <c r="E92" s="1301"/>
      <c r="F92" s="1300">
        <f t="shared" si="12"/>
        <v>0</v>
      </c>
      <c r="G92" s="1300">
        <f>VLOOKUP(C92,TONGHOPCONGDOI!C87:AE94,16,0)</f>
        <v>1284</v>
      </c>
      <c r="H92" s="1300"/>
      <c r="I92" s="1300"/>
      <c r="J92" s="812">
        <f t="shared" si="13"/>
        <v>566.80518159816222</v>
      </c>
      <c r="K92" s="817">
        <f>'SẢN LƯỢNG'!AP93</f>
        <v>13.474991914591415</v>
      </c>
      <c r="L92" s="817">
        <f>'SẢN LƯỢNG'!AQ93</f>
        <v>580.28017351275355</v>
      </c>
      <c r="M92" s="1299" t="str">
        <f>VLOOKUP(C92,'SẢN LƯỢNG'!D93:AR171,41,0)</f>
        <v>C.</v>
      </c>
      <c r="N92" s="1302">
        <f t="shared" si="14"/>
        <v>1950032</v>
      </c>
      <c r="O92" s="1300">
        <f>VLOOKUP(C92,TONGHOPCONGDOI!$C$11:$V$91,20,0)</f>
        <v>10</v>
      </c>
      <c r="P92" s="1300">
        <f>VLOOKUP(C92,TONGHOPCONGDOI!$C$11:$W$91,21,0)</f>
        <v>1</v>
      </c>
      <c r="Q92" s="1300">
        <f>VLOOKUP(C92,TONGHOPCONGDOI!$C$11:$AD$93,22,0)</f>
        <v>0</v>
      </c>
      <c r="R92" s="1300">
        <f>VLOOKUP(C92,TONGHOPCONGDOI!$C$11:$AD$93,23,0)</f>
        <v>0</v>
      </c>
      <c r="S92" s="1300">
        <f>VLOOKUP(C92,TONGHOPCONGDOI!$C$11:$AD$93,24,0)</f>
        <v>0</v>
      </c>
      <c r="T92" s="1300">
        <f>VLOOKUP(C92,TONGHOPCONGDOI!$C$11:$AD$93,25,0)</f>
        <v>0</v>
      </c>
      <c r="U92" s="1300"/>
      <c r="V92" s="1300">
        <f t="shared" si="18"/>
        <v>0</v>
      </c>
      <c r="W92" s="1301"/>
      <c r="X92" s="1301"/>
      <c r="Y92" s="813">
        <f t="shared" si="16"/>
        <v>354992</v>
      </c>
      <c r="Z92" s="1300">
        <f t="shared" si="10"/>
        <v>2305024</v>
      </c>
      <c r="AA92" s="1300"/>
      <c r="AB92" s="1300">
        <f>VLOOKUP(C92,'CNKT '!D92:AC98,24,0)</f>
        <v>2305024</v>
      </c>
      <c r="AC92" s="1261">
        <f t="shared" si="17"/>
        <v>0</v>
      </c>
    </row>
    <row r="93" spans="1:29" s="1261" customFormat="1" ht="50.25" customHeight="1">
      <c r="A93" s="1299">
        <v>78</v>
      </c>
      <c r="B93" s="1299"/>
      <c r="C93" s="1300" t="str">
        <f>TONGHOPCONGDOI!C88</f>
        <v>T. Ta.</v>
      </c>
      <c r="D93" s="1300"/>
      <c r="E93" s="1301"/>
      <c r="F93" s="1300">
        <f t="shared" si="12"/>
        <v>0</v>
      </c>
      <c r="G93" s="1300">
        <f>VLOOKUP(C93,TONGHOPCONGDOI!C88:AE94,16,0)</f>
        <v>637</v>
      </c>
      <c r="H93" s="1300"/>
      <c r="I93" s="1300"/>
      <c r="J93" s="812">
        <f>$AD$10/$AD$9*G93+H93*$AD$11+I93*$AD$12</f>
        <v>281.19540551248389</v>
      </c>
      <c r="K93" s="817">
        <f>'SẢN LƯỢNG'!AP94</f>
        <v>11.031164665597505</v>
      </c>
      <c r="L93" s="817">
        <f>'SẢN LƯỢNG'!AQ94</f>
        <v>292.22657017808137</v>
      </c>
      <c r="M93" s="1299" t="str">
        <f>VLOOKUP(C93,'SẢN LƯỢNG'!D94:AR172,41,0)</f>
        <v>C.</v>
      </c>
      <c r="N93" s="1302">
        <f t="shared" si="14"/>
        <v>982027</v>
      </c>
      <c r="O93" s="1300">
        <f>VLOOKUP(C93,TONGHOPCONGDOI!$C$11:$V$91,20,0)</f>
        <v>7</v>
      </c>
      <c r="P93" s="1300">
        <f>VLOOKUP(C93,TONGHOPCONGDOI!$C$11:$W$91,21,0)</f>
        <v>1</v>
      </c>
      <c r="Q93" s="1300">
        <f>VLOOKUP(C93,TONGHOPCONGDOI!$C$11:$AD$93,22,0)</f>
        <v>0</v>
      </c>
      <c r="R93" s="1300">
        <f>VLOOKUP(C93,TONGHOPCONGDOI!$C$11:$AD$93,23,0)</f>
        <v>0</v>
      </c>
      <c r="S93" s="1300">
        <f>VLOOKUP(C93,TONGHOPCONGDOI!$C$11:$AD$93,24,0)</f>
        <v>0</v>
      </c>
      <c r="T93" s="1300">
        <f>VLOOKUP(C93,TONGHOPCONGDOI!$C$11:$AD$93,25,0)</f>
        <v>0</v>
      </c>
      <c r="U93" s="1300"/>
      <c r="V93" s="1300">
        <f t="shared" si="18"/>
        <v>0</v>
      </c>
      <c r="W93" s="1301"/>
      <c r="X93" s="1301"/>
      <c r="Y93" s="813">
        <f t="shared" si="16"/>
        <v>263720</v>
      </c>
      <c r="Z93" s="1300">
        <f t="shared" si="10"/>
        <v>1245747</v>
      </c>
      <c r="AA93" s="1300"/>
      <c r="AB93" s="1300">
        <f>VLOOKUP(C93,'CNKT '!D93:AC98,24,0)</f>
        <v>1245747</v>
      </c>
      <c r="AC93" s="1261">
        <f t="shared" si="17"/>
        <v>0</v>
      </c>
    </row>
    <row r="94" spans="1:29" s="1261" customFormat="1" ht="50.25" customHeight="1">
      <c r="A94" s="1299">
        <v>79</v>
      </c>
      <c r="B94" s="1299"/>
      <c r="C94" s="1300" t="str">
        <f>TONGHOPCONGDOI!C89</f>
        <v>N. Nang</v>
      </c>
      <c r="D94" s="1303"/>
      <c r="E94" s="1301"/>
      <c r="F94" s="1300">
        <f t="shared" si="12"/>
        <v>0</v>
      </c>
      <c r="G94" s="1300">
        <f>VLOOKUP(C94,TONGHOPCONGDOI!C89:AE94,16,0)</f>
        <v>427</v>
      </c>
      <c r="H94" s="1300"/>
      <c r="I94" s="1300"/>
      <c r="J94" s="812">
        <f>$AD$10/$AD$9*G94+H94*$AD$11+I94*$AD$12</f>
        <v>188.49362347540128</v>
      </c>
      <c r="K94" s="817">
        <f>'SẢN LƯỢNG'!AP95</f>
        <v>0</v>
      </c>
      <c r="L94" s="817">
        <f>'SẢN LƯỢNG'!AQ95</f>
        <v>188.49362347540128</v>
      </c>
      <c r="M94" s="1299" t="str">
        <f>VLOOKUP(C94,'SẢN LƯỢNG'!D95:AR173,41,0)</f>
        <v>C.</v>
      </c>
      <c r="N94" s="1302">
        <f>ROUND((IF(M94="A",(L94*6.1),IF(M94="B",(L94*5.8),IF(M94="C",(L94*5.5),IF(M94="C.",(L94*5.5),IF(M94="D",(L94*5.2),0)))))*$E$11),0)</f>
        <v>633433</v>
      </c>
      <c r="O94" s="1300">
        <f>VLOOKUP(C94,TONGHOPCONGDOI!$C$11:$V$91,20,0)</f>
        <v>5</v>
      </c>
      <c r="P94" s="1300">
        <f>VLOOKUP(C94,TONGHOPCONGDOI!$C$11:$W$91,21,0)</f>
        <v>1</v>
      </c>
      <c r="Q94" s="1300">
        <f>VLOOKUP(C94,TONGHOPCONGDOI!$C$11:$AD$93,27,0)</f>
        <v>0</v>
      </c>
      <c r="R94" s="1300">
        <f>VLOOKUP(C94,TONGHOPCONGDOI!$C$11:$AD$93,23,0)</f>
        <v>0</v>
      </c>
      <c r="S94" s="1300">
        <f>VLOOKUP(C94,TONGHOPCONGDOI!$C$11:$AD$93,24,0)</f>
        <v>0</v>
      </c>
      <c r="T94" s="1300">
        <f>VLOOKUP(C94,TONGHOPCONGDOI!$C$11:$AD$93,25,0)</f>
        <v>0</v>
      </c>
      <c r="U94" s="1300"/>
      <c r="V94" s="1300">
        <f t="shared" si="18"/>
        <v>0</v>
      </c>
      <c r="W94" s="1301"/>
      <c r="X94" s="1301"/>
      <c r="Y94" s="813">
        <f t="shared" si="16"/>
        <v>202872</v>
      </c>
      <c r="Z94" s="1300">
        <f t="shared" si="10"/>
        <v>836305</v>
      </c>
      <c r="AA94" s="1300"/>
      <c r="AB94" s="1300">
        <f>VLOOKUP(C94,'CNKT '!D94:AC98,24,0)</f>
        <v>836305</v>
      </c>
      <c r="AC94" s="1261">
        <f t="shared" si="17"/>
        <v>0</v>
      </c>
    </row>
    <row r="95" spans="1:29" s="1261" customFormat="1" ht="50.25" customHeight="1">
      <c r="A95" s="1299">
        <v>80</v>
      </c>
      <c r="B95" s="1299"/>
      <c r="C95" s="1300" t="str">
        <f>TONGHOPCONGDOI!C90</f>
        <v>T. Tan</v>
      </c>
      <c r="D95" s="1303"/>
      <c r="E95" s="1301"/>
      <c r="F95" s="1300">
        <f t="shared" si="12"/>
        <v>0</v>
      </c>
      <c r="G95" s="1300">
        <f>VLOOKUP(C95,TONGHOPCONGDOI!C90:AE94,16,0)</f>
        <v>331</v>
      </c>
      <c r="H95" s="1300"/>
      <c r="I95" s="1300"/>
      <c r="J95" s="812">
        <f>$AD$10/$AD$9*G95+H95*$AD$11+I95*$AD$12</f>
        <v>146.11566597273494</v>
      </c>
      <c r="K95" s="817">
        <f>'SẢN LƯỢNG'!AP96</f>
        <v>0</v>
      </c>
      <c r="L95" s="817">
        <f>'SẢN LƯỢNG'!AQ96</f>
        <v>146.11566597273494</v>
      </c>
      <c r="M95" s="1299" t="str">
        <f>VLOOKUP(C95,'SẢN LƯỢNG'!D96:AR174,41,0)</f>
        <v>C.</v>
      </c>
      <c r="N95" s="1302">
        <f t="shared" si="14"/>
        <v>491022</v>
      </c>
      <c r="O95" s="1300">
        <f>VLOOKUP(C95,TONGHOPCONGDOI!$C$11:$V$91,20,0)</f>
        <v>4</v>
      </c>
      <c r="P95" s="1300">
        <f>VLOOKUP(C95,TONGHOPCONGDOI!$C$11:$W$91,21,0)</f>
        <v>0</v>
      </c>
      <c r="Q95" s="1300">
        <f>VLOOKUP(C95,TONGHOPCONGDOI!$C$11:$AD$93,27,0)</f>
        <v>0</v>
      </c>
      <c r="R95" s="1300">
        <f>VLOOKUP(C95,TONGHOPCONGDOI!$C$11:$AD$93,23,0)</f>
        <v>0</v>
      </c>
      <c r="S95" s="1300">
        <f>VLOOKUP(C95,TONGHOPCONGDOI!$C$11:$AD$93,24,0)</f>
        <v>0</v>
      </c>
      <c r="T95" s="1300">
        <f>VLOOKUP(C95,TONGHOPCONGDOI!$C$11:$AD$93,25,0)</f>
        <v>0</v>
      </c>
      <c r="U95" s="1300"/>
      <c r="V95" s="1300">
        <f t="shared" si="18"/>
        <v>0</v>
      </c>
      <c r="W95" s="1301"/>
      <c r="X95" s="1301"/>
      <c r="Y95" s="813">
        <f t="shared" si="16"/>
        <v>121697</v>
      </c>
      <c r="Z95" s="1300">
        <f t="shared" si="10"/>
        <v>612719</v>
      </c>
      <c r="AA95" s="1300"/>
      <c r="AB95" s="1300">
        <f>VLOOKUP(C95,'CNKT '!D95:AC98,24,0)</f>
        <v>612719</v>
      </c>
      <c r="AC95" s="1261">
        <f t="shared" si="17"/>
        <v>0</v>
      </c>
    </row>
    <row r="96" spans="1:29" s="1261" customFormat="1" ht="50.25" customHeight="1">
      <c r="A96" s="1299">
        <v>81</v>
      </c>
      <c r="B96" s="1299"/>
      <c r="C96" s="1300" t="str">
        <f>TONGHOPCONGDOI!C91</f>
        <v>Mủ Xi Rum 1</v>
      </c>
      <c r="D96" s="1303"/>
      <c r="E96" s="1301"/>
      <c r="F96" s="1300"/>
      <c r="G96" s="1300"/>
      <c r="H96" s="1300"/>
      <c r="I96" s="1300">
        <f>'MỦ SERUM'!AH16</f>
        <v>300</v>
      </c>
      <c r="J96" s="817">
        <v>164.97000000000003</v>
      </c>
      <c r="K96" s="817"/>
      <c r="L96" s="817">
        <f>J96</f>
        <v>164.97000000000003</v>
      </c>
      <c r="M96" s="1299"/>
      <c r="N96" s="930">
        <f>ROUND((J96*6.1*E11),0)</f>
        <v>614860</v>
      </c>
      <c r="O96" s="1300">
        <f>VLOOKUP(C96,TONGHOPCONGDOI!$C$11:$V$92,20,0)</f>
        <v>0</v>
      </c>
      <c r="P96" s="1300">
        <f>VLOOKUP(C96,TONGHOPCONGDOI!$C$11:$W$92,21,0)</f>
        <v>0</v>
      </c>
      <c r="Q96" s="1300">
        <f>VLOOKUP(C96,TONGHOPCONGDOI!$C$11:$AD$93,27,0)</f>
        <v>0</v>
      </c>
      <c r="R96" s="1300">
        <f>VLOOKUP(C96,TONGHOPCONGDOI!$C$11:$AD$93,23,0)</f>
        <v>0</v>
      </c>
      <c r="S96" s="1300">
        <f>VLOOKUP(C96,TONGHOPCONGDOI!$C$11:$AD$93,24,0)</f>
        <v>0</v>
      </c>
      <c r="T96" s="1300">
        <f>VLOOKUP(C96,TONGHOPCONGDOI!$C$11:$AD$93,25,0)</f>
        <v>0</v>
      </c>
      <c r="U96" s="1300"/>
      <c r="V96" s="1301">
        <f t="shared" ref="V96" si="19">SUM(O96:T96)</f>
        <v>0</v>
      </c>
      <c r="W96" s="1301"/>
      <c r="X96" s="1301"/>
      <c r="Y96" s="813">
        <f t="shared" ref="Y96" si="20">ROUND(((O96*46.1)+(P96*76.9)+(Q96*92.2)+(R96*153.8)+(S96*92.2)+(T96*153.8))*$E$12+(U96*25000)+(V96*10000)+(W96*30000),0)</f>
        <v>0</v>
      </c>
      <c r="Z96" s="1300">
        <f t="shared" ref="Z96:Z97" si="21">F96+N96+Y96</f>
        <v>614860</v>
      </c>
      <c r="AA96" s="1300"/>
      <c r="AB96" s="1300">
        <f>VLOOKUP(C96,'CNKT '!D96:AC97,24,0)</f>
        <v>614860</v>
      </c>
      <c r="AC96" s="1261">
        <f t="shared" si="17"/>
        <v>0</v>
      </c>
    </row>
    <row r="97" spans="1:30" s="1261" customFormat="1" ht="50.25" customHeight="1">
      <c r="A97" s="1299">
        <v>81</v>
      </c>
      <c r="B97" s="1299"/>
      <c r="C97" s="1300" t="str">
        <f>TONGHOPCONGDOI!C92</f>
        <v>Keo</v>
      </c>
      <c r="D97" s="1303"/>
      <c r="E97" s="1301"/>
      <c r="F97" s="1300"/>
      <c r="G97" s="1300"/>
      <c r="H97" s="1300"/>
      <c r="I97" s="1300"/>
      <c r="J97" s="817"/>
      <c r="K97" s="817"/>
      <c r="L97" s="817"/>
      <c r="M97" s="1299"/>
      <c r="N97" s="930">
        <v>854627</v>
      </c>
      <c r="O97" s="1300"/>
      <c r="P97" s="1300"/>
      <c r="Q97" s="1300"/>
      <c r="R97" s="1300"/>
      <c r="S97" s="1300"/>
      <c r="T97" s="1300"/>
      <c r="U97" s="1300"/>
      <c r="V97" s="1301"/>
      <c r="W97" s="1301"/>
      <c r="X97" s="1301"/>
      <c r="Y97" s="813"/>
      <c r="Z97" s="1300">
        <f t="shared" si="21"/>
        <v>854627</v>
      </c>
      <c r="AA97" s="1300"/>
      <c r="AB97" s="1300">
        <f>VLOOKUP(C97,'CNKT '!D97:AC98,24,0)</f>
        <v>854627</v>
      </c>
      <c r="AC97" s="1261">
        <f>AB97-Z97</f>
        <v>0</v>
      </c>
    </row>
    <row r="98" spans="1:30" s="1309" customFormat="1" ht="50.25" customHeight="1">
      <c r="A98" s="1299">
        <v>82</v>
      </c>
      <c r="B98" s="1304"/>
      <c r="C98" s="1305" t="str">
        <f>TONGHOPCONGDOI!C93</f>
        <v>A. Trí</v>
      </c>
      <c r="D98" s="1306"/>
      <c r="E98" s="1307"/>
      <c r="F98" s="1305">
        <f t="shared" si="12"/>
        <v>0</v>
      </c>
      <c r="G98" s="1305"/>
      <c r="H98" s="1305"/>
      <c r="I98" s="1305"/>
      <c r="J98" s="814"/>
      <c r="K98" s="814"/>
      <c r="L98" s="814"/>
      <c r="M98" s="1308"/>
      <c r="N98" s="815"/>
      <c r="O98" s="1305"/>
      <c r="P98" s="1305"/>
      <c r="Q98" s="1300"/>
      <c r="R98" s="1305">
        <f>VLOOKUP(C98,TONGHOPCONGDOI!$C$11:$AD$94,23,0)</f>
        <v>0</v>
      </c>
      <c r="S98" s="1305">
        <f>VLOOKUP(C98,TONGHOPCONGDOI!$C$11:$AD$94,24,0)</f>
        <v>0</v>
      </c>
      <c r="T98" s="1305">
        <f>VLOOKUP(C98,TONGHOPCONGDOI!$C$11:$AD$94,25,0)</f>
        <v>0</v>
      </c>
      <c r="U98" s="1305"/>
      <c r="V98" s="1305"/>
      <c r="W98" s="1305"/>
      <c r="X98" s="1307"/>
      <c r="Y98" s="816">
        <f t="shared" ref="Y98" si="22">((O98*46.1)+(P98*76.9)+(Q98*92.2)+(R98*153.8)+(S98*92.2)+(T98*153.8))*$E$12+(U98*20000)+(V98*10000)+(W98*30000)</f>
        <v>0</v>
      </c>
      <c r="Z98" s="1305">
        <f t="shared" si="10"/>
        <v>0</v>
      </c>
      <c r="AA98" s="1305"/>
      <c r="AB98" s="1305">
        <f>VLOOKUP(C98,'CNKT '!D98:AC99,24,0)</f>
        <v>0</v>
      </c>
    </row>
    <row r="99" spans="1:30" s="1309" customFormat="1" ht="50.25" customHeight="1">
      <c r="A99" s="1299">
        <v>83</v>
      </c>
      <c r="B99" s="1304"/>
      <c r="C99" s="1305" t="str">
        <f>TONGHOPCONGDOI!C94</f>
        <v>T. Tạch</v>
      </c>
      <c r="D99" s="1306"/>
      <c r="E99" s="1307"/>
      <c r="F99" s="1305">
        <f t="shared" ref="F99" si="23">E99*25000</f>
        <v>0</v>
      </c>
      <c r="G99" s="1305"/>
      <c r="H99" s="1305"/>
      <c r="I99" s="1305"/>
      <c r="J99" s="814"/>
      <c r="K99" s="814"/>
      <c r="L99" s="814"/>
      <c r="M99" s="1308"/>
      <c r="N99" s="815"/>
      <c r="O99" s="1305"/>
      <c r="P99" s="1305"/>
      <c r="Q99" s="1305"/>
      <c r="R99" s="1305"/>
      <c r="S99" s="1305"/>
      <c r="T99" s="1305"/>
      <c r="U99" s="1305"/>
      <c r="V99" s="1305"/>
      <c r="W99" s="1305"/>
      <c r="X99" s="1307"/>
      <c r="Y99" s="816"/>
      <c r="Z99" s="1305">
        <f t="shared" si="10"/>
        <v>0</v>
      </c>
      <c r="AA99" s="1305"/>
      <c r="AB99" s="1305">
        <f>VLOOKUP(C99,'CNKT '!D99:AC99,24,0)</f>
        <v>0</v>
      </c>
    </row>
    <row r="100" spans="1:30" s="1261" customFormat="1" ht="39" customHeight="1">
      <c r="A100" s="1491" t="s">
        <v>340</v>
      </c>
      <c r="B100" s="1492"/>
      <c r="C100" s="1492"/>
      <c r="D100" s="1493"/>
      <c r="E100" s="915">
        <f t="shared" ref="E100:AB100" si="24">SUM(E16:E99)</f>
        <v>0</v>
      </c>
      <c r="F100" s="915">
        <f t="shared" si="24"/>
        <v>0</v>
      </c>
      <c r="G100" s="915">
        <f t="shared" si="24"/>
        <v>292536</v>
      </c>
      <c r="H100" s="915">
        <f t="shared" si="24"/>
        <v>0</v>
      </c>
      <c r="I100" s="915">
        <f t="shared" si="24"/>
        <v>300</v>
      </c>
      <c r="J100" s="915">
        <f>SUM(J16:J99)</f>
        <v>129301.20099999997</v>
      </c>
      <c r="K100" s="915">
        <f t="shared" si="24"/>
        <v>10180.000000000002</v>
      </c>
      <c r="L100" s="915">
        <f>SUM(L16:L99)</f>
        <v>139481.201</v>
      </c>
      <c r="M100" s="915">
        <f t="shared" si="24"/>
        <v>0</v>
      </c>
      <c r="N100" s="915">
        <f t="shared" si="24"/>
        <v>510467925</v>
      </c>
      <c r="O100" s="915">
        <f t="shared" si="24"/>
        <v>1974</v>
      </c>
      <c r="P100" s="915">
        <f t="shared" si="24"/>
        <v>294</v>
      </c>
      <c r="Q100" s="915">
        <f t="shared" si="24"/>
        <v>0</v>
      </c>
      <c r="R100" s="915">
        <f t="shared" si="24"/>
        <v>0</v>
      </c>
      <c r="S100" s="915">
        <f t="shared" si="24"/>
        <v>0</v>
      </c>
      <c r="T100" s="915">
        <f t="shared" si="24"/>
        <v>0</v>
      </c>
      <c r="U100" s="915">
        <f t="shared" si="24"/>
        <v>0</v>
      </c>
      <c r="V100" s="915">
        <f t="shared" si="24"/>
        <v>0</v>
      </c>
      <c r="W100" s="915">
        <f t="shared" si="24"/>
        <v>0</v>
      </c>
      <c r="X100" s="915">
        <f t="shared" si="24"/>
        <v>0</v>
      </c>
      <c r="Y100" s="915">
        <f t="shared" si="24"/>
        <v>74978068</v>
      </c>
      <c r="Z100" s="915">
        <f t="shared" si="24"/>
        <v>585445993</v>
      </c>
      <c r="AA100" s="915">
        <f t="shared" si="24"/>
        <v>0</v>
      </c>
      <c r="AB100" s="915">
        <f t="shared" si="24"/>
        <v>585445993</v>
      </c>
      <c r="AC100" s="1261">
        <f>Z100-AB100</f>
        <v>0</v>
      </c>
      <c r="AD100" s="1261">
        <f>SUM(AB16:AB88)/73</f>
        <v>7797371.3424657537</v>
      </c>
    </row>
    <row r="101" spans="1:30" ht="45.6" customHeight="1">
      <c r="A101" s="1477" t="s">
        <v>877</v>
      </c>
      <c r="B101" s="1477"/>
      <c r="C101" s="1477"/>
      <c r="D101" s="1477"/>
      <c r="E101" s="1477"/>
      <c r="F101" s="1477"/>
      <c r="G101" s="1477"/>
      <c r="H101" s="1477"/>
      <c r="I101" s="1477"/>
      <c r="J101" s="1477"/>
      <c r="K101" s="1477"/>
      <c r="L101" s="1477"/>
      <c r="M101" s="1477"/>
      <c r="N101" s="1477"/>
      <c r="O101" s="1477"/>
      <c r="P101" s="1477"/>
      <c r="Q101" s="1477"/>
      <c r="R101" s="1477"/>
      <c r="S101" s="1477"/>
      <c r="T101" s="1477"/>
      <c r="U101" s="1477"/>
      <c r="V101" s="1477"/>
      <c r="W101" s="1477"/>
      <c r="X101" s="1477"/>
      <c r="Y101" s="1477"/>
      <c r="Z101" s="1477"/>
      <c r="AA101" s="1477"/>
      <c r="AB101" s="1477"/>
      <c r="AD101" s="1310">
        <f>G100*AB12/1000</f>
        <v>129.13623099999998</v>
      </c>
    </row>
    <row r="102" spans="1:30" ht="12.75" customHeight="1">
      <c r="A102" s="1311"/>
      <c r="B102" s="1311"/>
      <c r="C102" s="1311"/>
      <c r="D102" s="1311"/>
      <c r="E102" s="1311"/>
      <c r="F102" s="1311"/>
      <c r="G102" s="1311"/>
      <c r="H102" s="1311"/>
      <c r="I102" s="1311"/>
      <c r="J102" s="1311"/>
      <c r="K102" s="1311"/>
      <c r="L102" s="1311"/>
      <c r="M102" s="1311"/>
      <c r="N102" s="1311"/>
      <c r="O102" s="1311"/>
      <c r="P102" s="1311"/>
      <c r="Q102" s="1311"/>
      <c r="R102" s="1311"/>
      <c r="S102" s="1311"/>
      <c r="T102" s="1311"/>
      <c r="U102" s="1311"/>
      <c r="V102" s="1311"/>
      <c r="W102" s="1311"/>
      <c r="X102" s="1311"/>
      <c r="Y102" s="1311"/>
      <c r="Z102" s="1311"/>
      <c r="AA102" s="1311"/>
      <c r="AB102" s="1311"/>
    </row>
    <row r="103" spans="1:30" ht="31.15" customHeight="1">
      <c r="A103" s="1293"/>
      <c r="B103" s="1293"/>
      <c r="C103" s="1293"/>
      <c r="D103" s="1293"/>
      <c r="E103" s="1293"/>
      <c r="F103" s="1293"/>
      <c r="G103" s="1293"/>
      <c r="H103" s="1293"/>
      <c r="I103" s="1293"/>
      <c r="J103" s="1293"/>
      <c r="K103" s="1293"/>
      <c r="L103" s="1293"/>
      <c r="M103" s="1293"/>
      <c r="N103" s="1293"/>
      <c r="O103" s="1293"/>
      <c r="P103" s="1483" t="s">
        <v>807</v>
      </c>
      <c r="Q103" s="1483"/>
      <c r="R103" s="1483"/>
      <c r="S103" s="1483"/>
      <c r="T103" s="1483"/>
      <c r="U103" s="1483"/>
      <c r="V103" s="1483"/>
      <c r="W103" s="1483"/>
      <c r="X103" s="1483"/>
      <c r="Y103" s="1483"/>
      <c r="Z103" s="1483"/>
      <c r="AA103" s="1483"/>
      <c r="AB103" s="1483"/>
      <c r="AC103" s="1312"/>
    </row>
    <row r="104" spans="1:30" ht="10.15" customHeight="1">
      <c r="A104" s="1293"/>
      <c r="B104" s="1293"/>
      <c r="C104" s="1293"/>
      <c r="D104" s="1293"/>
      <c r="E104" s="1293"/>
      <c r="F104" s="1293"/>
      <c r="G104" s="1293"/>
      <c r="H104" s="1293"/>
      <c r="I104" s="1293"/>
      <c r="J104" s="1293"/>
      <c r="K104" s="1293"/>
      <c r="L104" s="1293"/>
      <c r="M104" s="1293"/>
      <c r="N104" s="1293"/>
      <c r="O104" s="1293"/>
      <c r="P104" s="1293"/>
      <c r="Q104" s="1293"/>
      <c r="R104" s="1293"/>
      <c r="S104" s="1293"/>
      <c r="T104" s="1293"/>
      <c r="U104" s="1293"/>
      <c r="V104" s="1293"/>
      <c r="W104" s="1293"/>
      <c r="X104" s="1293"/>
      <c r="Y104" s="1293"/>
      <c r="Z104" s="1293"/>
      <c r="AA104" s="1293"/>
      <c r="AB104" s="1293"/>
      <c r="AC104" s="1312"/>
    </row>
    <row r="105" spans="1:30" ht="31.15" customHeight="1">
      <c r="A105" s="1482" t="s">
        <v>501</v>
      </c>
      <c r="B105" s="1482"/>
      <c r="C105" s="1482"/>
      <c r="D105" s="1482"/>
      <c r="E105" s="1482"/>
      <c r="F105" s="1482"/>
      <c r="G105" s="1482"/>
      <c r="H105" s="1482"/>
      <c r="I105" s="1482"/>
      <c r="J105" s="1482"/>
      <c r="K105" s="1482"/>
      <c r="L105" s="1482"/>
      <c r="M105" s="1482"/>
      <c r="N105" s="1482"/>
      <c r="O105" s="1482"/>
      <c r="P105" s="1482"/>
      <c r="Q105" s="1482"/>
      <c r="R105" s="1482"/>
      <c r="S105" s="1482"/>
      <c r="T105" s="1482"/>
      <c r="U105" s="1482"/>
      <c r="V105" s="1482"/>
      <c r="W105" s="1482"/>
      <c r="X105" s="1482"/>
      <c r="Y105" s="1482"/>
      <c r="Z105" s="1482"/>
      <c r="AA105" s="1482"/>
      <c r="AB105" s="1482"/>
      <c r="AC105" s="1312"/>
    </row>
    <row r="106" spans="1:30" s="1285" customFormat="1" ht="31.15" customHeight="1">
      <c r="A106" s="1312"/>
      <c r="B106" s="1312"/>
      <c r="C106" s="1312"/>
      <c r="D106" s="1312"/>
      <c r="E106" s="1312"/>
      <c r="F106" s="1312"/>
      <c r="G106" s="1312"/>
      <c r="H106" s="1312"/>
      <c r="I106" s="1312"/>
      <c r="J106" s="1312"/>
      <c r="K106" s="1312"/>
      <c r="L106" s="1312"/>
      <c r="M106" s="1312"/>
      <c r="N106" s="1312"/>
      <c r="O106" s="1312"/>
      <c r="P106" s="1312"/>
      <c r="Q106" s="1312"/>
      <c r="R106" s="1312"/>
      <c r="S106" s="1312"/>
      <c r="T106" s="1312"/>
      <c r="U106" s="1312"/>
      <c r="V106" s="1312"/>
      <c r="W106" s="1312"/>
      <c r="X106" s="1312"/>
      <c r="Y106" s="1312"/>
      <c r="Z106" s="1312"/>
      <c r="AA106" s="1312"/>
      <c r="AB106" s="1312"/>
      <c r="AC106" s="1312"/>
    </row>
    <row r="107" spans="1:30" s="1285" customFormat="1" ht="31.15" customHeight="1">
      <c r="A107" s="1312"/>
      <c r="B107" s="1312"/>
      <c r="C107" s="1312"/>
      <c r="D107" s="1312"/>
      <c r="E107" s="1312"/>
      <c r="F107" s="1312"/>
      <c r="G107" s="1312"/>
      <c r="H107" s="1312"/>
      <c r="I107" s="1312"/>
      <c r="J107" s="1312"/>
      <c r="K107" s="1312"/>
      <c r="L107" s="1312"/>
      <c r="M107" s="1312"/>
      <c r="N107" s="1312"/>
      <c r="O107" s="1312"/>
      <c r="P107" s="1312"/>
      <c r="Q107" s="1312"/>
      <c r="R107" s="1312"/>
      <c r="S107" s="1312"/>
      <c r="T107" s="1312"/>
      <c r="U107" s="1312"/>
      <c r="V107" s="1312"/>
      <c r="W107" s="1312"/>
      <c r="X107" s="1312"/>
      <c r="Y107" s="1312"/>
      <c r="Z107" s="1312"/>
      <c r="AA107" s="1312"/>
      <c r="AB107" s="1312"/>
    </row>
    <row r="108" spans="1:30" s="1285" customFormat="1" ht="31.15" customHeight="1">
      <c r="A108" s="1312"/>
      <c r="B108" s="1312"/>
      <c r="C108" s="1312"/>
      <c r="D108" s="1312"/>
      <c r="E108" s="1312"/>
      <c r="F108" s="1312"/>
      <c r="G108" s="1312"/>
      <c r="H108" s="1312"/>
      <c r="I108" s="1312"/>
      <c r="J108" s="1312"/>
      <c r="K108" s="1312"/>
      <c r="L108" s="1312"/>
      <c r="M108" s="1312"/>
      <c r="N108" s="1312"/>
      <c r="O108" s="1312"/>
      <c r="P108" s="1312"/>
      <c r="Q108" s="1312"/>
      <c r="R108" s="1312"/>
      <c r="S108" s="1312"/>
      <c r="T108" s="1312"/>
      <c r="U108" s="1312"/>
      <c r="V108" s="1312"/>
      <c r="W108" s="1312"/>
      <c r="X108" s="1312"/>
      <c r="Y108" s="1312"/>
      <c r="Z108" s="1312"/>
      <c r="AA108" s="1312"/>
      <c r="AB108" s="1312"/>
    </row>
    <row r="109" spans="1:30" s="1285" customFormat="1" ht="31.15" customHeight="1">
      <c r="A109" s="1312"/>
      <c r="B109" s="1312"/>
      <c r="C109" s="1312"/>
      <c r="D109" s="1312"/>
      <c r="E109" s="1312"/>
      <c r="F109" s="1312"/>
      <c r="G109" s="1312"/>
      <c r="H109" s="1312"/>
      <c r="I109" s="1312"/>
      <c r="J109" s="1312"/>
      <c r="K109" s="1312"/>
      <c r="L109" s="1312"/>
      <c r="M109" s="1312"/>
      <c r="N109" s="1312"/>
      <c r="O109" s="1312"/>
      <c r="P109" s="1312"/>
      <c r="Q109" s="1312"/>
      <c r="R109" s="1312"/>
      <c r="S109" s="1312"/>
      <c r="T109" s="1312"/>
      <c r="U109" s="1312"/>
      <c r="V109" s="1312"/>
      <c r="W109" s="1312"/>
      <c r="X109" s="1312"/>
      <c r="Y109" s="1312"/>
      <c r="Z109" s="1312"/>
      <c r="AA109" s="1312"/>
      <c r="AB109" s="1312"/>
    </row>
    <row r="110" spans="1:30" s="1285" customFormat="1" ht="31.15" customHeight="1">
      <c r="A110" s="1312"/>
      <c r="B110" s="1312"/>
      <c r="C110" s="1312"/>
      <c r="D110" s="1312"/>
      <c r="E110" s="1312"/>
      <c r="F110" s="1312"/>
      <c r="G110" s="1312"/>
      <c r="H110" s="1312"/>
      <c r="I110" s="1312"/>
      <c r="J110" s="1312"/>
      <c r="K110" s="1312"/>
      <c r="L110" s="1312"/>
      <c r="M110" s="1312"/>
      <c r="N110" s="1312"/>
      <c r="O110" s="1312"/>
      <c r="P110" s="1312"/>
      <c r="Q110" s="1312"/>
      <c r="R110" s="1312"/>
      <c r="S110" s="1312"/>
      <c r="T110" s="1312"/>
      <c r="U110" s="1312"/>
      <c r="V110" s="1312"/>
      <c r="W110" s="1312"/>
      <c r="X110" s="1312"/>
      <c r="Y110" s="1312"/>
      <c r="Z110" s="1312"/>
      <c r="AA110" s="1312"/>
      <c r="AB110" s="1312"/>
    </row>
    <row r="111" spans="1:30" s="1285" customFormat="1" ht="31.15" customHeight="1">
      <c r="A111" s="1312"/>
      <c r="B111" s="1312"/>
      <c r="C111" s="1312"/>
      <c r="D111" s="1312"/>
      <c r="E111" s="1312"/>
      <c r="F111" s="1312"/>
      <c r="G111" s="1312"/>
      <c r="H111" s="1312"/>
      <c r="I111" s="1312"/>
      <c r="J111" s="1312"/>
      <c r="K111" s="1312"/>
      <c r="L111" s="1312"/>
      <c r="M111" s="1312"/>
      <c r="N111" s="1312"/>
      <c r="O111" s="1312"/>
      <c r="P111" s="1312"/>
      <c r="Q111" s="1312"/>
      <c r="R111" s="1312"/>
      <c r="S111" s="1312"/>
      <c r="T111" s="1312"/>
      <c r="U111" s="1312"/>
      <c r="V111" s="1312"/>
      <c r="W111" s="1312"/>
      <c r="X111" s="1312"/>
      <c r="Y111" s="1312"/>
      <c r="Z111" s="1312"/>
      <c r="AA111" s="1312"/>
      <c r="AB111" s="1312"/>
    </row>
    <row r="112" spans="1:30" s="1285" customFormat="1" ht="31.15" customHeight="1">
      <c r="A112" s="1312"/>
      <c r="B112" s="1312"/>
      <c r="C112" s="1312"/>
      <c r="D112" s="1312"/>
      <c r="E112" s="1312"/>
      <c r="F112" s="1312"/>
      <c r="G112" s="1312"/>
      <c r="H112" s="1312"/>
      <c r="I112" s="1312"/>
      <c r="J112" s="1312"/>
      <c r="K112" s="1312"/>
      <c r="L112" s="1312"/>
      <c r="M112" s="1312"/>
      <c r="N112" s="1312"/>
      <c r="O112" s="1312"/>
      <c r="P112" s="1312"/>
      <c r="Q112" s="1312"/>
      <c r="R112" s="1312"/>
      <c r="S112" s="1312"/>
      <c r="T112" s="1312"/>
      <c r="U112" s="1312"/>
      <c r="V112" s="1312"/>
      <c r="W112" s="1312"/>
      <c r="X112" s="1312"/>
      <c r="Y112" s="1312"/>
      <c r="Z112" s="1312"/>
      <c r="AA112" s="1312"/>
      <c r="AB112" s="1312"/>
    </row>
    <row r="113" spans="1:28" s="1285" customFormat="1" ht="31.15" customHeight="1">
      <c r="A113" s="1312"/>
      <c r="B113" s="1312"/>
      <c r="C113" s="1312"/>
      <c r="D113" s="1312"/>
      <c r="E113" s="1312"/>
      <c r="F113" s="1312"/>
      <c r="G113" s="1312"/>
      <c r="H113" s="1312"/>
      <c r="I113" s="1312"/>
      <c r="J113" s="1312"/>
      <c r="K113" s="1312"/>
      <c r="L113" s="1312"/>
      <c r="M113" s="1312"/>
      <c r="N113" s="1312"/>
      <c r="O113" s="1312"/>
      <c r="P113" s="1312"/>
      <c r="Q113" s="1312"/>
      <c r="R113" s="1312"/>
      <c r="S113" s="1312"/>
      <c r="T113" s="1312"/>
      <c r="U113" s="1312"/>
      <c r="V113" s="1312"/>
      <c r="W113" s="1312"/>
      <c r="X113" s="1312"/>
      <c r="Y113" s="1312"/>
      <c r="Z113" s="1312"/>
      <c r="AA113" s="1312"/>
      <c r="AB113" s="1312"/>
    </row>
    <row r="114" spans="1:28" s="1285" customFormat="1" ht="31.15" customHeight="1">
      <c r="A114" s="1312"/>
      <c r="B114" s="1312"/>
      <c r="C114" s="1312"/>
      <c r="D114" s="1312"/>
      <c r="E114" s="1312"/>
      <c r="F114" s="1312"/>
      <c r="G114" s="1312"/>
      <c r="H114" s="1312"/>
      <c r="I114" s="1312"/>
      <c r="J114" s="1312"/>
      <c r="K114" s="1312"/>
      <c r="L114" s="1312"/>
      <c r="M114" s="1312"/>
      <c r="N114" s="1312"/>
      <c r="O114" s="1312"/>
      <c r="P114" s="1312"/>
      <c r="Q114" s="1312"/>
      <c r="R114" s="1312"/>
      <c r="S114" s="1312"/>
      <c r="T114" s="1312"/>
      <c r="U114" s="1312"/>
      <c r="V114" s="1312"/>
      <c r="W114" s="1312"/>
      <c r="X114" s="1312"/>
      <c r="Y114" s="1312"/>
      <c r="Z114" s="1312"/>
      <c r="AA114" s="1312"/>
      <c r="AB114" s="1312"/>
    </row>
    <row r="115" spans="1:28" s="1285" customFormat="1" ht="31.15" customHeight="1">
      <c r="A115" s="1312"/>
      <c r="B115" s="1312"/>
      <c r="C115" s="1312"/>
      <c r="D115" s="1312"/>
      <c r="E115" s="1312"/>
      <c r="F115" s="1312"/>
      <c r="G115" s="1312"/>
      <c r="H115" s="1312"/>
      <c r="I115" s="1312"/>
      <c r="J115" s="1312"/>
      <c r="K115" s="1312"/>
      <c r="L115" s="1312"/>
      <c r="M115" s="1312"/>
      <c r="N115" s="1312"/>
      <c r="O115" s="1312"/>
      <c r="P115" s="1312"/>
      <c r="Q115" s="1312"/>
      <c r="R115" s="1312"/>
      <c r="S115" s="1312"/>
      <c r="T115" s="1312"/>
      <c r="U115" s="1312"/>
      <c r="V115" s="1312"/>
      <c r="W115" s="1312"/>
      <c r="X115" s="1312"/>
      <c r="Y115" s="1312"/>
      <c r="Z115" s="1312"/>
      <c r="AA115" s="1312"/>
      <c r="AB115" s="1312"/>
    </row>
    <row r="116" spans="1:28" s="1285" customFormat="1" ht="31.15" customHeight="1">
      <c r="A116" s="1312"/>
      <c r="B116" s="1312"/>
      <c r="C116" s="1312"/>
      <c r="D116" s="1312"/>
      <c r="E116" s="1312"/>
      <c r="F116" s="1312"/>
      <c r="G116" s="1312"/>
      <c r="H116" s="1312"/>
      <c r="I116" s="1312"/>
      <c r="J116" s="1312"/>
      <c r="K116" s="1312"/>
      <c r="L116" s="1312"/>
      <c r="M116" s="1312"/>
      <c r="N116" s="1312"/>
      <c r="O116" s="1312"/>
      <c r="P116" s="1312"/>
      <c r="Q116" s="1312"/>
      <c r="R116" s="1312"/>
      <c r="S116" s="1312"/>
      <c r="T116" s="1312"/>
      <c r="U116" s="1312"/>
      <c r="V116" s="1312"/>
      <c r="W116" s="1312"/>
      <c r="X116" s="1312"/>
      <c r="Y116" s="1312"/>
      <c r="Z116" s="1312"/>
      <c r="AA116" s="1312"/>
      <c r="AB116" s="1312"/>
    </row>
    <row r="117" spans="1:28" s="1285" customFormat="1" ht="19.5" customHeight="1">
      <c r="A117" s="1313"/>
      <c r="B117" s="1313"/>
      <c r="C117" s="1199"/>
      <c r="D117" s="1199"/>
      <c r="E117" s="1314"/>
      <c r="F117" s="1199"/>
      <c r="G117" s="1199"/>
      <c r="H117" s="1199"/>
      <c r="I117" s="1199"/>
      <c r="J117" s="1315"/>
      <c r="K117" s="1315"/>
      <c r="L117" s="1315"/>
      <c r="M117" s="1199"/>
      <c r="Y117" s="1314"/>
      <c r="Z117" s="1316"/>
      <c r="AA117" s="1199"/>
      <c r="AB117" s="1199"/>
    </row>
    <row r="118" spans="1:28" s="1285" customFormat="1" ht="19.5" customHeight="1">
      <c r="A118" s="1313"/>
      <c r="B118" s="1313"/>
      <c r="C118" s="1199"/>
      <c r="D118" s="1316"/>
      <c r="E118" s="1314"/>
      <c r="F118" s="1317"/>
      <c r="G118" s="1317"/>
      <c r="H118" s="1317"/>
      <c r="I118" s="1317"/>
      <c r="J118" s="1315"/>
      <c r="K118" s="1315"/>
      <c r="L118" s="1315"/>
      <c r="M118" s="1199"/>
      <c r="N118" s="1314"/>
      <c r="Y118" s="1281"/>
      <c r="Z118" s="1314"/>
    </row>
    <row r="119" spans="1:28">
      <c r="C119" s="1281"/>
      <c r="E119" s="1318"/>
      <c r="F119" s="1318"/>
      <c r="G119" s="1318"/>
      <c r="H119" s="1318"/>
      <c r="I119" s="1318"/>
      <c r="J119" s="278"/>
      <c r="K119" s="278"/>
      <c r="L119" s="278"/>
      <c r="M119" s="278"/>
      <c r="N119" s="1318"/>
    </row>
    <row r="120" spans="1:28">
      <c r="C120" s="1281"/>
      <c r="E120" s="1318"/>
      <c r="F120" s="1209"/>
      <c r="G120" s="1209"/>
      <c r="H120" s="1209"/>
      <c r="I120" s="1209"/>
      <c r="J120" s="278"/>
      <c r="K120" s="278"/>
      <c r="L120" s="278"/>
      <c r="M120" s="278"/>
      <c r="N120" s="1209"/>
      <c r="O120" s="1478"/>
      <c r="P120" s="1478"/>
      <c r="Q120" s="1478"/>
      <c r="R120" s="1319"/>
      <c r="S120" s="1319"/>
      <c r="T120" s="1319"/>
      <c r="U120" s="1319"/>
    </row>
    <row r="121" spans="1:28">
      <c r="C121" s="1281"/>
      <c r="E121" s="1318"/>
      <c r="F121" s="1209"/>
      <c r="G121" s="1209"/>
      <c r="H121" s="1209"/>
      <c r="I121" s="1209"/>
      <c r="J121" s="278"/>
      <c r="K121" s="278"/>
      <c r="L121" s="278"/>
      <c r="M121" s="278"/>
      <c r="N121" s="1209"/>
      <c r="O121" s="1319"/>
      <c r="P121" s="1319"/>
      <c r="Q121" s="1319"/>
      <c r="R121" s="1319"/>
      <c r="S121" s="1319"/>
      <c r="T121" s="1319"/>
      <c r="U121" s="1319"/>
    </row>
    <row r="122" spans="1:28">
      <c r="C122" s="1281"/>
      <c r="E122" s="1318"/>
      <c r="F122" s="1209"/>
      <c r="G122" s="1209"/>
      <c r="H122" s="1209"/>
      <c r="I122" s="1209"/>
      <c r="J122" s="278"/>
      <c r="K122" s="278"/>
      <c r="L122" s="278"/>
      <c r="M122" s="278"/>
      <c r="N122" s="1209"/>
      <c r="O122" s="1319"/>
      <c r="P122" s="1319"/>
      <c r="Q122" s="1319"/>
      <c r="R122" s="1319"/>
      <c r="S122" s="1319"/>
      <c r="T122" s="1319"/>
      <c r="U122" s="1319"/>
    </row>
    <row r="123" spans="1:28">
      <c r="C123" s="1281"/>
      <c r="E123" s="1318"/>
      <c r="F123" s="1209"/>
      <c r="G123" s="1209"/>
      <c r="H123" s="1209"/>
      <c r="I123" s="1209"/>
      <c r="J123" s="278"/>
      <c r="K123" s="278"/>
      <c r="L123" s="278"/>
      <c r="M123" s="278"/>
      <c r="N123" s="1209"/>
      <c r="O123" s="1319"/>
      <c r="P123" s="1319"/>
      <c r="Q123" s="1319"/>
      <c r="R123" s="1319"/>
      <c r="S123" s="1319"/>
      <c r="T123" s="1319"/>
      <c r="U123" s="1319"/>
    </row>
    <row r="124" spans="1:28">
      <c r="C124" s="1281"/>
      <c r="E124" s="1318"/>
      <c r="F124" s="1209"/>
      <c r="G124" s="1209"/>
      <c r="H124" s="1209"/>
      <c r="I124" s="1209"/>
      <c r="J124" s="278"/>
      <c r="K124" s="278"/>
      <c r="L124" s="278"/>
      <c r="M124" s="278"/>
      <c r="N124" s="1209"/>
      <c r="O124" s="1319"/>
      <c r="P124" s="1319"/>
      <c r="Q124" s="1319"/>
      <c r="R124" s="1319"/>
      <c r="S124" s="1319"/>
      <c r="T124" s="1319"/>
      <c r="U124" s="1319"/>
    </row>
    <row r="125" spans="1:28">
      <c r="C125" s="1281"/>
      <c r="E125" s="1318"/>
      <c r="F125" s="1209"/>
      <c r="G125" s="1209"/>
      <c r="H125" s="1209"/>
      <c r="I125" s="1209"/>
      <c r="J125" s="278"/>
      <c r="K125" s="278"/>
      <c r="L125" s="278"/>
      <c r="M125" s="278"/>
      <c r="N125" s="1209"/>
      <c r="O125" s="1319"/>
      <c r="P125" s="1319"/>
      <c r="Q125" s="1319"/>
      <c r="R125" s="1319"/>
      <c r="S125" s="1319"/>
      <c r="T125" s="1319"/>
      <c r="U125" s="1319"/>
    </row>
    <row r="126" spans="1:28">
      <c r="C126" s="1281"/>
      <c r="E126" s="1318"/>
      <c r="F126" s="1209"/>
      <c r="G126" s="1209"/>
      <c r="H126" s="1209"/>
      <c r="I126" s="1209"/>
      <c r="J126" s="278"/>
      <c r="K126" s="278"/>
      <c r="L126" s="278"/>
      <c r="M126" s="278"/>
      <c r="N126" s="1209"/>
      <c r="O126" s="1319"/>
      <c r="P126" s="1319"/>
      <c r="Q126" s="1319"/>
      <c r="R126" s="1319"/>
      <c r="S126" s="1319"/>
      <c r="T126" s="1319"/>
      <c r="U126" s="1319"/>
    </row>
    <row r="127" spans="1:28">
      <c r="C127" s="1281"/>
      <c r="E127" s="1318"/>
      <c r="F127" s="1209"/>
      <c r="G127" s="1209"/>
      <c r="H127" s="1209"/>
      <c r="I127" s="1209"/>
      <c r="J127" s="278"/>
      <c r="K127" s="278"/>
      <c r="L127" s="278"/>
      <c r="M127" s="278"/>
      <c r="N127" s="1209"/>
      <c r="O127" s="1319"/>
      <c r="P127" s="1319"/>
      <c r="Q127" s="1319"/>
      <c r="R127" s="1319"/>
      <c r="S127" s="1319"/>
      <c r="T127" s="1319"/>
      <c r="U127" s="1319"/>
    </row>
    <row r="128" spans="1:28">
      <c r="C128" s="1281"/>
      <c r="E128" s="1318"/>
      <c r="F128" s="1209"/>
      <c r="G128" s="1209"/>
      <c r="H128" s="1209"/>
      <c r="I128" s="1209"/>
      <c r="J128" s="278"/>
      <c r="K128" s="278"/>
      <c r="L128" s="278"/>
      <c r="M128" s="278"/>
      <c r="N128" s="1209"/>
      <c r="O128" s="1319"/>
      <c r="P128" s="1319"/>
      <c r="Q128" s="1319"/>
      <c r="R128" s="1319"/>
      <c r="S128" s="1319"/>
      <c r="T128" s="1319"/>
      <c r="U128" s="1319"/>
    </row>
    <row r="129" spans="3:21">
      <c r="C129" s="1281"/>
      <c r="E129" s="1318"/>
      <c r="F129" s="1209"/>
      <c r="G129" s="1209"/>
      <c r="H129" s="1209"/>
      <c r="I129" s="1209"/>
      <c r="J129" s="278"/>
      <c r="K129" s="278"/>
      <c r="L129" s="278"/>
      <c r="M129" s="278"/>
      <c r="N129" s="1209"/>
      <c r="O129" s="1319"/>
      <c r="P129" s="1319"/>
      <c r="Q129" s="1319"/>
      <c r="R129" s="1319"/>
      <c r="S129" s="1319"/>
      <c r="T129" s="1319"/>
      <c r="U129" s="1319"/>
    </row>
    <row r="130" spans="3:21">
      <c r="C130" s="1281"/>
      <c r="E130" s="1318"/>
      <c r="F130" s="1209"/>
      <c r="G130" s="1209"/>
      <c r="H130" s="1209"/>
      <c r="I130" s="1209"/>
      <c r="J130" s="278"/>
      <c r="K130" s="278"/>
      <c r="L130" s="278"/>
      <c r="M130" s="278"/>
      <c r="N130" s="1209"/>
      <c r="O130" s="1319"/>
      <c r="P130" s="1319"/>
      <c r="Q130" s="1319"/>
      <c r="R130" s="1319"/>
      <c r="S130" s="1319"/>
      <c r="T130" s="1319"/>
      <c r="U130" s="1319"/>
    </row>
    <row r="131" spans="3:21">
      <c r="C131" s="1281"/>
      <c r="E131" s="1318"/>
      <c r="F131" s="1209"/>
      <c r="G131" s="1209"/>
      <c r="H131" s="1209"/>
      <c r="I131" s="1209"/>
      <c r="J131" s="278"/>
      <c r="K131" s="278"/>
      <c r="L131" s="278"/>
      <c r="M131" s="278"/>
      <c r="N131" s="1209"/>
      <c r="O131" s="1319"/>
      <c r="P131" s="1319"/>
      <c r="Q131" s="1319"/>
      <c r="R131" s="1319"/>
      <c r="S131" s="1319"/>
      <c r="T131" s="1319"/>
      <c r="U131" s="1319"/>
    </row>
    <row r="132" spans="3:21">
      <c r="C132" s="1281"/>
      <c r="E132" s="1318"/>
      <c r="F132" s="1209"/>
      <c r="G132" s="1209"/>
      <c r="H132" s="1209"/>
      <c r="I132" s="1209"/>
      <c r="J132" s="278"/>
      <c r="K132" s="278"/>
      <c r="L132" s="278"/>
      <c r="M132" s="278"/>
      <c r="N132" s="1209"/>
      <c r="O132" s="1319"/>
      <c r="P132" s="1319"/>
      <c r="Q132" s="1319"/>
      <c r="R132" s="1319"/>
      <c r="S132" s="1319"/>
      <c r="T132" s="1319"/>
      <c r="U132" s="1319"/>
    </row>
    <row r="133" spans="3:21">
      <c r="C133" s="1281"/>
      <c r="E133" s="1318"/>
      <c r="F133" s="1209"/>
      <c r="G133" s="1209"/>
      <c r="H133" s="1209"/>
      <c r="I133" s="1209"/>
      <c r="J133" s="278"/>
      <c r="K133" s="278"/>
      <c r="L133" s="278"/>
      <c r="M133" s="278"/>
      <c r="N133" s="1209"/>
      <c r="O133" s="1319"/>
      <c r="P133" s="1319"/>
      <c r="Q133" s="1319"/>
      <c r="R133" s="1319"/>
      <c r="S133" s="1319"/>
      <c r="T133" s="1319"/>
      <c r="U133" s="1319"/>
    </row>
    <row r="134" spans="3:21">
      <c r="C134" s="1281"/>
      <c r="E134" s="1318"/>
      <c r="F134" s="1209"/>
      <c r="G134" s="1209"/>
      <c r="H134" s="1209"/>
      <c r="I134" s="1209"/>
      <c r="J134" s="278"/>
      <c r="K134" s="278"/>
      <c r="L134" s="278"/>
      <c r="M134" s="278"/>
      <c r="N134" s="1209"/>
      <c r="O134" s="1319"/>
      <c r="P134" s="1319"/>
      <c r="Q134" s="1319"/>
      <c r="R134" s="1319"/>
      <c r="S134" s="1319"/>
      <c r="T134" s="1319"/>
      <c r="U134" s="1319"/>
    </row>
    <row r="135" spans="3:21">
      <c r="C135" s="1281"/>
      <c r="E135" s="1318"/>
      <c r="F135" s="1209"/>
      <c r="G135" s="1209"/>
      <c r="H135" s="1209"/>
      <c r="I135" s="1209"/>
      <c r="J135" s="278"/>
      <c r="K135" s="278"/>
      <c r="L135" s="278"/>
      <c r="M135" s="278"/>
      <c r="N135" s="1209"/>
      <c r="O135" s="1319"/>
      <c r="P135" s="1319"/>
      <c r="Q135" s="1319"/>
      <c r="R135" s="1319"/>
      <c r="S135" s="1319"/>
      <c r="T135" s="1319"/>
      <c r="U135" s="1319"/>
    </row>
    <row r="136" spans="3:21">
      <c r="C136" s="1281"/>
      <c r="E136" s="1318"/>
      <c r="F136" s="1209"/>
      <c r="G136" s="1209"/>
      <c r="H136" s="1209"/>
      <c r="I136" s="1209"/>
      <c r="J136" s="278"/>
      <c r="K136" s="278"/>
      <c r="L136" s="278"/>
      <c r="M136" s="278"/>
      <c r="N136" s="1209"/>
      <c r="O136" s="1319"/>
      <c r="P136" s="1319"/>
      <c r="Q136" s="1319"/>
      <c r="R136" s="1319"/>
      <c r="S136" s="1319"/>
      <c r="T136" s="1319"/>
      <c r="U136" s="1319"/>
    </row>
    <row r="137" spans="3:21">
      <c r="C137" s="1281"/>
      <c r="E137" s="1318"/>
      <c r="F137" s="1209"/>
      <c r="G137" s="1209"/>
      <c r="H137" s="1209"/>
      <c r="I137" s="1209"/>
      <c r="J137" s="278"/>
      <c r="K137" s="278"/>
      <c r="L137" s="278"/>
      <c r="M137" s="278"/>
      <c r="N137" s="1209"/>
      <c r="O137" s="1319"/>
      <c r="P137" s="1319"/>
      <c r="Q137" s="1319"/>
      <c r="R137" s="1319"/>
      <c r="S137" s="1319"/>
      <c r="T137" s="1319"/>
      <c r="U137" s="1319"/>
    </row>
    <row r="138" spans="3:21">
      <c r="C138" s="1281"/>
      <c r="E138" s="1318"/>
      <c r="F138" s="1209"/>
      <c r="G138" s="1209"/>
      <c r="H138" s="1209"/>
      <c r="I138" s="1209"/>
      <c r="J138" s="278"/>
      <c r="K138" s="278"/>
      <c r="L138" s="278"/>
      <c r="M138" s="278"/>
      <c r="N138" s="1209"/>
      <c r="O138" s="1319"/>
      <c r="P138" s="1319"/>
      <c r="Q138" s="1319"/>
      <c r="R138" s="1319"/>
      <c r="S138" s="1319"/>
      <c r="T138" s="1319"/>
      <c r="U138" s="1319"/>
    </row>
    <row r="139" spans="3:21">
      <c r="C139" s="1281"/>
      <c r="E139" s="1318"/>
      <c r="F139" s="1209"/>
      <c r="G139" s="1209"/>
      <c r="H139" s="1209"/>
      <c r="I139" s="1209"/>
      <c r="J139" s="278"/>
      <c r="K139" s="278"/>
      <c r="L139" s="278"/>
      <c r="M139" s="278"/>
      <c r="N139" s="1209"/>
      <c r="O139" s="1319"/>
      <c r="P139" s="1319"/>
      <c r="Q139" s="1319"/>
      <c r="R139" s="1319"/>
      <c r="S139" s="1319"/>
      <c r="T139" s="1319"/>
      <c r="U139" s="1319"/>
    </row>
    <row r="140" spans="3:21">
      <c r="C140" s="1281"/>
      <c r="E140" s="1318"/>
      <c r="F140" s="1209"/>
      <c r="G140" s="1209"/>
      <c r="H140" s="1209"/>
      <c r="I140" s="1209"/>
      <c r="J140" s="278"/>
      <c r="K140" s="278"/>
      <c r="L140" s="278"/>
      <c r="M140" s="278"/>
      <c r="N140" s="1209"/>
      <c r="O140" s="1319"/>
      <c r="P140" s="1319"/>
      <c r="Q140" s="1319"/>
      <c r="R140" s="1319"/>
      <c r="S140" s="1319"/>
      <c r="T140" s="1319"/>
      <c r="U140" s="1319"/>
    </row>
    <row r="141" spans="3:21">
      <c r="C141" s="1281"/>
      <c r="E141" s="1318"/>
      <c r="F141" s="1209"/>
      <c r="G141" s="1209"/>
      <c r="H141" s="1209"/>
      <c r="I141" s="1209"/>
      <c r="J141" s="278"/>
      <c r="K141" s="278"/>
      <c r="L141" s="278"/>
      <c r="M141" s="278"/>
      <c r="N141" s="1209"/>
      <c r="O141" s="1319"/>
      <c r="P141" s="1319"/>
      <c r="Q141" s="1319"/>
      <c r="R141" s="1319"/>
      <c r="S141" s="1319"/>
      <c r="T141" s="1319"/>
      <c r="U141" s="1319"/>
    </row>
    <row r="142" spans="3:21">
      <c r="C142" s="1281"/>
      <c r="E142" s="1318"/>
      <c r="F142" s="1209"/>
      <c r="G142" s="1209"/>
      <c r="H142" s="1209"/>
      <c r="I142" s="1209"/>
      <c r="J142" s="278"/>
      <c r="K142" s="278"/>
      <c r="L142" s="278"/>
      <c r="M142" s="278"/>
      <c r="N142" s="1209"/>
      <c r="O142" s="1319"/>
      <c r="P142" s="1319"/>
      <c r="Q142" s="1319"/>
      <c r="R142" s="1319"/>
      <c r="S142" s="1319"/>
      <c r="T142" s="1319"/>
      <c r="U142" s="1319"/>
    </row>
    <row r="143" spans="3:21">
      <c r="C143" s="1281"/>
      <c r="E143" s="1318"/>
      <c r="F143" s="1209"/>
      <c r="G143" s="1209"/>
      <c r="H143" s="1209"/>
      <c r="I143" s="1209"/>
      <c r="J143" s="278"/>
      <c r="K143" s="278"/>
      <c r="L143" s="278"/>
      <c r="M143" s="278"/>
      <c r="N143" s="1209"/>
      <c r="O143" s="1319"/>
      <c r="P143" s="1319"/>
      <c r="Q143" s="1319"/>
      <c r="R143" s="1319"/>
      <c r="S143" s="1319"/>
      <c r="T143" s="1319"/>
      <c r="U143" s="1319"/>
    </row>
    <row r="144" spans="3:21">
      <c r="C144" s="1281"/>
      <c r="E144" s="1318"/>
      <c r="F144" s="1209"/>
      <c r="G144" s="1209"/>
      <c r="H144" s="1209"/>
      <c r="I144" s="1209"/>
      <c r="J144" s="278"/>
      <c r="K144" s="278"/>
      <c r="L144" s="278"/>
      <c r="M144" s="278"/>
      <c r="N144" s="1209"/>
      <c r="O144" s="1319"/>
      <c r="P144" s="1319"/>
      <c r="Q144" s="1319"/>
      <c r="R144" s="1319"/>
      <c r="S144" s="1319"/>
      <c r="T144" s="1319"/>
      <c r="U144" s="1319"/>
    </row>
    <row r="145" spans="3:28">
      <c r="C145" s="1281"/>
      <c r="E145" s="1318"/>
      <c r="F145" s="1209"/>
      <c r="G145" s="1209"/>
      <c r="H145" s="1209"/>
      <c r="I145" s="1209"/>
      <c r="J145" s="278"/>
      <c r="K145" s="278"/>
      <c r="L145" s="278"/>
      <c r="M145" s="278"/>
      <c r="N145" s="1209"/>
      <c r="O145" s="1319"/>
      <c r="P145" s="1319"/>
      <c r="Q145" s="1319"/>
      <c r="R145" s="1319"/>
      <c r="S145" s="1319"/>
      <c r="T145" s="1319"/>
      <c r="U145" s="1319"/>
    </row>
    <row r="146" spans="3:28">
      <c r="C146" s="1281"/>
      <c r="E146" s="1318"/>
      <c r="F146" s="1209"/>
      <c r="G146" s="1209"/>
      <c r="H146" s="1209"/>
      <c r="I146" s="1209"/>
      <c r="J146" s="278"/>
      <c r="K146" s="278"/>
      <c r="L146" s="278"/>
      <c r="M146" s="278"/>
      <c r="N146" s="1209"/>
      <c r="O146" s="1319"/>
      <c r="P146" s="1319"/>
      <c r="Q146" s="1319"/>
      <c r="R146" s="1319"/>
      <c r="S146" s="1319"/>
      <c r="T146" s="1319"/>
      <c r="U146" s="1319"/>
    </row>
    <row r="147" spans="3:28">
      <c r="C147" s="1281"/>
      <c r="E147" s="1318"/>
      <c r="F147" s="1209"/>
      <c r="G147" s="1209"/>
      <c r="H147" s="1209"/>
      <c r="I147" s="1209"/>
      <c r="J147" s="278"/>
      <c r="K147" s="278"/>
      <c r="L147" s="278"/>
      <c r="M147" s="278"/>
      <c r="N147" s="1209"/>
      <c r="O147" s="1319"/>
      <c r="P147" s="1319"/>
      <c r="Q147" s="1319"/>
      <c r="R147" s="1319"/>
      <c r="S147" s="1319"/>
      <c r="T147" s="1319"/>
      <c r="U147" s="1319"/>
    </row>
    <row r="148" spans="3:28">
      <c r="C148" s="1281"/>
      <c r="E148" s="1318"/>
      <c r="F148" s="1209"/>
      <c r="G148" s="1209"/>
      <c r="H148" s="1209"/>
      <c r="I148" s="1209"/>
      <c r="J148" s="278"/>
      <c r="K148" s="278"/>
      <c r="L148" s="278"/>
      <c r="M148" s="278"/>
      <c r="N148" s="1209"/>
      <c r="O148" s="1319"/>
      <c r="P148" s="1319"/>
      <c r="Q148" s="1319"/>
      <c r="R148" s="1319"/>
      <c r="S148" s="1319"/>
      <c r="T148" s="1319"/>
      <c r="U148" s="1319"/>
    </row>
    <row r="149" spans="3:28">
      <c r="C149" s="1281"/>
      <c r="E149" s="1318"/>
      <c r="F149" s="1209"/>
      <c r="G149" s="1209"/>
      <c r="H149" s="1209"/>
      <c r="I149" s="1209"/>
      <c r="J149" s="278"/>
      <c r="K149" s="278"/>
      <c r="L149" s="278"/>
      <c r="M149" s="278"/>
      <c r="N149" s="1209"/>
      <c r="O149" s="1319"/>
      <c r="P149" s="1319"/>
      <c r="Q149" s="1319"/>
      <c r="R149" s="1319"/>
      <c r="S149" s="1319"/>
      <c r="T149" s="1319"/>
      <c r="U149" s="1319"/>
    </row>
    <row r="150" spans="3:28">
      <c r="C150" s="1281"/>
      <c r="E150" s="1318"/>
      <c r="F150" s="1209"/>
      <c r="G150" s="1209"/>
      <c r="H150" s="1209"/>
      <c r="I150" s="1209"/>
      <c r="J150" s="278"/>
      <c r="K150" s="278"/>
      <c r="L150" s="278"/>
      <c r="M150" s="278"/>
      <c r="N150" s="1209"/>
      <c r="O150" s="1319"/>
      <c r="P150" s="1319"/>
      <c r="Q150" s="1319"/>
      <c r="R150" s="1319"/>
      <c r="S150" s="1319"/>
      <c r="T150" s="1319"/>
      <c r="U150" s="1319"/>
    </row>
    <row r="151" spans="3:28">
      <c r="C151" s="1281"/>
      <c r="E151" s="1318"/>
      <c r="F151" s="1209"/>
      <c r="G151" s="1209"/>
      <c r="H151" s="1209"/>
      <c r="I151" s="1209"/>
      <c r="J151" s="278"/>
      <c r="K151" s="278"/>
      <c r="L151" s="278"/>
      <c r="M151" s="278"/>
      <c r="N151" s="1209"/>
      <c r="O151" s="1319"/>
      <c r="P151" s="1319"/>
      <c r="Q151" s="1319"/>
      <c r="R151" s="1319"/>
      <c r="S151" s="1319"/>
      <c r="T151" s="1319"/>
      <c r="U151" s="1319"/>
    </row>
    <row r="152" spans="3:28">
      <c r="C152" s="1281"/>
      <c r="E152" s="1318"/>
      <c r="F152" s="1209"/>
      <c r="G152" s="1209"/>
      <c r="H152" s="1209"/>
      <c r="I152" s="1209"/>
      <c r="J152" s="278"/>
      <c r="K152" s="278"/>
      <c r="L152" s="278"/>
      <c r="M152" s="278"/>
      <c r="N152" s="1209"/>
      <c r="O152" s="1319"/>
      <c r="P152" s="1319"/>
      <c r="Q152" s="1319"/>
      <c r="R152" s="1319"/>
      <c r="S152" s="1319"/>
      <c r="T152" s="1319"/>
      <c r="U152" s="1319"/>
    </row>
    <row r="153" spans="3:28">
      <c r="C153" s="1281"/>
      <c r="E153" s="1318"/>
      <c r="J153" s="278"/>
      <c r="K153" s="278"/>
      <c r="L153" s="278"/>
      <c r="M153" s="278"/>
      <c r="N153" s="1281"/>
      <c r="Y153" s="1320"/>
    </row>
    <row r="154" spans="3:28">
      <c r="C154" s="1318"/>
      <c r="E154" s="1318"/>
      <c r="J154" s="278"/>
      <c r="K154" s="278"/>
      <c r="L154" s="278"/>
      <c r="M154" s="278"/>
      <c r="N154" s="1281"/>
    </row>
    <row r="155" spans="3:28">
      <c r="C155" s="1281"/>
      <c r="D155" s="1318"/>
      <c r="E155" s="1318"/>
      <c r="M155" s="1321"/>
      <c r="N155" s="1281"/>
    </row>
    <row r="156" spans="3:28">
      <c r="C156" s="1318" t="e">
        <f>#REF!+#REF!+#REF!+#REF!</f>
        <v>#REF!</v>
      </c>
      <c r="D156" s="1322"/>
      <c r="E156" s="1479" t="s">
        <v>243</v>
      </c>
      <c r="F156" s="1318">
        <f>SUMIF(M16:M100,"A",J16:J100)</f>
        <v>80444.840703550988</v>
      </c>
      <c r="G156" s="1318"/>
      <c r="H156" s="1318"/>
      <c r="I156" s="1318"/>
      <c r="J156" s="278">
        <f>F156*2500</f>
        <v>201112101.75887746</v>
      </c>
      <c r="K156" s="278"/>
      <c r="L156" s="278"/>
      <c r="M156" s="278"/>
      <c r="N156" s="1209"/>
      <c r="Q156" s="1281">
        <f>7.2+0.6+21+5+70</f>
        <v>103.8</v>
      </c>
    </row>
    <row r="157" spans="3:28">
      <c r="C157" s="1281"/>
      <c r="E157" s="1479"/>
      <c r="F157" s="1318">
        <f>SUMIF(M16:M100,"B",J16:J100)</f>
        <v>45287.027710401439</v>
      </c>
      <c r="G157" s="1318"/>
      <c r="H157" s="1318"/>
      <c r="I157" s="1318"/>
      <c r="J157" s="278">
        <f>F157*2400</f>
        <v>108688866.50496346</v>
      </c>
      <c r="K157" s="278"/>
      <c r="L157" s="278"/>
      <c r="M157" s="278"/>
      <c r="N157" s="1318"/>
    </row>
    <row r="158" spans="3:28">
      <c r="C158" s="1281"/>
      <c r="E158" s="1479"/>
      <c r="F158" s="1318">
        <f>SUMIF(M16:M100,"C",J16:J100)</f>
        <v>0</v>
      </c>
      <c r="G158" s="1318"/>
      <c r="H158" s="1318"/>
      <c r="I158" s="1318"/>
      <c r="J158" s="278">
        <f>F158*2300</f>
        <v>0</v>
      </c>
      <c r="K158" s="278"/>
      <c r="L158" s="278"/>
      <c r="M158" s="278"/>
      <c r="N158" s="1281"/>
      <c r="O158" s="1209"/>
      <c r="P158" s="1209"/>
      <c r="Q158" s="1209"/>
      <c r="R158" s="1209"/>
      <c r="S158" s="1209"/>
      <c r="T158" s="1209"/>
      <c r="U158" s="1209"/>
      <c r="V158" s="1209"/>
      <c r="W158" s="1209"/>
      <c r="X158" s="1209"/>
      <c r="Y158" s="1209"/>
      <c r="AB158" s="1318"/>
    </row>
    <row r="159" spans="3:28">
      <c r="C159" s="1281"/>
      <c r="E159" s="1479"/>
      <c r="F159" s="1318">
        <f>SUMIF(M16:M100,"D",J16:J100)</f>
        <v>0</v>
      </c>
      <c r="G159" s="1318"/>
      <c r="H159" s="1318"/>
      <c r="I159" s="1318"/>
      <c r="J159" s="278">
        <f>F159*2200</f>
        <v>0</v>
      </c>
      <c r="K159" s="278"/>
      <c r="L159" s="278"/>
      <c r="M159" s="278"/>
      <c r="N159" s="1281"/>
      <c r="O159" s="1319"/>
      <c r="P159" s="1319"/>
      <c r="Q159" s="1319"/>
      <c r="R159" s="1319"/>
      <c r="S159" s="1319"/>
      <c r="T159" s="1319"/>
      <c r="U159" s="1319"/>
      <c r="V159" s="1319"/>
      <c r="W159" s="1319"/>
      <c r="X159" s="1319"/>
      <c r="Y159" s="1319"/>
      <c r="AB159" s="1318"/>
    </row>
    <row r="160" spans="3:28">
      <c r="C160" s="1281"/>
      <c r="E160" s="1318"/>
      <c r="F160" s="1318"/>
      <c r="G160" s="1318"/>
      <c r="H160" s="1318"/>
      <c r="I160" s="1318"/>
      <c r="J160" s="278"/>
      <c r="K160" s="278"/>
      <c r="L160" s="278"/>
      <c r="M160" s="278"/>
      <c r="N160" s="1281"/>
      <c r="O160" s="1319"/>
      <c r="P160" s="1319"/>
      <c r="Q160" s="1319"/>
      <c r="R160" s="1319"/>
      <c r="S160" s="1319"/>
      <c r="T160" s="1319"/>
      <c r="U160" s="1319"/>
      <c r="V160" s="1319"/>
      <c r="W160" s="1319"/>
      <c r="X160" s="1319"/>
      <c r="Y160" s="1319"/>
      <c r="AB160" s="1318"/>
    </row>
    <row r="161" spans="1:28">
      <c r="C161" s="1281"/>
      <c r="E161" s="1318"/>
      <c r="F161" s="1318"/>
      <c r="G161" s="1318"/>
      <c r="H161" s="1318"/>
      <c r="I161" s="1318"/>
      <c r="J161" s="278"/>
      <c r="K161" s="278"/>
      <c r="L161" s="278"/>
      <c r="M161" s="278"/>
      <c r="N161" s="1281"/>
      <c r="O161" s="1319"/>
      <c r="P161" s="1319"/>
      <c r="Q161" s="1319"/>
      <c r="R161" s="1319"/>
      <c r="S161" s="1319"/>
      <c r="T161" s="1319"/>
      <c r="U161" s="1319"/>
      <c r="V161" s="1319"/>
      <c r="W161" s="1319"/>
      <c r="X161" s="1319"/>
      <c r="Y161" s="1319"/>
      <c r="AB161" s="1318"/>
    </row>
    <row r="162" spans="1:28">
      <c r="C162" s="1281"/>
      <c r="E162" s="1318"/>
      <c r="F162" s="1318"/>
      <c r="G162" s="1318"/>
      <c r="H162" s="1318"/>
      <c r="I162" s="1318"/>
      <c r="J162" s="278"/>
      <c r="K162" s="278"/>
      <c r="L162" s="278"/>
      <c r="M162" s="278"/>
      <c r="N162" s="1281"/>
      <c r="O162" s="1319"/>
      <c r="P162" s="1319"/>
      <c r="Q162" s="1319"/>
      <c r="R162" s="1319"/>
      <c r="S162" s="1319"/>
      <c r="T162" s="1319"/>
      <c r="U162" s="1319"/>
      <c r="V162" s="1319"/>
      <c r="W162" s="1319"/>
      <c r="X162" s="1319"/>
      <c r="Y162" s="1319"/>
      <c r="AB162" s="1318"/>
    </row>
    <row r="163" spans="1:28">
      <c r="C163" s="1281"/>
      <c r="E163" s="1318"/>
      <c r="F163" s="1318"/>
      <c r="G163" s="1318"/>
      <c r="H163" s="1318"/>
      <c r="I163" s="1318"/>
      <c r="J163" s="278"/>
      <c r="K163" s="278"/>
      <c r="L163" s="278"/>
      <c r="M163" s="278"/>
      <c r="N163" s="1281"/>
      <c r="O163" s="1319"/>
      <c r="P163" s="1319"/>
      <c r="Q163" s="1319"/>
      <c r="R163" s="1319"/>
      <c r="S163" s="1319"/>
      <c r="T163" s="1319"/>
      <c r="U163" s="1319"/>
      <c r="V163" s="1319"/>
      <c r="W163" s="1319"/>
      <c r="X163" s="1319"/>
      <c r="Y163" s="1319"/>
      <c r="AB163" s="1318"/>
    </row>
    <row r="164" spans="1:28">
      <c r="C164" s="1281"/>
      <c r="E164" s="1318"/>
      <c r="F164" s="1318"/>
      <c r="G164" s="1318"/>
      <c r="H164" s="1318"/>
      <c r="I164" s="1318"/>
      <c r="J164" s="278"/>
      <c r="K164" s="278"/>
      <c r="L164" s="278"/>
      <c r="M164" s="278"/>
      <c r="N164" s="1281"/>
      <c r="O164" s="1319"/>
      <c r="P164" s="1319"/>
      <c r="Q164" s="1319"/>
      <c r="R164" s="1319"/>
      <c r="S164" s="1319"/>
      <c r="T164" s="1319"/>
      <c r="U164" s="1319"/>
      <c r="V164" s="1319"/>
      <c r="W164" s="1319"/>
      <c r="X164" s="1319"/>
      <c r="Y164" s="1319"/>
      <c r="AB164" s="1318"/>
    </row>
    <row r="165" spans="1:28">
      <c r="C165" s="1281"/>
      <c r="E165" s="1318"/>
      <c r="F165" s="1318"/>
      <c r="G165" s="1318"/>
      <c r="H165" s="1318"/>
      <c r="I165" s="1318"/>
      <c r="J165" s="278"/>
      <c r="K165" s="278"/>
      <c r="L165" s="278"/>
      <c r="M165" s="278"/>
      <c r="N165" s="1281"/>
      <c r="O165" s="1319"/>
      <c r="P165" s="1319"/>
      <c r="Q165" s="1319"/>
      <c r="R165" s="1319"/>
      <c r="S165" s="1319"/>
      <c r="T165" s="1319"/>
      <c r="U165" s="1319"/>
      <c r="V165" s="1319"/>
      <c r="W165" s="1319"/>
      <c r="X165" s="1319"/>
      <c r="Y165" s="1319"/>
      <c r="AB165" s="1318"/>
    </row>
    <row r="166" spans="1:28">
      <c r="C166" s="1281"/>
      <c r="E166" s="1281"/>
      <c r="F166" s="1281">
        <f>SUM(F156:F164)</f>
        <v>125731.86841395243</v>
      </c>
      <c r="J166" s="278">
        <f>SUM(J156:J164)</f>
        <v>309800968.26384091</v>
      </c>
      <c r="K166" s="278"/>
      <c r="L166" s="278"/>
      <c r="M166" s="278"/>
      <c r="N166" s="1281"/>
      <c r="O166" s="1480" t="e">
        <f>J166+J176+F181</f>
        <v>#REF!</v>
      </c>
      <c r="P166" s="1480"/>
      <c r="Q166" s="1480"/>
      <c r="R166" s="1321"/>
      <c r="S166" s="1321"/>
      <c r="T166" s="1321"/>
      <c r="U166" s="1321"/>
      <c r="Y166" s="1281" t="e">
        <f>O166-#REF!</f>
        <v>#REF!</v>
      </c>
    </row>
    <row r="167" spans="1:28">
      <c r="C167" s="1281"/>
      <c r="E167" s="1281"/>
      <c r="J167" s="677"/>
      <c r="K167" s="677"/>
      <c r="L167" s="677"/>
      <c r="M167" s="677"/>
      <c r="N167" s="1281"/>
    </row>
    <row r="168" spans="1:28">
      <c r="C168" s="1281"/>
      <c r="E168" s="1318"/>
      <c r="F168" s="1281">
        <v>5422</v>
      </c>
      <c r="J168" s="278">
        <f>F168*30000</f>
        <v>162660000</v>
      </c>
      <c r="K168" s="278"/>
      <c r="L168" s="278"/>
      <c r="M168" s="278"/>
      <c r="N168" s="1281"/>
    </row>
    <row r="169" spans="1:28">
      <c r="C169" s="1281"/>
      <c r="E169" s="1318"/>
      <c r="F169" s="1281">
        <v>20</v>
      </c>
      <c r="J169" s="278">
        <f>F169*60000</f>
        <v>1200000</v>
      </c>
      <c r="K169" s="278"/>
      <c r="L169" s="278"/>
      <c r="M169" s="278"/>
      <c r="N169" s="1281"/>
    </row>
    <row r="170" spans="1:28">
      <c r="C170" s="1281"/>
      <c r="E170" s="1318"/>
      <c r="F170" s="1281">
        <v>230</v>
      </c>
      <c r="J170" s="278">
        <f>F170*80000</f>
        <v>18400000</v>
      </c>
      <c r="K170" s="278"/>
      <c r="L170" s="278"/>
      <c r="M170" s="278"/>
      <c r="N170" s="1281"/>
    </row>
    <row r="171" spans="1:28">
      <c r="A171" s="1281"/>
      <c r="B171" s="1281"/>
      <c r="F171" s="1281">
        <v>998</v>
      </c>
      <c r="J171" s="278">
        <f>F171*50000</f>
        <v>49900000</v>
      </c>
      <c r="K171" s="278"/>
      <c r="L171" s="278"/>
      <c r="M171" s="278"/>
    </row>
    <row r="172" spans="1:28">
      <c r="A172" s="1281"/>
      <c r="B172" s="1281"/>
      <c r="F172" s="1281">
        <v>2</v>
      </c>
      <c r="J172" s="278">
        <f>F172*80000</f>
        <v>160000</v>
      </c>
      <c r="K172" s="278"/>
      <c r="L172" s="278"/>
      <c r="M172" s="278"/>
    </row>
    <row r="173" spans="1:28">
      <c r="A173" s="1281"/>
      <c r="B173" s="1281"/>
      <c r="F173" s="1281">
        <v>89</v>
      </c>
      <c r="J173" s="278">
        <f>F173*100000</f>
        <v>8900000</v>
      </c>
      <c r="K173" s="278"/>
      <c r="L173" s="278"/>
      <c r="M173" s="278"/>
      <c r="AB173" s="1321"/>
    </row>
    <row r="174" spans="1:28">
      <c r="A174" s="1281"/>
      <c r="B174" s="1281"/>
      <c r="F174" s="1281">
        <v>301.56000000000006</v>
      </c>
      <c r="J174" s="278">
        <f>F174*25000</f>
        <v>7539000.0000000019</v>
      </c>
      <c r="K174" s="278"/>
      <c r="L174" s="278"/>
      <c r="M174" s="278"/>
      <c r="AB174" s="1321"/>
    </row>
    <row r="175" spans="1:28">
      <c r="A175" s="1281"/>
      <c r="B175" s="1281"/>
      <c r="F175" s="1281">
        <v>2965</v>
      </c>
      <c r="J175" s="278">
        <f>F175*20000</f>
        <v>59300000</v>
      </c>
      <c r="K175" s="278"/>
      <c r="L175" s="278"/>
      <c r="M175" s="278"/>
      <c r="AB175" s="1321"/>
    </row>
    <row r="176" spans="1:28" ht="28.5" customHeight="1">
      <c r="A176" s="1281"/>
      <c r="B176" s="1281"/>
      <c r="F176" s="1281">
        <f>SUM(F168:F175)</f>
        <v>10027.560000000001</v>
      </c>
      <c r="J176" s="1481">
        <f>SUM(J168:J175)</f>
        <v>308059000</v>
      </c>
      <c r="K176" s="1481"/>
      <c r="L176" s="1481"/>
      <c r="M176" s="1481"/>
      <c r="V176" s="1480" t="e">
        <f>J176-#REF!</f>
        <v>#REF!</v>
      </c>
      <c r="W176" s="1480"/>
      <c r="X176" s="1480"/>
      <c r="Y176" s="1480"/>
    </row>
    <row r="177" spans="3:16" s="1281" customFormat="1">
      <c r="C177" s="1323"/>
      <c r="E177" s="310"/>
      <c r="F177" s="1318" t="e">
        <f>#REF!+#REF!+#REF!+E100</f>
        <v>#REF!</v>
      </c>
      <c r="G177" s="1318"/>
      <c r="H177" s="1318"/>
      <c r="I177" s="1318"/>
      <c r="J177" s="278" t="e">
        <f>F177*25000</f>
        <v>#REF!</v>
      </c>
      <c r="K177" s="278"/>
      <c r="L177" s="278"/>
      <c r="M177" s="278"/>
      <c r="N177" s="277"/>
    </row>
    <row r="178" spans="3:16" s="1281" customFormat="1">
      <c r="C178" s="1323"/>
      <c r="E178" s="1281" t="s">
        <v>139</v>
      </c>
      <c r="F178" s="1281" t="e">
        <f>#REF!+#REF!</f>
        <v>#REF!</v>
      </c>
      <c r="J178" s="278" t="e">
        <f>#REF!+#REF!</f>
        <v>#REF!</v>
      </c>
      <c r="K178" s="278"/>
      <c r="L178" s="278"/>
      <c r="M178" s="311"/>
      <c r="N178" s="277"/>
    </row>
    <row r="179" spans="3:16" s="1281" customFormat="1">
      <c r="C179" s="1323"/>
      <c r="E179" s="310"/>
      <c r="F179" s="1281" t="e">
        <f>#REF!</f>
        <v>#REF!</v>
      </c>
      <c r="J179" s="278" t="e">
        <f>#REF!</f>
        <v>#REF!</v>
      </c>
      <c r="K179" s="278"/>
      <c r="L179" s="278"/>
      <c r="M179" s="311"/>
      <c r="N179" s="277"/>
    </row>
    <row r="180" spans="3:16" s="1281" customFormat="1">
      <c r="C180" s="1323"/>
      <c r="E180" s="310"/>
      <c r="F180" s="1281" t="e">
        <f>#REF!+#REF!+#REF!+#REF!</f>
        <v>#REF!</v>
      </c>
      <c r="J180" s="278" t="e">
        <f>#REF!+#REF!+#REF!+#REF!</f>
        <v>#REF!</v>
      </c>
      <c r="K180" s="278"/>
      <c r="L180" s="278"/>
      <c r="M180" s="311"/>
      <c r="N180" s="277"/>
    </row>
    <row r="181" spans="3:16" s="1281" customFormat="1">
      <c r="C181" s="1323"/>
      <c r="E181" s="310"/>
      <c r="F181" s="1481" t="e">
        <f>SUM(J177:M180)</f>
        <v>#REF!</v>
      </c>
      <c r="G181" s="1481"/>
      <c r="H181" s="1481"/>
      <c r="I181" s="1481"/>
      <c r="J181" s="1481"/>
      <c r="K181" s="677"/>
      <c r="L181" s="677"/>
      <c r="M181" s="311"/>
      <c r="N181" s="277" t="e">
        <f>F181-#REF!</f>
        <v>#REF!</v>
      </c>
    </row>
    <row r="183" spans="3:16" s="1281" customFormat="1">
      <c r="C183" s="1323"/>
      <c r="E183" s="310"/>
      <c r="J183" s="1476" t="e">
        <f>+#REF!+#REF!+#REF!+#REF!+1000000</f>
        <v>#REF!</v>
      </c>
      <c r="K183" s="1476"/>
      <c r="L183" s="1476"/>
      <c r="M183" s="1476"/>
      <c r="N183" s="277"/>
    </row>
    <row r="185" spans="3:16" s="1281" customFormat="1">
      <c r="C185" s="1323"/>
      <c r="E185" s="310"/>
      <c r="F185" s="1318"/>
      <c r="G185" s="1318"/>
      <c r="H185" s="1318"/>
      <c r="I185" s="1318"/>
      <c r="J185" s="278"/>
      <c r="K185" s="278"/>
      <c r="L185" s="278"/>
      <c r="M185" s="276"/>
      <c r="N185" s="277"/>
    </row>
    <row r="186" spans="3:16" s="1281" customFormat="1">
      <c r="C186" s="1323"/>
      <c r="E186" s="310"/>
      <c r="J186" s="275"/>
      <c r="K186" s="275"/>
      <c r="L186" s="275"/>
      <c r="M186" s="276"/>
      <c r="N186" s="277"/>
      <c r="O186" s="1318"/>
      <c r="P186" s="1318"/>
    </row>
    <row r="190" spans="3:16" s="1281" customFormat="1">
      <c r="C190" s="1323"/>
      <c r="E190" s="310"/>
      <c r="F190" s="1318">
        <v>2551.8899999999994</v>
      </c>
      <c r="G190" s="1318"/>
      <c r="H190" s="1318"/>
      <c r="I190" s="1318"/>
      <c r="J190" s="275"/>
      <c r="K190" s="275"/>
      <c r="L190" s="275"/>
      <c r="M190" s="276"/>
      <c r="N190" s="277"/>
    </row>
    <row r="191" spans="3:16" s="1281" customFormat="1">
      <c r="F191" s="1318" t="e">
        <f>+F177-F190</f>
        <v>#REF!</v>
      </c>
      <c r="G191" s="1318"/>
      <c r="H191" s="1318"/>
      <c r="I191" s="1318"/>
      <c r="J191" s="275"/>
      <c r="K191" s="275"/>
      <c r="L191" s="275"/>
      <c r="M191" s="276"/>
      <c r="N191" s="277"/>
    </row>
    <row r="197" spans="10:25" s="1281" customFormat="1">
      <c r="J197" s="275"/>
      <c r="K197" s="275"/>
      <c r="L197" s="275"/>
      <c r="M197" s="276">
        <v>1678</v>
      </c>
      <c r="N197" s="277">
        <v>1573</v>
      </c>
      <c r="O197" s="1281">
        <v>1187</v>
      </c>
      <c r="Q197" s="1281">
        <v>1183</v>
      </c>
      <c r="Y197" s="1281">
        <f>SUM(M197:Q197)</f>
        <v>5621</v>
      </c>
    </row>
    <row r="198" spans="10:25" s="1281" customFormat="1">
      <c r="J198" s="275"/>
      <c r="K198" s="275"/>
      <c r="L198" s="275"/>
      <c r="M198" s="276">
        <v>257</v>
      </c>
      <c r="N198" s="277">
        <v>244</v>
      </c>
      <c r="O198" s="1281">
        <v>183</v>
      </c>
      <c r="Q198" s="1281">
        <v>182</v>
      </c>
      <c r="Y198" s="1281">
        <f>SUM(M198:Q198)</f>
        <v>866</v>
      </c>
    </row>
    <row r="199" spans="10:25" s="1281" customFormat="1">
      <c r="J199" s="275"/>
      <c r="K199" s="275"/>
      <c r="L199" s="275"/>
      <c r="M199" s="276">
        <v>1935</v>
      </c>
      <c r="N199" s="277">
        <v>1817</v>
      </c>
      <c r="O199" s="1281">
        <v>1370</v>
      </c>
      <c r="Q199" s="1281">
        <v>1365</v>
      </c>
      <c r="Y199" s="1281">
        <f>SUM(M199:Q199)</f>
        <v>6487</v>
      </c>
    </row>
  </sheetData>
  <mergeCells count="32">
    <mergeCell ref="AB13:AB15"/>
    <mergeCell ref="A1:AB1"/>
    <mergeCell ref="A5:J5"/>
    <mergeCell ref="A8:AB8"/>
    <mergeCell ref="A100:D100"/>
    <mergeCell ref="E13:Y13"/>
    <mergeCell ref="A2:AB2"/>
    <mergeCell ref="A3:AB3"/>
    <mergeCell ref="A9:AB9"/>
    <mergeCell ref="A10:AB10"/>
    <mergeCell ref="A6:J6"/>
    <mergeCell ref="C12:D12"/>
    <mergeCell ref="Z12:AA12"/>
    <mergeCell ref="AA13:AA15"/>
    <mergeCell ref="A13:A15"/>
    <mergeCell ref="C13:C15"/>
    <mergeCell ref="Z13:Z15"/>
    <mergeCell ref="B13:B15"/>
    <mergeCell ref="D13:D15"/>
    <mergeCell ref="E14:F14"/>
    <mergeCell ref="J14:N14"/>
    <mergeCell ref="O14:Y14"/>
    <mergeCell ref="J183:M183"/>
    <mergeCell ref="A101:AB101"/>
    <mergeCell ref="O120:Q120"/>
    <mergeCell ref="E156:E159"/>
    <mergeCell ref="O166:Q166"/>
    <mergeCell ref="J176:M176"/>
    <mergeCell ref="V176:Y176"/>
    <mergeCell ref="F181:J181"/>
    <mergeCell ref="A105:AB105"/>
    <mergeCell ref="P103:AB103"/>
  </mergeCells>
  <printOptions horizontalCentered="1"/>
  <pageMargins left="0.35433070866141736" right="0.15748031496062992" top="0.23622047244094491" bottom="0.19685039370078741" header="0.15748031496062992" footer="0.19685039370078741"/>
  <pageSetup paperSize="9" scale="38" fitToHeight="0" orientation="landscape" r:id="rId1"/>
  <headerFooter>
    <oddFooter>&amp;R&amp;P</oddFooter>
  </headerFooter>
  <colBreaks count="1" manualBreakCount="1">
    <brk id="28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</sheetPr>
  <dimension ref="A1:AD147"/>
  <sheetViews>
    <sheetView topLeftCell="A12" zoomScale="40" zoomScaleNormal="40" zoomScaleSheetLayoutView="55" workbookViewId="0">
      <pane ySplit="5" topLeftCell="A77" activePane="bottomLeft" state="frozen"/>
      <selection activeCell="A12" sqref="A12"/>
      <selection pane="bottomLeft" activeCell="N75" sqref="N74:N75"/>
    </sheetView>
  </sheetViews>
  <sheetFormatPr defaultColWidth="9.42578125" defaultRowHeight="23.25"/>
  <cols>
    <col min="1" max="1" width="7.28515625" style="1253" customWidth="1"/>
    <col min="2" max="2" width="14.5703125" style="1321" customWidth="1"/>
    <col min="3" max="3" width="22.7109375" style="1323" customWidth="1"/>
    <col min="4" max="4" width="29.85546875" style="1281" customWidth="1"/>
    <col min="5" max="5" width="17.140625" style="310" customWidth="1"/>
    <col min="6" max="6" width="21.42578125" style="1281" customWidth="1"/>
    <col min="7" max="7" width="19" style="1281" customWidth="1"/>
    <col min="8" max="8" width="15.85546875" style="1281" hidden="1" customWidth="1"/>
    <col min="9" max="9" width="19" style="1281" customWidth="1"/>
    <col min="10" max="12" width="16" style="275" customWidth="1"/>
    <col min="13" max="13" width="12.5703125" style="276" customWidth="1"/>
    <col min="14" max="14" width="24.5703125" style="277" customWidth="1"/>
    <col min="15" max="15" width="17.5703125" style="1281" customWidth="1"/>
    <col min="16" max="16" width="15.28515625" style="1281" customWidth="1"/>
    <col min="17" max="17" width="16.7109375" style="1281" hidden="1" customWidth="1"/>
    <col min="18" max="18" width="16.7109375" style="1281" customWidth="1"/>
    <col min="19" max="20" width="16.7109375" style="1281" hidden="1" customWidth="1"/>
    <col min="21" max="21" width="16.42578125" style="1281" hidden="1" customWidth="1"/>
    <col min="22" max="22" width="16.42578125" style="1281" customWidth="1"/>
    <col min="23" max="24" width="17.28515625" style="1281" hidden="1" customWidth="1"/>
    <col min="25" max="26" width="22.5703125" style="1281" customWidth="1"/>
    <col min="27" max="27" width="16.28515625" style="1281" hidden="1" customWidth="1"/>
    <col min="28" max="28" width="24.5703125" style="1281" customWidth="1"/>
    <col min="29" max="29" width="25" style="1281" customWidth="1"/>
    <col min="30" max="30" width="25.28515625" style="1281" customWidth="1"/>
    <col min="31" max="31" width="13.85546875" style="1281" bestFit="1" customWidth="1"/>
    <col min="32" max="35" width="9.42578125" style="1281"/>
    <col min="36" max="36" width="9.5703125" style="1281" bestFit="1" customWidth="1"/>
    <col min="37" max="16384" width="9.42578125" style="1281"/>
  </cols>
  <sheetData>
    <row r="1" spans="1:30">
      <c r="A1" s="1512" t="s">
        <v>51</v>
      </c>
      <c r="B1" s="1512"/>
      <c r="C1" s="1512"/>
      <c r="D1" s="1512"/>
      <c r="E1" s="1512"/>
      <c r="F1" s="1512"/>
      <c r="G1" s="1512"/>
      <c r="H1" s="1512"/>
      <c r="I1" s="1512"/>
      <c r="J1" s="1512"/>
      <c r="K1" s="1512"/>
      <c r="L1" s="1512"/>
      <c r="M1" s="1512"/>
      <c r="N1" s="1512"/>
      <c r="O1" s="1512"/>
      <c r="P1" s="1512"/>
      <c r="Q1" s="1512"/>
      <c r="R1" s="1512"/>
      <c r="S1" s="1512"/>
      <c r="T1" s="1512"/>
      <c r="U1" s="1512"/>
      <c r="V1" s="1512"/>
      <c r="W1" s="1512"/>
      <c r="X1" s="1512"/>
      <c r="Y1" s="1512"/>
      <c r="Z1" s="1512"/>
      <c r="AA1" s="1512"/>
      <c r="AB1" s="1512"/>
    </row>
    <row r="2" spans="1:30">
      <c r="A2" s="1512" t="s">
        <v>38</v>
      </c>
      <c r="B2" s="1512"/>
      <c r="C2" s="1512"/>
      <c r="D2" s="1512"/>
      <c r="E2" s="1512"/>
      <c r="F2" s="1512"/>
      <c r="G2" s="1512"/>
      <c r="H2" s="1512"/>
      <c r="I2" s="1512"/>
      <c r="J2" s="1512"/>
      <c r="K2" s="1512"/>
      <c r="L2" s="1512"/>
      <c r="M2" s="1512"/>
      <c r="N2" s="1512"/>
      <c r="O2" s="1512"/>
      <c r="P2" s="1512"/>
      <c r="Q2" s="1512"/>
      <c r="R2" s="1512"/>
      <c r="S2" s="1512"/>
      <c r="T2" s="1512"/>
      <c r="U2" s="1512"/>
      <c r="V2" s="1512"/>
      <c r="W2" s="1512"/>
      <c r="X2" s="1512"/>
      <c r="Y2" s="1512"/>
      <c r="Z2" s="1512"/>
      <c r="AA2" s="1512"/>
      <c r="AB2" s="1512"/>
    </row>
    <row r="3" spans="1:30">
      <c r="A3" s="1516" t="s">
        <v>254</v>
      </c>
      <c r="B3" s="1512"/>
      <c r="C3" s="1512"/>
      <c r="D3" s="1512"/>
      <c r="E3" s="1512"/>
      <c r="F3" s="1512"/>
      <c r="G3" s="1512"/>
      <c r="H3" s="1512"/>
      <c r="I3" s="1512"/>
      <c r="J3" s="1512"/>
      <c r="K3" s="1512"/>
      <c r="L3" s="1512"/>
      <c r="M3" s="1512"/>
      <c r="N3" s="1512"/>
      <c r="O3" s="1512"/>
      <c r="P3" s="1512"/>
      <c r="Q3" s="1512"/>
      <c r="R3" s="1512"/>
      <c r="S3" s="1512"/>
      <c r="T3" s="1512"/>
      <c r="U3" s="1512"/>
      <c r="V3" s="1512"/>
      <c r="W3" s="1512"/>
      <c r="X3" s="1512"/>
      <c r="Y3" s="1512"/>
      <c r="Z3" s="1512"/>
      <c r="AA3" s="1512"/>
      <c r="AB3" s="1512"/>
    </row>
    <row r="4" spans="1:30" ht="26.2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720"/>
      <c r="N4" s="720"/>
      <c r="O4" s="720"/>
      <c r="P4" s="720"/>
      <c r="Q4" s="720"/>
      <c r="R4" s="720"/>
      <c r="S4" s="720"/>
      <c r="T4" s="720"/>
      <c r="U4" s="720"/>
      <c r="V4" s="720"/>
      <c r="W4" s="720"/>
      <c r="X4" s="720"/>
      <c r="Y4" s="720"/>
      <c r="Z4" s="720"/>
      <c r="AA4" s="720"/>
      <c r="AB4" s="720"/>
    </row>
    <row r="5" spans="1:30">
      <c r="A5" s="1480" t="s">
        <v>510</v>
      </c>
      <c r="B5" s="1480"/>
      <c r="C5" s="1480"/>
      <c r="D5" s="1480"/>
      <c r="E5" s="1480"/>
      <c r="F5" s="1480"/>
      <c r="G5" s="1480"/>
      <c r="H5" s="1480"/>
      <c r="I5" s="1480"/>
      <c r="J5" s="1480"/>
      <c r="K5" s="1321"/>
      <c r="L5" s="1321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05"/>
      <c r="Z5" s="305"/>
      <c r="AA5" s="305"/>
      <c r="AB5" s="305"/>
    </row>
    <row r="6" spans="1:30" ht="24.75" customHeight="1">
      <c r="A6" s="1498" t="s">
        <v>497</v>
      </c>
      <c r="B6" s="1498"/>
      <c r="C6" s="1498"/>
      <c r="D6" s="1498"/>
      <c r="E6" s="1498"/>
      <c r="F6" s="1498"/>
      <c r="G6" s="1498"/>
      <c r="H6" s="1498"/>
      <c r="I6" s="1498"/>
      <c r="J6" s="1498"/>
      <c r="K6" s="1199"/>
      <c r="L6" s="1199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5"/>
      <c r="Z6" s="305"/>
      <c r="AA6" s="305"/>
      <c r="AB6" s="305"/>
    </row>
    <row r="7" spans="1:30">
      <c r="A7" s="1199"/>
      <c r="B7" s="1199"/>
      <c r="C7" s="1199"/>
      <c r="D7" s="1199"/>
      <c r="E7" s="1199"/>
      <c r="F7" s="1324"/>
      <c r="G7" s="1324"/>
      <c r="H7" s="1324"/>
      <c r="I7" s="1324"/>
      <c r="J7" s="304"/>
      <c r="K7" s="304"/>
      <c r="L7" s="304"/>
      <c r="M7" s="304"/>
      <c r="N7" s="304"/>
      <c r="O7" s="304"/>
      <c r="P7" s="304"/>
      <c r="Q7" s="304"/>
      <c r="R7" s="304"/>
      <c r="S7" s="304"/>
      <c r="T7" s="304"/>
      <c r="U7" s="304"/>
      <c r="V7" s="304"/>
      <c r="W7" s="304"/>
      <c r="X7" s="304"/>
      <c r="Y7" s="305"/>
      <c r="Z7" s="305"/>
      <c r="AA7" s="305"/>
      <c r="AB7" s="305"/>
    </row>
    <row r="8" spans="1:30">
      <c r="A8" s="1199"/>
      <c r="B8" s="1199"/>
      <c r="C8" s="1199"/>
      <c r="D8" s="1199"/>
      <c r="E8" s="1199"/>
      <c r="F8" s="1324"/>
      <c r="G8" s="1324"/>
      <c r="H8" s="1324"/>
      <c r="I8" s="1324"/>
      <c r="J8" s="304"/>
      <c r="K8" s="304"/>
      <c r="L8" s="304"/>
      <c r="M8" s="304"/>
      <c r="N8" s="304"/>
      <c r="O8" s="304"/>
      <c r="P8" s="304"/>
      <c r="Q8" s="304"/>
      <c r="R8" s="304"/>
      <c r="S8" s="304"/>
      <c r="T8" s="304"/>
      <c r="U8" s="304"/>
      <c r="V8" s="304"/>
      <c r="W8" s="304"/>
      <c r="X8" s="304"/>
      <c r="Y8" s="305"/>
      <c r="Z8" s="305"/>
      <c r="AA8" s="305"/>
      <c r="AB8" s="305"/>
    </row>
    <row r="9" spans="1:30" ht="30">
      <c r="A9" s="1497" t="s">
        <v>809</v>
      </c>
      <c r="B9" s="1497"/>
      <c r="C9" s="1497"/>
      <c r="D9" s="1497"/>
      <c r="E9" s="1497"/>
      <c r="F9" s="1497"/>
      <c r="G9" s="1497"/>
      <c r="H9" s="1497"/>
      <c r="I9" s="1497"/>
      <c r="J9" s="1497"/>
      <c r="K9" s="1497"/>
      <c r="L9" s="1497"/>
      <c r="M9" s="1497"/>
      <c r="N9" s="1497"/>
      <c r="O9" s="1497"/>
      <c r="P9" s="1497"/>
      <c r="Q9" s="1497"/>
      <c r="R9" s="1497"/>
      <c r="S9" s="1497"/>
      <c r="T9" s="1497"/>
      <c r="U9" s="1497"/>
      <c r="V9" s="1497"/>
      <c r="W9" s="1497"/>
      <c r="X9" s="1497"/>
      <c r="Y9" s="1497"/>
      <c r="Z9" s="1497"/>
      <c r="AA9" s="1497"/>
      <c r="AB9" s="1497"/>
    </row>
    <row r="10" spans="1:30" ht="30" customHeight="1">
      <c r="A10" s="625"/>
      <c r="B10" s="625"/>
      <c r="C10" s="625"/>
      <c r="D10" s="625"/>
      <c r="E10" s="625"/>
      <c r="F10" s="625"/>
      <c r="G10" s="625"/>
      <c r="H10" s="625"/>
      <c r="I10" s="625"/>
      <c r="J10" s="625"/>
      <c r="K10" s="625"/>
      <c r="L10" s="625"/>
      <c r="M10" s="625"/>
      <c r="N10" s="625"/>
      <c r="O10" s="625"/>
      <c r="P10" s="625"/>
      <c r="Q10" s="625"/>
      <c r="R10" s="625"/>
      <c r="S10" s="625"/>
      <c r="T10" s="625"/>
      <c r="U10" s="625"/>
      <c r="V10" s="625"/>
      <c r="W10" s="625"/>
      <c r="X10" s="625"/>
      <c r="Y10" s="625"/>
      <c r="Z10" s="625"/>
      <c r="AA10" s="625"/>
      <c r="AB10" s="625"/>
      <c r="AC10" s="1284" t="s">
        <v>32</v>
      </c>
      <c r="AD10" s="1203">
        <f>'SẢN LƯỢNG'!$AK$98</f>
        <v>231746</v>
      </c>
    </row>
    <row r="11" spans="1:30" s="1285" customFormat="1" ht="18" customHeight="1">
      <c r="A11" s="1498"/>
      <c r="B11" s="1498"/>
      <c r="C11" s="1498"/>
      <c r="D11" s="1498"/>
      <c r="E11" s="1498"/>
      <c r="F11" s="1498"/>
      <c r="G11" s="1498"/>
      <c r="H11" s="1498"/>
      <c r="I11" s="1498"/>
      <c r="J11" s="1498"/>
      <c r="K11" s="1498"/>
      <c r="L11" s="1498"/>
      <c r="M11" s="1498"/>
      <c r="N11" s="1498"/>
      <c r="O11" s="1498"/>
      <c r="P11" s="1498"/>
      <c r="Q11" s="1498"/>
      <c r="R11" s="1498"/>
      <c r="S11" s="1498"/>
      <c r="T11" s="1498"/>
      <c r="U11" s="1498"/>
      <c r="V11" s="1498"/>
      <c r="W11" s="1498"/>
      <c r="X11" s="1498"/>
      <c r="Y11" s="1498"/>
      <c r="Z11" s="1498"/>
      <c r="AA11" s="1498"/>
      <c r="AB11" s="1498"/>
      <c r="AC11" s="1284" t="s">
        <v>369</v>
      </c>
      <c r="AD11" s="1203">
        <f>'SẢN LƯỢNG'!AM98</f>
        <v>101371.57699999999</v>
      </c>
    </row>
    <row r="12" spans="1:30" s="1285" customFormat="1" ht="36.75" customHeight="1">
      <c r="A12" s="1313"/>
      <c r="B12" s="1199"/>
      <c r="C12" s="1514"/>
      <c r="D12" s="1514"/>
      <c r="E12" s="1209">
        <f>'CNKT '!F10</f>
        <v>611</v>
      </c>
      <c r="F12" s="1325"/>
      <c r="G12" s="1325"/>
      <c r="H12" s="1325"/>
      <c r="I12" s="1325"/>
      <c r="J12" s="1326"/>
      <c r="K12" s="1326"/>
      <c r="L12" s="1326"/>
      <c r="M12" s="1199"/>
      <c r="N12" s="1199"/>
      <c r="O12" s="1199"/>
      <c r="P12" s="1199"/>
      <c r="Q12" s="1199"/>
      <c r="R12" s="1199"/>
      <c r="S12" s="1199"/>
      <c r="T12" s="1199"/>
      <c r="U12" s="1199"/>
      <c r="V12" s="1199"/>
      <c r="W12" s="1199"/>
      <c r="X12" s="1199"/>
      <c r="Y12" s="1199"/>
      <c r="Z12" s="1199"/>
      <c r="AA12" s="1199"/>
      <c r="AB12" s="1199"/>
      <c r="AC12" s="1292" t="s">
        <v>370</v>
      </c>
      <c r="AD12" s="663">
        <v>0.5</v>
      </c>
    </row>
    <row r="13" spans="1:30" ht="27" customHeight="1">
      <c r="C13" s="1515" t="s">
        <v>258</v>
      </c>
      <c r="D13" s="1515"/>
      <c r="E13" s="1328">
        <f>'CNKT '!F11</f>
        <v>659.96</v>
      </c>
      <c r="F13" s="1329"/>
      <c r="G13" s="1329"/>
      <c r="H13" s="1329"/>
      <c r="I13" s="1329"/>
      <c r="J13" s="306"/>
      <c r="K13" s="306"/>
      <c r="L13" s="306"/>
      <c r="M13" s="307"/>
      <c r="N13" s="308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1503" t="s">
        <v>366</v>
      </c>
      <c r="AA13" s="1503"/>
      <c r="AB13" s="460">
        <f>AD11/AD10</f>
        <v>0.4374253579349805</v>
      </c>
      <c r="AC13" s="1292" t="s">
        <v>371</v>
      </c>
      <c r="AD13" s="1149">
        <v>0.53439587628866003</v>
      </c>
    </row>
    <row r="14" spans="1:30" s="1199" customFormat="1" ht="26.25" customHeight="1">
      <c r="A14" s="1485" t="s">
        <v>4</v>
      </c>
      <c r="B14" s="1485" t="s">
        <v>80</v>
      </c>
      <c r="C14" s="1502" t="s">
        <v>13</v>
      </c>
      <c r="D14" s="1485" t="s">
        <v>200</v>
      </c>
      <c r="E14" s="1494" t="s">
        <v>18</v>
      </c>
      <c r="F14" s="1494"/>
      <c r="G14" s="1494"/>
      <c r="H14" s="1494"/>
      <c r="I14" s="1494"/>
      <c r="J14" s="1494"/>
      <c r="K14" s="1494"/>
      <c r="L14" s="1494"/>
      <c r="M14" s="1494"/>
      <c r="N14" s="1494"/>
      <c r="O14" s="1494"/>
      <c r="P14" s="1494"/>
      <c r="Q14" s="1494"/>
      <c r="R14" s="1494"/>
      <c r="S14" s="1494"/>
      <c r="T14" s="1494"/>
      <c r="U14" s="1494"/>
      <c r="V14" s="1494"/>
      <c r="W14" s="1494"/>
      <c r="X14" s="1494"/>
      <c r="Y14" s="1494"/>
      <c r="Z14" s="1509" t="s">
        <v>324</v>
      </c>
      <c r="AA14" s="1484" t="s">
        <v>131</v>
      </c>
      <c r="AB14" s="1484" t="s">
        <v>323</v>
      </c>
    </row>
    <row r="15" spans="1:30" s="1199" customFormat="1" ht="52.5" customHeight="1">
      <c r="A15" s="1485"/>
      <c r="B15" s="1485"/>
      <c r="C15" s="1502"/>
      <c r="D15" s="1485"/>
      <c r="E15" s="1486" t="s">
        <v>322</v>
      </c>
      <c r="F15" s="1487"/>
      <c r="G15" s="1504" t="s">
        <v>21</v>
      </c>
      <c r="H15" s="1505"/>
      <c r="I15" s="1505"/>
      <c r="J15" s="1505"/>
      <c r="K15" s="1505"/>
      <c r="L15" s="1505"/>
      <c r="M15" s="1505"/>
      <c r="N15" s="1506"/>
      <c r="O15" s="1484" t="s">
        <v>22</v>
      </c>
      <c r="P15" s="1484"/>
      <c r="Q15" s="1484"/>
      <c r="R15" s="1484"/>
      <c r="S15" s="1484"/>
      <c r="T15" s="1484"/>
      <c r="U15" s="1484"/>
      <c r="V15" s="1484"/>
      <c r="W15" s="1484"/>
      <c r="X15" s="1484"/>
      <c r="Y15" s="1484"/>
      <c r="Z15" s="1510"/>
      <c r="AA15" s="1484"/>
      <c r="AB15" s="1484"/>
    </row>
    <row r="16" spans="1:30" s="1261" customFormat="1" ht="121.5" customHeight="1">
      <c r="A16" s="1485"/>
      <c r="B16" s="1485"/>
      <c r="C16" s="1502"/>
      <c r="D16" s="1485"/>
      <c r="E16" s="807" t="s">
        <v>66</v>
      </c>
      <c r="F16" s="1295" t="s">
        <v>23</v>
      </c>
      <c r="G16" s="1295" t="s">
        <v>320</v>
      </c>
      <c r="H16" s="1295" t="s">
        <v>363</v>
      </c>
      <c r="I16" s="808" t="s">
        <v>372</v>
      </c>
      <c r="J16" s="809" t="s">
        <v>364</v>
      </c>
      <c r="K16" s="1297" t="s">
        <v>857</v>
      </c>
      <c r="L16" s="1297" t="s">
        <v>856</v>
      </c>
      <c r="M16" s="806" t="s">
        <v>24</v>
      </c>
      <c r="N16" s="806" t="s">
        <v>25</v>
      </c>
      <c r="O16" s="810" t="s">
        <v>840</v>
      </c>
      <c r="P16" s="1298" t="s">
        <v>837</v>
      </c>
      <c r="Q16" s="1298" t="s">
        <v>843</v>
      </c>
      <c r="R16" s="1298" t="s">
        <v>842</v>
      </c>
      <c r="S16" s="1298" t="s">
        <v>845</v>
      </c>
      <c r="T16" s="1298" t="s">
        <v>844</v>
      </c>
      <c r="U16" s="1298" t="s">
        <v>470</v>
      </c>
      <c r="V16" s="811" t="s">
        <v>757</v>
      </c>
      <c r="W16" s="811" t="s">
        <v>465</v>
      </c>
      <c r="X16" s="811" t="s">
        <v>448</v>
      </c>
      <c r="Y16" s="806" t="s">
        <v>16</v>
      </c>
      <c r="Z16" s="1511"/>
      <c r="AA16" s="1484"/>
      <c r="AB16" s="1484"/>
    </row>
    <row r="17" spans="1:29" s="1253" customFormat="1" ht="42.75" customHeight="1">
      <c r="A17" s="1299">
        <v>1</v>
      </c>
      <c r="B17" s="1330" t="str">
        <f>'Chấm công KT'!C95</f>
        <v>04072</v>
      </c>
      <c r="C17" s="1330" t="str">
        <f>TONGHOPCONGDOI!C96</f>
        <v xml:space="preserve">T. Lun </v>
      </c>
      <c r="D17" s="1330"/>
      <c r="E17" s="1331"/>
      <c r="F17" s="1330">
        <f>E17*25000</f>
        <v>0</v>
      </c>
      <c r="G17" s="1330">
        <f>VLOOKUP(C17,TONGHOPCONGDOI!C96:AD159,16,0)</f>
        <v>3742</v>
      </c>
      <c r="H17" s="1330">
        <f>VLOOKUP(C17,TONGHOPCONGDOI!C96:AD159,17,0)</f>
        <v>0</v>
      </c>
      <c r="I17" s="1330"/>
      <c r="J17" s="817">
        <f>$AD$11/$AD$10*G17+H17*$AD$12+I17*$AD$13</f>
        <v>1636.8456893926971</v>
      </c>
      <c r="K17" s="817">
        <f>'SẢN LƯỢNG'!AP99</f>
        <v>139.32055401801864</v>
      </c>
      <c r="L17" s="817">
        <f>'SẢN LƯỢNG'!AQ99</f>
        <v>1776.1662434107159</v>
      </c>
      <c r="M17" s="1299" t="str">
        <f>VLOOKUP(C17,'SẢN LƯỢNG'!D99:AR160,41,0)</f>
        <v>A</v>
      </c>
      <c r="N17" s="1302">
        <f>ROUND((IF(M17="A",(L17*6.1),IF(M17="B",(L17*5.8),IF(M17="C",(L17*5.5),IF(M17="C.",(L17*5.5),IF(M17="D",(L17*5.2),0)))))*$E$12),0)</f>
        <v>6619949</v>
      </c>
      <c r="O17" s="1330">
        <f>VLOOKUP(C17,TONGHOPCONGDOI!$C$96:$AD$159,20,0)</f>
        <v>26</v>
      </c>
      <c r="P17" s="1330">
        <f>VLOOKUP(C17,TONGHOPCONGDOI!$C$96:$AD$159,21,0)</f>
        <v>1</v>
      </c>
      <c r="Q17" s="1330">
        <f>VLOOKUP(C17,TONGHOPCONGDOI!$C$96:$AD$159,22,0)</f>
        <v>0</v>
      </c>
      <c r="R17" s="1330">
        <f>VLOOKUP(C17,TONGHOPCONGDOI!$C$96:$AD$159,23,0)</f>
        <v>3</v>
      </c>
      <c r="S17" s="1330">
        <f>VLOOKUP(C17,TONGHOPCONGDOI!$C$96:$AD$159,24,0)</f>
        <v>0</v>
      </c>
      <c r="T17" s="1330">
        <f>VLOOKUP(C17,TONGHOPCONGDOI!$C$96:$AD$159,25,0)</f>
        <v>0</v>
      </c>
      <c r="U17" s="1330"/>
      <c r="V17" s="1300">
        <f>R17</f>
        <v>3</v>
      </c>
      <c r="W17" s="1301"/>
      <c r="X17" s="1301"/>
      <c r="Y17" s="813">
        <f>ROUND(((O17*46.1)+(P17*76.9)+(Q17*92.2)+(R17*153.8)+(S17*92.2)+(T17*153.8))*$E$13+(U17*25000)+(V17*100000),0)</f>
        <v>1446285</v>
      </c>
      <c r="Z17" s="1330">
        <f>F17+N17+Y17</f>
        <v>8066234</v>
      </c>
      <c r="AA17" s="1330"/>
      <c r="AB17" s="1330">
        <f>VLOOKUP(C17,'CNKT '!$D$101:$AC$164,24,0)</f>
        <v>8066234</v>
      </c>
      <c r="AC17" s="1253">
        <f>Z17-AB17</f>
        <v>0</v>
      </c>
    </row>
    <row r="18" spans="1:29" s="1253" customFormat="1" ht="42.75" customHeight="1">
      <c r="A18" s="1299">
        <v>2</v>
      </c>
      <c r="B18" s="1330" t="str">
        <f>'Chấm công KT'!C96</f>
        <v>03466</v>
      </c>
      <c r="C18" s="1330" t="str">
        <f>TONGHOPCONGDOI!C97</f>
        <v>N. Keo</v>
      </c>
      <c r="D18" s="1330"/>
      <c r="E18" s="1331"/>
      <c r="F18" s="1330">
        <f t="shared" ref="F18:F80" si="0">E18*25000</f>
        <v>0</v>
      </c>
      <c r="G18" s="1330">
        <f>VLOOKUP(C18,TONGHOPCONGDOI!C97:AD160,16,0)</f>
        <v>3580</v>
      </c>
      <c r="H18" s="1330">
        <f>VLOOKUP(C18,TONGHOPCONGDOI!C97:AD160,17,0)</f>
        <v>0</v>
      </c>
      <c r="I18" s="1330"/>
      <c r="J18" s="817">
        <f t="shared" ref="J18:J48" si="1">$AD$11/$AD$10*G18+H18*$AD$12+I18*$AD$13</f>
        <v>1565.9827814072303</v>
      </c>
      <c r="K18" s="817">
        <f>'SẢN LƯỢNG'!AP100</f>
        <v>147.23997072604459</v>
      </c>
      <c r="L18" s="817">
        <f>'SẢN LƯỢNG'!AQ100</f>
        <v>1713.2227521332748</v>
      </c>
      <c r="M18" s="1299" t="str">
        <f>VLOOKUP(C18,'SẢN LƯỢNG'!D100:AR161,41,0)</f>
        <v>A</v>
      </c>
      <c r="N18" s="1302">
        <f t="shared" ref="N18:N78" si="2">ROUND((IF(M18="A",(L18*6.1),IF(M18="B",(L18*5.8),IF(M18="C",(L18*5.5),IF(M18="C.",(L18*5.5),IF(M18="D",(L18*5.2),0)))))*$E$12),0)</f>
        <v>6385353</v>
      </c>
      <c r="O18" s="1330">
        <f>VLOOKUP(C18,TONGHOPCONGDOI!$C$96:$AD$159,20,0)</f>
        <v>25</v>
      </c>
      <c r="P18" s="1330">
        <f>VLOOKUP(C18,TONGHOPCONGDOI!$C$96:$AD$159,21,0)</f>
        <v>1</v>
      </c>
      <c r="Q18" s="1330">
        <f>VLOOKUP(C18,TONGHOPCONGDOI!$C$96:$AD$159,22,0)</f>
        <v>0</v>
      </c>
      <c r="R18" s="1330">
        <f>VLOOKUP(C18,TONGHOPCONGDOI!$C$96:$AD$159,23,0)</f>
        <v>3</v>
      </c>
      <c r="S18" s="1330">
        <f>VLOOKUP(C18,TONGHOPCONGDOI!$C$96:$AD$159,24,0)</f>
        <v>0</v>
      </c>
      <c r="T18" s="1330">
        <f>VLOOKUP(C18,TONGHOPCONGDOI!$C$96:$AD$159,25,0)</f>
        <v>0</v>
      </c>
      <c r="U18" s="1330"/>
      <c r="V18" s="1300">
        <f t="shared" ref="V18:V78" si="3">R18</f>
        <v>3</v>
      </c>
      <c r="W18" s="1301"/>
      <c r="X18" s="1301"/>
      <c r="Y18" s="813">
        <f t="shared" ref="Y18:Y78" si="4">ROUND(((O18*46.1)+(P18*76.9)+(Q18*92.2)+(R18*153.8)+(S18*92.2)+(T18*153.8))*$E$13+(U18*25000)+(V18*100000),0)</f>
        <v>1415860</v>
      </c>
      <c r="Z18" s="1330">
        <f t="shared" ref="Z18:Z48" si="5">F18+N18+Y18</f>
        <v>7801213</v>
      </c>
      <c r="AA18" s="1330"/>
      <c r="AB18" s="1330">
        <f>VLOOKUP(C18,'CNKT '!$D$101:$AC$164,24,0)</f>
        <v>7801213</v>
      </c>
      <c r="AC18" s="1253">
        <f t="shared" ref="AC18:AC83" si="6">Z18-AB18</f>
        <v>0</v>
      </c>
    </row>
    <row r="19" spans="1:29" s="1253" customFormat="1" ht="42.75" customHeight="1">
      <c r="A19" s="1299">
        <v>3</v>
      </c>
      <c r="B19" s="1330" t="str">
        <f>'Chấm công KT'!C97</f>
        <v>03590</v>
      </c>
      <c r="C19" s="1330" t="str">
        <f>TONGHOPCONGDOI!C98</f>
        <v>T .Nhum</v>
      </c>
      <c r="D19" s="1330"/>
      <c r="E19" s="1331"/>
      <c r="F19" s="1330">
        <f t="shared" si="0"/>
        <v>0</v>
      </c>
      <c r="G19" s="1330">
        <f>VLOOKUP(C19,TONGHOPCONGDOI!C98:AD162,16,0)</f>
        <v>3738</v>
      </c>
      <c r="H19" s="1330">
        <f>VLOOKUP(C19,TONGHOPCONGDOI!C98:AD160,17,0)</f>
        <v>0</v>
      </c>
      <c r="I19" s="1330"/>
      <c r="J19" s="817">
        <f t="shared" si="1"/>
        <v>1635.095987960957</v>
      </c>
      <c r="K19" s="817">
        <f>'SẢN LƯỢNG'!AP101</f>
        <v>130.89130361634298</v>
      </c>
      <c r="L19" s="817">
        <f>'SẢN LƯỢNG'!AQ101</f>
        <v>1765.9872915773003</v>
      </c>
      <c r="M19" s="1299" t="str">
        <f>VLOOKUP(C19,'SẢN LƯỢNG'!D101:AR162,41,0)</f>
        <v>A</v>
      </c>
      <c r="N19" s="1302">
        <f t="shared" si="2"/>
        <v>6582011</v>
      </c>
      <c r="O19" s="1330">
        <f>VLOOKUP(C19,TONGHOPCONGDOI!$C$96:$AD$159,20,0)</f>
        <v>27</v>
      </c>
      <c r="P19" s="1330">
        <f>VLOOKUP(C19,TONGHOPCONGDOI!$C$96:$AD$159,21,0)</f>
        <v>1</v>
      </c>
      <c r="Q19" s="1330">
        <f>VLOOKUP(C19,TONGHOPCONGDOI!$C$96:$AD$159,22,0)</f>
        <v>0</v>
      </c>
      <c r="R19" s="1330">
        <f>VLOOKUP(C19,TONGHOPCONGDOI!$C$96:$AD$159,23,0)</f>
        <v>3</v>
      </c>
      <c r="S19" s="1330">
        <f>VLOOKUP(C19,TONGHOPCONGDOI!$C$96:$AD$159,24,0)</f>
        <v>0</v>
      </c>
      <c r="T19" s="1330">
        <f>VLOOKUP(C19,TONGHOPCONGDOI!$C$96:$AD$159,25,0)</f>
        <v>0</v>
      </c>
      <c r="U19" s="1330"/>
      <c r="V19" s="1300">
        <f t="shared" si="3"/>
        <v>3</v>
      </c>
      <c r="W19" s="1301"/>
      <c r="X19" s="1301"/>
      <c r="Y19" s="813">
        <f t="shared" si="4"/>
        <v>1476709</v>
      </c>
      <c r="Z19" s="1330">
        <f t="shared" si="5"/>
        <v>8058720</v>
      </c>
      <c r="AA19" s="1330"/>
      <c r="AB19" s="1330">
        <f>VLOOKUP(C19,'CNKT '!$D$101:$AC$164,24,0)</f>
        <v>8058720</v>
      </c>
      <c r="AC19" s="1253">
        <f t="shared" si="6"/>
        <v>0</v>
      </c>
    </row>
    <row r="20" spans="1:29" s="1253" customFormat="1" ht="42.75" customHeight="1">
      <c r="A20" s="1299">
        <v>4</v>
      </c>
      <c r="B20" s="1330" t="str">
        <f>'Chấm công KT'!C98</f>
        <v>03591</v>
      </c>
      <c r="C20" s="1330" t="str">
        <f>TONGHOPCONGDOI!C99</f>
        <v>N.Vông Ma Ni</v>
      </c>
      <c r="D20" s="1330"/>
      <c r="E20" s="1331"/>
      <c r="F20" s="1330">
        <f t="shared" si="0"/>
        <v>0</v>
      </c>
      <c r="G20" s="1330">
        <f>VLOOKUP(C20,TONGHOPCONGDOI!C99:AD163,16,0)</f>
        <v>3849</v>
      </c>
      <c r="H20" s="1330">
        <f>VLOOKUP(C20,TONGHOPCONGDOI!C99:AD160,17,0)</f>
        <v>0</v>
      </c>
      <c r="I20" s="1330"/>
      <c r="J20" s="817">
        <f t="shared" si="1"/>
        <v>1683.6502026917399</v>
      </c>
      <c r="K20" s="817">
        <f>'SẢN LƯỢNG'!AP102</f>
        <v>125.6230221152957</v>
      </c>
      <c r="L20" s="817">
        <f>'SẢN LƯỢNG'!AQ102</f>
        <v>1809.2732248070358</v>
      </c>
      <c r="M20" s="1299" t="str">
        <f>VLOOKUP(C20,'SẢN LƯỢNG'!D102:AR163,41,0)</f>
        <v>A</v>
      </c>
      <c r="N20" s="1302">
        <f t="shared" si="2"/>
        <v>6743342</v>
      </c>
      <c r="O20" s="1330">
        <f>VLOOKUP(C20,TONGHOPCONGDOI!$C$96:$AD$159,20,0)</f>
        <v>26</v>
      </c>
      <c r="P20" s="1330">
        <f>VLOOKUP(C20,TONGHOPCONGDOI!$C$96:$AD$159,21,0)</f>
        <v>1</v>
      </c>
      <c r="Q20" s="1330">
        <f>VLOOKUP(C20,TONGHOPCONGDOI!$C$96:$AD$159,22,0)</f>
        <v>0</v>
      </c>
      <c r="R20" s="1330">
        <f>VLOOKUP(C20,TONGHOPCONGDOI!$C$96:$AD$159,23,0)</f>
        <v>3</v>
      </c>
      <c r="S20" s="1330">
        <f>VLOOKUP(C20,TONGHOPCONGDOI!$C$96:$AD$159,24,0)</f>
        <v>0</v>
      </c>
      <c r="T20" s="1330">
        <f>VLOOKUP(C20,TONGHOPCONGDOI!$C$96:$AD$159,25,0)</f>
        <v>0</v>
      </c>
      <c r="U20" s="1330"/>
      <c r="V20" s="1300">
        <f t="shared" si="3"/>
        <v>3</v>
      </c>
      <c r="W20" s="1301"/>
      <c r="X20" s="1301"/>
      <c r="Y20" s="813">
        <f t="shared" si="4"/>
        <v>1446285</v>
      </c>
      <c r="Z20" s="1330">
        <f t="shared" si="5"/>
        <v>8189627</v>
      </c>
      <c r="AA20" s="1330"/>
      <c r="AB20" s="1330">
        <f>VLOOKUP(C20,'CNKT '!$D$101:$AC$164,24,0)</f>
        <v>8189627</v>
      </c>
      <c r="AC20" s="1253">
        <f t="shared" si="6"/>
        <v>0</v>
      </c>
    </row>
    <row r="21" spans="1:29" s="1253" customFormat="1" ht="42.75" customHeight="1">
      <c r="A21" s="1299">
        <v>5</v>
      </c>
      <c r="B21" s="1330" t="str">
        <f>'Chấm công KT'!C99</f>
        <v>03592</v>
      </c>
      <c r="C21" s="1330" t="str">
        <f>TONGHOPCONGDOI!C100</f>
        <v>Đao Hương</v>
      </c>
      <c r="D21" s="1330"/>
      <c r="E21" s="1331"/>
      <c r="F21" s="1330">
        <f t="shared" si="0"/>
        <v>0</v>
      </c>
      <c r="G21" s="1330">
        <f>VLOOKUP(C21,TONGHOPCONGDOI!C100:AD164,16,0)</f>
        <v>3654</v>
      </c>
      <c r="H21" s="1330">
        <f>VLOOKUP(C21,TONGHOPCONGDOI!C100:AD160,17,0)</f>
        <v>0</v>
      </c>
      <c r="I21" s="1330"/>
      <c r="J21" s="817">
        <f t="shared" si="1"/>
        <v>1598.3522578944187</v>
      </c>
      <c r="K21" s="817">
        <f>'SẢN LƯỢNG'!AP103</f>
        <v>124.36543233762633</v>
      </c>
      <c r="L21" s="817">
        <f>'SẢN LƯỢNG'!AQ103</f>
        <v>1722.7176902320452</v>
      </c>
      <c r="M21" s="1299" t="str">
        <f>VLOOKUP(C21,'SẢN LƯỢNG'!D103:AR164,41,0)</f>
        <v>A</v>
      </c>
      <c r="N21" s="1302">
        <f t="shared" si="2"/>
        <v>6420741</v>
      </c>
      <c r="O21" s="1330">
        <f>VLOOKUP(C21,TONGHOPCONGDOI!$C$96:$AD$159,20,0)</f>
        <v>26</v>
      </c>
      <c r="P21" s="1330">
        <f>VLOOKUP(C21,TONGHOPCONGDOI!$C$96:$AD$159,21,0)</f>
        <v>1</v>
      </c>
      <c r="Q21" s="1330">
        <f>VLOOKUP(C21,TONGHOPCONGDOI!$C$96:$AD$159,22,0)</f>
        <v>0</v>
      </c>
      <c r="R21" s="1330">
        <f>VLOOKUP(C21,TONGHOPCONGDOI!$C$96:$AD$159,23,0)</f>
        <v>3</v>
      </c>
      <c r="S21" s="1330">
        <f>VLOOKUP(C21,TONGHOPCONGDOI!$C$96:$AD$159,24,0)</f>
        <v>0</v>
      </c>
      <c r="T21" s="1330">
        <f>VLOOKUP(C21,TONGHOPCONGDOI!$C$96:$AD$159,25,0)</f>
        <v>0</v>
      </c>
      <c r="U21" s="1330"/>
      <c r="V21" s="1300">
        <f t="shared" si="3"/>
        <v>3</v>
      </c>
      <c r="W21" s="1301"/>
      <c r="X21" s="1301"/>
      <c r="Y21" s="813">
        <f t="shared" si="4"/>
        <v>1446285</v>
      </c>
      <c r="Z21" s="1330">
        <f t="shared" si="5"/>
        <v>7867026</v>
      </c>
      <c r="AA21" s="1330"/>
      <c r="AB21" s="1330">
        <f>VLOOKUP(C21,'CNKT '!$D$101:$AC$164,24,0)</f>
        <v>7867026</v>
      </c>
      <c r="AC21" s="1253">
        <f t="shared" si="6"/>
        <v>0</v>
      </c>
    </row>
    <row r="22" spans="1:29" s="1253" customFormat="1" ht="42.75" customHeight="1">
      <c r="A22" s="1299">
        <v>6</v>
      </c>
      <c r="B22" s="1330" t="str">
        <f>'Chấm công KT'!C100</f>
        <v>03593</v>
      </c>
      <c r="C22" s="1330" t="str">
        <f>TONGHOPCONGDOI!C101</f>
        <v>T. Xi Nun</v>
      </c>
      <c r="D22" s="1330"/>
      <c r="E22" s="1331"/>
      <c r="F22" s="1330">
        <f t="shared" si="0"/>
        <v>0</v>
      </c>
      <c r="G22" s="1330">
        <f>VLOOKUP(C22,TONGHOPCONGDOI!C101:AD165,16,0)</f>
        <v>3441</v>
      </c>
      <c r="H22" s="1330">
        <f>VLOOKUP(C22,TONGHOPCONGDOI!C101:AD160,17,0)</f>
        <v>0</v>
      </c>
      <c r="I22" s="1330"/>
      <c r="J22" s="817">
        <f t="shared" si="1"/>
        <v>1505.180656654268</v>
      </c>
      <c r="K22" s="817">
        <f>'SẢN LƯỢNG'!AP104</f>
        <v>164.37038283267586</v>
      </c>
      <c r="L22" s="817">
        <f>'SẢN LƯỢNG'!AQ104</f>
        <v>1669.5510394869441</v>
      </c>
      <c r="M22" s="1299" t="str">
        <f>VLOOKUP(C22,'SẢN LƯỢNG'!D104:AR165,41,0)</f>
        <v>B</v>
      </c>
      <c r="N22" s="1302">
        <f t="shared" si="2"/>
        <v>5916555</v>
      </c>
      <c r="O22" s="1330">
        <f>VLOOKUP(C22,TONGHOPCONGDOI!$C$96:$AD$159,20,0)</f>
        <v>20</v>
      </c>
      <c r="P22" s="1330">
        <f>VLOOKUP(C22,TONGHOPCONGDOI!$C$96:$AD$159,21,0)</f>
        <v>1</v>
      </c>
      <c r="Q22" s="1330">
        <f>VLOOKUP(C22,TONGHOPCONGDOI!$C$96:$AD$159,22,0)</f>
        <v>0</v>
      </c>
      <c r="R22" s="1330">
        <f>VLOOKUP(C22,TONGHOPCONGDOI!$C$96:$AD$159,23,0)</f>
        <v>2</v>
      </c>
      <c r="S22" s="1330">
        <f>VLOOKUP(C22,TONGHOPCONGDOI!$C$96:$AD$159,24,0)</f>
        <v>0</v>
      </c>
      <c r="T22" s="1330">
        <f>VLOOKUP(C22,TONGHOPCONGDOI!$C$96:$AD$159,25,0)</f>
        <v>0</v>
      </c>
      <c r="U22" s="1330"/>
      <c r="V22" s="1300">
        <f t="shared" si="3"/>
        <v>2</v>
      </c>
      <c r="W22" s="1301"/>
      <c r="X22" s="1301"/>
      <c r="Y22" s="813">
        <f t="shared" si="4"/>
        <v>1062238</v>
      </c>
      <c r="Z22" s="1330">
        <f t="shared" si="5"/>
        <v>6978793</v>
      </c>
      <c r="AA22" s="1330"/>
      <c r="AB22" s="1330">
        <f>VLOOKUP(C22,'CNKT '!$D$101:$AC$164,24,0)</f>
        <v>6978793</v>
      </c>
      <c r="AC22" s="1253">
        <f t="shared" si="6"/>
        <v>0</v>
      </c>
    </row>
    <row r="23" spans="1:29" s="1253" customFormat="1" ht="42.75" customHeight="1">
      <c r="A23" s="1299">
        <v>7</v>
      </c>
      <c r="B23" s="1330" t="str">
        <f>'Chấm công KT'!C101</f>
        <v>03594</v>
      </c>
      <c r="C23" s="1330" t="str">
        <f>TONGHOPCONGDOI!C102</f>
        <v>T. Bun Hinh</v>
      </c>
      <c r="D23" s="1330"/>
      <c r="E23" s="1331"/>
      <c r="F23" s="1330">
        <f t="shared" si="0"/>
        <v>0</v>
      </c>
      <c r="G23" s="1330">
        <f>VLOOKUP(C23,TONGHOPCONGDOI!C102:AD166,16,0)</f>
        <v>2889</v>
      </c>
      <c r="H23" s="1330">
        <f>VLOOKUP(C23,TONGHOPCONGDOI!C102:AD160,17,0)</f>
        <v>0</v>
      </c>
      <c r="I23" s="1330"/>
      <c r="J23" s="817">
        <f t="shared" si="1"/>
        <v>1263.7218590741586</v>
      </c>
      <c r="K23" s="817">
        <f>'SẢN LƯỢNG'!AP105</f>
        <v>111.48363434474294</v>
      </c>
      <c r="L23" s="817">
        <f>'SẢN LƯỢNG'!AQ105</f>
        <v>1375.2054934189018</v>
      </c>
      <c r="M23" s="1299" t="str">
        <f>VLOOKUP(C23,'SẢN LƯỢNG'!D105:AR166,41,0)</f>
        <v>A</v>
      </c>
      <c r="N23" s="1302">
        <f t="shared" si="2"/>
        <v>5125528</v>
      </c>
      <c r="O23" s="1330">
        <f>VLOOKUP(C23,TONGHOPCONGDOI!$C$96:$AD$159,20,0)</f>
        <v>27</v>
      </c>
      <c r="P23" s="1330">
        <f>VLOOKUP(C23,TONGHOPCONGDOI!$C$96:$AD$159,21,0)</f>
        <v>1</v>
      </c>
      <c r="Q23" s="1330">
        <f>VLOOKUP(C23,TONGHOPCONGDOI!$C$96:$AD$159,22,0)</f>
        <v>0</v>
      </c>
      <c r="R23" s="1330">
        <f>VLOOKUP(C23,TONGHOPCONGDOI!$C$96:$AD$159,23,0)</f>
        <v>3</v>
      </c>
      <c r="S23" s="1330">
        <f>VLOOKUP(C23,TONGHOPCONGDOI!$C$96:$AD$159,24,0)</f>
        <v>0</v>
      </c>
      <c r="T23" s="1330">
        <f>VLOOKUP(C23,TONGHOPCONGDOI!$C$96:$AD$159,25,0)</f>
        <v>0</v>
      </c>
      <c r="U23" s="1330"/>
      <c r="V23" s="1300">
        <f t="shared" si="3"/>
        <v>3</v>
      </c>
      <c r="W23" s="1301"/>
      <c r="X23" s="1301"/>
      <c r="Y23" s="813">
        <f t="shared" si="4"/>
        <v>1476709</v>
      </c>
      <c r="Z23" s="1330">
        <f t="shared" si="5"/>
        <v>6602237</v>
      </c>
      <c r="AA23" s="1330"/>
      <c r="AB23" s="1330">
        <f>VLOOKUP(C23,'CNKT '!$D$101:$AC$164,24,0)</f>
        <v>6602237</v>
      </c>
      <c r="AC23" s="1253">
        <f t="shared" si="6"/>
        <v>0</v>
      </c>
    </row>
    <row r="24" spans="1:29" s="1253" customFormat="1" ht="42.75" customHeight="1">
      <c r="A24" s="1299">
        <v>8</v>
      </c>
      <c r="B24" s="1330" t="str">
        <f>'Chấm công KT'!C102</f>
        <v>04073</v>
      </c>
      <c r="C24" s="1330" t="str">
        <f>TONGHOPCONGDOI!C103</f>
        <v>T. Miềng</v>
      </c>
      <c r="D24" s="1330"/>
      <c r="E24" s="1331"/>
      <c r="F24" s="1330">
        <f t="shared" si="0"/>
        <v>0</v>
      </c>
      <c r="G24" s="1330">
        <f>VLOOKUP(C24,TONGHOPCONGDOI!C103:AD167,16,0)</f>
        <v>2394</v>
      </c>
      <c r="H24" s="1330">
        <f>VLOOKUP(C24,TONGHOPCONGDOI!C103:AD160,17,0)</f>
        <v>0</v>
      </c>
      <c r="I24" s="1330"/>
      <c r="J24" s="817">
        <f t="shared" si="1"/>
        <v>1047.1963068963432</v>
      </c>
      <c r="K24" s="817">
        <f>'SẢN LƯỢNG'!AP106</f>
        <v>114.6785921582813</v>
      </c>
      <c r="L24" s="817">
        <f>'SẢN LƯỢNG'!AQ106</f>
        <v>1161.8748990546248</v>
      </c>
      <c r="M24" s="1299" t="str">
        <f>VLOOKUP(C24,'SẢN LƯỢNG'!D106:AR167,41,0)</f>
        <v>A</v>
      </c>
      <c r="N24" s="1302">
        <f t="shared" si="2"/>
        <v>4330424</v>
      </c>
      <c r="O24" s="1330">
        <f>VLOOKUP(C24,TONGHOPCONGDOI!$C$96:$AD$159,20,0)</f>
        <v>22</v>
      </c>
      <c r="P24" s="1330">
        <f>VLOOKUP(C24,TONGHOPCONGDOI!$C$96:$AD$159,21,0)</f>
        <v>0</v>
      </c>
      <c r="Q24" s="1330">
        <f>VLOOKUP(C24,TONGHOPCONGDOI!$C$96:$AD$159,22,0)</f>
        <v>0</v>
      </c>
      <c r="R24" s="1330">
        <f>VLOOKUP(C24,TONGHOPCONGDOI!$C$96:$AD$159,23,0)</f>
        <v>0</v>
      </c>
      <c r="S24" s="1330">
        <f>VLOOKUP(C24,TONGHOPCONGDOI!$C$96:$AD$159,24,0)</f>
        <v>0</v>
      </c>
      <c r="T24" s="1330">
        <f>VLOOKUP(C24,TONGHOPCONGDOI!$C$96:$AD$159,25,0)</f>
        <v>0</v>
      </c>
      <c r="U24" s="1330"/>
      <c r="V24" s="1300">
        <f t="shared" si="3"/>
        <v>0</v>
      </c>
      <c r="W24" s="1301"/>
      <c r="X24" s="1301"/>
      <c r="Y24" s="813">
        <f t="shared" si="4"/>
        <v>669331</v>
      </c>
      <c r="Z24" s="1330">
        <f t="shared" si="5"/>
        <v>4999755</v>
      </c>
      <c r="AA24" s="1330"/>
      <c r="AB24" s="1330">
        <f>VLOOKUP(C24,'CNKT '!$D$101:$AC$164,24,0)</f>
        <v>4999755</v>
      </c>
      <c r="AC24" s="1253">
        <f t="shared" si="6"/>
        <v>0</v>
      </c>
    </row>
    <row r="25" spans="1:29" s="1253" customFormat="1" ht="42.75" customHeight="1">
      <c r="A25" s="1299">
        <v>9</v>
      </c>
      <c r="B25" s="1330" t="str">
        <f>'Chấm công KT'!C103</f>
        <v>03596</v>
      </c>
      <c r="C25" s="1330" t="str">
        <f>TONGHOPCONGDOI!C104</f>
        <v>N. Xúc</v>
      </c>
      <c r="D25" s="1330"/>
      <c r="E25" s="1331"/>
      <c r="F25" s="1330">
        <f t="shared" si="0"/>
        <v>0</v>
      </c>
      <c r="G25" s="1330">
        <f>VLOOKUP(C25,TONGHOPCONGDOI!C104:AD168,16,0)</f>
        <v>3481</v>
      </c>
      <c r="H25" s="1330">
        <f>VLOOKUP(C25,TONGHOPCONGDOI!C104:AD160,17,0)</f>
        <v>0</v>
      </c>
      <c r="I25" s="1330"/>
      <c r="J25" s="817">
        <f t="shared" si="1"/>
        <v>1522.6776709716671</v>
      </c>
      <c r="K25" s="817">
        <f>'SẢN LƯỢNG'!AP107</f>
        <v>114.20274737754154</v>
      </c>
      <c r="L25" s="817">
        <f>'SẢN LƯỢNG'!AQ107</f>
        <v>1636.8804183492089</v>
      </c>
      <c r="M25" s="1299" t="str">
        <f>VLOOKUP(C25,'SẢN LƯỢNG'!D107:AR168,41,0)</f>
        <v>A</v>
      </c>
      <c r="N25" s="1302">
        <f t="shared" si="2"/>
        <v>6100817</v>
      </c>
      <c r="O25" s="1330">
        <f>VLOOKUP(C25,TONGHOPCONGDOI!$C$96:$AD$159,20,0)</f>
        <v>26</v>
      </c>
      <c r="P25" s="1330">
        <f>VLOOKUP(C25,TONGHOPCONGDOI!$C$96:$AD$159,21,0)</f>
        <v>1</v>
      </c>
      <c r="Q25" s="1330">
        <f>VLOOKUP(C25,TONGHOPCONGDOI!$C$96:$AD$159,22,0)</f>
        <v>0</v>
      </c>
      <c r="R25" s="1330">
        <f>VLOOKUP(C25,TONGHOPCONGDOI!$C$96:$AD$159,23,0)</f>
        <v>3</v>
      </c>
      <c r="S25" s="1330">
        <f>VLOOKUP(C25,TONGHOPCONGDOI!$C$96:$AD$159,24,0)</f>
        <v>0</v>
      </c>
      <c r="T25" s="1330">
        <f>VLOOKUP(C25,TONGHOPCONGDOI!$C$96:$AD$159,25,0)</f>
        <v>0</v>
      </c>
      <c r="U25" s="1330"/>
      <c r="V25" s="1300">
        <f t="shared" si="3"/>
        <v>3</v>
      </c>
      <c r="W25" s="1301"/>
      <c r="X25" s="1301"/>
      <c r="Y25" s="813">
        <f t="shared" si="4"/>
        <v>1446285</v>
      </c>
      <c r="Z25" s="1330">
        <f t="shared" si="5"/>
        <v>7547102</v>
      </c>
      <c r="AA25" s="1330"/>
      <c r="AB25" s="1330">
        <f>VLOOKUP(C25,'CNKT '!$D$101:$AC$164,24,0)</f>
        <v>7547102</v>
      </c>
      <c r="AC25" s="1253">
        <f t="shared" si="6"/>
        <v>0</v>
      </c>
    </row>
    <row r="26" spans="1:29" s="1253" customFormat="1" ht="42.75" customHeight="1">
      <c r="A26" s="1299">
        <v>10</v>
      </c>
      <c r="B26" s="1330" t="str">
        <f>'Chấm công KT'!C104</f>
        <v>03597</v>
      </c>
      <c r="C26" s="1330" t="str">
        <f>TONGHOPCONGDOI!C105</f>
        <v>N. Lẹ</v>
      </c>
      <c r="D26" s="1330"/>
      <c r="E26" s="1331"/>
      <c r="F26" s="1330">
        <f t="shared" si="0"/>
        <v>0</v>
      </c>
      <c r="G26" s="1330">
        <f>VLOOKUP(C26,TONGHOPCONGDOI!C105:AD169,16,0)</f>
        <v>3868</v>
      </c>
      <c r="H26" s="1330">
        <f>VLOOKUP(C26,TONGHOPCONGDOI!C105:AD160,17,0)</f>
        <v>0</v>
      </c>
      <c r="I26" s="1330"/>
      <c r="J26" s="817">
        <f t="shared" si="1"/>
        <v>1691.9612844925045</v>
      </c>
      <c r="K26" s="817">
        <f>'SẢN LƯỢNG'!AP108</f>
        <v>125.2151551603759</v>
      </c>
      <c r="L26" s="817">
        <f>'SẢN LƯỢNG'!AQ108</f>
        <v>1817.1764396528806</v>
      </c>
      <c r="M26" s="1299" t="str">
        <f>VLOOKUP(C26,'SẢN LƯỢNG'!D108:AR169,41,0)</f>
        <v>A</v>
      </c>
      <c r="N26" s="1302">
        <f t="shared" si="2"/>
        <v>6772798</v>
      </c>
      <c r="O26" s="1330">
        <f>VLOOKUP(C26,TONGHOPCONGDOI!$C$96:$AD$159,20,0)</f>
        <v>27</v>
      </c>
      <c r="P26" s="1330">
        <f>VLOOKUP(C26,TONGHOPCONGDOI!$C$96:$AD$159,21,0)</f>
        <v>1</v>
      </c>
      <c r="Q26" s="1330">
        <f>VLOOKUP(C26,TONGHOPCONGDOI!$C$96:$AD$159,22,0)</f>
        <v>0</v>
      </c>
      <c r="R26" s="1330">
        <f>VLOOKUP(C26,TONGHOPCONGDOI!$C$96:$AD$159,23,0)</f>
        <v>3</v>
      </c>
      <c r="S26" s="1330">
        <f>VLOOKUP(C26,TONGHOPCONGDOI!$C$96:$AD$159,24,0)</f>
        <v>0</v>
      </c>
      <c r="T26" s="1330">
        <f>VLOOKUP(C26,TONGHOPCONGDOI!$C$96:$AD$159,25,0)</f>
        <v>0</v>
      </c>
      <c r="U26" s="1330"/>
      <c r="V26" s="1300">
        <f t="shared" si="3"/>
        <v>3</v>
      </c>
      <c r="W26" s="1301"/>
      <c r="X26" s="1301"/>
      <c r="Y26" s="813">
        <f t="shared" si="4"/>
        <v>1476709</v>
      </c>
      <c r="Z26" s="1330">
        <f t="shared" si="5"/>
        <v>8249507</v>
      </c>
      <c r="AA26" s="1330"/>
      <c r="AB26" s="1330">
        <f>VLOOKUP(C26,'CNKT '!$D$101:$AC$164,24,0)</f>
        <v>8249507</v>
      </c>
      <c r="AC26" s="1253">
        <f t="shared" si="6"/>
        <v>0</v>
      </c>
    </row>
    <row r="27" spans="1:29" s="1253" customFormat="1" ht="42.75" customHeight="1">
      <c r="A27" s="1299">
        <v>11</v>
      </c>
      <c r="B27" s="1330" t="str">
        <f>'Chấm công KT'!C105</f>
        <v>03598</v>
      </c>
      <c r="C27" s="1330" t="str">
        <f>TONGHOPCONGDOI!C106</f>
        <v>N . Thích</v>
      </c>
      <c r="D27" s="1330"/>
      <c r="E27" s="1331"/>
      <c r="F27" s="1330">
        <f t="shared" si="0"/>
        <v>0</v>
      </c>
      <c r="G27" s="1330">
        <f>VLOOKUP(C27,TONGHOPCONGDOI!C106:AD170,16,0)</f>
        <v>3755</v>
      </c>
      <c r="H27" s="1330">
        <f>VLOOKUP(C27,TONGHOPCONGDOI!C106:AD160,17,0)</f>
        <v>0</v>
      </c>
      <c r="I27" s="1330"/>
      <c r="J27" s="817">
        <f t="shared" si="1"/>
        <v>1642.5322190458517</v>
      </c>
      <c r="K27" s="817">
        <f>'SẢN LƯỢNG'!AP109</f>
        <v>122.73396451794717</v>
      </c>
      <c r="L27" s="817">
        <f>'SẢN LƯỢNG'!AQ109</f>
        <v>1765.2661835637991</v>
      </c>
      <c r="M27" s="1299" t="str">
        <f>VLOOKUP(C27,'SẢN LƯỢNG'!D109:AR170,41,0)</f>
        <v>A</v>
      </c>
      <c r="N27" s="1302">
        <f t="shared" si="2"/>
        <v>6579324</v>
      </c>
      <c r="O27" s="1330">
        <f>VLOOKUP(C27,TONGHOPCONGDOI!$C$96:$AD$159,20,0)</f>
        <v>27</v>
      </c>
      <c r="P27" s="1330">
        <f>VLOOKUP(C27,TONGHOPCONGDOI!$C$96:$AD$159,21,0)</f>
        <v>1</v>
      </c>
      <c r="Q27" s="1330">
        <f>VLOOKUP(C27,TONGHOPCONGDOI!$C$96:$AD$159,22,0)</f>
        <v>0</v>
      </c>
      <c r="R27" s="1330">
        <f>VLOOKUP(C27,TONGHOPCONGDOI!$C$96:$AD$159,23,0)</f>
        <v>3</v>
      </c>
      <c r="S27" s="1330">
        <f>VLOOKUP(C27,TONGHOPCONGDOI!$C$96:$AD$159,24,0)</f>
        <v>0</v>
      </c>
      <c r="T27" s="1330">
        <f>VLOOKUP(C27,TONGHOPCONGDOI!$C$96:$AD$159,25,0)</f>
        <v>0</v>
      </c>
      <c r="U27" s="1330"/>
      <c r="V27" s="1300">
        <f t="shared" si="3"/>
        <v>3</v>
      </c>
      <c r="W27" s="1301"/>
      <c r="X27" s="1301"/>
      <c r="Y27" s="813">
        <f t="shared" si="4"/>
        <v>1476709</v>
      </c>
      <c r="Z27" s="1330">
        <f t="shared" si="5"/>
        <v>8056033</v>
      </c>
      <c r="AA27" s="1330"/>
      <c r="AB27" s="1330">
        <f>VLOOKUP(C27,'CNKT '!$D$101:$AC$164,24,0)</f>
        <v>8056033</v>
      </c>
      <c r="AC27" s="1253">
        <f t="shared" si="6"/>
        <v>0</v>
      </c>
    </row>
    <row r="28" spans="1:29" s="1253" customFormat="1" ht="42.75" customHeight="1">
      <c r="A28" s="1299">
        <v>12</v>
      </c>
      <c r="B28" s="1330" t="str">
        <f>'Chấm công KT'!C106</f>
        <v>03599</v>
      </c>
      <c r="C28" s="1330" t="str">
        <f>TONGHOPCONGDOI!C107</f>
        <v>N. Cong Mi</v>
      </c>
      <c r="D28" s="1330"/>
      <c r="E28" s="1331"/>
      <c r="F28" s="1330">
        <f t="shared" si="0"/>
        <v>0</v>
      </c>
      <c r="G28" s="1330">
        <f>VLOOKUP(C28,TONGHOPCONGDOI!C107:AD171,16,0)</f>
        <v>2704</v>
      </c>
      <c r="H28" s="1330">
        <f>VLOOKUP(C28,TONGHOPCONGDOI!C107:AD160,17,0)</f>
        <v>0</v>
      </c>
      <c r="I28" s="1330"/>
      <c r="J28" s="817">
        <f t="shared" si="1"/>
        <v>1182.7981678561873</v>
      </c>
      <c r="K28" s="817">
        <f>'SẢN LƯỢNG'!AP110</f>
        <v>114.88252563574119</v>
      </c>
      <c r="L28" s="817">
        <f>'SẢN LƯỢNG'!AQ110</f>
        <v>1297.6806934919287</v>
      </c>
      <c r="M28" s="1299" t="str">
        <f>VLOOKUP(C28,'SẢN LƯỢNG'!D110:AR171,41,0)</f>
        <v>A</v>
      </c>
      <c r="N28" s="1302">
        <f t="shared" si="2"/>
        <v>4836586</v>
      </c>
      <c r="O28" s="1330">
        <f>VLOOKUP(C28,TONGHOPCONGDOI!$C$96:$AD$159,20,0)</f>
        <v>27</v>
      </c>
      <c r="P28" s="1330">
        <f>VLOOKUP(C28,TONGHOPCONGDOI!$C$96:$AD$159,21,0)</f>
        <v>0</v>
      </c>
      <c r="Q28" s="1330">
        <f>VLOOKUP(C28,TONGHOPCONGDOI!$C$96:$AD$159,22,0)</f>
        <v>0</v>
      </c>
      <c r="R28" s="1330">
        <f>VLOOKUP(C28,TONGHOPCONGDOI!$C$96:$AD$159,23,0)</f>
        <v>3</v>
      </c>
      <c r="S28" s="1330">
        <f>VLOOKUP(C28,TONGHOPCONGDOI!$C$96:$AD$159,24,0)</f>
        <v>0</v>
      </c>
      <c r="T28" s="1330">
        <f>VLOOKUP(C28,TONGHOPCONGDOI!$C$96:$AD$159,25,0)</f>
        <v>0</v>
      </c>
      <c r="U28" s="1330"/>
      <c r="V28" s="1300">
        <f t="shared" si="3"/>
        <v>3</v>
      </c>
      <c r="W28" s="1301"/>
      <c r="X28" s="1301"/>
      <c r="Y28" s="813">
        <f t="shared" si="4"/>
        <v>1425958</v>
      </c>
      <c r="Z28" s="1330">
        <f t="shared" si="5"/>
        <v>6262544</v>
      </c>
      <c r="AA28" s="1330"/>
      <c r="AB28" s="1330">
        <f>VLOOKUP(C28,'CNKT '!$D$101:$AC$164,24,0)</f>
        <v>6262544</v>
      </c>
      <c r="AC28" s="1253">
        <f t="shared" si="6"/>
        <v>0</v>
      </c>
    </row>
    <row r="29" spans="1:29" s="1253" customFormat="1" ht="42.75" customHeight="1">
      <c r="A29" s="1299">
        <v>13</v>
      </c>
      <c r="B29" s="1330" t="str">
        <f>'Chấm công KT'!C107</f>
        <v>04074</v>
      </c>
      <c r="C29" s="1330" t="str">
        <f>TONGHOPCONGDOI!C108</f>
        <v>T. Na</v>
      </c>
      <c r="D29" s="1330"/>
      <c r="E29" s="1331"/>
      <c r="F29" s="1330">
        <f t="shared" si="0"/>
        <v>0</v>
      </c>
      <c r="G29" s="1330">
        <f>VLOOKUP(C29,TONGHOPCONGDOI!C108:AD172,16,0)</f>
        <v>1763</v>
      </c>
      <c r="H29" s="1330">
        <f>VLOOKUP(C29,TONGHOPCONGDOI!C108:AD160,17,0)</f>
        <v>0</v>
      </c>
      <c r="I29" s="1330"/>
      <c r="J29" s="817">
        <f t="shared" si="1"/>
        <v>771.1809060393706</v>
      </c>
      <c r="K29" s="817">
        <f>'SẢN LƯỢNG'!AP111</f>
        <v>113.62493585807184</v>
      </c>
      <c r="L29" s="817">
        <f>'SẢN LƯỢNG'!AQ111</f>
        <v>884.80584189744252</v>
      </c>
      <c r="M29" s="1299" t="str">
        <f>VLOOKUP(C29,'SẢN LƯỢNG'!D111:AR172,41,0)</f>
        <v>B</v>
      </c>
      <c r="N29" s="1302">
        <f t="shared" si="2"/>
        <v>3135575</v>
      </c>
      <c r="O29" s="1330">
        <f>VLOOKUP(C29,TONGHOPCONGDOI!$C$96:$AD$159,20,0)</f>
        <v>21</v>
      </c>
      <c r="P29" s="1330">
        <f>VLOOKUP(C29,TONGHOPCONGDOI!$C$96:$AD$159,21,0)</f>
        <v>0</v>
      </c>
      <c r="Q29" s="1330">
        <f>VLOOKUP(C29,TONGHOPCONGDOI!$C$96:$AD$159,22,0)</f>
        <v>0</v>
      </c>
      <c r="R29" s="1330">
        <f>VLOOKUP(C29,TONGHOPCONGDOI!$C$96:$AD$159,23,0)</f>
        <v>0</v>
      </c>
      <c r="S29" s="1330">
        <f>VLOOKUP(C29,TONGHOPCONGDOI!$C$96:$AD$159,24,0)</f>
        <v>0</v>
      </c>
      <c r="T29" s="1330">
        <f>VLOOKUP(C29,TONGHOPCONGDOI!$C$96:$AD$159,25,0)</f>
        <v>0</v>
      </c>
      <c r="U29" s="1330"/>
      <c r="V29" s="1300">
        <f t="shared" si="3"/>
        <v>0</v>
      </c>
      <c r="W29" s="1301"/>
      <c r="X29" s="1301"/>
      <c r="Y29" s="813">
        <f t="shared" si="4"/>
        <v>638907</v>
      </c>
      <c r="Z29" s="1330">
        <f t="shared" si="5"/>
        <v>3774482</v>
      </c>
      <c r="AA29" s="1330"/>
      <c r="AB29" s="1330">
        <f>VLOOKUP(C29,'CNKT '!$D$101:$AC$164,24,0)</f>
        <v>3774482</v>
      </c>
      <c r="AC29" s="1253">
        <f t="shared" si="6"/>
        <v>0</v>
      </c>
    </row>
    <row r="30" spans="1:29" s="1253" customFormat="1" ht="42.75" customHeight="1">
      <c r="A30" s="1299">
        <v>14</v>
      </c>
      <c r="B30" s="1330" t="str">
        <f>'Chấm công KT'!C108</f>
        <v>03601</v>
      </c>
      <c r="C30" s="1330" t="str">
        <f>TONGHOPCONGDOI!C109</f>
        <v>T. Khăm Mặn</v>
      </c>
      <c r="D30" s="1330"/>
      <c r="E30" s="1331"/>
      <c r="F30" s="1330">
        <f t="shared" si="0"/>
        <v>0</v>
      </c>
      <c r="G30" s="1330">
        <f>VLOOKUP(C30,TONGHOPCONGDOI!C109:AD173,16,0)</f>
        <v>5322</v>
      </c>
      <c r="H30" s="1330">
        <f>VLOOKUP(C30,TONGHOPCONGDOI!C109:AD160,17,0)</f>
        <v>0</v>
      </c>
      <c r="I30" s="1330"/>
      <c r="J30" s="817">
        <f t="shared" si="1"/>
        <v>2327.9777549299661</v>
      </c>
      <c r="K30" s="817">
        <f>'SẢN LƯỢNG'!AP112</f>
        <v>174.09121192493086</v>
      </c>
      <c r="L30" s="817">
        <f>'SẢN LƯỢNG'!AQ112</f>
        <v>2502.0689668548976</v>
      </c>
      <c r="M30" s="1299" t="str">
        <f>VLOOKUP(C30,'SẢN LƯỢNG'!D112:AR173,41,0)</f>
        <v>A</v>
      </c>
      <c r="N30" s="1302">
        <f t="shared" si="2"/>
        <v>9325461</v>
      </c>
      <c r="O30" s="1330">
        <f>VLOOKUP(C30,TONGHOPCONGDOI!$C$96:$AD$159,20,0)</f>
        <v>27</v>
      </c>
      <c r="P30" s="1330">
        <f>VLOOKUP(C30,TONGHOPCONGDOI!$C$96:$AD$159,21,0)</f>
        <v>1</v>
      </c>
      <c r="Q30" s="1330">
        <f>VLOOKUP(C30,TONGHOPCONGDOI!$C$96:$AD$159,22,0)</f>
        <v>0</v>
      </c>
      <c r="R30" s="1330">
        <f>VLOOKUP(C30,TONGHOPCONGDOI!$C$96:$AD$159,23,0)</f>
        <v>3</v>
      </c>
      <c r="S30" s="1330">
        <f>VLOOKUP(C30,TONGHOPCONGDOI!$C$96:$AD$159,24,0)</f>
        <v>0</v>
      </c>
      <c r="T30" s="1330">
        <f>VLOOKUP(C30,TONGHOPCONGDOI!$C$96:$AD$159,25,0)</f>
        <v>0</v>
      </c>
      <c r="U30" s="1330"/>
      <c r="V30" s="1300">
        <f t="shared" si="3"/>
        <v>3</v>
      </c>
      <c r="W30" s="1301"/>
      <c r="X30" s="1301"/>
      <c r="Y30" s="813">
        <f t="shared" si="4"/>
        <v>1476709</v>
      </c>
      <c r="Z30" s="1330">
        <f t="shared" si="5"/>
        <v>10802170</v>
      </c>
      <c r="AA30" s="1330"/>
      <c r="AB30" s="1330">
        <f>VLOOKUP(C30,'CNKT '!$D$101:$AC$164,24,0)</f>
        <v>10802170</v>
      </c>
      <c r="AC30" s="1253">
        <f t="shared" si="6"/>
        <v>0</v>
      </c>
    </row>
    <row r="31" spans="1:29" s="1253" customFormat="1" ht="42.75" customHeight="1">
      <c r="A31" s="1299">
        <v>15</v>
      </c>
      <c r="B31" s="1330" t="str">
        <f>'Chấm công KT'!C109</f>
        <v>03602</v>
      </c>
      <c r="C31" s="1330" t="str">
        <f>TONGHOPCONGDOI!C110</f>
        <v>T . In Tong</v>
      </c>
      <c r="D31" s="1330"/>
      <c r="E31" s="1331"/>
      <c r="F31" s="1330">
        <f t="shared" si="0"/>
        <v>0</v>
      </c>
      <c r="G31" s="1330">
        <f>VLOOKUP(C31,TONGHOPCONGDOI!C110:AD174,16,0)</f>
        <v>4106</v>
      </c>
      <c r="H31" s="1330">
        <f>VLOOKUP(C31,TONGHOPCONGDOI!C110:AD160,17,0)</f>
        <v>0</v>
      </c>
      <c r="I31" s="1330"/>
      <c r="J31" s="817">
        <f t="shared" si="1"/>
        <v>1796.06851968103</v>
      </c>
      <c r="K31" s="817">
        <f>'SẢN LƯỢNG'!AP113</f>
        <v>127.49241232534474</v>
      </c>
      <c r="L31" s="817">
        <f>'SẢN LƯỢNG'!AQ113</f>
        <v>1923.560932006375</v>
      </c>
      <c r="M31" s="1299" t="str">
        <f>VLOOKUP(C31,'SẢN LƯỢNG'!D113:AR174,41,0)</f>
        <v>A</v>
      </c>
      <c r="N31" s="1302">
        <f t="shared" si="2"/>
        <v>7169304</v>
      </c>
      <c r="O31" s="1330">
        <f>VLOOKUP(C31,TONGHOPCONGDOI!$C$96:$AD$159,20,0)</f>
        <v>27</v>
      </c>
      <c r="P31" s="1330">
        <f>VLOOKUP(C31,TONGHOPCONGDOI!$C$96:$AD$159,21,0)</f>
        <v>1</v>
      </c>
      <c r="Q31" s="1330">
        <f>VLOOKUP(C31,TONGHOPCONGDOI!$C$96:$AD$159,22,0)</f>
        <v>0</v>
      </c>
      <c r="R31" s="1330">
        <f>VLOOKUP(C31,TONGHOPCONGDOI!$C$96:$AD$159,23,0)</f>
        <v>3</v>
      </c>
      <c r="S31" s="1330">
        <f>VLOOKUP(C31,TONGHOPCONGDOI!$C$96:$AD$159,24,0)</f>
        <v>0</v>
      </c>
      <c r="T31" s="1330">
        <f>VLOOKUP(C31,TONGHOPCONGDOI!$C$96:$AD$159,25,0)</f>
        <v>0</v>
      </c>
      <c r="U31" s="1330"/>
      <c r="V31" s="1300">
        <f t="shared" si="3"/>
        <v>3</v>
      </c>
      <c r="W31" s="1301"/>
      <c r="X31" s="1301"/>
      <c r="Y31" s="813">
        <f t="shared" si="4"/>
        <v>1476709</v>
      </c>
      <c r="Z31" s="1330">
        <f t="shared" si="5"/>
        <v>8646013</v>
      </c>
      <c r="AA31" s="1330"/>
      <c r="AB31" s="1330">
        <f>VLOOKUP(C31,'CNKT '!$D$101:$AC$164,24,0)</f>
        <v>8646013</v>
      </c>
      <c r="AC31" s="1253">
        <f t="shared" si="6"/>
        <v>0</v>
      </c>
    </row>
    <row r="32" spans="1:29" s="1253" customFormat="1" ht="42.75" customHeight="1">
      <c r="A32" s="1299">
        <v>16</v>
      </c>
      <c r="B32" s="1330" t="str">
        <f>'Chấm công KT'!C110</f>
        <v>03496</v>
      </c>
      <c r="C32" s="1330" t="str">
        <f>TONGHOPCONGDOI!C111</f>
        <v>T. Lốp</v>
      </c>
      <c r="D32" s="1330"/>
      <c r="E32" s="1331"/>
      <c r="F32" s="1330">
        <f t="shared" si="0"/>
        <v>0</v>
      </c>
      <c r="G32" s="1330">
        <f>VLOOKUP(C32,TONGHOPCONGDOI!C111:AD175,16,0)</f>
        <v>3593</v>
      </c>
      <c r="H32" s="1330">
        <f>VLOOKUP(C32,TONGHOPCONGDOI!C111:AD160,17,0)</f>
        <v>0</v>
      </c>
      <c r="I32" s="1330"/>
      <c r="J32" s="817">
        <f t="shared" si="1"/>
        <v>1571.6693110603849</v>
      </c>
      <c r="K32" s="817">
        <f>'SẢN LƯỢNG'!AP114</f>
        <v>65.802535393726316</v>
      </c>
      <c r="L32" s="817">
        <f>'SẢN LƯỢNG'!AQ114</f>
        <v>1637.4718464541115</v>
      </c>
      <c r="M32" s="1299" t="str">
        <f>VLOOKUP(C32,'SẢN LƯỢNG'!D114:AR175,41,0)</f>
        <v>A</v>
      </c>
      <c r="N32" s="1302">
        <f t="shared" si="2"/>
        <v>6103021</v>
      </c>
      <c r="O32" s="1330">
        <f>VLOOKUP(C32,TONGHOPCONGDOI!$C$96:$AD$159,20,0)</f>
        <v>27</v>
      </c>
      <c r="P32" s="1330">
        <f>VLOOKUP(C32,TONGHOPCONGDOI!$C$96:$AD$159,21,0)</f>
        <v>1</v>
      </c>
      <c r="Q32" s="1330">
        <f>VLOOKUP(C32,TONGHOPCONGDOI!$C$96:$AD$159,22,0)</f>
        <v>0</v>
      </c>
      <c r="R32" s="1330">
        <f>VLOOKUP(C32,TONGHOPCONGDOI!$C$96:$AD$159,23,0)</f>
        <v>3</v>
      </c>
      <c r="S32" s="1330">
        <f>VLOOKUP(C32,TONGHOPCONGDOI!$C$96:$AD$159,24,0)</f>
        <v>0</v>
      </c>
      <c r="T32" s="1330">
        <f>VLOOKUP(C32,TONGHOPCONGDOI!$C$96:$AD$159,25,0)</f>
        <v>0</v>
      </c>
      <c r="U32" s="1330"/>
      <c r="V32" s="1300">
        <f t="shared" si="3"/>
        <v>3</v>
      </c>
      <c r="W32" s="1301"/>
      <c r="X32" s="1301"/>
      <c r="Y32" s="813">
        <f t="shared" si="4"/>
        <v>1476709</v>
      </c>
      <c r="Z32" s="1330">
        <f t="shared" si="5"/>
        <v>7579730</v>
      </c>
      <c r="AA32" s="1330"/>
      <c r="AB32" s="1330">
        <f>VLOOKUP(C32,'CNKT '!$D$101:$AC$164,24,0)</f>
        <v>7579730</v>
      </c>
      <c r="AC32" s="1253">
        <f t="shared" si="6"/>
        <v>0</v>
      </c>
    </row>
    <row r="33" spans="1:29" s="1253" customFormat="1" ht="42.75" customHeight="1">
      <c r="A33" s="1299">
        <v>17</v>
      </c>
      <c r="B33" s="1330" t="str">
        <f>'Chấm công KT'!C111</f>
        <v>03604</v>
      </c>
      <c r="C33" s="1330" t="str">
        <f>TONGHOPCONGDOI!C112</f>
        <v>T. Lăm Phêng</v>
      </c>
      <c r="D33" s="1330"/>
      <c r="E33" s="1331"/>
      <c r="F33" s="1330">
        <f t="shared" si="0"/>
        <v>0</v>
      </c>
      <c r="G33" s="1330">
        <f>VLOOKUP(C33,TONGHOPCONGDOI!C112:AD176,16,0)</f>
        <v>6230</v>
      </c>
      <c r="H33" s="1330">
        <f>VLOOKUP(C33,TONGHOPCONGDOI!C112:AD160,17,0)</f>
        <v>0</v>
      </c>
      <c r="I33" s="1330"/>
      <c r="J33" s="817">
        <f t="shared" si="1"/>
        <v>2725.1599799349283</v>
      </c>
      <c r="K33" s="817">
        <f>'SẢN LƯỢNG'!AP115</f>
        <v>203.5935883307958</v>
      </c>
      <c r="L33" s="817">
        <f>'SẢN LƯỢNG'!AQ115</f>
        <v>2928.7535682657244</v>
      </c>
      <c r="M33" s="1299" t="str">
        <f>VLOOKUP(C33,'SẢN LƯỢNG'!D115:AR176,41,0)</f>
        <v>A</v>
      </c>
      <c r="N33" s="1302">
        <f t="shared" si="2"/>
        <v>10915757</v>
      </c>
      <c r="O33" s="1330">
        <f>VLOOKUP(C33,TONGHOPCONGDOI!$C$96:$AD$159,20,0)</f>
        <v>27</v>
      </c>
      <c r="P33" s="1330">
        <f>VLOOKUP(C33,TONGHOPCONGDOI!$C$96:$AD$159,21,0)</f>
        <v>2</v>
      </c>
      <c r="Q33" s="1330">
        <f>VLOOKUP(C33,TONGHOPCONGDOI!$C$96:$AD$159,22,0)</f>
        <v>0</v>
      </c>
      <c r="R33" s="1330">
        <f>VLOOKUP(C33,TONGHOPCONGDOI!$C$96:$AD$159,23,0)</f>
        <v>2</v>
      </c>
      <c r="S33" s="1330">
        <f>VLOOKUP(C33,TONGHOPCONGDOI!$C$96:$AD$159,24,0)</f>
        <v>0</v>
      </c>
      <c r="T33" s="1330">
        <f>VLOOKUP(C33,TONGHOPCONGDOI!$C$96:$AD$159,25,0)</f>
        <v>0</v>
      </c>
      <c r="U33" s="1330"/>
      <c r="V33" s="1300">
        <f t="shared" si="3"/>
        <v>2</v>
      </c>
      <c r="W33" s="1301"/>
      <c r="X33" s="1301"/>
      <c r="Y33" s="813">
        <f t="shared" si="4"/>
        <v>1325958</v>
      </c>
      <c r="Z33" s="1330">
        <f t="shared" si="5"/>
        <v>12241715</v>
      </c>
      <c r="AA33" s="1330"/>
      <c r="AB33" s="1330">
        <f>VLOOKUP(C33,'CNKT '!$D$101:$AC$164,24,0)</f>
        <v>12241715</v>
      </c>
      <c r="AC33" s="1253">
        <f t="shared" si="6"/>
        <v>0</v>
      </c>
    </row>
    <row r="34" spans="1:29" s="1253" customFormat="1" ht="42.75" customHeight="1">
      <c r="A34" s="1299">
        <v>18</v>
      </c>
      <c r="B34" s="1330" t="str">
        <f>'Chấm công KT'!C112</f>
        <v>04075</v>
      </c>
      <c r="C34" s="1330" t="str">
        <f>TONGHOPCONGDOI!C113</f>
        <v>T Xèng</v>
      </c>
      <c r="D34" s="1330"/>
      <c r="E34" s="1331"/>
      <c r="F34" s="1330">
        <f t="shared" si="0"/>
        <v>0</v>
      </c>
      <c r="G34" s="1330">
        <f>VLOOKUP(C34,TONGHOPCONGDOI!C113:AD177,16,0)</f>
        <v>4370</v>
      </c>
      <c r="H34" s="1330">
        <f>VLOOKUP(C34,TONGHOPCONGDOI!C113:AD160,17,0)</f>
        <v>0</v>
      </c>
      <c r="I34" s="1330"/>
      <c r="J34" s="817">
        <f t="shared" si="1"/>
        <v>1911.5488141758647</v>
      </c>
      <c r="K34" s="817">
        <f>'SẢN LƯỢNG'!AP116</f>
        <v>152.57623005291188</v>
      </c>
      <c r="L34" s="817">
        <f>'SẢN LƯỢNG'!AQ116</f>
        <v>2064.1250442287769</v>
      </c>
      <c r="M34" s="1299" t="str">
        <f>VLOOKUP(C34,'SẢN LƯỢNG'!D116:AR177,41,0)</f>
        <v>A</v>
      </c>
      <c r="N34" s="1302">
        <f t="shared" si="2"/>
        <v>7693200</v>
      </c>
      <c r="O34" s="1330">
        <f>VLOOKUP(C34,TONGHOPCONGDOI!$C$96:$AD$159,20,0)</f>
        <v>27</v>
      </c>
      <c r="P34" s="1330">
        <f>VLOOKUP(C34,TONGHOPCONGDOI!$C$96:$AD$159,21,0)</f>
        <v>1</v>
      </c>
      <c r="Q34" s="1330">
        <f>VLOOKUP(C34,TONGHOPCONGDOI!$C$96:$AD$159,22,0)</f>
        <v>0</v>
      </c>
      <c r="R34" s="1330">
        <f>VLOOKUP(C34,TONGHOPCONGDOI!$C$96:$AD$159,23,0)</f>
        <v>3</v>
      </c>
      <c r="S34" s="1330">
        <f>VLOOKUP(C34,TONGHOPCONGDOI!$C$96:$AD$159,24,0)</f>
        <v>0</v>
      </c>
      <c r="T34" s="1330">
        <f>VLOOKUP(C34,TONGHOPCONGDOI!$C$96:$AD$159,25,0)</f>
        <v>0</v>
      </c>
      <c r="U34" s="1330"/>
      <c r="V34" s="1300">
        <f t="shared" si="3"/>
        <v>3</v>
      </c>
      <c r="W34" s="1301"/>
      <c r="X34" s="1301"/>
      <c r="Y34" s="813">
        <f t="shared" si="4"/>
        <v>1476709</v>
      </c>
      <c r="Z34" s="1330">
        <f t="shared" si="5"/>
        <v>9169909</v>
      </c>
      <c r="AA34" s="1330"/>
      <c r="AB34" s="1330">
        <f>VLOOKUP(C34,'CNKT '!$D$101:$AC$164,24,0)</f>
        <v>9169909</v>
      </c>
      <c r="AC34" s="1253">
        <f t="shared" si="6"/>
        <v>0</v>
      </c>
    </row>
    <row r="35" spans="1:29" s="1253" customFormat="1" ht="42.75" customHeight="1">
      <c r="A35" s="1299">
        <v>19</v>
      </c>
      <c r="B35" s="1330" t="str">
        <f>'Chấm công KT'!C113</f>
        <v>03509</v>
      </c>
      <c r="C35" s="1330" t="str">
        <f>TONGHOPCONGDOI!C114</f>
        <v>T. May</v>
      </c>
      <c r="D35" s="1330"/>
      <c r="E35" s="1331"/>
      <c r="F35" s="1330">
        <f t="shared" si="0"/>
        <v>0</v>
      </c>
      <c r="G35" s="1330">
        <f>VLOOKUP(C35,TONGHOPCONGDOI!C114:AD178,16,0)</f>
        <v>3980</v>
      </c>
      <c r="H35" s="1330">
        <f>VLOOKUP(C35,TONGHOPCONGDOI!C114:AD160,17,0)</f>
        <v>0</v>
      </c>
      <c r="I35" s="1330"/>
      <c r="J35" s="817">
        <f t="shared" si="1"/>
        <v>1740.9529245812223</v>
      </c>
      <c r="K35" s="817">
        <f>'SẢN LƯỢNG'!AP117</f>
        <v>138.36886445653917</v>
      </c>
      <c r="L35" s="817">
        <f>'SẢN LƯỢNG'!AQ117</f>
        <v>1879.3217890377618</v>
      </c>
      <c r="M35" s="1299" t="str">
        <f>VLOOKUP(C35,'SẢN LƯỢNG'!D117:AR178,41,0)</f>
        <v>A</v>
      </c>
      <c r="N35" s="1302">
        <f t="shared" si="2"/>
        <v>7004420</v>
      </c>
      <c r="O35" s="1330">
        <f>VLOOKUP(C35,TONGHOPCONGDOI!$C$96:$AD$159,20,0)</f>
        <v>26</v>
      </c>
      <c r="P35" s="1330">
        <f>VLOOKUP(C35,TONGHOPCONGDOI!$C$96:$AD$159,21,0)</f>
        <v>1</v>
      </c>
      <c r="Q35" s="1330">
        <f>VLOOKUP(C35,TONGHOPCONGDOI!$C$96:$AD$159,22,0)</f>
        <v>0</v>
      </c>
      <c r="R35" s="1330">
        <f>VLOOKUP(C35,TONGHOPCONGDOI!$C$96:$AD$159,23,0)</f>
        <v>3</v>
      </c>
      <c r="S35" s="1330">
        <f>VLOOKUP(C35,TONGHOPCONGDOI!$C$96:$AD$159,24,0)</f>
        <v>0</v>
      </c>
      <c r="T35" s="1330">
        <f>VLOOKUP(C35,TONGHOPCONGDOI!$C$96:$AD$159,25,0)</f>
        <v>0</v>
      </c>
      <c r="U35" s="1330"/>
      <c r="V35" s="1300">
        <f t="shared" si="3"/>
        <v>3</v>
      </c>
      <c r="W35" s="1301"/>
      <c r="X35" s="1301"/>
      <c r="Y35" s="813">
        <f t="shared" si="4"/>
        <v>1446285</v>
      </c>
      <c r="Z35" s="1330">
        <f t="shared" si="5"/>
        <v>8450705</v>
      </c>
      <c r="AA35" s="1330"/>
      <c r="AB35" s="1330">
        <f>VLOOKUP(C35,'CNKT '!$D$101:$AC$164,24,0)</f>
        <v>8450705</v>
      </c>
      <c r="AC35" s="1253">
        <f t="shared" si="6"/>
        <v>0</v>
      </c>
    </row>
    <row r="36" spans="1:29" s="1253" customFormat="1" ht="42.75" customHeight="1">
      <c r="A36" s="1299">
        <v>20</v>
      </c>
      <c r="B36" s="1330" t="str">
        <f>'Chấm công KT'!C114</f>
        <v>03607</v>
      </c>
      <c r="C36" s="1330" t="str">
        <f>TONGHOPCONGDOI!C115</f>
        <v>T. Huôn</v>
      </c>
      <c r="D36" s="1330"/>
      <c r="E36" s="1331"/>
      <c r="F36" s="1330">
        <f t="shared" si="0"/>
        <v>0</v>
      </c>
      <c r="G36" s="1330">
        <f>VLOOKUP(C36,TONGHOPCONGDOI!C115:AD179,16,0)</f>
        <v>2789</v>
      </c>
      <c r="H36" s="1330">
        <f>VLOOKUP(C36,TONGHOPCONGDOI!C115:AD160,17,0)</f>
        <v>0</v>
      </c>
      <c r="I36" s="1330"/>
      <c r="J36" s="817">
        <f t="shared" si="1"/>
        <v>1219.9793232806605</v>
      </c>
      <c r="K36" s="817">
        <f>'SẢN LƯỢNG'!AP118</f>
        <v>112.40133499331246</v>
      </c>
      <c r="L36" s="817">
        <f>'SẢN LƯỢNG'!AQ118</f>
        <v>1332.3806582739733</v>
      </c>
      <c r="M36" s="1299" t="str">
        <f>VLOOKUP(C36,'SẢN LƯỢNG'!D118:AR179,41,0)</f>
        <v>A</v>
      </c>
      <c r="N36" s="1302">
        <f t="shared" si="2"/>
        <v>4965916</v>
      </c>
      <c r="O36" s="1330">
        <f>VLOOKUP(C36,TONGHOPCONGDOI!$C$96:$AD$159,20,0)</f>
        <v>25</v>
      </c>
      <c r="P36" s="1330">
        <f>VLOOKUP(C36,TONGHOPCONGDOI!$C$96:$AD$159,21,0)</f>
        <v>1</v>
      </c>
      <c r="Q36" s="1330">
        <f>VLOOKUP(C36,TONGHOPCONGDOI!$C$96:$AD$159,22,0)</f>
        <v>0</v>
      </c>
      <c r="R36" s="1330">
        <f>VLOOKUP(C36,TONGHOPCONGDOI!$C$96:$AD$159,23,0)</f>
        <v>3</v>
      </c>
      <c r="S36" s="1330">
        <f>VLOOKUP(C36,TONGHOPCONGDOI!$C$96:$AD$159,24,0)</f>
        <v>0</v>
      </c>
      <c r="T36" s="1330">
        <f>VLOOKUP(C36,TONGHOPCONGDOI!$C$96:$AD$159,25,0)</f>
        <v>0</v>
      </c>
      <c r="U36" s="1330"/>
      <c r="V36" s="1300">
        <f t="shared" si="3"/>
        <v>3</v>
      </c>
      <c r="W36" s="1301"/>
      <c r="X36" s="1301"/>
      <c r="Y36" s="813">
        <f t="shared" si="4"/>
        <v>1415860</v>
      </c>
      <c r="Z36" s="1330">
        <f t="shared" si="5"/>
        <v>6381776</v>
      </c>
      <c r="AA36" s="1330"/>
      <c r="AB36" s="1330">
        <f>VLOOKUP(C36,'CNKT '!$D$101:$AC$164,24,0)</f>
        <v>6381776</v>
      </c>
      <c r="AC36" s="1253">
        <f t="shared" si="6"/>
        <v>0</v>
      </c>
    </row>
    <row r="37" spans="1:29" s="1253" customFormat="1" ht="42.75" customHeight="1">
      <c r="A37" s="1299">
        <v>21</v>
      </c>
      <c r="B37" s="1330" t="str">
        <f>'Chấm công KT'!C115</f>
        <v>02729</v>
      </c>
      <c r="C37" s="1330" t="str">
        <f>TONGHOPCONGDOI!C116</f>
        <v>N. Lay</v>
      </c>
      <c r="D37" s="1330"/>
      <c r="E37" s="1331"/>
      <c r="F37" s="1330">
        <f t="shared" si="0"/>
        <v>0</v>
      </c>
      <c r="G37" s="1330">
        <f>VLOOKUP(C37,TONGHOPCONGDOI!C116:AD180,16,0)</f>
        <v>2775</v>
      </c>
      <c r="H37" s="1330">
        <f>VLOOKUP(C37,TONGHOPCONGDOI!C116:AD160,17,0)</f>
        <v>0</v>
      </c>
      <c r="I37" s="1330"/>
      <c r="J37" s="817">
        <f t="shared" si="1"/>
        <v>1213.8553682695708</v>
      </c>
      <c r="K37" s="817">
        <f>'SẢN LƯỢNG'!AP119</f>
        <v>109.47828848305394</v>
      </c>
      <c r="L37" s="817">
        <f>'SẢN LƯỢNG'!AQ119</f>
        <v>1323.3336567526251</v>
      </c>
      <c r="M37" s="1299" t="str">
        <f>VLOOKUP(C37,'SẢN LƯỢNG'!D119:AR180,41,0)</f>
        <v>A</v>
      </c>
      <c r="N37" s="1302">
        <f t="shared" si="2"/>
        <v>4932197</v>
      </c>
      <c r="O37" s="1330">
        <f>VLOOKUP(C37,TONGHOPCONGDOI!$C$96:$AD$159,20,0)</f>
        <v>25</v>
      </c>
      <c r="P37" s="1330">
        <f>VLOOKUP(C37,TONGHOPCONGDOI!$C$96:$AD$159,21,0)</f>
        <v>1</v>
      </c>
      <c r="Q37" s="1330">
        <f>VLOOKUP(C37,TONGHOPCONGDOI!$C$96:$AD$159,22,0)</f>
        <v>0</v>
      </c>
      <c r="R37" s="1330">
        <f>VLOOKUP(C37,TONGHOPCONGDOI!$C$96:$AD$159,23,0)</f>
        <v>3</v>
      </c>
      <c r="S37" s="1330">
        <f>VLOOKUP(C37,TONGHOPCONGDOI!$C$96:$AD$159,24,0)</f>
        <v>0</v>
      </c>
      <c r="T37" s="1330">
        <f>VLOOKUP(C37,TONGHOPCONGDOI!$C$96:$AD$159,25,0)</f>
        <v>0</v>
      </c>
      <c r="U37" s="1330"/>
      <c r="V37" s="1300">
        <f t="shared" si="3"/>
        <v>3</v>
      </c>
      <c r="W37" s="1301"/>
      <c r="X37" s="1301"/>
      <c r="Y37" s="813">
        <f t="shared" si="4"/>
        <v>1415860</v>
      </c>
      <c r="Z37" s="1330">
        <f t="shared" si="5"/>
        <v>6348057</v>
      </c>
      <c r="AA37" s="1330"/>
      <c r="AB37" s="1330">
        <f>VLOOKUP(C37,'CNKT '!$D$101:$AC$164,24,0)</f>
        <v>6348057</v>
      </c>
      <c r="AC37" s="1253">
        <f t="shared" si="6"/>
        <v>0</v>
      </c>
    </row>
    <row r="38" spans="1:29" s="1253" customFormat="1" ht="42.75" customHeight="1">
      <c r="A38" s="1299">
        <v>22</v>
      </c>
      <c r="B38" s="1330" t="str">
        <f>'Chấm công KT'!C116</f>
        <v>03608</v>
      </c>
      <c r="C38" s="1330" t="str">
        <f>TONGHOPCONGDOI!C117</f>
        <v>N. Pon</v>
      </c>
      <c r="D38" s="1330"/>
      <c r="E38" s="1331"/>
      <c r="F38" s="1330">
        <f t="shared" si="0"/>
        <v>0</v>
      </c>
      <c r="G38" s="1330">
        <f>VLOOKUP(C38,TONGHOPCONGDOI!C117:AD181,16,0)</f>
        <v>3557</v>
      </c>
      <c r="H38" s="1330">
        <f>VLOOKUP(C38,TONGHOPCONGDOI!C117:AD160,17,0)</f>
        <v>0</v>
      </c>
      <c r="I38" s="1330"/>
      <c r="J38" s="817">
        <f t="shared" si="1"/>
        <v>1555.9219981747256</v>
      </c>
      <c r="K38" s="817">
        <f>'SẢN LƯỢNG'!AP120</f>
        <v>156.34899938591997</v>
      </c>
      <c r="L38" s="817">
        <f>'SẢN LƯỢNG'!AQ120</f>
        <v>1712.2709975606458</v>
      </c>
      <c r="M38" s="1299" t="str">
        <f>VLOOKUP(C38,'SẢN LƯỢNG'!D120:AR181,41,0)</f>
        <v>A</v>
      </c>
      <c r="N38" s="1302">
        <f t="shared" si="2"/>
        <v>6381805</v>
      </c>
      <c r="O38" s="1330">
        <f>VLOOKUP(C38,TONGHOPCONGDOI!$C$96:$AD$159,20,0)</f>
        <v>25</v>
      </c>
      <c r="P38" s="1330">
        <f>VLOOKUP(C38,TONGHOPCONGDOI!$C$96:$AD$159,21,0)</f>
        <v>1</v>
      </c>
      <c r="Q38" s="1330">
        <f>VLOOKUP(C38,TONGHOPCONGDOI!$C$96:$AD$159,22,0)</f>
        <v>0</v>
      </c>
      <c r="R38" s="1330">
        <f>VLOOKUP(C38,TONGHOPCONGDOI!$C$96:$AD$159,23,0)</f>
        <v>3</v>
      </c>
      <c r="S38" s="1330">
        <f>VLOOKUP(C38,TONGHOPCONGDOI!$C$96:$AD$159,24,0)</f>
        <v>0</v>
      </c>
      <c r="T38" s="1330">
        <f>VLOOKUP(C38,TONGHOPCONGDOI!$C$96:$AD$159,25,0)</f>
        <v>0</v>
      </c>
      <c r="U38" s="1330"/>
      <c r="V38" s="1300">
        <f t="shared" si="3"/>
        <v>3</v>
      </c>
      <c r="W38" s="1301"/>
      <c r="X38" s="1301"/>
      <c r="Y38" s="813">
        <f t="shared" si="4"/>
        <v>1415860</v>
      </c>
      <c r="Z38" s="1330">
        <f t="shared" si="5"/>
        <v>7797665</v>
      </c>
      <c r="AA38" s="1330"/>
      <c r="AB38" s="1330">
        <f>VLOOKUP(C38,'CNKT '!$D$101:$AC$164,24,0)</f>
        <v>7797665</v>
      </c>
      <c r="AC38" s="1253">
        <f t="shared" si="6"/>
        <v>0</v>
      </c>
    </row>
    <row r="39" spans="1:29" s="1253" customFormat="1" ht="42.75" customHeight="1">
      <c r="A39" s="1299">
        <v>23</v>
      </c>
      <c r="B39" s="1330" t="str">
        <f>'Chấm công KT'!C117</f>
        <v>03609</v>
      </c>
      <c r="C39" s="1330" t="str">
        <f>TONGHOPCONGDOI!C118</f>
        <v>N. Bun Đi</v>
      </c>
      <c r="D39" s="1330"/>
      <c r="E39" s="1331"/>
      <c r="F39" s="1330">
        <f t="shared" si="0"/>
        <v>0</v>
      </c>
      <c r="G39" s="1330">
        <f>VLOOKUP(C39,TONGHOPCONGDOI!C118:AD182,16,0)</f>
        <v>3436</v>
      </c>
      <c r="H39" s="1330">
        <f>VLOOKUP(C39,TONGHOPCONGDOI!C118:AD160,17,0)</f>
        <v>0</v>
      </c>
      <c r="I39" s="1330"/>
      <c r="J39" s="817">
        <f t="shared" si="1"/>
        <v>1502.993529864593</v>
      </c>
      <c r="K39" s="817">
        <f>'SẢN LƯỢNG'!AP121</f>
        <v>128.1382016706344</v>
      </c>
      <c r="L39" s="817">
        <f>'SẢN LƯỢNG'!AQ121</f>
        <v>1631.1317315352276</v>
      </c>
      <c r="M39" s="1299" t="str">
        <f>VLOOKUP(C39,'SẢN LƯỢNG'!D121:AR182,41,0)</f>
        <v>A</v>
      </c>
      <c r="N39" s="1302">
        <f t="shared" si="2"/>
        <v>6079391</v>
      </c>
      <c r="O39" s="1330">
        <f>VLOOKUP(C39,TONGHOPCONGDOI!$C$96:$AD$159,20,0)</f>
        <v>27</v>
      </c>
      <c r="P39" s="1330">
        <f>VLOOKUP(C39,TONGHOPCONGDOI!$C$96:$AD$159,21,0)</f>
        <v>1</v>
      </c>
      <c r="Q39" s="1330">
        <f>VLOOKUP(C39,TONGHOPCONGDOI!$C$96:$AD$159,22,0)</f>
        <v>0</v>
      </c>
      <c r="R39" s="1330">
        <f>VLOOKUP(C39,TONGHOPCONGDOI!$C$96:$AD$159,23,0)</f>
        <v>3</v>
      </c>
      <c r="S39" s="1330">
        <f>VLOOKUP(C39,TONGHOPCONGDOI!$C$96:$AD$159,24,0)</f>
        <v>0</v>
      </c>
      <c r="T39" s="1330">
        <f>VLOOKUP(C39,TONGHOPCONGDOI!$C$96:$AD$159,25,0)</f>
        <v>0</v>
      </c>
      <c r="U39" s="1330"/>
      <c r="V39" s="1300">
        <f t="shared" si="3"/>
        <v>3</v>
      </c>
      <c r="W39" s="1301"/>
      <c r="X39" s="1301"/>
      <c r="Y39" s="813">
        <f t="shared" si="4"/>
        <v>1476709</v>
      </c>
      <c r="Z39" s="1330">
        <f t="shared" si="5"/>
        <v>7556100</v>
      </c>
      <c r="AA39" s="1330"/>
      <c r="AB39" s="1330">
        <f>VLOOKUP(C39,'CNKT '!$D$101:$AC$164,24,0)</f>
        <v>7556100</v>
      </c>
      <c r="AC39" s="1253">
        <f t="shared" si="6"/>
        <v>0</v>
      </c>
    </row>
    <row r="40" spans="1:29" s="1253" customFormat="1" ht="42.75" customHeight="1">
      <c r="A40" s="1299">
        <v>24</v>
      </c>
      <c r="B40" s="1330" t="str">
        <f>'Chấm công KT'!C118</f>
        <v>03610</v>
      </c>
      <c r="C40" s="1330" t="str">
        <f>TONGHOPCONGDOI!C119</f>
        <v>N. Phon</v>
      </c>
      <c r="D40" s="1330"/>
      <c r="E40" s="1331"/>
      <c r="F40" s="1330">
        <f t="shared" si="0"/>
        <v>0</v>
      </c>
      <c r="G40" s="1330">
        <f>VLOOKUP(C40,TONGHOPCONGDOI!C119:AD183,16,0)</f>
        <v>3600</v>
      </c>
      <c r="H40" s="1330">
        <f>VLOOKUP(C40,TONGHOPCONGDOI!C119:AD160,17,0)</f>
        <v>0</v>
      </c>
      <c r="I40" s="1330"/>
      <c r="J40" s="817">
        <f t="shared" si="1"/>
        <v>1574.7312885659298</v>
      </c>
      <c r="K40" s="817">
        <f>'SẢN LƯỢNG'!AP122</f>
        <v>125.96291124439551</v>
      </c>
      <c r="L40" s="817">
        <f>'SẢN LƯỢNG'!AQ122</f>
        <v>1700.6941998103257</v>
      </c>
      <c r="M40" s="1299" t="str">
        <f>VLOOKUP(C40,'SẢN LƯỢNG'!D122:AR183,41,0)</f>
        <v>B</v>
      </c>
      <c r="N40" s="1302">
        <f t="shared" si="2"/>
        <v>6026920</v>
      </c>
      <c r="O40" s="1330">
        <f>VLOOKUP(C40,TONGHOPCONGDOI!$C$96:$AD$159,20,0)</f>
        <v>27</v>
      </c>
      <c r="P40" s="1330">
        <f>VLOOKUP(C40,TONGHOPCONGDOI!$C$96:$AD$159,21,0)</f>
        <v>1</v>
      </c>
      <c r="Q40" s="1330">
        <f>VLOOKUP(C40,TONGHOPCONGDOI!$C$96:$AD$159,22,0)</f>
        <v>0</v>
      </c>
      <c r="R40" s="1330">
        <f>VLOOKUP(C40,TONGHOPCONGDOI!$C$96:$AD$159,23,0)</f>
        <v>3</v>
      </c>
      <c r="S40" s="1330">
        <f>VLOOKUP(C40,TONGHOPCONGDOI!$C$96:$AD$159,24,0)</f>
        <v>0</v>
      </c>
      <c r="T40" s="1330">
        <f>VLOOKUP(C40,TONGHOPCONGDOI!$C$96:$AD$159,25,0)</f>
        <v>0</v>
      </c>
      <c r="U40" s="1330"/>
      <c r="V40" s="1300">
        <f t="shared" si="3"/>
        <v>3</v>
      </c>
      <c r="W40" s="1301"/>
      <c r="X40" s="1301"/>
      <c r="Y40" s="813">
        <f t="shared" si="4"/>
        <v>1476709</v>
      </c>
      <c r="Z40" s="1330">
        <f t="shared" si="5"/>
        <v>7503629</v>
      </c>
      <c r="AA40" s="1330"/>
      <c r="AB40" s="1330">
        <f>VLOOKUP(C40,'CNKT '!$D$101:$AC$164,24,0)</f>
        <v>7503629</v>
      </c>
      <c r="AC40" s="1253">
        <f t="shared" si="6"/>
        <v>0</v>
      </c>
    </row>
    <row r="41" spans="1:29" s="1253" customFormat="1" ht="42.75" customHeight="1">
      <c r="A41" s="1299">
        <v>25</v>
      </c>
      <c r="B41" s="1330" t="str">
        <f>'Chấm công KT'!C119</f>
        <v>04076</v>
      </c>
      <c r="C41" s="1330" t="str">
        <f>TONGHOPCONGDOI!C120</f>
        <v xml:space="preserve">N. Bun </v>
      </c>
      <c r="D41" s="1330"/>
      <c r="E41" s="1331"/>
      <c r="F41" s="1330">
        <f t="shared" si="0"/>
        <v>0</v>
      </c>
      <c r="G41" s="1330">
        <f>VLOOKUP(C41,TONGHOPCONGDOI!C120:AD184,16,0)</f>
        <v>4260</v>
      </c>
      <c r="H41" s="1330">
        <f>VLOOKUP(C41,TONGHOPCONGDOI!C120:AD160,17,0)</f>
        <v>0</v>
      </c>
      <c r="I41" s="1330"/>
      <c r="J41" s="817">
        <f t="shared" si="1"/>
        <v>1863.4320248030169</v>
      </c>
      <c r="K41" s="817">
        <f>'SẢN LƯỢNG'!AP123</f>
        <v>156.31501047300998</v>
      </c>
      <c r="L41" s="817">
        <f>'SẢN LƯỢNG'!AQ123</f>
        <v>2019.7470352760272</v>
      </c>
      <c r="M41" s="1299" t="str">
        <f>VLOOKUP(C41,'SẢN LƯỢNG'!D123:AR184,41,0)</f>
        <v>A</v>
      </c>
      <c r="N41" s="1302">
        <f t="shared" si="2"/>
        <v>7527799</v>
      </c>
      <c r="O41" s="1330">
        <f>VLOOKUP(C41,TONGHOPCONGDOI!$C$96:$AD$159,20,0)</f>
        <v>27</v>
      </c>
      <c r="P41" s="1330">
        <f>VLOOKUP(C41,TONGHOPCONGDOI!$C$96:$AD$159,21,0)</f>
        <v>1</v>
      </c>
      <c r="Q41" s="1330">
        <f>VLOOKUP(C41,TONGHOPCONGDOI!$C$96:$AD$159,22,0)</f>
        <v>0</v>
      </c>
      <c r="R41" s="1330">
        <f>VLOOKUP(C41,TONGHOPCONGDOI!$C$96:$AD$159,23,0)</f>
        <v>3</v>
      </c>
      <c r="S41" s="1330">
        <f>VLOOKUP(C41,TONGHOPCONGDOI!$C$96:$AD$159,24,0)</f>
        <v>0</v>
      </c>
      <c r="T41" s="1330">
        <f>VLOOKUP(C41,TONGHOPCONGDOI!$C$96:$AD$159,25,0)</f>
        <v>0</v>
      </c>
      <c r="U41" s="1330"/>
      <c r="V41" s="1300">
        <f t="shared" si="3"/>
        <v>3</v>
      </c>
      <c r="W41" s="1301"/>
      <c r="X41" s="1301"/>
      <c r="Y41" s="813">
        <f t="shared" si="4"/>
        <v>1476709</v>
      </c>
      <c r="Z41" s="1330">
        <f t="shared" si="5"/>
        <v>9004508</v>
      </c>
      <c r="AA41" s="1330"/>
      <c r="AB41" s="1330">
        <f>VLOOKUP(C41,'CNKT '!$D$101:$AC$164,24,0)</f>
        <v>9004508</v>
      </c>
      <c r="AC41" s="1253">
        <f t="shared" si="6"/>
        <v>0</v>
      </c>
    </row>
    <row r="42" spans="1:29" s="1253" customFormat="1" ht="42.75" customHeight="1">
      <c r="A42" s="1299">
        <v>26</v>
      </c>
      <c r="B42" s="1330" t="str">
        <f>'Chấm công KT'!C120</f>
        <v>03612</v>
      </c>
      <c r="C42" s="1330" t="str">
        <f>TONGHOPCONGDOI!C121</f>
        <v>N. Phu Văn</v>
      </c>
      <c r="D42" s="1330"/>
      <c r="E42" s="1331"/>
      <c r="F42" s="1330">
        <f t="shared" si="0"/>
        <v>0</v>
      </c>
      <c r="G42" s="1330">
        <f>VLOOKUP(C42,TONGHOPCONGDOI!C121:AD185,16,0)</f>
        <v>4453</v>
      </c>
      <c r="H42" s="1330">
        <f>VLOOKUP(C42,TONGHOPCONGDOI!C121:AD160,17,0)</f>
        <v>0</v>
      </c>
      <c r="I42" s="1330"/>
      <c r="J42" s="817">
        <f t="shared" si="1"/>
        <v>1947.8551188844681</v>
      </c>
      <c r="K42" s="817">
        <f>'SẢN LƯỢNG'!AP124</f>
        <v>152.13437418508212</v>
      </c>
      <c r="L42" s="817">
        <f>'SẢN LƯỢNG'!AQ124</f>
        <v>2099.9894930695505</v>
      </c>
      <c r="M42" s="1299" t="str">
        <f>VLOOKUP(C42,'SẢN LƯỢNG'!D124:AR185,41,0)</f>
        <v>A</v>
      </c>
      <c r="N42" s="1302">
        <f t="shared" si="2"/>
        <v>7826871</v>
      </c>
      <c r="O42" s="1330">
        <f>VLOOKUP(C42,TONGHOPCONGDOI!$C$96:$AD$159,20,0)</f>
        <v>27</v>
      </c>
      <c r="P42" s="1330">
        <f>VLOOKUP(C42,TONGHOPCONGDOI!$C$96:$AD$159,21,0)</f>
        <v>1</v>
      </c>
      <c r="Q42" s="1330">
        <f>VLOOKUP(C42,TONGHOPCONGDOI!$C$96:$AD$159,22,0)</f>
        <v>0</v>
      </c>
      <c r="R42" s="1330">
        <f>VLOOKUP(C42,TONGHOPCONGDOI!$C$96:$AD$159,23,0)</f>
        <v>3</v>
      </c>
      <c r="S42" s="1330">
        <f>VLOOKUP(C42,TONGHOPCONGDOI!$C$96:$AD$159,24,0)</f>
        <v>0</v>
      </c>
      <c r="T42" s="1330">
        <f>VLOOKUP(C42,TONGHOPCONGDOI!$C$96:$AD$159,25,0)</f>
        <v>0</v>
      </c>
      <c r="U42" s="1330"/>
      <c r="V42" s="1300">
        <f t="shared" si="3"/>
        <v>3</v>
      </c>
      <c r="W42" s="1301"/>
      <c r="X42" s="1301"/>
      <c r="Y42" s="813">
        <f t="shared" si="4"/>
        <v>1476709</v>
      </c>
      <c r="Z42" s="1330">
        <f t="shared" si="5"/>
        <v>9303580</v>
      </c>
      <c r="AA42" s="1330"/>
      <c r="AB42" s="1330">
        <f>VLOOKUP(C42,'CNKT '!$D$101:$AC$164,24,0)</f>
        <v>9303580</v>
      </c>
      <c r="AC42" s="1253">
        <f t="shared" si="6"/>
        <v>0</v>
      </c>
    </row>
    <row r="43" spans="1:29" s="1253" customFormat="1" ht="42.75" customHeight="1">
      <c r="A43" s="1299">
        <v>27</v>
      </c>
      <c r="B43" s="1330" t="str">
        <f>'Chấm công KT'!C121</f>
        <v>03613</v>
      </c>
      <c r="C43" s="1330" t="str">
        <f>TONGHOPCONGDOI!C122</f>
        <v>N. Lỷ</v>
      </c>
      <c r="D43" s="1330"/>
      <c r="E43" s="1331"/>
      <c r="F43" s="1330">
        <f t="shared" si="0"/>
        <v>0</v>
      </c>
      <c r="G43" s="1330">
        <f>VLOOKUP(C43,TONGHOPCONGDOI!C122:AD186,16,0)</f>
        <v>5145</v>
      </c>
      <c r="H43" s="1330">
        <f>VLOOKUP(C43,TONGHOPCONGDOI!C122:AD160,17,0)</f>
        <v>0</v>
      </c>
      <c r="I43" s="1330"/>
      <c r="J43" s="817">
        <f t="shared" si="1"/>
        <v>2250.5534665754744</v>
      </c>
      <c r="K43" s="817">
        <f>'SẢN LƯỢNG'!AP125</f>
        <v>186.87104317908432</v>
      </c>
      <c r="L43" s="817">
        <f>'SẢN LƯỢNG'!AQ125</f>
        <v>2437.424509754559</v>
      </c>
      <c r="M43" s="1299" t="str">
        <f>VLOOKUP(C43,'SẢN LƯỢNG'!D125:AR186,41,0)</f>
        <v>A</v>
      </c>
      <c r="N43" s="1302">
        <f t="shared" si="2"/>
        <v>9084525</v>
      </c>
      <c r="O43" s="1330">
        <f>VLOOKUP(C43,TONGHOPCONGDOI!$C$96:$AD$159,20,0)</f>
        <v>27</v>
      </c>
      <c r="P43" s="1330">
        <f>VLOOKUP(C43,TONGHOPCONGDOI!$C$96:$AD$159,21,0)</f>
        <v>1</v>
      </c>
      <c r="Q43" s="1330">
        <f>VLOOKUP(C43,TONGHOPCONGDOI!$C$96:$AD$159,22,0)</f>
        <v>0</v>
      </c>
      <c r="R43" s="1330">
        <f>VLOOKUP(C43,TONGHOPCONGDOI!$C$96:$AD$159,23,0)</f>
        <v>3</v>
      </c>
      <c r="S43" s="1330">
        <f>VLOOKUP(C43,TONGHOPCONGDOI!$C$96:$AD$159,24,0)</f>
        <v>0</v>
      </c>
      <c r="T43" s="1330">
        <f>VLOOKUP(C43,TONGHOPCONGDOI!$C$96:$AD$159,25,0)</f>
        <v>0</v>
      </c>
      <c r="U43" s="1330"/>
      <c r="V43" s="1300">
        <f t="shared" si="3"/>
        <v>3</v>
      </c>
      <c r="W43" s="1301"/>
      <c r="X43" s="1301"/>
      <c r="Y43" s="813">
        <f t="shared" si="4"/>
        <v>1476709</v>
      </c>
      <c r="Z43" s="1330">
        <f t="shared" si="5"/>
        <v>10561234</v>
      </c>
      <c r="AA43" s="1330"/>
      <c r="AB43" s="1330">
        <f>VLOOKUP(C43,'CNKT '!$D$101:$AC$164,24,0)</f>
        <v>10561234</v>
      </c>
      <c r="AC43" s="1253">
        <f t="shared" si="6"/>
        <v>0</v>
      </c>
    </row>
    <row r="44" spans="1:29" s="1253" customFormat="1" ht="42.75" customHeight="1">
      <c r="A44" s="1299">
        <v>28</v>
      </c>
      <c r="B44" s="1330" t="str">
        <f>'Chấm công KT'!C122</f>
        <v>04077</v>
      </c>
      <c r="C44" s="1330" t="str">
        <f>TONGHOPCONGDOI!C123</f>
        <v>N. Quen</v>
      </c>
      <c r="D44" s="1330"/>
      <c r="E44" s="1331"/>
      <c r="F44" s="1330">
        <f t="shared" si="0"/>
        <v>0</v>
      </c>
      <c r="G44" s="1330">
        <f>VLOOKUP(C44,TONGHOPCONGDOI!C123:AD187,16,0)</f>
        <v>4697</v>
      </c>
      <c r="H44" s="1330">
        <f>VLOOKUP(C44,TONGHOPCONGDOI!C123:AD160,17,0)</f>
        <v>0</v>
      </c>
      <c r="I44" s="1330"/>
      <c r="J44" s="817">
        <f t="shared" si="1"/>
        <v>2054.5869062206034</v>
      </c>
      <c r="K44" s="817">
        <f>'SẢN LƯỢNG'!AP126</f>
        <v>147.40991529059454</v>
      </c>
      <c r="L44" s="817">
        <f>'SẢN LƯỢNG'!AQ126</f>
        <v>2201.9968215111985</v>
      </c>
      <c r="M44" s="1299" t="str">
        <f>VLOOKUP(C44,'SẢN LƯỢNG'!D126:AR187,41,0)</f>
        <v>A</v>
      </c>
      <c r="N44" s="1302">
        <f t="shared" si="2"/>
        <v>8207062</v>
      </c>
      <c r="O44" s="1330">
        <f>VLOOKUP(C44,TONGHOPCONGDOI!$C$96:$AD$159,20,0)</f>
        <v>27</v>
      </c>
      <c r="P44" s="1330">
        <f>VLOOKUP(C44,TONGHOPCONGDOI!$C$96:$AD$159,21,0)</f>
        <v>2</v>
      </c>
      <c r="Q44" s="1330">
        <f>VLOOKUP(C44,TONGHOPCONGDOI!$C$96:$AD$159,22,0)</f>
        <v>0</v>
      </c>
      <c r="R44" s="1330">
        <f>VLOOKUP(C44,TONGHOPCONGDOI!$C$96:$AD$159,23,0)</f>
        <v>2</v>
      </c>
      <c r="S44" s="1330">
        <f>VLOOKUP(C44,TONGHOPCONGDOI!$C$96:$AD$159,24,0)</f>
        <v>0</v>
      </c>
      <c r="T44" s="1330">
        <f>VLOOKUP(C44,TONGHOPCONGDOI!$C$96:$AD$159,25,0)</f>
        <v>0</v>
      </c>
      <c r="U44" s="1330"/>
      <c r="V44" s="1300">
        <f t="shared" si="3"/>
        <v>2</v>
      </c>
      <c r="W44" s="1301"/>
      <c r="X44" s="1301"/>
      <c r="Y44" s="813">
        <f t="shared" si="4"/>
        <v>1325958</v>
      </c>
      <c r="Z44" s="1330">
        <f t="shared" si="5"/>
        <v>9533020</v>
      </c>
      <c r="AA44" s="1330"/>
      <c r="AB44" s="1330">
        <f>VLOOKUP(C44,'CNKT '!$D$101:$AC$164,24,0)</f>
        <v>9533020</v>
      </c>
      <c r="AC44" s="1253">
        <f t="shared" si="6"/>
        <v>0</v>
      </c>
    </row>
    <row r="45" spans="1:29" s="1253" customFormat="1" ht="42.75" customHeight="1">
      <c r="A45" s="1299">
        <v>29</v>
      </c>
      <c r="B45" s="1330" t="str">
        <f>'Chấm công KT'!C123</f>
        <v>03615</v>
      </c>
      <c r="C45" s="1330" t="str">
        <f>TONGHOPCONGDOI!C124</f>
        <v>T. Xi Nuôn</v>
      </c>
      <c r="D45" s="1330"/>
      <c r="E45" s="1331"/>
      <c r="F45" s="1330">
        <f t="shared" si="0"/>
        <v>0</v>
      </c>
      <c r="G45" s="1330">
        <f>VLOOKUP(C45,TONGHOPCONGDOI!C124:AD188,16,0)</f>
        <v>3585</v>
      </c>
      <c r="H45" s="1330">
        <f>VLOOKUP(C45,TONGHOPCONGDOI!C124:AD160,17,0)</f>
        <v>0</v>
      </c>
      <c r="I45" s="1330"/>
      <c r="J45" s="817">
        <f t="shared" si="1"/>
        <v>1568.169908196905</v>
      </c>
      <c r="K45" s="817">
        <f>'SẢN LƯỢNG'!AP127</f>
        <v>127.22050102206487</v>
      </c>
      <c r="L45" s="817">
        <f>'SẢN LƯỢNG'!AQ127</f>
        <v>1695.3904092189703</v>
      </c>
      <c r="M45" s="1299" t="str">
        <f>VLOOKUP(C45,'SẢN LƯỢNG'!D127:AR188,41,0)</f>
        <v>A</v>
      </c>
      <c r="N45" s="1302">
        <f t="shared" si="2"/>
        <v>6318890</v>
      </c>
      <c r="O45" s="1330">
        <f>VLOOKUP(C45,TONGHOPCONGDOI!$C$96:$AD$159,20,0)</f>
        <v>27</v>
      </c>
      <c r="P45" s="1330">
        <f>VLOOKUP(C45,TONGHOPCONGDOI!$C$96:$AD$159,21,0)</f>
        <v>1</v>
      </c>
      <c r="Q45" s="1330">
        <f>VLOOKUP(C45,TONGHOPCONGDOI!$C$96:$AD$159,22,0)</f>
        <v>0</v>
      </c>
      <c r="R45" s="1330">
        <f>VLOOKUP(C45,TONGHOPCONGDOI!$C$96:$AD$159,23,0)</f>
        <v>3</v>
      </c>
      <c r="S45" s="1330">
        <f>VLOOKUP(C45,TONGHOPCONGDOI!$C$96:$AD$159,24,0)</f>
        <v>0</v>
      </c>
      <c r="T45" s="1330">
        <f>VLOOKUP(C45,TONGHOPCONGDOI!$C$96:$AD$159,25,0)</f>
        <v>0</v>
      </c>
      <c r="U45" s="1330"/>
      <c r="V45" s="1300">
        <f t="shared" si="3"/>
        <v>3</v>
      </c>
      <c r="W45" s="1301"/>
      <c r="X45" s="1301"/>
      <c r="Y45" s="813">
        <f t="shared" si="4"/>
        <v>1476709</v>
      </c>
      <c r="Z45" s="1330">
        <f t="shared" si="5"/>
        <v>7795599</v>
      </c>
      <c r="AA45" s="1330"/>
      <c r="AB45" s="1330">
        <f>VLOOKUP(C45,'CNKT '!$D$101:$AC$164,24,0)</f>
        <v>7795599</v>
      </c>
      <c r="AC45" s="1253">
        <f t="shared" si="6"/>
        <v>0</v>
      </c>
    </row>
    <row r="46" spans="1:29" s="1253" customFormat="1" ht="42.75" customHeight="1">
      <c r="A46" s="1299">
        <v>30</v>
      </c>
      <c r="B46" s="1330" t="str">
        <f>'Chấm công KT'!C124</f>
        <v>03616</v>
      </c>
      <c r="C46" s="1330" t="str">
        <f>TONGHOPCONGDOI!C125</f>
        <v>N. Ốc</v>
      </c>
      <c r="D46" s="1330"/>
      <c r="E46" s="1331"/>
      <c r="F46" s="1330">
        <f t="shared" si="0"/>
        <v>0</v>
      </c>
      <c r="G46" s="1330">
        <f>VLOOKUP(C46,TONGHOPCONGDOI!C125:AD189,16,0)</f>
        <v>4983</v>
      </c>
      <c r="H46" s="1330">
        <f>VLOOKUP(C46,TONGHOPCONGDOI!C125:AD160,17,0)</f>
        <v>0</v>
      </c>
      <c r="I46" s="1330"/>
      <c r="J46" s="817">
        <f t="shared" si="1"/>
        <v>2179.6905585900076</v>
      </c>
      <c r="K46" s="817">
        <f>'SẢN LƯỢNG'!AP128</f>
        <v>187.61879926310394</v>
      </c>
      <c r="L46" s="817">
        <f>'SẢN LƯỢNG'!AQ128</f>
        <v>2367.309357853112</v>
      </c>
      <c r="M46" s="1299" t="str">
        <f>VLOOKUP(C46,'SẢN LƯỢNG'!D128:AR189,41,0)</f>
        <v>A</v>
      </c>
      <c r="N46" s="1302">
        <f t="shared" si="2"/>
        <v>8823199</v>
      </c>
      <c r="O46" s="1330">
        <f>VLOOKUP(C46,TONGHOPCONGDOI!$C$96:$AD$159,20,0)</f>
        <v>27</v>
      </c>
      <c r="P46" s="1330">
        <f>VLOOKUP(C46,TONGHOPCONGDOI!$C$96:$AD$159,21,0)</f>
        <v>1</v>
      </c>
      <c r="Q46" s="1330">
        <f>VLOOKUP(C46,TONGHOPCONGDOI!$C$96:$AD$159,22,0)</f>
        <v>0</v>
      </c>
      <c r="R46" s="1330">
        <f>VLOOKUP(C46,TONGHOPCONGDOI!$C$96:$AD$159,23,0)</f>
        <v>3</v>
      </c>
      <c r="S46" s="1330">
        <f>VLOOKUP(C46,TONGHOPCONGDOI!$C$96:$AD$159,24,0)</f>
        <v>0</v>
      </c>
      <c r="T46" s="1330">
        <f>VLOOKUP(C46,TONGHOPCONGDOI!$C$96:$AD$159,25,0)</f>
        <v>0</v>
      </c>
      <c r="U46" s="1330"/>
      <c r="V46" s="1300">
        <f t="shared" si="3"/>
        <v>3</v>
      </c>
      <c r="W46" s="1301"/>
      <c r="X46" s="1301"/>
      <c r="Y46" s="813">
        <f t="shared" si="4"/>
        <v>1476709</v>
      </c>
      <c r="Z46" s="1330">
        <f t="shared" si="5"/>
        <v>10299908</v>
      </c>
      <c r="AA46" s="1330"/>
      <c r="AB46" s="1330">
        <f>VLOOKUP(C46,'CNKT '!$D$101:$AC$164,24,0)</f>
        <v>10299908</v>
      </c>
      <c r="AC46" s="1253">
        <f t="shared" si="6"/>
        <v>0</v>
      </c>
    </row>
    <row r="47" spans="1:29" s="1253" customFormat="1" ht="42.75" customHeight="1">
      <c r="A47" s="1299">
        <v>31</v>
      </c>
      <c r="B47" s="1330" t="str">
        <f>'Chấm công KT'!C125</f>
        <v>03617</v>
      </c>
      <c r="C47" s="1330" t="str">
        <f>TONGHOPCONGDOI!C126</f>
        <v>T. Văn Nô</v>
      </c>
      <c r="D47" s="1330"/>
      <c r="E47" s="1331"/>
      <c r="F47" s="1330">
        <f t="shared" si="0"/>
        <v>0</v>
      </c>
      <c r="G47" s="1330">
        <f>VLOOKUP(C47,TONGHOPCONGDOI!C126:AD190,16,0)</f>
        <v>4530</v>
      </c>
      <c r="H47" s="1330">
        <f>VLOOKUP(C47,TONGHOPCONGDOI!C126:AD160,17,0)</f>
        <v>0</v>
      </c>
      <c r="I47" s="1330"/>
      <c r="J47" s="817">
        <f t="shared" si="1"/>
        <v>1981.5368714454617</v>
      </c>
      <c r="K47" s="817">
        <f>'SẢN LƯỢNG'!AP129</f>
        <v>158.72822328961874</v>
      </c>
      <c r="L47" s="817">
        <f>'SẢN LƯỢNG'!AQ129</f>
        <v>2140.2650947350808</v>
      </c>
      <c r="M47" s="1299" t="str">
        <f>VLOOKUP(C47,'SẢN LƯỢNG'!D129:AR190,41,0)</f>
        <v>A</v>
      </c>
      <c r="N47" s="1302">
        <f t="shared" si="2"/>
        <v>7976982</v>
      </c>
      <c r="O47" s="1330">
        <f>VLOOKUP(C47,TONGHOPCONGDOI!$C$96:$AD$159,20,0)</f>
        <v>27</v>
      </c>
      <c r="P47" s="1330">
        <f>VLOOKUP(C47,TONGHOPCONGDOI!$C$96:$AD$159,21,0)</f>
        <v>1</v>
      </c>
      <c r="Q47" s="1330">
        <f>VLOOKUP(C47,TONGHOPCONGDOI!$C$96:$AD$159,22,0)</f>
        <v>0</v>
      </c>
      <c r="R47" s="1330">
        <f>VLOOKUP(C47,TONGHOPCONGDOI!$C$96:$AD$159,23,0)</f>
        <v>3</v>
      </c>
      <c r="S47" s="1330">
        <f>VLOOKUP(C47,TONGHOPCONGDOI!$C$96:$AD$159,24,0)</f>
        <v>0</v>
      </c>
      <c r="T47" s="1330">
        <f>VLOOKUP(C47,TONGHOPCONGDOI!$C$96:$AD$159,25,0)</f>
        <v>0</v>
      </c>
      <c r="U47" s="1330"/>
      <c r="V47" s="1300">
        <f t="shared" si="3"/>
        <v>3</v>
      </c>
      <c r="W47" s="1301"/>
      <c r="X47" s="1301"/>
      <c r="Y47" s="813">
        <f t="shared" si="4"/>
        <v>1476709</v>
      </c>
      <c r="Z47" s="1330">
        <f t="shared" si="5"/>
        <v>9453691</v>
      </c>
      <c r="AA47" s="1330"/>
      <c r="AB47" s="1330">
        <f>VLOOKUP(C47,'CNKT '!$D$101:$AC$164,24,0)</f>
        <v>9453691</v>
      </c>
      <c r="AC47" s="1253">
        <f t="shared" si="6"/>
        <v>0</v>
      </c>
    </row>
    <row r="48" spans="1:29" s="1253" customFormat="1" ht="42.75" customHeight="1">
      <c r="A48" s="1299">
        <v>32</v>
      </c>
      <c r="B48" s="1330" t="str">
        <f>'Chấm công KT'!C126</f>
        <v>03618</v>
      </c>
      <c r="C48" s="1330" t="str">
        <f>TONGHOPCONGDOI!C127</f>
        <v>N. Văn Ta</v>
      </c>
      <c r="D48" s="1330"/>
      <c r="E48" s="1331"/>
      <c r="F48" s="1330">
        <f t="shared" si="0"/>
        <v>0</v>
      </c>
      <c r="G48" s="1330">
        <f>VLOOKUP(C48,TONGHOPCONGDOI!C127:AD191,16,0)</f>
        <v>3958</v>
      </c>
      <c r="H48" s="1330">
        <f>VLOOKUP(C48,TONGHOPCONGDOI!C127:AD160,17,0)</f>
        <v>0</v>
      </c>
      <c r="I48" s="1330"/>
      <c r="J48" s="817">
        <f t="shared" si="1"/>
        <v>1731.3295667066527</v>
      </c>
      <c r="K48" s="817">
        <f>'SẢN LƯỢNG'!AP130</f>
        <v>167.02151803965452</v>
      </c>
      <c r="L48" s="817">
        <f>'SẢN LƯỢNG'!AQ130</f>
        <v>1898.3510847463074</v>
      </c>
      <c r="M48" s="1299" t="str">
        <f>VLOOKUP(C48,'SẢN LƯỢNG'!D130:AR191,41,0)</f>
        <v>A</v>
      </c>
      <c r="N48" s="1302">
        <f t="shared" si="2"/>
        <v>7075344</v>
      </c>
      <c r="O48" s="1330">
        <f>VLOOKUP(C48,TONGHOPCONGDOI!$C$96:$AD$159,20,0)</f>
        <v>25</v>
      </c>
      <c r="P48" s="1330">
        <f>VLOOKUP(C48,TONGHOPCONGDOI!$C$96:$AD$159,21,0)</f>
        <v>2</v>
      </c>
      <c r="Q48" s="1330">
        <f>VLOOKUP(C48,TONGHOPCONGDOI!$C$96:$AD$159,22,0)</f>
        <v>0</v>
      </c>
      <c r="R48" s="1330">
        <f>VLOOKUP(C48,TONGHOPCONGDOI!$C$96:$AD$159,23,0)</f>
        <v>2</v>
      </c>
      <c r="S48" s="1330">
        <f>VLOOKUP(C48,TONGHOPCONGDOI!$C$96:$AD$159,24,0)</f>
        <v>0</v>
      </c>
      <c r="T48" s="1330">
        <f>VLOOKUP(C48,TONGHOPCONGDOI!$C$96:$AD$159,25,0)</f>
        <v>0</v>
      </c>
      <c r="U48" s="1330"/>
      <c r="V48" s="1300">
        <f t="shared" si="3"/>
        <v>2</v>
      </c>
      <c r="W48" s="1301"/>
      <c r="X48" s="1301"/>
      <c r="Y48" s="813">
        <f t="shared" si="4"/>
        <v>1265109</v>
      </c>
      <c r="Z48" s="1330">
        <f t="shared" si="5"/>
        <v>8340453</v>
      </c>
      <c r="AA48" s="1330"/>
      <c r="AB48" s="1330">
        <f>VLOOKUP(C48,'CNKT '!$D$101:$AC$164,24,0)</f>
        <v>8340453</v>
      </c>
      <c r="AC48" s="1253">
        <f t="shared" si="6"/>
        <v>0</v>
      </c>
    </row>
    <row r="49" spans="1:29" s="1253" customFormat="1" ht="42.75" customHeight="1">
      <c r="A49" s="1299">
        <v>33</v>
      </c>
      <c r="B49" s="1330" t="str">
        <f>'Chấm công KT'!C127</f>
        <v>03619</v>
      </c>
      <c r="C49" s="1330" t="str">
        <f>TONGHOPCONGDOI!C128</f>
        <v>T. Thon</v>
      </c>
      <c r="D49" s="1330"/>
      <c r="E49" s="1331"/>
      <c r="F49" s="1330">
        <f t="shared" si="0"/>
        <v>0</v>
      </c>
      <c r="G49" s="1330">
        <f>VLOOKUP(C49,TONGHOPCONGDOI!C128:AD192,16,0)</f>
        <v>3969</v>
      </c>
      <c r="H49" s="1330">
        <f>VLOOKUP(C49,TONGHOPCONGDOI!C128:AD160,17,0)</f>
        <v>0</v>
      </c>
      <c r="I49" s="1330"/>
      <c r="J49" s="817">
        <f t="shared" ref="J49:J78" si="7">$AD$11/$AD$10*G49+H49*$AD$12+I49*$AD$13</f>
        <v>1736.1412456439375</v>
      </c>
      <c r="K49" s="817">
        <f>'SẢN LƯỢNG'!AP131</f>
        <v>122.69997560503718</v>
      </c>
      <c r="L49" s="817">
        <f>'SẢN LƯỢNG'!AQ131</f>
        <v>1858.841221248975</v>
      </c>
      <c r="M49" s="1299" t="str">
        <f>VLOOKUP(C49,'SẢN LƯỢNG'!D131:AR192,41,0)</f>
        <v>A</v>
      </c>
      <c r="N49" s="1302">
        <f t="shared" si="2"/>
        <v>6928087</v>
      </c>
      <c r="O49" s="1330">
        <f>VLOOKUP(C49,TONGHOPCONGDOI!$C$96:$AD$159,20,0)</f>
        <v>26</v>
      </c>
      <c r="P49" s="1330">
        <f>VLOOKUP(C49,TONGHOPCONGDOI!$C$96:$AD$159,21,0)</f>
        <v>1</v>
      </c>
      <c r="Q49" s="1330">
        <f>VLOOKUP(C49,TONGHOPCONGDOI!$C$96:$AD$159,22,0)</f>
        <v>0</v>
      </c>
      <c r="R49" s="1330">
        <f>VLOOKUP(C49,TONGHOPCONGDOI!$C$96:$AD$159,23,0)</f>
        <v>3</v>
      </c>
      <c r="S49" s="1330">
        <f>VLOOKUP(C49,TONGHOPCONGDOI!$C$96:$AD$159,24,0)</f>
        <v>0</v>
      </c>
      <c r="T49" s="1330">
        <f>VLOOKUP(C49,TONGHOPCONGDOI!$C$96:$AD$159,25,0)</f>
        <v>0</v>
      </c>
      <c r="U49" s="1330"/>
      <c r="V49" s="1300">
        <f t="shared" si="3"/>
        <v>3</v>
      </c>
      <c r="W49" s="1301"/>
      <c r="X49" s="1301"/>
      <c r="Y49" s="813">
        <f t="shared" si="4"/>
        <v>1446285</v>
      </c>
      <c r="Z49" s="1330">
        <f t="shared" ref="Z49:Z80" si="8">F49+N49+Y49</f>
        <v>8374372</v>
      </c>
      <c r="AA49" s="1330"/>
      <c r="AB49" s="1330">
        <f>VLOOKUP(C49,'CNKT '!$D$101:$AC$164,24,0)</f>
        <v>8374372</v>
      </c>
      <c r="AC49" s="1253">
        <f t="shared" si="6"/>
        <v>0</v>
      </c>
    </row>
    <row r="50" spans="1:29" s="1253" customFormat="1" ht="42.75" customHeight="1">
      <c r="A50" s="1299">
        <v>34</v>
      </c>
      <c r="B50" s="1330" t="str">
        <f>'Chấm công KT'!C128</f>
        <v>03620</v>
      </c>
      <c r="C50" s="1330" t="str">
        <f>TONGHOPCONGDOI!C129</f>
        <v>Bun Thon</v>
      </c>
      <c r="D50" s="1330"/>
      <c r="E50" s="1331"/>
      <c r="F50" s="1330">
        <f t="shared" si="0"/>
        <v>0</v>
      </c>
      <c r="G50" s="1330">
        <f>VLOOKUP(C50,TONGHOPCONGDOI!C129:AD193,16,0)</f>
        <v>2800</v>
      </c>
      <c r="H50" s="1330">
        <f>VLOOKUP(C50,TONGHOPCONGDOI!C129:AD160,17,0)</f>
        <v>0</v>
      </c>
      <c r="I50" s="1330"/>
      <c r="J50" s="817">
        <f t="shared" si="7"/>
        <v>1224.7910022179453</v>
      </c>
      <c r="K50" s="817">
        <f>'SẢN LƯỢNG'!AP132</f>
        <v>127.05055645751496</v>
      </c>
      <c r="L50" s="817">
        <f>'SẢN LƯỢNG'!AQ132</f>
        <v>1351.8415586754604</v>
      </c>
      <c r="M50" s="1299" t="str">
        <f>VLOOKUP(C50,'SẢN LƯỢNG'!D132:AR193,41,0)</f>
        <v>A</v>
      </c>
      <c r="N50" s="1302">
        <f t="shared" si="2"/>
        <v>5038449</v>
      </c>
      <c r="O50" s="1330">
        <f>VLOOKUP(C50,TONGHOPCONGDOI!$C$96:$AD$159,20,0)</f>
        <v>23</v>
      </c>
      <c r="P50" s="1330">
        <f>VLOOKUP(C50,TONGHOPCONGDOI!$C$96:$AD$159,21,0)</f>
        <v>1</v>
      </c>
      <c r="Q50" s="1330">
        <f>VLOOKUP(C50,TONGHOPCONGDOI!$C$96:$AD$159,22,0)</f>
        <v>0</v>
      </c>
      <c r="R50" s="1330">
        <f>VLOOKUP(C50,TONGHOPCONGDOI!$C$96:$AD$159,23,0)</f>
        <v>3</v>
      </c>
      <c r="S50" s="1330">
        <f>VLOOKUP(C50,TONGHOPCONGDOI!$C$96:$AD$159,24,0)</f>
        <v>0</v>
      </c>
      <c r="T50" s="1330">
        <f>VLOOKUP(C50,TONGHOPCONGDOI!$C$96:$AD$159,25,0)</f>
        <v>0</v>
      </c>
      <c r="U50" s="1330"/>
      <c r="V50" s="1300">
        <f t="shared" si="3"/>
        <v>3</v>
      </c>
      <c r="W50" s="1301"/>
      <c r="X50" s="1301"/>
      <c r="Y50" s="813">
        <f t="shared" si="4"/>
        <v>1355012</v>
      </c>
      <c r="Z50" s="1330">
        <f t="shared" si="8"/>
        <v>6393461</v>
      </c>
      <c r="AA50" s="1330"/>
      <c r="AB50" s="1330">
        <f>VLOOKUP(C50,'CNKT '!$D$101:$AC$164,24,0)</f>
        <v>6393461</v>
      </c>
      <c r="AC50" s="1253">
        <f t="shared" si="6"/>
        <v>0</v>
      </c>
    </row>
    <row r="51" spans="1:29" s="1253" customFormat="1" ht="42.75" customHeight="1">
      <c r="A51" s="1299">
        <v>35</v>
      </c>
      <c r="B51" s="1330" t="str">
        <f>'Chấm công KT'!C129</f>
        <v>04078</v>
      </c>
      <c r="C51" s="1330" t="str">
        <f>TONGHOPCONGDOI!C130</f>
        <v>Lăm Thong</v>
      </c>
      <c r="D51" s="1330"/>
      <c r="E51" s="1331"/>
      <c r="F51" s="1330">
        <f t="shared" si="0"/>
        <v>0</v>
      </c>
      <c r="G51" s="1330">
        <f>VLOOKUP(C51,TONGHOPCONGDOI!C130:AD194,16,0)</f>
        <v>3870</v>
      </c>
      <c r="H51" s="1330">
        <f>VLOOKUP(C51,TONGHOPCONGDOI!C130:AD160,17,0)</f>
        <v>0</v>
      </c>
      <c r="I51" s="1330"/>
      <c r="J51" s="817">
        <f t="shared" si="7"/>
        <v>1692.8361352083746</v>
      </c>
      <c r="K51" s="817">
        <f>'SẢN LƯỢNG'!AP133</f>
        <v>129.83764731613354</v>
      </c>
      <c r="L51" s="817">
        <f>'SẢN LƯỢNG'!AQ133</f>
        <v>1822.6737825245084</v>
      </c>
      <c r="M51" s="1299" t="str">
        <f>VLOOKUP(C51,'SẢN LƯỢNG'!D133:AR194,41,0)</f>
        <v>A</v>
      </c>
      <c r="N51" s="1302">
        <f t="shared" si="2"/>
        <v>6793287</v>
      </c>
      <c r="O51" s="1330">
        <f>VLOOKUP(C51,TONGHOPCONGDOI!$C$96:$AD$159,20,0)</f>
        <v>24</v>
      </c>
      <c r="P51" s="1330">
        <f>VLOOKUP(C51,TONGHOPCONGDOI!$C$96:$AD$159,21,0)</f>
        <v>1</v>
      </c>
      <c r="Q51" s="1330">
        <f>VLOOKUP(C51,TONGHOPCONGDOI!$C$96:$AD$159,22,0)</f>
        <v>0</v>
      </c>
      <c r="R51" s="1330">
        <f>VLOOKUP(C51,TONGHOPCONGDOI!$C$96:$AD$159,23,0)</f>
        <v>3</v>
      </c>
      <c r="S51" s="1330">
        <f>VLOOKUP(C51,TONGHOPCONGDOI!$C$96:$AD$159,24,0)</f>
        <v>0</v>
      </c>
      <c r="T51" s="1330">
        <f>VLOOKUP(C51,TONGHOPCONGDOI!$C$96:$AD$159,25,0)</f>
        <v>0</v>
      </c>
      <c r="U51" s="1330"/>
      <c r="V51" s="1300">
        <f t="shared" si="3"/>
        <v>3</v>
      </c>
      <c r="W51" s="1301"/>
      <c r="X51" s="1301"/>
      <c r="Y51" s="813">
        <f t="shared" si="4"/>
        <v>1385436</v>
      </c>
      <c r="Z51" s="1330">
        <f t="shared" si="8"/>
        <v>8178723</v>
      </c>
      <c r="AA51" s="1330"/>
      <c r="AB51" s="1330">
        <f>VLOOKUP(C51,'CNKT '!$D$101:$AC$164,24,0)</f>
        <v>8178723</v>
      </c>
      <c r="AC51" s="1253">
        <f t="shared" si="6"/>
        <v>0</v>
      </c>
    </row>
    <row r="52" spans="1:29" s="1253" customFormat="1" ht="42.75" customHeight="1">
      <c r="A52" s="1299">
        <v>36</v>
      </c>
      <c r="B52" s="1330" t="str">
        <f>'Chấm công KT'!C130</f>
        <v>03622</v>
      </c>
      <c r="C52" s="1330" t="str">
        <f>TONGHOPCONGDOI!C131</f>
        <v>N. Xeo Khăm</v>
      </c>
      <c r="D52" s="1330"/>
      <c r="E52" s="1331"/>
      <c r="F52" s="1330">
        <f t="shared" si="0"/>
        <v>0</v>
      </c>
      <c r="G52" s="1330">
        <f>VLOOKUP(C52,TONGHOPCONGDOI!C131:AD195,16,0)</f>
        <v>5094</v>
      </c>
      <c r="H52" s="1330">
        <f>VLOOKUP(C52,TONGHOPCONGDOI!C131:AD160,17,0)</f>
        <v>0</v>
      </c>
      <c r="I52" s="1330"/>
      <c r="J52" s="817">
        <f t="shared" si="7"/>
        <v>2228.2447733207905</v>
      </c>
      <c r="K52" s="817">
        <f>'SẢN LƯỢNG'!AP134</f>
        <v>162.12711458061699</v>
      </c>
      <c r="L52" s="817">
        <f>'SẢN LƯỢNG'!AQ134</f>
        <v>2390.3718879014077</v>
      </c>
      <c r="M52" s="1299" t="str">
        <f>VLOOKUP(C52,'SẢN LƯỢNG'!D134:AR195,41,0)</f>
        <v>A</v>
      </c>
      <c r="N52" s="1302">
        <f t="shared" si="2"/>
        <v>8909155</v>
      </c>
      <c r="O52" s="1330">
        <f>VLOOKUP(C52,TONGHOPCONGDOI!$C$96:$AD$159,20,0)</f>
        <v>27</v>
      </c>
      <c r="P52" s="1330">
        <f>VLOOKUP(C52,TONGHOPCONGDOI!$C$96:$AD$159,21,0)</f>
        <v>1</v>
      </c>
      <c r="Q52" s="1330">
        <f>VLOOKUP(C52,TONGHOPCONGDOI!$C$96:$AD$159,22,0)</f>
        <v>0</v>
      </c>
      <c r="R52" s="1330">
        <f>VLOOKUP(C52,TONGHOPCONGDOI!$C$96:$AD$159,23,0)</f>
        <v>3</v>
      </c>
      <c r="S52" s="1330">
        <f>VLOOKUP(C52,TONGHOPCONGDOI!$C$96:$AD$159,24,0)</f>
        <v>0</v>
      </c>
      <c r="T52" s="1330">
        <f>VLOOKUP(C52,TONGHOPCONGDOI!$C$96:$AD$159,25,0)</f>
        <v>0</v>
      </c>
      <c r="U52" s="1330"/>
      <c r="V52" s="1300">
        <f t="shared" si="3"/>
        <v>3</v>
      </c>
      <c r="W52" s="1301"/>
      <c r="X52" s="1301"/>
      <c r="Y52" s="813">
        <f t="shared" si="4"/>
        <v>1476709</v>
      </c>
      <c r="Z52" s="1330">
        <f t="shared" si="8"/>
        <v>10385864</v>
      </c>
      <c r="AA52" s="1330"/>
      <c r="AB52" s="1330">
        <f>VLOOKUP(C52,'CNKT '!$D$101:$AC$164,24,0)</f>
        <v>10385864</v>
      </c>
      <c r="AC52" s="1253">
        <f t="shared" si="6"/>
        <v>0</v>
      </c>
    </row>
    <row r="53" spans="1:29" s="1253" customFormat="1" ht="42.75" customHeight="1">
      <c r="A53" s="1299">
        <v>37</v>
      </c>
      <c r="B53" s="1330" t="str">
        <f>'Chấm công KT'!C131</f>
        <v>03623</v>
      </c>
      <c r="C53" s="1330" t="str">
        <f>TONGHOPCONGDOI!C132</f>
        <v>T. Khăm...</v>
      </c>
      <c r="D53" s="1330"/>
      <c r="E53" s="1331"/>
      <c r="F53" s="1330">
        <f t="shared" si="0"/>
        <v>0</v>
      </c>
      <c r="G53" s="1330">
        <f>VLOOKUP(C53,TONGHOPCONGDOI!C132:AD196,16,0)</f>
        <v>4669</v>
      </c>
      <c r="H53" s="1330">
        <f>VLOOKUP(C53,TONGHOPCONGDOI!C132:AD160,17,0)</f>
        <v>0</v>
      </c>
      <c r="I53" s="1330"/>
      <c r="J53" s="817">
        <f t="shared" si="7"/>
        <v>2042.338996198424</v>
      </c>
      <c r="K53" s="817">
        <f>'SẢN LƯỢNG'!AP135</f>
        <v>168.07517433986396</v>
      </c>
      <c r="L53" s="817">
        <f>'SẢN LƯỢNG'!AQ135</f>
        <v>2210.4141705382881</v>
      </c>
      <c r="M53" s="1299" t="str">
        <f>VLOOKUP(C53,'SẢN LƯỢNG'!D135:AR196,41,0)</f>
        <v>A</v>
      </c>
      <c r="N53" s="1302">
        <f t="shared" si="2"/>
        <v>8238435</v>
      </c>
      <c r="O53" s="1330">
        <f>VLOOKUP(C53,TONGHOPCONGDOI!$C$96:$AD$159,20,0)</f>
        <v>26</v>
      </c>
      <c r="P53" s="1330">
        <f>VLOOKUP(C53,TONGHOPCONGDOI!$C$96:$AD$159,21,0)</f>
        <v>1</v>
      </c>
      <c r="Q53" s="1330">
        <f>VLOOKUP(C53,TONGHOPCONGDOI!$C$96:$AD$159,22,0)</f>
        <v>0</v>
      </c>
      <c r="R53" s="1330">
        <f>VLOOKUP(C53,TONGHOPCONGDOI!$C$96:$AD$159,23,0)</f>
        <v>2</v>
      </c>
      <c r="S53" s="1330">
        <f>VLOOKUP(C53,TONGHOPCONGDOI!$C$96:$AD$159,24,0)</f>
        <v>0</v>
      </c>
      <c r="T53" s="1330">
        <f>VLOOKUP(C53,TONGHOPCONGDOI!$C$96:$AD$159,25,0)</f>
        <v>0</v>
      </c>
      <c r="U53" s="1330"/>
      <c r="V53" s="1300">
        <f t="shared" si="3"/>
        <v>2</v>
      </c>
      <c r="W53" s="1301"/>
      <c r="X53" s="1301"/>
      <c r="Y53" s="813">
        <f t="shared" si="4"/>
        <v>1244783</v>
      </c>
      <c r="Z53" s="1330">
        <f t="shared" si="8"/>
        <v>9483218</v>
      </c>
      <c r="AA53" s="1330"/>
      <c r="AB53" s="1330">
        <f>VLOOKUP(C53,'CNKT '!$D$101:$AC$164,24,0)</f>
        <v>9483218</v>
      </c>
      <c r="AC53" s="1253">
        <f t="shared" si="6"/>
        <v>0</v>
      </c>
    </row>
    <row r="54" spans="1:29" s="1253" customFormat="1" ht="42.75" customHeight="1">
      <c r="A54" s="1299">
        <v>38</v>
      </c>
      <c r="B54" s="1330" t="str">
        <f>'Chấm công KT'!C132</f>
        <v>03532</v>
      </c>
      <c r="C54" s="1330" t="str">
        <f>TONGHOPCONGDOI!C133</f>
        <v>N. Túc</v>
      </c>
      <c r="D54" s="1330"/>
      <c r="E54" s="1331"/>
      <c r="F54" s="1330">
        <f t="shared" si="0"/>
        <v>0</v>
      </c>
      <c r="G54" s="1330">
        <f>VLOOKUP(C54,TONGHOPCONGDOI!C133:AD197,16,0)</f>
        <v>4316</v>
      </c>
      <c r="H54" s="1330">
        <f>VLOOKUP(C54,TONGHOPCONGDOI!C133:AD160,17,0)</f>
        <v>0</v>
      </c>
      <c r="I54" s="1330"/>
      <c r="J54" s="817">
        <f t="shared" si="7"/>
        <v>1887.9278448473758</v>
      </c>
      <c r="K54" s="817">
        <f>'SẢN LƯỢNG'!AP136</f>
        <v>149.89110593302325</v>
      </c>
      <c r="L54" s="817">
        <f>'SẢN LƯỢNG'!AQ136</f>
        <v>2037.8189507803993</v>
      </c>
      <c r="M54" s="1299" t="str">
        <f>VLOOKUP(C54,'SẢN LƯỢNG'!D136:AR197,41,0)</f>
        <v>A</v>
      </c>
      <c r="N54" s="1302">
        <f t="shared" si="2"/>
        <v>7595155</v>
      </c>
      <c r="O54" s="1330">
        <f>VLOOKUP(C54,TONGHOPCONGDOI!$C$96:$AD$159,20,0)</f>
        <v>27</v>
      </c>
      <c r="P54" s="1330">
        <f>VLOOKUP(C54,TONGHOPCONGDOI!$C$96:$AD$159,21,0)</f>
        <v>1</v>
      </c>
      <c r="Q54" s="1330">
        <f>VLOOKUP(C54,TONGHOPCONGDOI!$C$96:$AD$159,22,0)</f>
        <v>0</v>
      </c>
      <c r="R54" s="1330">
        <f>VLOOKUP(C54,TONGHOPCONGDOI!$C$96:$AD$159,23,0)</f>
        <v>3</v>
      </c>
      <c r="S54" s="1330">
        <f>VLOOKUP(C54,TONGHOPCONGDOI!$C$96:$AD$159,24,0)</f>
        <v>0</v>
      </c>
      <c r="T54" s="1330">
        <f>VLOOKUP(C54,TONGHOPCONGDOI!$C$96:$AD$159,25,0)</f>
        <v>0</v>
      </c>
      <c r="U54" s="1330"/>
      <c r="V54" s="1300">
        <f t="shared" si="3"/>
        <v>3</v>
      </c>
      <c r="W54" s="1301"/>
      <c r="X54" s="1301"/>
      <c r="Y54" s="813">
        <f t="shared" si="4"/>
        <v>1476709</v>
      </c>
      <c r="Z54" s="1330">
        <f t="shared" si="8"/>
        <v>9071864</v>
      </c>
      <c r="AA54" s="1330"/>
      <c r="AB54" s="1330">
        <f>VLOOKUP(C54,'CNKT '!$D$101:$AC$164,24,0)</f>
        <v>9071864</v>
      </c>
      <c r="AC54" s="1253">
        <f t="shared" si="6"/>
        <v>0</v>
      </c>
    </row>
    <row r="55" spans="1:29" s="1253" customFormat="1" ht="42.75" customHeight="1">
      <c r="A55" s="1299">
        <v>39</v>
      </c>
      <c r="B55" s="1330" t="str">
        <f>'Chấm công KT'!C133</f>
        <v>03625</v>
      </c>
      <c r="C55" s="1330" t="str">
        <f>TONGHOPCONGDOI!C134</f>
        <v>N. Pheng</v>
      </c>
      <c r="D55" s="1330"/>
      <c r="E55" s="1331"/>
      <c r="F55" s="1330">
        <f t="shared" si="0"/>
        <v>0</v>
      </c>
      <c r="G55" s="1330">
        <f>VLOOKUP(C55,TONGHOPCONGDOI!C134:AD198,16,0)</f>
        <v>5368</v>
      </c>
      <c r="H55" s="1330">
        <f>VLOOKUP(C55,TONGHOPCONGDOI!C134:AD160,17,0)</f>
        <v>0</v>
      </c>
      <c r="I55" s="1330"/>
      <c r="J55" s="817">
        <f t="shared" si="7"/>
        <v>2348.0993213949755</v>
      </c>
      <c r="K55" s="817">
        <f>'SẢN LƯỢNG'!AP137</f>
        <v>170.3184425919228</v>
      </c>
      <c r="L55" s="817">
        <f>'SẢN LƯỢNG'!AQ137</f>
        <v>2518.4177639868985</v>
      </c>
      <c r="M55" s="1299" t="str">
        <f>VLOOKUP(C55,'SẢN LƯỢNG'!D137:AR198,41,0)</f>
        <v>A</v>
      </c>
      <c r="N55" s="1302">
        <f t="shared" si="2"/>
        <v>9386395</v>
      </c>
      <c r="O55" s="1330">
        <f>VLOOKUP(C55,TONGHOPCONGDOI!$C$96:$AD$159,20,0)</f>
        <v>27</v>
      </c>
      <c r="P55" s="1330">
        <f>VLOOKUP(C55,TONGHOPCONGDOI!$C$96:$AD$159,21,0)</f>
        <v>1</v>
      </c>
      <c r="Q55" s="1330">
        <f>VLOOKUP(C55,TONGHOPCONGDOI!$C$96:$AD$159,22,0)</f>
        <v>0</v>
      </c>
      <c r="R55" s="1330">
        <f>VLOOKUP(C55,TONGHOPCONGDOI!$C$96:$AD$159,23,0)</f>
        <v>3</v>
      </c>
      <c r="S55" s="1330">
        <f>VLOOKUP(C55,TONGHOPCONGDOI!$C$96:$AD$159,24,0)</f>
        <v>0</v>
      </c>
      <c r="T55" s="1330">
        <f>VLOOKUP(C55,TONGHOPCONGDOI!$C$96:$AD$159,25,0)</f>
        <v>0</v>
      </c>
      <c r="U55" s="1330"/>
      <c r="V55" s="1300">
        <f t="shared" si="3"/>
        <v>3</v>
      </c>
      <c r="W55" s="1301"/>
      <c r="X55" s="1301"/>
      <c r="Y55" s="813">
        <f t="shared" si="4"/>
        <v>1476709</v>
      </c>
      <c r="Z55" s="1330">
        <f t="shared" si="8"/>
        <v>10863104</v>
      </c>
      <c r="AA55" s="1330"/>
      <c r="AB55" s="1330">
        <f>VLOOKUP(C55,'CNKT '!$D$101:$AC$164,24,0)</f>
        <v>10863104</v>
      </c>
      <c r="AC55" s="1253">
        <f t="shared" si="6"/>
        <v>0</v>
      </c>
    </row>
    <row r="56" spans="1:29" s="1253" customFormat="1" ht="42.75" customHeight="1">
      <c r="A56" s="1299">
        <v>40</v>
      </c>
      <c r="B56" s="1330" t="str">
        <f>'Chấm công KT'!C134</f>
        <v>03587</v>
      </c>
      <c r="C56" s="1330" t="str">
        <f>TONGHOPCONGDOI!C135</f>
        <v>N. Mom</v>
      </c>
      <c r="D56" s="1330"/>
      <c r="E56" s="1331"/>
      <c r="F56" s="1330">
        <f t="shared" si="0"/>
        <v>0</v>
      </c>
      <c r="G56" s="1330">
        <f>VLOOKUP(C56,TONGHOPCONGDOI!C135:AD199,16,0)</f>
        <v>4471</v>
      </c>
      <c r="H56" s="1330">
        <f>VLOOKUP(C56,TONGHOPCONGDOI!C135:AD160,17,0)</f>
        <v>0</v>
      </c>
      <c r="I56" s="1330"/>
      <c r="J56" s="817">
        <f t="shared" si="7"/>
        <v>1955.7287753272979</v>
      </c>
      <c r="K56" s="817">
        <f>'SẢN LƯỢNG'!AP138</f>
        <v>156.82484416665972</v>
      </c>
      <c r="L56" s="817">
        <f>'SẢN LƯỢNG'!AQ138</f>
        <v>2112.5536194939582</v>
      </c>
      <c r="M56" s="1299" t="str">
        <f>VLOOKUP(C56,'SẢN LƯỢNG'!D138:AR199,41,0)</f>
        <v>A</v>
      </c>
      <c r="N56" s="1302">
        <f t="shared" si="2"/>
        <v>7873699</v>
      </c>
      <c r="O56" s="1330">
        <f>VLOOKUP(C56,TONGHOPCONGDOI!$C$96:$AD$159,20,0)</f>
        <v>27</v>
      </c>
      <c r="P56" s="1330">
        <f>VLOOKUP(C56,TONGHOPCONGDOI!$C$96:$AD$159,21,0)</f>
        <v>1</v>
      </c>
      <c r="Q56" s="1330">
        <f>VLOOKUP(C56,TONGHOPCONGDOI!$C$96:$AD$159,22,0)</f>
        <v>0</v>
      </c>
      <c r="R56" s="1330">
        <f>VLOOKUP(C56,TONGHOPCONGDOI!$C$96:$AD$159,23,0)</f>
        <v>3</v>
      </c>
      <c r="S56" s="1330">
        <f>VLOOKUP(C56,TONGHOPCONGDOI!$C$96:$AD$159,24,0)</f>
        <v>0</v>
      </c>
      <c r="T56" s="1330">
        <f>VLOOKUP(C56,TONGHOPCONGDOI!$C$96:$AD$159,25,0)</f>
        <v>0</v>
      </c>
      <c r="U56" s="1330"/>
      <c r="V56" s="1300">
        <f t="shared" si="3"/>
        <v>3</v>
      </c>
      <c r="W56" s="1301"/>
      <c r="X56" s="1301"/>
      <c r="Y56" s="813">
        <f t="shared" si="4"/>
        <v>1476709</v>
      </c>
      <c r="Z56" s="1330">
        <f t="shared" si="8"/>
        <v>9350408</v>
      </c>
      <c r="AA56" s="1330"/>
      <c r="AB56" s="1330">
        <f>VLOOKUP(C56,'CNKT '!$D$101:$AC$164,24,0)</f>
        <v>9350408</v>
      </c>
      <c r="AC56" s="1253">
        <f t="shared" si="6"/>
        <v>0</v>
      </c>
    </row>
    <row r="57" spans="1:29" s="1253" customFormat="1" ht="42.75" customHeight="1">
      <c r="A57" s="1299">
        <v>41</v>
      </c>
      <c r="B57" s="1330" t="str">
        <f>'Chấm công KT'!C135</f>
        <v>04079</v>
      </c>
      <c r="C57" s="1330" t="str">
        <f>TONGHOPCONGDOI!C136</f>
        <v>T. Môn</v>
      </c>
      <c r="D57" s="1330"/>
      <c r="E57" s="1331"/>
      <c r="F57" s="1330">
        <f t="shared" si="0"/>
        <v>0</v>
      </c>
      <c r="G57" s="1330">
        <f>VLOOKUP(C57,TONGHOPCONGDOI!C136:AD200,16,0)</f>
        <v>2898</v>
      </c>
      <c r="H57" s="1330">
        <f>VLOOKUP(C57,TONGHOPCONGDOI!C136:AD160,17,0)</f>
        <v>0</v>
      </c>
      <c r="I57" s="1330"/>
      <c r="J57" s="817">
        <f t="shared" si="7"/>
        <v>1267.6586872955734</v>
      </c>
      <c r="K57" s="817">
        <f>'SẢN LƯỢNG'!AP139</f>
        <v>109.51227739596393</v>
      </c>
      <c r="L57" s="817">
        <f>'SẢN LƯỢNG'!AQ139</f>
        <v>1377.1709646915376</v>
      </c>
      <c r="M57" s="1299" t="str">
        <f>VLOOKUP(C57,'SẢN LƯỢNG'!D139:AR200,41,0)</f>
        <v>B</v>
      </c>
      <c r="N57" s="1302">
        <f t="shared" si="2"/>
        <v>4880418</v>
      </c>
      <c r="O57" s="1330">
        <f>VLOOKUP(C57,TONGHOPCONGDOI!$C$96:$AD$159,20,0)</f>
        <v>27</v>
      </c>
      <c r="P57" s="1330">
        <f>VLOOKUP(C57,TONGHOPCONGDOI!$C$96:$AD$159,21,0)</f>
        <v>1</v>
      </c>
      <c r="Q57" s="1330">
        <f>VLOOKUP(C57,TONGHOPCONGDOI!$C$96:$AD$159,22,0)</f>
        <v>0</v>
      </c>
      <c r="R57" s="1330">
        <f>VLOOKUP(C57,TONGHOPCONGDOI!$C$96:$AD$159,23,0)</f>
        <v>3</v>
      </c>
      <c r="S57" s="1330">
        <f>VLOOKUP(C57,TONGHOPCONGDOI!$C$96:$AD$159,24,0)</f>
        <v>0</v>
      </c>
      <c r="T57" s="1330">
        <f>VLOOKUP(C57,TONGHOPCONGDOI!$C$96:$AD$159,25,0)</f>
        <v>0</v>
      </c>
      <c r="U57" s="1330"/>
      <c r="V57" s="1300">
        <f t="shared" si="3"/>
        <v>3</v>
      </c>
      <c r="W57" s="1301"/>
      <c r="X57" s="1301"/>
      <c r="Y57" s="813">
        <f t="shared" si="4"/>
        <v>1476709</v>
      </c>
      <c r="Z57" s="1330">
        <f t="shared" si="8"/>
        <v>6357127</v>
      </c>
      <c r="AA57" s="1330"/>
      <c r="AB57" s="1330">
        <f>VLOOKUP(C57,'CNKT '!$D$101:$AC$164,24,0)</f>
        <v>6357127</v>
      </c>
      <c r="AC57" s="1253">
        <f t="shared" si="6"/>
        <v>0</v>
      </c>
    </row>
    <row r="58" spans="1:29" s="1253" customFormat="1" ht="42.75" customHeight="1">
      <c r="A58" s="1299">
        <v>42</v>
      </c>
      <c r="B58" s="1330" t="str">
        <f>'Chấm công KT'!C136</f>
        <v>03628</v>
      </c>
      <c r="C58" s="1330" t="str">
        <f>TONGHOPCONGDOI!C137</f>
        <v>Khăn Hạ</v>
      </c>
      <c r="D58" s="1330"/>
      <c r="E58" s="1331"/>
      <c r="F58" s="1330">
        <f t="shared" si="0"/>
        <v>0</v>
      </c>
      <c r="G58" s="1330">
        <f>VLOOKUP(C58,TONGHOPCONGDOI!C137:AD201,16,0)</f>
        <v>2976</v>
      </c>
      <c r="H58" s="1330">
        <f>VLOOKUP(C58,TONGHOPCONGDOI!C137:AD160,17,0)</f>
        <v>0</v>
      </c>
      <c r="I58" s="1330"/>
      <c r="J58" s="817">
        <f t="shared" si="7"/>
        <v>1301.7778652145021</v>
      </c>
      <c r="K58" s="817">
        <f>'SẢN LƯỢNG'!AP140</f>
        <v>131.50310404872269</v>
      </c>
      <c r="L58" s="817">
        <f>'SẢN LƯỢNG'!AQ140</f>
        <v>1433.280969263225</v>
      </c>
      <c r="M58" s="1299" t="str">
        <f>VLOOKUP(C58,'SẢN LƯỢNG'!D140:AR201,41,0)</f>
        <v>B</v>
      </c>
      <c r="N58" s="1302">
        <f t="shared" si="2"/>
        <v>5079261</v>
      </c>
      <c r="O58" s="1330">
        <f>VLOOKUP(C58,TONGHOPCONGDOI!$C$96:$AD$159,20,0)</f>
        <v>24</v>
      </c>
      <c r="P58" s="1330">
        <f>VLOOKUP(C58,TONGHOPCONGDOI!$C$96:$AD$159,21,0)</f>
        <v>1</v>
      </c>
      <c r="Q58" s="1330">
        <f>VLOOKUP(C58,TONGHOPCONGDOI!$C$96:$AD$159,22,0)</f>
        <v>0</v>
      </c>
      <c r="R58" s="1330">
        <f>VLOOKUP(C58,TONGHOPCONGDOI!$C$96:$AD$159,23,0)</f>
        <v>2</v>
      </c>
      <c r="S58" s="1330">
        <f>VLOOKUP(C58,TONGHOPCONGDOI!$C$96:$AD$159,24,0)</f>
        <v>0</v>
      </c>
      <c r="T58" s="1330">
        <f>VLOOKUP(C58,TONGHOPCONGDOI!$C$96:$AD$159,25,0)</f>
        <v>0</v>
      </c>
      <c r="U58" s="1330"/>
      <c r="V58" s="1300">
        <f t="shared" si="3"/>
        <v>2</v>
      </c>
      <c r="W58" s="1301"/>
      <c r="X58" s="1301"/>
      <c r="Y58" s="813">
        <f t="shared" si="4"/>
        <v>1183934</v>
      </c>
      <c r="Z58" s="1330">
        <f t="shared" si="8"/>
        <v>6263195</v>
      </c>
      <c r="AA58" s="1330"/>
      <c r="AB58" s="1330">
        <f>VLOOKUP(C58,'CNKT '!$D$101:$AC$164,24,0)</f>
        <v>6263195</v>
      </c>
      <c r="AC58" s="1253">
        <f t="shared" si="6"/>
        <v>0</v>
      </c>
    </row>
    <row r="59" spans="1:29" s="1253" customFormat="1" ht="42.75" customHeight="1">
      <c r="A59" s="1299">
        <v>43</v>
      </c>
      <c r="B59" s="1330" t="str">
        <f>'Chấm công KT'!C137</f>
        <v>03629</v>
      </c>
      <c r="C59" s="1330" t="str">
        <f>TONGHOPCONGDOI!C138</f>
        <v>T. Chăn La .</v>
      </c>
      <c r="D59" s="1330"/>
      <c r="E59" s="1331"/>
      <c r="F59" s="1330">
        <f t="shared" si="0"/>
        <v>0</v>
      </c>
      <c r="G59" s="1330">
        <f>VLOOKUP(C59,TONGHOPCONGDOI!C138:AD202,16,0)</f>
        <v>3647</v>
      </c>
      <c r="H59" s="1330">
        <f>VLOOKUP(C59,TONGHOPCONGDOI!C138:AD160,17,0)</f>
        <v>0</v>
      </c>
      <c r="I59" s="1330"/>
      <c r="J59" s="817">
        <f t="shared" si="7"/>
        <v>1595.290280388874</v>
      </c>
      <c r="K59" s="817">
        <f>'SẢN LƯỢNG'!AP141</f>
        <v>106.45327523406552</v>
      </c>
      <c r="L59" s="817">
        <f>'SẢN LƯỢNG'!AQ141</f>
        <v>1701.7435556229398</v>
      </c>
      <c r="M59" s="1299" t="str">
        <f>VLOOKUP(C59,'SẢN LƯỢNG'!D141:AR202,41,0)</f>
        <v>A</v>
      </c>
      <c r="N59" s="1302">
        <f t="shared" si="2"/>
        <v>6342568</v>
      </c>
      <c r="O59" s="1330">
        <f>VLOOKUP(C59,TONGHOPCONGDOI!$C$96:$AD$159,20,0)</f>
        <v>26</v>
      </c>
      <c r="P59" s="1330">
        <f>VLOOKUP(C59,TONGHOPCONGDOI!$C$96:$AD$159,21,0)</f>
        <v>1</v>
      </c>
      <c r="Q59" s="1330">
        <f>VLOOKUP(C59,TONGHOPCONGDOI!$C$96:$AD$159,22,0)</f>
        <v>0</v>
      </c>
      <c r="R59" s="1330">
        <f>VLOOKUP(C59,TONGHOPCONGDOI!$C$96:$AD$159,23,0)</f>
        <v>3</v>
      </c>
      <c r="S59" s="1330">
        <f>VLOOKUP(C59,TONGHOPCONGDOI!$C$96:$AD$159,24,0)</f>
        <v>0</v>
      </c>
      <c r="T59" s="1330">
        <f>VLOOKUP(C59,TONGHOPCONGDOI!$C$96:$AD$159,25,0)</f>
        <v>0</v>
      </c>
      <c r="U59" s="1330"/>
      <c r="V59" s="1300">
        <f t="shared" si="3"/>
        <v>3</v>
      </c>
      <c r="W59" s="1301"/>
      <c r="X59" s="1301"/>
      <c r="Y59" s="813">
        <f t="shared" si="4"/>
        <v>1446285</v>
      </c>
      <c r="Z59" s="1330">
        <f t="shared" si="8"/>
        <v>7788853</v>
      </c>
      <c r="AA59" s="1330"/>
      <c r="AB59" s="1330">
        <f>VLOOKUP(C59,'CNKT '!$D$101:$AC$164,24,0)</f>
        <v>7788853</v>
      </c>
      <c r="AC59" s="1253">
        <f t="shared" si="6"/>
        <v>0</v>
      </c>
    </row>
    <row r="60" spans="1:29" s="1253" customFormat="1" ht="42.75" customHeight="1">
      <c r="A60" s="1299">
        <v>44</v>
      </c>
      <c r="B60" s="1330" t="str">
        <f>'Chấm công KT'!C138</f>
        <v>03630</v>
      </c>
      <c r="C60" s="1330" t="str">
        <f>TONGHOPCONGDOI!C139</f>
        <v>T. Nú</v>
      </c>
      <c r="D60" s="1330"/>
      <c r="E60" s="1331"/>
      <c r="F60" s="1330">
        <f t="shared" si="0"/>
        <v>0</v>
      </c>
      <c r="G60" s="1330">
        <f>VLOOKUP(C60,TONGHOPCONGDOI!C139:AD203,16,0)</f>
        <v>2844</v>
      </c>
      <c r="H60" s="1330">
        <f>VLOOKUP(C60,TONGHOPCONGDOI!C139:AD160,17,0)</f>
        <v>0</v>
      </c>
      <c r="I60" s="1330"/>
      <c r="J60" s="817">
        <f t="shared" si="7"/>
        <v>1244.0377179670845</v>
      </c>
      <c r="K60" s="817">
        <f>'SẢN LƯỢNG'!AP142</f>
        <v>130.10955861941341</v>
      </c>
      <c r="L60" s="817">
        <f>'SẢN LƯỢNG'!AQ142</f>
        <v>1374.1472765864983</v>
      </c>
      <c r="M60" s="1299" t="str">
        <f>VLOOKUP(C60,'SẢN LƯỢNG'!D142:AR203,41,0)</f>
        <v>B</v>
      </c>
      <c r="N60" s="1302">
        <f t="shared" si="2"/>
        <v>4869703</v>
      </c>
      <c r="O60" s="1330">
        <f>VLOOKUP(C60,TONGHOPCONGDOI!$C$96:$AD$159,20,0)</f>
        <v>25</v>
      </c>
      <c r="P60" s="1330">
        <f>VLOOKUP(C60,TONGHOPCONGDOI!$C$96:$AD$159,21,0)</f>
        <v>1</v>
      </c>
      <c r="Q60" s="1330">
        <f>VLOOKUP(C60,TONGHOPCONGDOI!$C$96:$AD$159,22,0)</f>
        <v>0</v>
      </c>
      <c r="R60" s="1330">
        <f>VLOOKUP(C60,TONGHOPCONGDOI!$C$96:$AD$159,23,0)</f>
        <v>2</v>
      </c>
      <c r="S60" s="1330">
        <f>VLOOKUP(C60,TONGHOPCONGDOI!$C$96:$AD$159,24,0)</f>
        <v>0</v>
      </c>
      <c r="T60" s="1330">
        <f>VLOOKUP(C60,TONGHOPCONGDOI!$C$96:$AD$159,25,0)</f>
        <v>0</v>
      </c>
      <c r="U60" s="1330"/>
      <c r="V60" s="1300">
        <f t="shared" si="3"/>
        <v>2</v>
      </c>
      <c r="W60" s="1301"/>
      <c r="X60" s="1301"/>
      <c r="Y60" s="813">
        <f t="shared" si="4"/>
        <v>1214359</v>
      </c>
      <c r="Z60" s="1330">
        <f t="shared" si="8"/>
        <v>6084062</v>
      </c>
      <c r="AA60" s="1330"/>
      <c r="AB60" s="1330">
        <f>VLOOKUP(C60,'CNKT '!$D$101:$AC$164,24,0)</f>
        <v>6084062</v>
      </c>
      <c r="AC60" s="1253">
        <f t="shared" si="6"/>
        <v>0</v>
      </c>
    </row>
    <row r="61" spans="1:29" s="1253" customFormat="1" ht="42.75" customHeight="1">
      <c r="A61" s="1299">
        <v>45</v>
      </c>
      <c r="B61" s="1330" t="str">
        <f>'Chấm công KT'!C139</f>
        <v>03631</v>
      </c>
      <c r="C61" s="1330" t="str">
        <f>TONGHOPCONGDOI!C140</f>
        <v>T. Xan Nha</v>
      </c>
      <c r="D61" s="1330"/>
      <c r="E61" s="1331"/>
      <c r="F61" s="1330">
        <f t="shared" si="0"/>
        <v>0</v>
      </c>
      <c r="G61" s="1330">
        <f>VLOOKUP(C61,TONGHOPCONGDOI!C140:AD204,16,0)</f>
        <v>3967</v>
      </c>
      <c r="H61" s="1330">
        <f>VLOOKUP(C61,TONGHOPCONGDOI!C140:AD160,17,0)</f>
        <v>0</v>
      </c>
      <c r="I61" s="1330"/>
      <c r="J61" s="817">
        <f t="shared" si="7"/>
        <v>1735.2663949280677</v>
      </c>
      <c r="K61" s="817">
        <f>'SẢN LƯỢNG'!AP143</f>
        <v>122.42806430175733</v>
      </c>
      <c r="L61" s="817">
        <f>'SẢN LƯỢNG'!AQ143</f>
        <v>1857.6944592298253</v>
      </c>
      <c r="M61" s="1299" t="str">
        <f>VLOOKUP(C61,'SẢN LƯỢNG'!D143:AR204,41,0)</f>
        <v>B</v>
      </c>
      <c r="N61" s="1302">
        <f t="shared" si="2"/>
        <v>6583298</v>
      </c>
      <c r="O61" s="1330">
        <f>VLOOKUP(C61,TONGHOPCONGDOI!$C$96:$AD$159,20,0)</f>
        <v>26</v>
      </c>
      <c r="P61" s="1330">
        <f>VLOOKUP(C61,TONGHOPCONGDOI!$C$96:$AD$159,21,0)</f>
        <v>1</v>
      </c>
      <c r="Q61" s="1330">
        <f>VLOOKUP(C61,TONGHOPCONGDOI!$C$96:$AD$159,22,0)</f>
        <v>0</v>
      </c>
      <c r="R61" s="1330">
        <f>VLOOKUP(C61,TONGHOPCONGDOI!$C$96:$AD$159,23,0)</f>
        <v>3</v>
      </c>
      <c r="S61" s="1330">
        <f>VLOOKUP(C61,TONGHOPCONGDOI!$C$96:$AD$159,24,0)</f>
        <v>0</v>
      </c>
      <c r="T61" s="1330">
        <f>VLOOKUP(C61,TONGHOPCONGDOI!$C$96:$AD$159,25,0)</f>
        <v>0</v>
      </c>
      <c r="U61" s="1330"/>
      <c r="V61" s="1300">
        <f t="shared" si="3"/>
        <v>3</v>
      </c>
      <c r="W61" s="1301"/>
      <c r="X61" s="1301"/>
      <c r="Y61" s="813">
        <f t="shared" si="4"/>
        <v>1446285</v>
      </c>
      <c r="Z61" s="1330">
        <f t="shared" si="8"/>
        <v>8029583</v>
      </c>
      <c r="AA61" s="1330"/>
      <c r="AB61" s="1330">
        <f>VLOOKUP(C61,'CNKT '!$D$101:$AC$164,24,0)</f>
        <v>8029583</v>
      </c>
      <c r="AC61" s="1253">
        <f t="shared" si="6"/>
        <v>0</v>
      </c>
    </row>
    <row r="62" spans="1:29" s="1253" customFormat="1" ht="42.75" customHeight="1">
      <c r="A62" s="1299">
        <v>46</v>
      </c>
      <c r="B62" s="1330" t="str">
        <f>'Chấm công KT'!C140</f>
        <v>03632</v>
      </c>
      <c r="C62" s="1330" t="str">
        <f>TONGHOPCONGDOI!C141</f>
        <v>T. A lem</v>
      </c>
      <c r="D62" s="1330"/>
      <c r="E62" s="1331"/>
      <c r="F62" s="1330">
        <f t="shared" si="0"/>
        <v>0</v>
      </c>
      <c r="G62" s="1330">
        <f>VLOOKUP(C62,TONGHOPCONGDOI!C141:AD205,16,0)</f>
        <v>4607</v>
      </c>
      <c r="H62" s="1330">
        <f>VLOOKUP(C62,TONGHOPCONGDOI!C141:AD160,17,0)</f>
        <v>0</v>
      </c>
      <c r="I62" s="1330"/>
      <c r="J62" s="817">
        <f t="shared" si="7"/>
        <v>2015.2186240064552</v>
      </c>
      <c r="K62" s="817">
        <f>'SẢN LƯỢNG'!AP144</f>
        <v>123.10784255995696</v>
      </c>
      <c r="L62" s="817">
        <f>'SẢN LƯỢNG'!AQ144</f>
        <v>2138.3264665664124</v>
      </c>
      <c r="M62" s="1299" t="str">
        <f>VLOOKUP(C62,'SẢN LƯỢNG'!D144:AR205,41,0)</f>
        <v>A</v>
      </c>
      <c r="N62" s="1302">
        <f t="shared" si="2"/>
        <v>7969757</v>
      </c>
      <c r="O62" s="1330">
        <f>VLOOKUP(C62,TONGHOPCONGDOI!$C$96:$AD$159,20,0)</f>
        <v>25</v>
      </c>
      <c r="P62" s="1330">
        <f>VLOOKUP(C62,TONGHOPCONGDOI!$C$96:$AD$159,21,0)</f>
        <v>1</v>
      </c>
      <c r="Q62" s="1330">
        <f>VLOOKUP(C62,TONGHOPCONGDOI!$C$96:$AD$159,22,0)</f>
        <v>0</v>
      </c>
      <c r="R62" s="1330">
        <f>VLOOKUP(C62,TONGHOPCONGDOI!$C$96:$AD$159,23,0)</f>
        <v>3</v>
      </c>
      <c r="S62" s="1330">
        <f>VLOOKUP(C62,TONGHOPCONGDOI!$C$96:$AD$159,24,0)</f>
        <v>0</v>
      </c>
      <c r="T62" s="1330">
        <f>VLOOKUP(C62,TONGHOPCONGDOI!$C$96:$AD$159,25,0)</f>
        <v>0</v>
      </c>
      <c r="U62" s="1330"/>
      <c r="V62" s="1300">
        <f t="shared" si="3"/>
        <v>3</v>
      </c>
      <c r="W62" s="1301"/>
      <c r="X62" s="1301"/>
      <c r="Y62" s="813">
        <f t="shared" si="4"/>
        <v>1415860</v>
      </c>
      <c r="Z62" s="1330">
        <f t="shared" si="8"/>
        <v>9385617</v>
      </c>
      <c r="AA62" s="1330"/>
      <c r="AB62" s="1330">
        <f>VLOOKUP(C62,'CNKT '!$D$101:$AC$164,24,0)</f>
        <v>9385617</v>
      </c>
      <c r="AC62" s="1253">
        <f t="shared" si="6"/>
        <v>0</v>
      </c>
    </row>
    <row r="63" spans="1:29" s="1253" customFormat="1" ht="42.75" customHeight="1">
      <c r="A63" s="1299">
        <v>47</v>
      </c>
      <c r="B63" s="1330" t="str">
        <f>'Chấm công KT'!C141</f>
        <v>04080</v>
      </c>
      <c r="C63" s="1330" t="str">
        <f>TONGHOPCONGDOI!C142</f>
        <v>T. Phan</v>
      </c>
      <c r="D63" s="1330"/>
      <c r="E63" s="1331"/>
      <c r="F63" s="1330">
        <f t="shared" si="0"/>
        <v>0</v>
      </c>
      <c r="G63" s="1330">
        <f>VLOOKUP(C63,TONGHOPCONGDOI!C142:AD206,16,0)</f>
        <v>3963</v>
      </c>
      <c r="H63" s="1330">
        <f>VLOOKUP(C63,TONGHOPCONGDOI!C142:AD160,17,0)</f>
        <v>0</v>
      </c>
      <c r="I63" s="1330"/>
      <c r="J63" s="817">
        <f t="shared" si="7"/>
        <v>1733.5166934963277</v>
      </c>
      <c r="K63" s="817">
        <f>'SẢN LƯỢNG'!AP145</f>
        <v>142.0056781379073</v>
      </c>
      <c r="L63" s="817">
        <f>'SẢN LƯỢNG'!AQ145</f>
        <v>1875.5223716342355</v>
      </c>
      <c r="M63" s="1299" t="str">
        <f>VLOOKUP(C63,'SẢN LƯỢNG'!D145:AR206,41,0)</f>
        <v>B</v>
      </c>
      <c r="N63" s="1302">
        <f t="shared" si="2"/>
        <v>6646476</v>
      </c>
      <c r="O63" s="1330">
        <f>VLOOKUP(C63,TONGHOPCONGDOI!$C$96:$AD$159,20,0)</f>
        <v>27</v>
      </c>
      <c r="P63" s="1330">
        <f>VLOOKUP(C63,TONGHOPCONGDOI!$C$96:$AD$159,21,0)</f>
        <v>1</v>
      </c>
      <c r="Q63" s="1330">
        <f>VLOOKUP(C63,TONGHOPCONGDOI!$C$96:$AD$159,22,0)</f>
        <v>0</v>
      </c>
      <c r="R63" s="1330">
        <f>VLOOKUP(C63,TONGHOPCONGDOI!$C$96:$AD$159,23,0)</f>
        <v>3</v>
      </c>
      <c r="S63" s="1330">
        <f>VLOOKUP(C63,TONGHOPCONGDOI!$C$96:$AD$159,24,0)</f>
        <v>0</v>
      </c>
      <c r="T63" s="1330">
        <f>VLOOKUP(C63,TONGHOPCONGDOI!$C$96:$AD$159,25,0)</f>
        <v>0</v>
      </c>
      <c r="U63" s="1330"/>
      <c r="V63" s="1300">
        <f t="shared" si="3"/>
        <v>3</v>
      </c>
      <c r="W63" s="1301"/>
      <c r="X63" s="1301"/>
      <c r="Y63" s="813">
        <f t="shared" si="4"/>
        <v>1476709</v>
      </c>
      <c r="Z63" s="1330">
        <f t="shared" si="8"/>
        <v>8123185</v>
      </c>
      <c r="AA63" s="1330"/>
      <c r="AB63" s="1330">
        <f>VLOOKUP(C63,'CNKT '!$D$101:$AC$164,24,0)</f>
        <v>8123185</v>
      </c>
      <c r="AC63" s="1253">
        <f t="shared" si="6"/>
        <v>0</v>
      </c>
    </row>
    <row r="64" spans="1:29" s="1253" customFormat="1" ht="42.75" customHeight="1">
      <c r="A64" s="1299">
        <v>48</v>
      </c>
      <c r="B64" s="1330" t="str">
        <f>'Chấm công KT'!C142</f>
        <v>03634</v>
      </c>
      <c r="C64" s="1330" t="str">
        <f>TONGHOPCONGDOI!C143</f>
        <v>T . Cổ</v>
      </c>
      <c r="D64" s="1330"/>
      <c r="E64" s="1331"/>
      <c r="F64" s="1330">
        <f t="shared" si="0"/>
        <v>0</v>
      </c>
      <c r="G64" s="1330">
        <f>VLOOKUP(C64,TONGHOPCONGDOI!C143:AD207,16,0)</f>
        <v>5724</v>
      </c>
      <c r="H64" s="1330">
        <f>VLOOKUP(C64,TONGHOPCONGDOI!C143:AD160,17,0)</f>
        <v>0</v>
      </c>
      <c r="I64" s="1330"/>
      <c r="J64" s="817">
        <f t="shared" si="7"/>
        <v>2503.8227488198286</v>
      </c>
      <c r="K64" s="817">
        <f>'SẢN LƯỢNG'!AP146</f>
        <v>179.15555994851829</v>
      </c>
      <c r="L64" s="817">
        <f>'SẢN LƯỢNG'!AQ146</f>
        <v>2682.9783087683472</v>
      </c>
      <c r="M64" s="1299" t="str">
        <f>VLOOKUP(C64,'SẢN LƯỢNG'!D146:AR207,41,0)</f>
        <v>B</v>
      </c>
      <c r="N64" s="1302">
        <f t="shared" si="2"/>
        <v>9507939</v>
      </c>
      <c r="O64" s="1330">
        <f>VLOOKUP(C64,TONGHOPCONGDOI!$C$96:$AD$159,20,0)</f>
        <v>27</v>
      </c>
      <c r="P64" s="1330">
        <f>VLOOKUP(C64,TONGHOPCONGDOI!$C$96:$AD$159,21,0)</f>
        <v>1</v>
      </c>
      <c r="Q64" s="1330">
        <f>VLOOKUP(C64,TONGHOPCONGDOI!$C$96:$AD$159,22,0)</f>
        <v>0</v>
      </c>
      <c r="R64" s="1330">
        <f>VLOOKUP(C64,TONGHOPCONGDOI!$C$96:$AD$159,23,0)</f>
        <v>3</v>
      </c>
      <c r="S64" s="1330">
        <f>VLOOKUP(C64,TONGHOPCONGDOI!$C$96:$AD$159,24,0)</f>
        <v>0</v>
      </c>
      <c r="T64" s="1330">
        <f>VLOOKUP(C64,TONGHOPCONGDOI!$C$96:$AD$159,25,0)</f>
        <v>0</v>
      </c>
      <c r="U64" s="1330"/>
      <c r="V64" s="1300">
        <f t="shared" si="3"/>
        <v>3</v>
      </c>
      <c r="W64" s="1301"/>
      <c r="X64" s="1301"/>
      <c r="Y64" s="813">
        <f t="shared" si="4"/>
        <v>1476709</v>
      </c>
      <c r="Z64" s="1330">
        <f t="shared" si="8"/>
        <v>10984648</v>
      </c>
      <c r="AA64" s="1330"/>
      <c r="AB64" s="1330">
        <f>VLOOKUP(C64,'CNKT '!$D$101:$AC$164,24,0)</f>
        <v>10984648</v>
      </c>
      <c r="AC64" s="1253">
        <f t="shared" si="6"/>
        <v>0</v>
      </c>
    </row>
    <row r="65" spans="1:29" s="1253" customFormat="1" ht="42.75" customHeight="1">
      <c r="A65" s="1299">
        <v>49</v>
      </c>
      <c r="B65" s="1330" t="str">
        <f>'Chấm công KT'!C143</f>
        <v>03635</v>
      </c>
      <c r="C65" s="1330" t="str">
        <f>TONGHOPCONGDOI!C144</f>
        <v>N. Phim Pha</v>
      </c>
      <c r="D65" s="1330"/>
      <c r="E65" s="1331"/>
      <c r="F65" s="1330">
        <f t="shared" si="0"/>
        <v>0</v>
      </c>
      <c r="G65" s="1330">
        <f>VLOOKUP(C65,TONGHOPCONGDOI!C144:AD208,16,0)</f>
        <v>3887</v>
      </c>
      <c r="H65" s="1330">
        <f>VLOOKUP(C65,TONGHOPCONGDOI!C144:AD160,17,0)</f>
        <v>0</v>
      </c>
      <c r="I65" s="1330"/>
      <c r="J65" s="817">
        <f t="shared" si="7"/>
        <v>1700.2723662932692</v>
      </c>
      <c r="K65" s="817">
        <f>'SẢN LƯỢNG'!AP147</f>
        <v>121.40839691445784</v>
      </c>
      <c r="L65" s="817">
        <f>'SẢN LƯỢNG'!AQ147</f>
        <v>1821.6807632077273</v>
      </c>
      <c r="M65" s="1299" t="str">
        <f>VLOOKUP(C65,'SẢN LƯỢNG'!D147:AR208,41,0)</f>
        <v>B</v>
      </c>
      <c r="N65" s="1302">
        <f t="shared" si="2"/>
        <v>6455672</v>
      </c>
      <c r="O65" s="1330">
        <f>VLOOKUP(C65,TONGHOPCONGDOI!$C$96:$AD$159,20,0)</f>
        <v>24</v>
      </c>
      <c r="P65" s="1330">
        <f>VLOOKUP(C65,TONGHOPCONGDOI!$C$96:$AD$159,21,0)</f>
        <v>1</v>
      </c>
      <c r="Q65" s="1330">
        <f>VLOOKUP(C65,TONGHOPCONGDOI!$C$96:$AD$159,22,0)</f>
        <v>0</v>
      </c>
      <c r="R65" s="1330">
        <f>VLOOKUP(C65,TONGHOPCONGDOI!$C$96:$AD$159,23,0)</f>
        <v>3</v>
      </c>
      <c r="S65" s="1330">
        <f>VLOOKUP(C65,TONGHOPCONGDOI!$C$96:$AD$159,24,0)</f>
        <v>0</v>
      </c>
      <c r="T65" s="1330">
        <f>VLOOKUP(C65,TONGHOPCONGDOI!$C$96:$AD$159,25,0)</f>
        <v>0</v>
      </c>
      <c r="U65" s="1330"/>
      <c r="V65" s="1300">
        <f t="shared" si="3"/>
        <v>3</v>
      </c>
      <c r="W65" s="1301"/>
      <c r="X65" s="1301"/>
      <c r="Y65" s="813">
        <f t="shared" si="4"/>
        <v>1385436</v>
      </c>
      <c r="Z65" s="1330">
        <f t="shared" si="8"/>
        <v>7841108</v>
      </c>
      <c r="AA65" s="1330"/>
      <c r="AB65" s="1330">
        <f>VLOOKUP(C65,'CNKT '!$D$101:$AC$164,24,0)</f>
        <v>7841108</v>
      </c>
      <c r="AC65" s="1253">
        <f t="shared" si="6"/>
        <v>0</v>
      </c>
    </row>
    <row r="66" spans="1:29" s="1253" customFormat="1" ht="42.75" customHeight="1">
      <c r="A66" s="1299">
        <v>50</v>
      </c>
      <c r="B66" s="1330" t="str">
        <f>'Chấm công KT'!C144</f>
        <v>03636</v>
      </c>
      <c r="C66" s="1330" t="str">
        <f>TONGHOPCONGDOI!C145</f>
        <v xml:space="preserve">T. Xeng </v>
      </c>
      <c r="D66" s="1330"/>
      <c r="E66" s="1331"/>
      <c r="F66" s="1330">
        <f t="shared" si="0"/>
        <v>0</v>
      </c>
      <c r="G66" s="1330">
        <f>VLOOKUP(C66,TONGHOPCONGDOI!C145:AD209,16,0)</f>
        <v>4571</v>
      </c>
      <c r="H66" s="1330">
        <f>VLOOKUP(C66,TONGHOPCONGDOI!C145:AD160,17,0)</f>
        <v>0</v>
      </c>
      <c r="I66" s="1330"/>
      <c r="J66" s="817">
        <f t="shared" si="7"/>
        <v>1999.4713111207959</v>
      </c>
      <c r="K66" s="817">
        <f>'SẢN LƯỢNG'!AP148</f>
        <v>146.05035877419522</v>
      </c>
      <c r="L66" s="817">
        <f>'SẢN LƯỢNG'!AQ148</f>
        <v>2145.5216698949916</v>
      </c>
      <c r="M66" s="1299" t="str">
        <f>VLOOKUP(C66,'SẢN LƯỢNG'!D148:AR209,41,0)</f>
        <v>B</v>
      </c>
      <c r="N66" s="1302">
        <f>ROUND((IF(M66="A",(L66*6.1),IF(M66="B",(L66*5.8),IF(M66="C",(L66*5.5),IF(M66="C.",(L66*5.5),IF(M66="D",(L66*5.2),0)))))*$E$12),0)</f>
        <v>7603300</v>
      </c>
      <c r="O66" s="1330">
        <f>VLOOKUP(C66,TONGHOPCONGDOI!$C$96:$AD$159,20,0)</f>
        <v>27</v>
      </c>
      <c r="P66" s="1330">
        <f>VLOOKUP(C66,TONGHOPCONGDOI!$C$96:$AD$159,21,0)</f>
        <v>1</v>
      </c>
      <c r="Q66" s="1330">
        <f>VLOOKUP(C66,TONGHOPCONGDOI!$C$96:$AD$159,22,0)</f>
        <v>0</v>
      </c>
      <c r="R66" s="1330">
        <f>VLOOKUP(C66,TONGHOPCONGDOI!$C$96:$AD$159,23,0)</f>
        <v>3</v>
      </c>
      <c r="S66" s="1330">
        <f>VLOOKUP(C66,TONGHOPCONGDOI!$C$96:$AD$159,24,0)</f>
        <v>0</v>
      </c>
      <c r="T66" s="1330">
        <f>VLOOKUP(C66,TONGHOPCONGDOI!$C$96:$AD$159,25,0)</f>
        <v>0</v>
      </c>
      <c r="U66" s="1330"/>
      <c r="V66" s="1300">
        <f t="shared" si="3"/>
        <v>3</v>
      </c>
      <c r="W66" s="1301"/>
      <c r="X66" s="1301"/>
      <c r="Y66" s="813">
        <f>ROUND(((O66*46.1)+(P66*76.9)+(Q66*92.2)+(R66*153.8)+(S66*92.2)+(T66*153.8))*$E$13+(U66*25000)+(V66*100000),0)</f>
        <v>1476709</v>
      </c>
      <c r="Z66" s="1330">
        <f t="shared" si="8"/>
        <v>9080009</v>
      </c>
      <c r="AA66" s="1330"/>
      <c r="AB66" s="1330">
        <f>VLOOKUP(C66,'CNKT '!$D$101:$AC$164,24,0)</f>
        <v>9080009</v>
      </c>
      <c r="AC66" s="1253">
        <f t="shared" si="6"/>
        <v>0</v>
      </c>
    </row>
    <row r="67" spans="1:29" s="1253" customFormat="1" ht="42.75" customHeight="1">
      <c r="A67" s="1299">
        <v>51</v>
      </c>
      <c r="B67" s="1330" t="str">
        <f>'Chấm công KT'!C145</f>
        <v>03637</v>
      </c>
      <c r="C67" s="1330" t="str">
        <f>TONGHOPCONGDOI!C146</f>
        <v>T. Vạt</v>
      </c>
      <c r="D67" s="1330"/>
      <c r="E67" s="1331"/>
      <c r="F67" s="1330">
        <f t="shared" si="0"/>
        <v>0</v>
      </c>
      <c r="G67" s="1330">
        <f>VLOOKUP(C67,TONGHOPCONGDOI!C146:AD210,16,0)</f>
        <v>4735</v>
      </c>
      <c r="H67" s="1330">
        <f>VLOOKUP(C67,TONGHOPCONGDOI!C146:AD160,17,0)</f>
        <v>0</v>
      </c>
      <c r="I67" s="1330"/>
      <c r="J67" s="817">
        <f t="shared" si="7"/>
        <v>2071.2090698221327</v>
      </c>
      <c r="K67" s="817">
        <f>'SẢN LƯỢNG'!AP149</f>
        <v>155.15938743407057</v>
      </c>
      <c r="L67" s="817">
        <f>'SẢN LƯỢNG'!AQ149</f>
        <v>2226.3684572562033</v>
      </c>
      <c r="M67" s="1299" t="str">
        <f>VLOOKUP(C67,'SẢN LƯỢNG'!D149:AR210,41,0)</f>
        <v>B</v>
      </c>
      <c r="N67" s="1302">
        <f t="shared" si="2"/>
        <v>7889805</v>
      </c>
      <c r="O67" s="1330">
        <f>VLOOKUP(C67,TONGHOPCONGDOI!$C$96:$AD$159,20,0)</f>
        <v>26</v>
      </c>
      <c r="P67" s="1330">
        <f>VLOOKUP(C67,TONGHOPCONGDOI!$C$96:$AD$159,21,0)</f>
        <v>1</v>
      </c>
      <c r="Q67" s="1330">
        <f>VLOOKUP(C67,TONGHOPCONGDOI!$C$96:$AD$159,22,0)</f>
        <v>0</v>
      </c>
      <c r="R67" s="1330">
        <f>VLOOKUP(C67,TONGHOPCONGDOI!$C$96:$AD$159,23,0)</f>
        <v>3</v>
      </c>
      <c r="S67" s="1330">
        <f>VLOOKUP(C67,TONGHOPCONGDOI!$C$96:$AD$159,24,0)</f>
        <v>0</v>
      </c>
      <c r="T67" s="1330">
        <f>VLOOKUP(C67,TONGHOPCONGDOI!$C$96:$AD$159,25,0)</f>
        <v>0</v>
      </c>
      <c r="U67" s="1330"/>
      <c r="V67" s="1300">
        <f t="shared" si="3"/>
        <v>3</v>
      </c>
      <c r="W67" s="1301"/>
      <c r="X67" s="1301"/>
      <c r="Y67" s="813">
        <f t="shared" si="4"/>
        <v>1446285</v>
      </c>
      <c r="Z67" s="1330">
        <f t="shared" si="8"/>
        <v>9336090</v>
      </c>
      <c r="AA67" s="1330"/>
      <c r="AB67" s="1330">
        <f>VLOOKUP(C67,'CNKT '!$D$101:$AC$164,24,0)</f>
        <v>9336090</v>
      </c>
      <c r="AC67" s="1253">
        <f t="shared" si="6"/>
        <v>0</v>
      </c>
    </row>
    <row r="68" spans="1:29" s="1253" customFormat="1" ht="42.75" customHeight="1">
      <c r="A68" s="1299">
        <v>52</v>
      </c>
      <c r="B68" s="1330" t="str">
        <f>'Chấm công KT'!C146</f>
        <v>03638</v>
      </c>
      <c r="C68" s="1330" t="str">
        <f>TONGHOPCONGDOI!C147</f>
        <v>T. Lay</v>
      </c>
      <c r="D68" s="1330"/>
      <c r="E68" s="1331"/>
      <c r="F68" s="1330">
        <f t="shared" si="0"/>
        <v>0</v>
      </c>
      <c r="G68" s="1330">
        <f>VLOOKUP(C68,TONGHOPCONGDOI!C147:AD211,16,0)</f>
        <v>3929</v>
      </c>
      <c r="H68" s="1330">
        <f>VLOOKUP(C68,TONGHOPCONGDOI!C147:AD160,17,0)</f>
        <v>0</v>
      </c>
      <c r="I68" s="1330"/>
      <c r="J68" s="817">
        <f t="shared" si="7"/>
        <v>1718.6442313265384</v>
      </c>
      <c r="K68" s="817">
        <f>'SẢN LƯỢNG'!AP150</f>
        <v>145.09866921271572</v>
      </c>
      <c r="L68" s="817">
        <f>'SẢN LƯỢNG'!AQ150</f>
        <v>1863.7429005392546</v>
      </c>
      <c r="M68" s="1299" t="str">
        <f>VLOOKUP(C68,'SẢN LƯỢNG'!D150:AR211,41,0)</f>
        <v>A</v>
      </c>
      <c r="N68" s="1302">
        <f t="shared" si="2"/>
        <v>6946356</v>
      </c>
      <c r="O68" s="1330">
        <f>VLOOKUP(C68,TONGHOPCONGDOI!$C$96:$AD$159,20,0)</f>
        <v>25</v>
      </c>
      <c r="P68" s="1330">
        <f>VLOOKUP(C68,TONGHOPCONGDOI!$C$96:$AD$159,21,0)</f>
        <v>1</v>
      </c>
      <c r="Q68" s="1330">
        <f>VLOOKUP(C68,TONGHOPCONGDOI!$C$96:$AD$159,22,0)</f>
        <v>0</v>
      </c>
      <c r="R68" s="1330">
        <f>VLOOKUP(C68,TONGHOPCONGDOI!$C$96:$AD$159,23,0)</f>
        <v>3</v>
      </c>
      <c r="S68" s="1330">
        <f>VLOOKUP(C68,TONGHOPCONGDOI!$C$96:$AD$159,24,0)</f>
        <v>0</v>
      </c>
      <c r="T68" s="1330">
        <f>VLOOKUP(C68,TONGHOPCONGDOI!$C$96:$AD$159,25,0)</f>
        <v>0</v>
      </c>
      <c r="U68" s="1330"/>
      <c r="V68" s="1300">
        <f t="shared" si="3"/>
        <v>3</v>
      </c>
      <c r="W68" s="1301"/>
      <c r="X68" s="1301"/>
      <c r="Y68" s="813">
        <f t="shared" si="4"/>
        <v>1415860</v>
      </c>
      <c r="Z68" s="1330">
        <f t="shared" si="8"/>
        <v>8362216</v>
      </c>
      <c r="AA68" s="1330"/>
      <c r="AB68" s="1330">
        <f>VLOOKUP(C68,'CNKT '!$D$101:$AC$164,24,0)</f>
        <v>8362216</v>
      </c>
      <c r="AC68" s="1253">
        <f t="shared" si="6"/>
        <v>0</v>
      </c>
    </row>
    <row r="69" spans="1:29" s="1253" customFormat="1" ht="42.75" customHeight="1">
      <c r="A69" s="1299">
        <v>53</v>
      </c>
      <c r="B69" s="1330" t="str">
        <f>'Chấm công KT'!C147</f>
        <v>04081</v>
      </c>
      <c r="C69" s="1330" t="str">
        <f>TONGHOPCONGDOI!C148</f>
        <v>N. Nọi</v>
      </c>
      <c r="D69" s="1330"/>
      <c r="E69" s="1331"/>
      <c r="F69" s="1330">
        <f t="shared" si="0"/>
        <v>0</v>
      </c>
      <c r="G69" s="1330">
        <f>VLOOKUP(C69,TONGHOPCONGDOI!C148:AD212,16,0)</f>
        <v>3979</v>
      </c>
      <c r="H69" s="1330">
        <f>VLOOKUP(C69,TONGHOPCONGDOI!C148:AD160,17,0)</f>
        <v>0</v>
      </c>
      <c r="I69" s="1330"/>
      <c r="J69" s="817">
        <f t="shared" si="7"/>
        <v>1740.5154992232874</v>
      </c>
      <c r="K69" s="817">
        <f>'SẢN LƯỢNG'!AP151</f>
        <v>148.05570463588421</v>
      </c>
      <c r="L69" s="817">
        <f>'SẢN LƯỢNG'!AQ151</f>
        <v>1888.5712038591719</v>
      </c>
      <c r="M69" s="1299" t="str">
        <f>VLOOKUP(C69,'SẢN LƯỢNG'!D151:AR212,41,0)</f>
        <v>A</v>
      </c>
      <c r="N69" s="1302">
        <f t="shared" si="2"/>
        <v>7038894</v>
      </c>
      <c r="O69" s="1330">
        <f>VLOOKUP(C69,TONGHOPCONGDOI!$C$96:$AD$159,20,0)</f>
        <v>25</v>
      </c>
      <c r="P69" s="1330">
        <f>VLOOKUP(C69,TONGHOPCONGDOI!$C$96:$AD$159,21,0)</f>
        <v>1</v>
      </c>
      <c r="Q69" s="1330">
        <f>VLOOKUP(C69,TONGHOPCONGDOI!$C$96:$AD$159,22,0)</f>
        <v>0</v>
      </c>
      <c r="R69" s="1330">
        <f>VLOOKUP(C69,TONGHOPCONGDOI!$C$96:$AD$159,23,0)</f>
        <v>3</v>
      </c>
      <c r="S69" s="1330">
        <f>VLOOKUP(C69,TONGHOPCONGDOI!$C$96:$AD$159,24,0)</f>
        <v>0</v>
      </c>
      <c r="T69" s="1330">
        <f>VLOOKUP(C69,TONGHOPCONGDOI!$C$96:$AD$159,25,0)</f>
        <v>0</v>
      </c>
      <c r="U69" s="1330"/>
      <c r="V69" s="1300">
        <f t="shared" si="3"/>
        <v>3</v>
      </c>
      <c r="W69" s="1301"/>
      <c r="X69" s="1301"/>
      <c r="Y69" s="813">
        <f t="shared" si="4"/>
        <v>1415860</v>
      </c>
      <c r="Z69" s="1330">
        <f t="shared" si="8"/>
        <v>8454754</v>
      </c>
      <c r="AA69" s="1330"/>
      <c r="AB69" s="1330">
        <f>VLOOKUP(C69,'CNKT '!$D$101:$AC$164,24,0)</f>
        <v>8454754</v>
      </c>
      <c r="AC69" s="1253">
        <f t="shared" si="6"/>
        <v>0</v>
      </c>
    </row>
    <row r="70" spans="1:29" s="1253" customFormat="1" ht="42.75" customHeight="1">
      <c r="A70" s="1299">
        <v>54</v>
      </c>
      <c r="B70" s="1330" t="str">
        <f>'Chấm công KT'!C148</f>
        <v>04082</v>
      </c>
      <c r="C70" s="1330" t="str">
        <f>TONGHOPCONGDOI!C149</f>
        <v>T Bun Xi</v>
      </c>
      <c r="D70" s="1330"/>
      <c r="E70" s="1331"/>
      <c r="F70" s="1330">
        <f t="shared" si="0"/>
        <v>0</v>
      </c>
      <c r="G70" s="1330">
        <f>VLOOKUP(C70,TONGHOPCONGDOI!C149:AD213,16,0)</f>
        <v>4182</v>
      </c>
      <c r="H70" s="1330">
        <f>VLOOKUP(C70,TONGHOPCONGDOI!C149:AD160,17,0)</f>
        <v>0</v>
      </c>
      <c r="I70" s="1330"/>
      <c r="J70" s="817">
        <f t="shared" si="7"/>
        <v>1829.3128468840885</v>
      </c>
      <c r="K70" s="817">
        <f>'SẢN LƯỢNG'!AP152</f>
        <v>138.43684228235915</v>
      </c>
      <c r="L70" s="817">
        <f>'SẢN LƯỢNG'!AQ152</f>
        <v>1967.7496891664478</v>
      </c>
      <c r="M70" s="1299" t="str">
        <f>VLOOKUP(C70,'SẢN LƯỢNG'!D152:AR213,41,0)</f>
        <v>A</v>
      </c>
      <c r="N70" s="1302">
        <f t="shared" si="2"/>
        <v>7334000</v>
      </c>
      <c r="O70" s="1330">
        <f>VLOOKUP(C70,TONGHOPCONGDOI!$C$96:$AD$159,20,0)</f>
        <v>24</v>
      </c>
      <c r="P70" s="1330">
        <f>VLOOKUP(C70,TONGHOPCONGDOI!$C$96:$AD$159,21,0)</f>
        <v>1</v>
      </c>
      <c r="Q70" s="1330">
        <f>VLOOKUP(C70,TONGHOPCONGDOI!$C$96:$AD$159,22,0)</f>
        <v>0</v>
      </c>
      <c r="R70" s="1330">
        <f>VLOOKUP(C70,TONGHOPCONGDOI!$C$96:$AD$159,23,0)</f>
        <v>3</v>
      </c>
      <c r="S70" s="1330">
        <f>VLOOKUP(C70,TONGHOPCONGDOI!$C$96:$AD$159,24,0)</f>
        <v>0</v>
      </c>
      <c r="T70" s="1330">
        <f>VLOOKUP(C70,TONGHOPCONGDOI!$C$96:$AD$159,25,0)</f>
        <v>0</v>
      </c>
      <c r="U70" s="1330"/>
      <c r="V70" s="1300">
        <f t="shared" si="3"/>
        <v>3</v>
      </c>
      <c r="W70" s="1301"/>
      <c r="X70" s="1301"/>
      <c r="Y70" s="813">
        <f t="shared" si="4"/>
        <v>1385436</v>
      </c>
      <c r="Z70" s="1330">
        <f t="shared" si="8"/>
        <v>8719436</v>
      </c>
      <c r="AA70" s="1330"/>
      <c r="AB70" s="1330">
        <f>VLOOKUP(C70,'CNKT '!$D$101:$AC$164,24,0)</f>
        <v>8719436</v>
      </c>
      <c r="AC70" s="1253">
        <f t="shared" si="6"/>
        <v>0</v>
      </c>
    </row>
    <row r="71" spans="1:29" s="1253" customFormat="1" ht="42.75" customHeight="1">
      <c r="A71" s="1299">
        <v>55</v>
      </c>
      <c r="B71" s="1330" t="str">
        <f>'Chấm công KT'!C149</f>
        <v>04083</v>
      </c>
      <c r="C71" s="1330" t="str">
        <f>TONGHOPCONGDOI!C150</f>
        <v>N. Bù</v>
      </c>
      <c r="D71" s="1330"/>
      <c r="E71" s="1331"/>
      <c r="F71" s="1330">
        <f t="shared" si="0"/>
        <v>0</v>
      </c>
      <c r="G71" s="1330">
        <f>VLOOKUP(C71,TONGHOPCONGDOI!C150:AD214,16,0)</f>
        <v>3805</v>
      </c>
      <c r="H71" s="1330">
        <f>VLOOKUP(C71,TONGHOPCONGDOI!C150:AD160,17,0)</f>
        <v>0</v>
      </c>
      <c r="I71" s="1330"/>
      <c r="J71" s="817">
        <f t="shared" si="7"/>
        <v>1664.4034869426007</v>
      </c>
      <c r="K71" s="817">
        <f>'SẢN LƯỢNG'!AP153</f>
        <v>128.03623493190446</v>
      </c>
      <c r="L71" s="817">
        <f>'SẢN LƯỢNG'!AQ153</f>
        <v>1792.4397218745057</v>
      </c>
      <c r="M71" s="1299" t="str">
        <f>VLOOKUP(C71,'SẢN LƯỢNG'!D153:AR214,41,0)</f>
        <v>A</v>
      </c>
      <c r="N71" s="1302">
        <f t="shared" si="2"/>
        <v>6680602</v>
      </c>
      <c r="O71" s="1330">
        <f>VLOOKUP(C71,TONGHOPCONGDOI!$C$96:$AD$159,20,0)</f>
        <v>24</v>
      </c>
      <c r="P71" s="1330">
        <f>VLOOKUP(C71,TONGHOPCONGDOI!$C$96:$AD$159,21,0)</f>
        <v>1</v>
      </c>
      <c r="Q71" s="1330">
        <f>VLOOKUP(C71,TONGHOPCONGDOI!$C$96:$AD$159,22,0)</f>
        <v>0</v>
      </c>
      <c r="R71" s="1330">
        <f>VLOOKUP(C71,TONGHOPCONGDOI!$C$96:$AD$159,23,0)</f>
        <v>3</v>
      </c>
      <c r="S71" s="1330">
        <f>VLOOKUP(C71,TONGHOPCONGDOI!$C$96:$AD$159,24,0)</f>
        <v>0</v>
      </c>
      <c r="T71" s="1330">
        <f>VLOOKUP(C71,TONGHOPCONGDOI!$C$96:$AD$159,25,0)</f>
        <v>0</v>
      </c>
      <c r="U71" s="1330"/>
      <c r="V71" s="1300">
        <f t="shared" si="3"/>
        <v>3</v>
      </c>
      <c r="W71" s="1301"/>
      <c r="X71" s="1301"/>
      <c r="Y71" s="813">
        <f t="shared" si="4"/>
        <v>1385436</v>
      </c>
      <c r="Z71" s="1330">
        <f t="shared" si="8"/>
        <v>8066038</v>
      </c>
      <c r="AA71" s="1330"/>
      <c r="AB71" s="1330">
        <f>VLOOKUP(C71,'CNKT '!$D$101:$AC$164,24,0)</f>
        <v>8066038</v>
      </c>
      <c r="AC71" s="1253">
        <f t="shared" si="6"/>
        <v>0</v>
      </c>
    </row>
    <row r="72" spans="1:29" s="1253" customFormat="1" ht="42.75" customHeight="1">
      <c r="A72" s="1299">
        <v>56</v>
      </c>
      <c r="B72" s="1330" t="str">
        <f>'Chấm công KT'!C150</f>
        <v>03642</v>
      </c>
      <c r="C72" s="1330" t="str">
        <f>TONGHOPCONGDOI!C151</f>
        <v>T. Xơn</v>
      </c>
      <c r="D72" s="1330"/>
      <c r="E72" s="1331"/>
      <c r="F72" s="1330">
        <f t="shared" si="0"/>
        <v>0</v>
      </c>
      <c r="G72" s="1330">
        <f>VLOOKUP(C72,TONGHOPCONGDOI!C151:AD215,16,0)</f>
        <v>4142</v>
      </c>
      <c r="H72" s="1330">
        <f>VLOOKUP(C72,TONGHOPCONGDOI!C151:AD160,17,0)</f>
        <v>0</v>
      </c>
      <c r="I72" s="1330"/>
      <c r="J72" s="817">
        <f t="shared" si="7"/>
        <v>1811.8158325666893</v>
      </c>
      <c r="K72" s="817">
        <f>'SẢN LƯỢNG'!AP154</f>
        <v>134.01828360406139</v>
      </c>
      <c r="L72" s="817">
        <f>'SẢN LƯỢNG'!AQ154</f>
        <v>1945.834116170751</v>
      </c>
      <c r="M72" s="1299" t="str">
        <f>VLOOKUP(C72,'SẢN LƯỢNG'!D154:AR215,41,0)</f>
        <v>B</v>
      </c>
      <c r="N72" s="1302">
        <f t="shared" si="2"/>
        <v>6895647</v>
      </c>
      <c r="O72" s="1330">
        <f>VLOOKUP(C72,TONGHOPCONGDOI!$C$96:$AD$159,20,0)</f>
        <v>25</v>
      </c>
      <c r="P72" s="1330">
        <f>VLOOKUP(C72,TONGHOPCONGDOI!$C$96:$AD$159,21,0)</f>
        <v>1</v>
      </c>
      <c r="Q72" s="1330">
        <f>VLOOKUP(C72,TONGHOPCONGDOI!$C$96:$AD$159,22,0)</f>
        <v>0</v>
      </c>
      <c r="R72" s="1330">
        <f>VLOOKUP(C72,TONGHOPCONGDOI!$C$96:$AD$159,23,0)</f>
        <v>3</v>
      </c>
      <c r="S72" s="1330">
        <f>VLOOKUP(C72,TONGHOPCONGDOI!$C$96:$AD$159,24,0)</f>
        <v>0</v>
      </c>
      <c r="T72" s="1330">
        <f>VLOOKUP(C72,TONGHOPCONGDOI!$C$96:$AD$159,25,0)</f>
        <v>0</v>
      </c>
      <c r="U72" s="1330"/>
      <c r="V72" s="1300">
        <f t="shared" si="3"/>
        <v>3</v>
      </c>
      <c r="W72" s="1301"/>
      <c r="X72" s="1301"/>
      <c r="Y72" s="813">
        <f t="shared" si="4"/>
        <v>1415860</v>
      </c>
      <c r="Z72" s="1330">
        <f t="shared" si="8"/>
        <v>8311507</v>
      </c>
      <c r="AA72" s="1330"/>
      <c r="AB72" s="1330">
        <f>VLOOKUP(C72,'CNKT '!$D$101:$AC$164,24,0)</f>
        <v>8311507</v>
      </c>
      <c r="AC72" s="1253">
        <f t="shared" si="6"/>
        <v>0</v>
      </c>
    </row>
    <row r="73" spans="1:29" s="1253" customFormat="1" ht="42.75" customHeight="1">
      <c r="A73" s="1299">
        <v>57</v>
      </c>
      <c r="B73" s="1330" t="str">
        <f>'Chấm công KT'!C151</f>
        <v>04084</v>
      </c>
      <c r="C73" s="1330" t="str">
        <f>TONGHOPCONGDOI!C152</f>
        <v>T. Thi</v>
      </c>
      <c r="D73" s="1330"/>
      <c r="E73" s="1331"/>
      <c r="F73" s="1330">
        <f t="shared" si="0"/>
        <v>0</v>
      </c>
      <c r="G73" s="1330">
        <f>VLOOKUP(C73,TONGHOPCONGDOI!C152:AD216,16,0)</f>
        <v>4774</v>
      </c>
      <c r="H73" s="1330">
        <f>VLOOKUP(C73,TONGHOPCONGDOI!C152:AD160,17,0)</f>
        <v>0</v>
      </c>
      <c r="I73" s="1330"/>
      <c r="J73" s="817">
        <f t="shared" si="7"/>
        <v>2088.268658781597</v>
      </c>
      <c r="K73" s="817">
        <f>'SẢN LƯỢNG'!AP155</f>
        <v>87.793362046485058</v>
      </c>
      <c r="L73" s="817">
        <f>'SẢN LƯỢNG'!AQ155</f>
        <v>2176.0620208280825</v>
      </c>
      <c r="M73" s="1299" t="str">
        <f>VLOOKUP(C73,'SẢN LƯỢNG'!D155:AR216,41,0)</f>
        <v>A</v>
      </c>
      <c r="N73" s="1302">
        <f t="shared" si="2"/>
        <v>8110401</v>
      </c>
      <c r="O73" s="1330">
        <f>VLOOKUP(C73,TONGHOPCONGDOI!$C$96:$AD$159,20,0)</f>
        <v>25</v>
      </c>
      <c r="P73" s="1330">
        <f>VLOOKUP(C73,TONGHOPCONGDOI!$C$96:$AD$159,21,0)</f>
        <v>1</v>
      </c>
      <c r="Q73" s="1330">
        <f>VLOOKUP(C73,TONGHOPCONGDOI!$C$96:$AD$159,22,0)</f>
        <v>0</v>
      </c>
      <c r="R73" s="1330">
        <f>VLOOKUP(C73,TONGHOPCONGDOI!$C$96:$AD$159,23,0)</f>
        <v>3</v>
      </c>
      <c r="S73" s="1330">
        <f>VLOOKUP(C73,TONGHOPCONGDOI!$C$96:$AD$159,24,0)</f>
        <v>0</v>
      </c>
      <c r="T73" s="1330">
        <f>VLOOKUP(C73,TONGHOPCONGDOI!$C$96:$AD$159,25,0)</f>
        <v>0</v>
      </c>
      <c r="U73" s="1330"/>
      <c r="V73" s="1300">
        <f t="shared" si="3"/>
        <v>3</v>
      </c>
      <c r="W73" s="1301"/>
      <c r="X73" s="1301"/>
      <c r="Y73" s="813">
        <f t="shared" si="4"/>
        <v>1415860</v>
      </c>
      <c r="Z73" s="1330">
        <f t="shared" si="8"/>
        <v>9526261</v>
      </c>
      <c r="AA73" s="1330"/>
      <c r="AB73" s="1330">
        <f>VLOOKUP(C73,'CNKT '!$D$101:$AC$164,24,0)</f>
        <v>9526261</v>
      </c>
      <c r="AC73" s="1253">
        <f t="shared" si="6"/>
        <v>0</v>
      </c>
    </row>
    <row r="74" spans="1:29" s="1253" customFormat="1" ht="42.75" customHeight="1">
      <c r="A74" s="1299">
        <v>58</v>
      </c>
      <c r="B74" s="1330" t="str">
        <f>'Chấm công KT'!C152</f>
        <v>04085</v>
      </c>
      <c r="C74" s="1330" t="str">
        <f>TONGHOPCONGDOI!C153</f>
        <v>On chay</v>
      </c>
      <c r="D74" s="1330"/>
      <c r="E74" s="1331"/>
      <c r="F74" s="1330">
        <f t="shared" si="0"/>
        <v>0</v>
      </c>
      <c r="G74" s="1330">
        <f>VLOOKUP(C74,TONGHOPCONGDOI!C153:AD217,16,0)</f>
        <v>2991</v>
      </c>
      <c r="H74" s="1330">
        <f>VLOOKUP(C74,TONGHOPCONGDOI!C153:AD160,17,0)</f>
        <v>0</v>
      </c>
      <c r="I74" s="1330"/>
      <c r="J74" s="817">
        <f t="shared" si="7"/>
        <v>1308.3392455835267</v>
      </c>
      <c r="K74" s="817">
        <f>'SẢN LƯỢNG'!AP156</f>
        <v>103.90410676581682</v>
      </c>
      <c r="L74" s="817">
        <f>'SẢN LƯỢNG'!AQ156</f>
        <v>1412.2433523493437</v>
      </c>
      <c r="M74" s="1299" t="str">
        <f>VLOOKUP(C74,'SẢN LƯỢNG'!D156:AR217,41,0)</f>
        <v>A</v>
      </c>
      <c r="N74" s="1302">
        <f t="shared" si="2"/>
        <v>5263572</v>
      </c>
      <c r="O74" s="1330">
        <f>VLOOKUP(C74,TONGHOPCONGDOI!$C$96:$AD$159,20,0)</f>
        <v>25</v>
      </c>
      <c r="P74" s="1330">
        <f>VLOOKUP(C74,TONGHOPCONGDOI!$C$96:$AD$159,21,0)</f>
        <v>1</v>
      </c>
      <c r="Q74" s="1330">
        <f>VLOOKUP(C74,TONGHOPCONGDOI!$C$96:$AD$159,22,0)</f>
        <v>0</v>
      </c>
      <c r="R74" s="1330">
        <f>VLOOKUP(C74,TONGHOPCONGDOI!$C$96:$AD$159,23,0)</f>
        <v>3</v>
      </c>
      <c r="S74" s="1330">
        <f>VLOOKUP(C74,TONGHOPCONGDOI!$C$96:$AD$159,24,0)</f>
        <v>0</v>
      </c>
      <c r="T74" s="1330">
        <f>VLOOKUP(C74,TONGHOPCONGDOI!$C$96:$AD$159,25,0)</f>
        <v>0</v>
      </c>
      <c r="U74" s="1330"/>
      <c r="V74" s="1300">
        <f t="shared" si="3"/>
        <v>3</v>
      </c>
      <c r="W74" s="1301"/>
      <c r="X74" s="1301"/>
      <c r="Y74" s="813">
        <f t="shared" si="4"/>
        <v>1415860</v>
      </c>
      <c r="Z74" s="1330">
        <f t="shared" si="8"/>
        <v>6679432</v>
      </c>
      <c r="AA74" s="1330"/>
      <c r="AB74" s="1330">
        <f>VLOOKUP(C74,'CNKT '!$D$101:$AC$164,24,0)</f>
        <v>6679432</v>
      </c>
      <c r="AC74" s="1253">
        <f t="shared" si="6"/>
        <v>0</v>
      </c>
    </row>
    <row r="75" spans="1:29" s="1253" customFormat="1" ht="42.75" customHeight="1">
      <c r="A75" s="1299">
        <v>59</v>
      </c>
      <c r="B75" s="1330">
        <f>'Chấm công KT'!C153</f>
        <v>0</v>
      </c>
      <c r="C75" s="1330" t="str">
        <f>TONGHOPCONGDOI!C154</f>
        <v>T. Thong</v>
      </c>
      <c r="D75" s="1330"/>
      <c r="E75" s="1331"/>
      <c r="F75" s="1330">
        <f t="shared" si="0"/>
        <v>0</v>
      </c>
      <c r="G75" s="1330">
        <f>VLOOKUP(C75,TONGHOPCONGDOI!C154:AD218,16,0)</f>
        <v>1544</v>
      </c>
      <c r="H75" s="1330">
        <f>VLOOKUP(C75,TONGHOPCONGDOI!C154:AD160,17,0)</f>
        <v>0</v>
      </c>
      <c r="I75" s="1330"/>
      <c r="J75" s="817">
        <f t="shared" si="7"/>
        <v>675.38475265160992</v>
      </c>
      <c r="K75" s="817">
        <f>'SẢN LƯỢNG'!AP157</f>
        <v>53.260626529942741</v>
      </c>
      <c r="L75" s="817">
        <f>'SẢN LƯỢNG'!AQ157</f>
        <v>728.64537918155281</v>
      </c>
      <c r="M75" s="1299" t="str">
        <f>VLOOKUP(C75,'SẢN LƯỢNG'!D157:AR218,41,0)</f>
        <v>C.</v>
      </c>
      <c r="N75" s="1302">
        <f t="shared" si="2"/>
        <v>2448613</v>
      </c>
      <c r="O75" s="1330">
        <f>VLOOKUP(C75,TONGHOPCONGDOI!$C$96:$AD$159,20,0)</f>
        <v>22</v>
      </c>
      <c r="P75" s="1330">
        <f>VLOOKUP(C75,TONGHOPCONGDOI!$C$96:$AD$159,21,0)</f>
        <v>1</v>
      </c>
      <c r="Q75" s="1330">
        <f>VLOOKUP(C75,TONGHOPCONGDOI!$C$96:$AD$159,22,0)</f>
        <v>0</v>
      </c>
      <c r="R75" s="1330">
        <f>VLOOKUP(C75,TONGHOPCONGDOI!$C$96:$AD$159,23,0)</f>
        <v>3</v>
      </c>
      <c r="S75" s="1330">
        <f>VLOOKUP(C75,TONGHOPCONGDOI!$C$96:$AD$159,24,0)</f>
        <v>0</v>
      </c>
      <c r="T75" s="1330">
        <f>VLOOKUP(C75,TONGHOPCONGDOI!$C$96:$AD$159,25,0)</f>
        <v>0</v>
      </c>
      <c r="U75" s="1330"/>
      <c r="V75" s="1300">
        <f t="shared" si="3"/>
        <v>3</v>
      </c>
      <c r="W75" s="1301"/>
      <c r="X75" s="1301"/>
      <c r="Y75" s="813">
        <f t="shared" si="4"/>
        <v>1324588</v>
      </c>
      <c r="Z75" s="1330">
        <f t="shared" si="8"/>
        <v>3773201</v>
      </c>
      <c r="AA75" s="1330"/>
      <c r="AB75" s="1330">
        <f>VLOOKUP(C75,'CNKT '!$D$101:$AC$164,24,0)</f>
        <v>3773201</v>
      </c>
      <c r="AC75" s="1253">
        <f t="shared" si="6"/>
        <v>0</v>
      </c>
    </row>
    <row r="76" spans="1:29" s="1253" customFormat="1" ht="42.75" customHeight="1">
      <c r="A76" s="1299">
        <v>60</v>
      </c>
      <c r="B76" s="1330">
        <f>'Chấm công KT'!C154</f>
        <v>0</v>
      </c>
      <c r="C76" s="1330" t="str">
        <f>TONGHOPCONGDOI!C155</f>
        <v>T. Khách</v>
      </c>
      <c r="D76" s="1330"/>
      <c r="E76" s="1331"/>
      <c r="F76" s="1330">
        <f t="shared" si="0"/>
        <v>0</v>
      </c>
      <c r="G76" s="1330">
        <f>VLOOKUP(C76,TONGHOPCONGDOI!C155:AD219,16,0)</f>
        <v>1024</v>
      </c>
      <c r="H76" s="1330">
        <f>VLOOKUP(C76,TONGHOPCONGDOI!C155:AD160,17,0)</f>
        <v>0</v>
      </c>
      <c r="I76" s="1330"/>
      <c r="J76" s="817">
        <f t="shared" si="7"/>
        <v>447.92356652542003</v>
      </c>
      <c r="K76" s="817">
        <f>'SẢN LƯỢNG'!AP158</f>
        <v>34.770657906912199</v>
      </c>
      <c r="L76" s="817">
        <f>'SẢN LƯỢNG'!AQ158</f>
        <v>482.69422443233231</v>
      </c>
      <c r="M76" s="1299" t="str">
        <f>VLOOKUP(C76,'SẢN LƯỢNG'!D158:AR219,41,0)</f>
        <v>C.</v>
      </c>
      <c r="N76" s="1302">
        <f t="shared" si="2"/>
        <v>1622094</v>
      </c>
      <c r="O76" s="1330">
        <f>VLOOKUP(C76,TONGHOPCONGDOI!$C$96:$AD$159,20,0)</f>
        <v>16</v>
      </c>
      <c r="P76" s="1330">
        <f>VLOOKUP(C76,TONGHOPCONGDOI!$C$96:$AD$159,21,0)</f>
        <v>1</v>
      </c>
      <c r="Q76" s="1330">
        <f>VLOOKUP(C76,TONGHOPCONGDOI!$C$96:$AD$159,22,0)</f>
        <v>0</v>
      </c>
      <c r="R76" s="1330">
        <f>VLOOKUP(C76,TONGHOPCONGDOI!$C$96:$AD$159,23,0)</f>
        <v>3</v>
      </c>
      <c r="S76" s="1330">
        <f>VLOOKUP(C76,TONGHOPCONGDOI!$C$96:$AD$159,24,0)</f>
        <v>0</v>
      </c>
      <c r="T76" s="1330">
        <f>VLOOKUP(C76,TONGHOPCONGDOI!$C$96:$AD$159,25,0)</f>
        <v>0</v>
      </c>
      <c r="U76" s="1330"/>
      <c r="V76" s="1300">
        <f t="shared" si="3"/>
        <v>3</v>
      </c>
      <c r="W76" s="1301"/>
      <c r="X76" s="1301"/>
      <c r="Y76" s="813">
        <f t="shared" si="4"/>
        <v>1142043</v>
      </c>
      <c r="Z76" s="1330">
        <f t="shared" si="8"/>
        <v>2764137</v>
      </c>
      <c r="AA76" s="1330"/>
      <c r="AB76" s="1330">
        <f>VLOOKUP(C76,'CNKT '!$D$101:$AC$164,24,0)</f>
        <v>2764137</v>
      </c>
      <c r="AC76" s="1253">
        <f t="shared" si="6"/>
        <v>0</v>
      </c>
    </row>
    <row r="77" spans="1:29" s="1253" customFormat="1" ht="42.75" customHeight="1">
      <c r="A77" s="1299">
        <v>61</v>
      </c>
      <c r="B77" s="1330">
        <f>'Chấm công KT'!C155</f>
        <v>0</v>
      </c>
      <c r="C77" s="1330" t="str">
        <f>TONGHOPCONGDOI!C156</f>
        <v>Nang On Xi</v>
      </c>
      <c r="D77" s="1330"/>
      <c r="E77" s="1331"/>
      <c r="F77" s="1330">
        <f t="shared" si="0"/>
        <v>0</v>
      </c>
      <c r="G77" s="1330">
        <f>VLOOKUP(C77,TONGHOPCONGDOI!C156:AD220,16,0)</f>
        <v>429</v>
      </c>
      <c r="H77" s="1330">
        <f>VLOOKUP(C77,TONGHOPCONGDOI!C156:AD160,17,0)</f>
        <v>0</v>
      </c>
      <c r="I77" s="1330"/>
      <c r="J77" s="817">
        <f t="shared" si="7"/>
        <v>187.65547855410662</v>
      </c>
      <c r="K77" s="817">
        <f>'SẢN LƯỢNG'!AP159</f>
        <v>17.572267974461003</v>
      </c>
      <c r="L77" s="817">
        <f>'SẢN LƯỢNG'!AQ159</f>
        <v>205.22774652856768</v>
      </c>
      <c r="M77" s="1299" t="str">
        <f>VLOOKUP(C77,'SẢN LƯỢNG'!D159:AR220,41,0)</f>
        <v>C.</v>
      </c>
      <c r="N77" s="1302">
        <f t="shared" si="2"/>
        <v>689668</v>
      </c>
      <c r="O77" s="1330">
        <f>VLOOKUP(C77,TONGHOPCONGDOI!$C$96:$AD$159,20,0)</f>
        <v>13</v>
      </c>
      <c r="P77" s="1330">
        <f>VLOOKUP(C77,TONGHOPCONGDOI!$C$96:$AD$159,21,0)</f>
        <v>1</v>
      </c>
      <c r="Q77" s="1330">
        <f>VLOOKUP(C77,TONGHOPCONGDOI!$C$96:$AD$159,22,0)</f>
        <v>0</v>
      </c>
      <c r="R77" s="1330">
        <f>VLOOKUP(C77,TONGHOPCONGDOI!$C$96:$AD$159,23,0)</f>
        <v>2</v>
      </c>
      <c r="S77" s="1330">
        <f>VLOOKUP(C77,TONGHOPCONGDOI!$C$96:$AD$159,24,0)</f>
        <v>0</v>
      </c>
      <c r="T77" s="1330">
        <f>VLOOKUP(C77,TONGHOPCONGDOI!$C$96:$AD$159,25,0)</f>
        <v>0</v>
      </c>
      <c r="U77" s="1330"/>
      <c r="V77" s="1300">
        <f t="shared" si="3"/>
        <v>2</v>
      </c>
      <c r="W77" s="1301"/>
      <c r="X77" s="1301"/>
      <c r="Y77" s="813">
        <f t="shared" si="4"/>
        <v>849269</v>
      </c>
      <c r="Z77" s="1330">
        <f t="shared" si="8"/>
        <v>1538937</v>
      </c>
      <c r="AA77" s="1330"/>
      <c r="AB77" s="1330">
        <f>VLOOKUP(C77,'CNKT '!$D$101:$AC$164,24,0)</f>
        <v>1538937</v>
      </c>
      <c r="AC77" s="1253">
        <f t="shared" si="6"/>
        <v>0</v>
      </c>
    </row>
    <row r="78" spans="1:29" s="1253" customFormat="1" ht="42.75" customHeight="1">
      <c r="A78" s="1299">
        <v>62</v>
      </c>
      <c r="B78" s="1330">
        <f>'Chấm công KT'!C156</f>
        <v>0</v>
      </c>
      <c r="C78" s="1330" t="str">
        <f>TONGHOPCONGDOI!C157</f>
        <v>Thảo Túc</v>
      </c>
      <c r="D78" s="1332"/>
      <c r="E78" s="1331"/>
      <c r="F78" s="1330">
        <f t="shared" si="0"/>
        <v>0</v>
      </c>
      <c r="G78" s="1330">
        <f>VLOOKUP(C78,TONGHOPCONGDOI!C157:AD221,16,0)</f>
        <v>344</v>
      </c>
      <c r="H78" s="1330">
        <f>VLOOKUP(C78,TONGHOPCONGDOI!C157:AD160,17,0)</f>
        <v>0</v>
      </c>
      <c r="I78" s="1330"/>
      <c r="J78" s="817">
        <f t="shared" si="7"/>
        <v>150.47432312963329</v>
      </c>
      <c r="K78" s="817">
        <f>'SẢN LƯỢNG'!AP160</f>
        <v>10.128696047174815</v>
      </c>
      <c r="L78" s="817">
        <f>'SẢN LƯỢNG'!AQ160</f>
        <v>160.60301917680815</v>
      </c>
      <c r="M78" s="1299" t="str">
        <f>VLOOKUP(C78,'SẢN LƯỢNG'!D160:AR221,41,0)</f>
        <v>C.</v>
      </c>
      <c r="N78" s="1302">
        <f t="shared" si="2"/>
        <v>539706</v>
      </c>
      <c r="O78" s="1330">
        <f>VLOOKUP(C78,TONGHOPCONGDOI!$C$96:$AD$159,20,0)</f>
        <v>11</v>
      </c>
      <c r="P78" s="1330">
        <f>VLOOKUP(C78,TONGHOPCONGDOI!$C$96:$AD$159,21,0)</f>
        <v>0</v>
      </c>
      <c r="Q78" s="1330">
        <f>VLOOKUP(C78,TONGHOPCONGDOI!$C$96:$AD$159,22,0)</f>
        <v>0</v>
      </c>
      <c r="R78" s="1330">
        <f>VLOOKUP(C78,TONGHOPCONGDOI!$C$96:$AD$159,23,0)</f>
        <v>2</v>
      </c>
      <c r="S78" s="1330">
        <f>VLOOKUP(C78,TONGHOPCONGDOI!$C$96:$AD$159,24,0)</f>
        <v>0</v>
      </c>
      <c r="T78" s="1330">
        <f>VLOOKUP(C78,TONGHOPCONGDOI!$C$96:$AD$159,25,0)</f>
        <v>0</v>
      </c>
      <c r="U78" s="1330"/>
      <c r="V78" s="1300">
        <f t="shared" si="3"/>
        <v>2</v>
      </c>
      <c r="W78" s="1301"/>
      <c r="X78" s="1301"/>
      <c r="Y78" s="813">
        <f t="shared" si="4"/>
        <v>737669</v>
      </c>
      <c r="Z78" s="1330">
        <f>F78+N78+Y78</f>
        <v>1277375</v>
      </c>
      <c r="AA78" s="1330"/>
      <c r="AB78" s="1330">
        <f>VLOOKUP(C78,'CNKT '!$D$101:$AC$164,24,0)</f>
        <v>1277375</v>
      </c>
      <c r="AC78" s="1253">
        <f t="shared" si="6"/>
        <v>0</v>
      </c>
    </row>
    <row r="79" spans="1:29" s="1253" customFormat="1" ht="42.75" customHeight="1">
      <c r="A79" s="1299">
        <v>63</v>
      </c>
      <c r="B79" s="1330">
        <f>'Chấm công KT'!C157</f>
        <v>0</v>
      </c>
      <c r="C79" s="1330" t="str">
        <f>TONGHOPCONGDOI!C158</f>
        <v>Mủ Xi Rum 2</v>
      </c>
      <c r="D79" s="1332"/>
      <c r="E79" s="1331"/>
      <c r="F79" s="1330"/>
      <c r="G79" s="1330">
        <f>VLOOKUP(C79,TONGHOPCONGDOI!C158:AD222,16,0)</f>
        <v>0</v>
      </c>
      <c r="H79" s="1330"/>
      <c r="I79" s="1330">
        <f>'MỦ SERUM'!AH18</f>
        <v>485</v>
      </c>
      <c r="J79" s="817">
        <f>$AD$11/$AD$10*G79+H79*$AD$12+I79*$AD$13</f>
        <v>259.18200000000013</v>
      </c>
      <c r="K79" s="817"/>
      <c r="L79" s="817">
        <f>J79</f>
        <v>259.18200000000013</v>
      </c>
      <c r="M79" s="1299"/>
      <c r="N79" s="930">
        <f>ROUND((J79*6.1*E12),0)</f>
        <v>965997</v>
      </c>
      <c r="O79" s="1330"/>
      <c r="P79" s="1330"/>
      <c r="Q79" s="1330"/>
      <c r="R79" s="1330"/>
      <c r="S79" s="1330"/>
      <c r="T79" s="1330"/>
      <c r="U79" s="1330"/>
      <c r="V79" s="1300">
        <f t="shared" ref="V79:V81" si="9">Q79</f>
        <v>0</v>
      </c>
      <c r="W79" s="1301"/>
      <c r="X79" s="1301"/>
      <c r="Y79" s="813">
        <f t="shared" ref="Y79" si="10">ROUND(((O79*46.1)+(P79*76.9)+(Q79*92.2)+(R79*153.8)+(S79*92.2)+(T79*153.8))*$E$13+(U79*25000)+(V79*10000)+(W79*30000),0)</f>
        <v>0</v>
      </c>
      <c r="Z79" s="1330">
        <f t="shared" si="8"/>
        <v>965997</v>
      </c>
      <c r="AA79" s="1330"/>
      <c r="AB79" s="1330">
        <f>VLOOKUP(C79,'CNKT '!$D$101:$AC$164,24,0)</f>
        <v>965997</v>
      </c>
      <c r="AC79" s="1253">
        <f t="shared" si="6"/>
        <v>0</v>
      </c>
    </row>
    <row r="80" spans="1:29" s="1337" customFormat="1" ht="42.75" customHeight="1">
      <c r="A80" s="1299">
        <v>64</v>
      </c>
      <c r="B80" s="1333"/>
      <c r="C80" s="1334" t="str">
        <f>TONGHOPCONGDOI!C159</f>
        <v>Mon (3)</v>
      </c>
      <c r="D80" s="1335"/>
      <c r="E80" s="1336"/>
      <c r="F80" s="1334">
        <f t="shared" si="0"/>
        <v>0</v>
      </c>
      <c r="G80" s="1334"/>
      <c r="H80" s="1334"/>
      <c r="I80" s="1334"/>
      <c r="J80" s="868"/>
      <c r="K80" s="868"/>
      <c r="L80" s="868"/>
      <c r="M80" s="1308"/>
      <c r="N80" s="815"/>
      <c r="O80" s="1334"/>
      <c r="P80" s="1334"/>
      <c r="Q80" s="1334">
        <f>VLOOKUP(C80,TONGHOPCONGDOI!$C$96:$AD$159,22,0)</f>
        <v>0</v>
      </c>
      <c r="R80" s="1334"/>
      <c r="S80" s="1334"/>
      <c r="T80" s="1334"/>
      <c r="U80" s="1334"/>
      <c r="V80" s="1300">
        <f t="shared" si="9"/>
        <v>0</v>
      </c>
      <c r="W80" s="1307"/>
      <c r="X80" s="1307"/>
      <c r="Y80" s="816">
        <f t="shared" ref="Y80" si="11">ROUND(((O80*46.1)+(P80*76.9)+(Q80*92.2)+(R80*153.8)+(S80*92.2)+(T80*153.8))*$E$13+(U80*20000)+(V80*10000)+(W80*30000),0)</f>
        <v>0</v>
      </c>
      <c r="Z80" s="1334">
        <f t="shared" si="8"/>
        <v>0</v>
      </c>
      <c r="AA80" s="1334"/>
      <c r="AB80" s="1334">
        <f>VLOOKUP(C80,'CNKT '!$D$101:$AC$164,24,0)</f>
        <v>0</v>
      </c>
      <c r="AC80" s="1337">
        <f t="shared" si="6"/>
        <v>0</v>
      </c>
    </row>
    <row r="81" spans="1:30" s="1337" customFormat="1" ht="42.75" customHeight="1">
      <c r="A81" s="1299">
        <v>65</v>
      </c>
      <c r="B81" s="1333"/>
      <c r="C81" s="1334" t="str">
        <f>TONGHOPCONGDOI!C160</f>
        <v>T. Huân</v>
      </c>
      <c r="D81" s="1335"/>
      <c r="E81" s="1336"/>
      <c r="F81" s="1334">
        <f t="shared" ref="F81" si="12">E81*25000</f>
        <v>0</v>
      </c>
      <c r="G81" s="1334"/>
      <c r="H81" s="1334"/>
      <c r="I81" s="1334"/>
      <c r="J81" s="868"/>
      <c r="K81" s="868"/>
      <c r="L81" s="868"/>
      <c r="M81" s="1308"/>
      <c r="N81" s="815"/>
      <c r="O81" s="1334"/>
      <c r="P81" s="1334"/>
      <c r="Q81" s="1334"/>
      <c r="R81" s="1334"/>
      <c r="S81" s="1334"/>
      <c r="T81" s="1334"/>
      <c r="U81" s="1334"/>
      <c r="V81" s="1300">
        <f t="shared" si="9"/>
        <v>0</v>
      </c>
      <c r="W81" s="1307">
        <f t="shared" ref="W81" si="13">SUM(O81:T81)</f>
        <v>0</v>
      </c>
      <c r="X81" s="1307">
        <f t="shared" ref="X81" si="14">SUM(O81:T81)</f>
        <v>0</v>
      </c>
      <c r="Y81" s="816">
        <f t="shared" ref="Y81" si="15">((O81*46.1)+(P81*76.9)+(Q81*92.2)+(R81*153.8)+(S81*92.2)+(T81*153.8))*$E$13+(U81*20000)+(V81*10000)+(W81*30000)</f>
        <v>0</v>
      </c>
      <c r="Z81" s="1334">
        <f t="shared" ref="Z81" si="16">F81+N81+Y81</f>
        <v>0</v>
      </c>
      <c r="AA81" s="1334"/>
      <c r="AB81" s="1334">
        <f>VLOOKUP(C81,'CNKT '!$D$101:$AC$165,24,0)</f>
        <v>0</v>
      </c>
      <c r="AC81" s="1337">
        <f t="shared" si="6"/>
        <v>0</v>
      </c>
    </row>
    <row r="82" spans="1:30" s="1337" customFormat="1" ht="42.75" hidden="1" customHeight="1">
      <c r="A82" s="1299">
        <v>66</v>
      </c>
      <c r="B82" s="1333"/>
      <c r="C82" s="1334" t="str">
        <f>TONGHOPCONGDOI!C161</f>
        <v>Chuyển 2</v>
      </c>
      <c r="D82" s="1335"/>
      <c r="E82" s="1336">
        <f>VLOOKUP(C82,TONGHOPCONGDOI!C161:Q165,15,0)</f>
        <v>0</v>
      </c>
      <c r="F82" s="1334">
        <f t="shared" ref="F82" si="17">E82*25000</f>
        <v>0</v>
      </c>
      <c r="G82" s="1334"/>
      <c r="H82" s="1334"/>
      <c r="I82" s="1334"/>
      <c r="J82" s="868"/>
      <c r="K82" s="868"/>
      <c r="L82" s="868"/>
      <c r="M82" s="1308"/>
      <c r="N82" s="815"/>
      <c r="O82" s="1334"/>
      <c r="P82" s="1334"/>
      <c r="Q82" s="1334"/>
      <c r="R82" s="1334"/>
      <c r="S82" s="1334"/>
      <c r="T82" s="1334"/>
      <c r="U82" s="1334"/>
      <c r="V82" s="1300">
        <f t="shared" ref="V82" si="18">Q82</f>
        <v>0</v>
      </c>
      <c r="W82" s="1307">
        <f t="shared" ref="W82" si="19">SUM(O82:T82)</f>
        <v>0</v>
      </c>
      <c r="X82" s="1307">
        <f t="shared" ref="X82" si="20">SUM(O82:T82)</f>
        <v>0</v>
      </c>
      <c r="Y82" s="816">
        <f t="shared" ref="Y82" si="21">((O82*46.1)+(P82*76.9)+(Q82*92.2)+(R82*153.8)+(S82*92.2)+(T82*153.8))*$E$13+(U82*20000)+(V82*10000)+(W82*30000)</f>
        <v>0</v>
      </c>
      <c r="Z82" s="1334">
        <f t="shared" ref="Z82" si="22">F82+N82+Y82</f>
        <v>0</v>
      </c>
      <c r="AA82" s="1334"/>
      <c r="AB82" s="1334">
        <f>VLOOKUP(C82,'CNKT '!$D$101:$AC$166,24,0)</f>
        <v>0</v>
      </c>
    </row>
    <row r="83" spans="1:30" s="1253" customFormat="1" ht="37.5" customHeight="1">
      <c r="A83" s="1491" t="s">
        <v>340</v>
      </c>
      <c r="B83" s="1492"/>
      <c r="C83" s="1492"/>
      <c r="D83" s="1493"/>
      <c r="E83" s="916">
        <f>SUM(E17:E82)</f>
        <v>0</v>
      </c>
      <c r="F83" s="916">
        <f t="shared" ref="F83:AB83" si="23">SUM(F17:F82)</f>
        <v>0</v>
      </c>
      <c r="G83" s="916">
        <f t="shared" si="23"/>
        <v>231746</v>
      </c>
      <c r="H83" s="916">
        <f t="shared" si="23"/>
        <v>0</v>
      </c>
      <c r="I83" s="916">
        <f t="shared" si="23"/>
        <v>485</v>
      </c>
      <c r="J83" s="916">
        <f t="shared" si="23"/>
        <v>101630.75899999999</v>
      </c>
      <c r="K83" s="916">
        <f t="shared" si="23"/>
        <v>8081.0000000000018</v>
      </c>
      <c r="L83" s="916">
        <f t="shared" si="23"/>
        <v>109711.75900000005</v>
      </c>
      <c r="M83" s="916">
        <f t="shared" si="23"/>
        <v>0</v>
      </c>
      <c r="N83" s="916">
        <f t="shared" si="23"/>
        <v>404113476</v>
      </c>
      <c r="O83" s="916">
        <f t="shared" si="23"/>
        <v>1557</v>
      </c>
      <c r="P83" s="916">
        <f t="shared" si="23"/>
        <v>61</v>
      </c>
      <c r="Q83" s="916">
        <f t="shared" si="23"/>
        <v>0</v>
      </c>
      <c r="R83" s="916">
        <f t="shared" si="23"/>
        <v>171</v>
      </c>
      <c r="S83" s="916">
        <f t="shared" si="23"/>
        <v>0</v>
      </c>
      <c r="T83" s="916">
        <f t="shared" si="23"/>
        <v>0</v>
      </c>
      <c r="U83" s="916">
        <f t="shared" si="23"/>
        <v>0</v>
      </c>
      <c r="V83" s="916">
        <f t="shared" si="23"/>
        <v>171</v>
      </c>
      <c r="W83" s="916">
        <f t="shared" si="23"/>
        <v>0</v>
      </c>
      <c r="X83" s="916">
        <f t="shared" si="23"/>
        <v>0</v>
      </c>
      <c r="Y83" s="916">
        <f t="shared" si="23"/>
        <v>84923041</v>
      </c>
      <c r="Z83" s="916">
        <f>SUM(Z17:Z82)</f>
        <v>489036517</v>
      </c>
      <c r="AA83" s="916">
        <f t="shared" si="23"/>
        <v>0</v>
      </c>
      <c r="AB83" s="916">
        <f t="shared" si="23"/>
        <v>489036517</v>
      </c>
      <c r="AC83" s="1253">
        <f t="shared" si="6"/>
        <v>0</v>
      </c>
      <c r="AD83" s="1253">
        <f>SUM(AB17:AB74)/58</f>
        <v>8253739.1379310349</v>
      </c>
    </row>
    <row r="84" spans="1:30" ht="37.5" customHeight="1">
      <c r="A84" s="1477" t="s">
        <v>878</v>
      </c>
      <c r="B84" s="1477"/>
      <c r="C84" s="1477"/>
      <c r="D84" s="1477"/>
      <c r="E84" s="1477"/>
      <c r="F84" s="1477"/>
      <c r="G84" s="1477"/>
      <c r="H84" s="1477"/>
      <c r="I84" s="1477"/>
      <c r="J84" s="1477"/>
      <c r="K84" s="1477"/>
      <c r="L84" s="1477"/>
      <c r="M84" s="1477"/>
      <c r="N84" s="1477"/>
      <c r="O84" s="1477"/>
      <c r="P84" s="1477"/>
      <c r="Q84" s="1477"/>
      <c r="R84" s="1477"/>
      <c r="S84" s="1477"/>
      <c r="T84" s="1477"/>
      <c r="U84" s="1477"/>
      <c r="V84" s="1477"/>
      <c r="W84" s="1477"/>
      <c r="X84" s="1477"/>
      <c r="Y84" s="1477"/>
      <c r="Z84" s="1477"/>
      <c r="AA84" s="1477"/>
      <c r="AB84" s="1477"/>
      <c r="AD84" s="1310">
        <f>G83*AB13/1000</f>
        <v>101.37157699999999</v>
      </c>
    </row>
    <row r="85" spans="1:30" ht="37.5" customHeight="1">
      <c r="A85" s="1338"/>
      <c r="B85" s="1338"/>
      <c r="C85" s="1338"/>
      <c r="D85" s="1338"/>
      <c r="E85" s="1338"/>
      <c r="F85" s="1338"/>
      <c r="G85" s="1338"/>
      <c r="H85" s="1338"/>
      <c r="I85" s="1338"/>
      <c r="J85" s="1338"/>
      <c r="K85" s="1338"/>
      <c r="L85" s="1338"/>
      <c r="M85" s="1338"/>
      <c r="N85" s="1338"/>
      <c r="O85" s="1338"/>
      <c r="P85" s="1338"/>
      <c r="Q85" s="1338"/>
      <c r="R85" s="1338"/>
      <c r="S85" s="1338"/>
      <c r="T85" s="1338"/>
      <c r="U85" s="1513" t="s">
        <v>807</v>
      </c>
      <c r="V85" s="1513"/>
      <c r="W85" s="1513"/>
      <c r="X85" s="1513"/>
      <c r="Y85" s="1513"/>
      <c r="Z85" s="1513"/>
      <c r="AA85" s="1513"/>
      <c r="AB85" s="1513"/>
    </row>
    <row r="86" spans="1:30" ht="24.75" customHeight="1">
      <c r="A86" s="1293"/>
      <c r="B86" s="1339"/>
      <c r="C86" s="1340"/>
      <c r="D86" s="818"/>
      <c r="E86" s="819"/>
      <c r="F86" s="1287"/>
      <c r="G86" s="1287"/>
      <c r="H86" s="1287"/>
      <c r="I86" s="1287"/>
      <c r="J86" s="820"/>
      <c r="K86" s="820"/>
      <c r="L86" s="820"/>
      <c r="M86" s="821"/>
      <c r="N86" s="822"/>
      <c r="O86" s="1341"/>
      <c r="P86" s="1341"/>
      <c r="Q86" s="1341"/>
      <c r="R86" s="1341"/>
      <c r="S86" s="1341"/>
      <c r="T86" s="1341"/>
      <c r="U86" s="1341"/>
      <c r="V86" s="1287"/>
      <c r="W86" s="1287"/>
      <c r="X86" s="1287"/>
      <c r="Y86" s="1507"/>
      <c r="Z86" s="1507"/>
      <c r="AA86" s="1507"/>
      <c r="AB86" s="1507"/>
    </row>
    <row r="87" spans="1:30" s="1285" customFormat="1" ht="39" customHeight="1">
      <c r="A87" s="1482" t="s">
        <v>501</v>
      </c>
      <c r="B87" s="1482"/>
      <c r="C87" s="1482"/>
      <c r="D87" s="1482"/>
      <c r="E87" s="1482"/>
      <c r="F87" s="1482"/>
      <c r="G87" s="1482"/>
      <c r="H87" s="1482"/>
      <c r="I87" s="1482"/>
      <c r="J87" s="1482"/>
      <c r="K87" s="1482"/>
      <c r="L87" s="1482"/>
      <c r="M87" s="1482"/>
      <c r="N87" s="1482"/>
      <c r="O87" s="1482"/>
      <c r="P87" s="1482"/>
      <c r="Q87" s="1482"/>
      <c r="R87" s="1482"/>
      <c r="S87" s="1482"/>
      <c r="T87" s="1482"/>
      <c r="U87" s="1482"/>
      <c r="V87" s="1482"/>
      <c r="W87" s="1482"/>
      <c r="X87" s="1482"/>
      <c r="Y87" s="1482"/>
      <c r="Z87" s="1482"/>
      <c r="AA87" s="1482"/>
      <c r="AB87" s="1482"/>
    </row>
    <row r="88" spans="1:30" s="1285" customFormat="1" ht="19.5" customHeight="1">
      <c r="A88" s="1313"/>
      <c r="C88" s="1199"/>
      <c r="D88" s="1199"/>
      <c r="E88" s="1199"/>
      <c r="F88" s="1199"/>
      <c r="G88" s="1199"/>
      <c r="H88" s="1199"/>
      <c r="I88" s="1199"/>
      <c r="J88" s="1315"/>
      <c r="K88" s="1315"/>
      <c r="L88" s="1315"/>
      <c r="M88" s="1199"/>
      <c r="V88" s="1314"/>
      <c r="W88" s="1314"/>
      <c r="X88" s="1314"/>
      <c r="Y88" s="1199"/>
      <c r="Z88" s="1199"/>
      <c r="AA88" s="1199"/>
    </row>
    <row r="89" spans="1:30" s="1285" customFormat="1" ht="19.5" customHeight="1">
      <c r="A89" s="1313"/>
      <c r="C89" s="1199"/>
      <c r="D89" s="1199"/>
      <c r="E89" s="1199"/>
      <c r="F89" s="1199"/>
      <c r="G89" s="1199"/>
      <c r="H89" s="1199"/>
      <c r="I89" s="1199"/>
      <c r="J89" s="1315"/>
      <c r="K89" s="1315"/>
      <c r="L89" s="1315"/>
      <c r="M89" s="1199"/>
      <c r="V89" s="1314"/>
      <c r="W89" s="1314"/>
      <c r="X89" s="1314"/>
      <c r="Y89" s="1199"/>
      <c r="Z89" s="1199"/>
      <c r="AA89" s="1199"/>
    </row>
    <row r="90" spans="1:30" s="1285" customFormat="1" ht="19.5" customHeight="1">
      <c r="A90" s="1313"/>
      <c r="C90" s="1199"/>
      <c r="D90" s="1199"/>
      <c r="E90" s="1199"/>
      <c r="F90" s="1199"/>
      <c r="G90" s="1199"/>
      <c r="H90" s="1199"/>
      <c r="I90" s="1199"/>
      <c r="J90" s="1315"/>
      <c r="K90" s="1315"/>
      <c r="L90" s="1315"/>
      <c r="M90" s="1199"/>
      <c r="V90" s="1314"/>
      <c r="W90" s="1314"/>
      <c r="X90" s="1314"/>
      <c r="Y90" s="1199"/>
      <c r="Z90" s="1199"/>
      <c r="AA90" s="1199"/>
    </row>
    <row r="91" spans="1:30" s="1285" customFormat="1" ht="19.5" customHeight="1">
      <c r="A91" s="1313"/>
      <c r="C91" s="1199"/>
      <c r="D91" s="1199"/>
      <c r="E91" s="1199"/>
      <c r="F91" s="1199"/>
      <c r="G91" s="1199"/>
      <c r="H91" s="1199"/>
      <c r="I91" s="1199"/>
      <c r="J91" s="1315"/>
      <c r="K91" s="1315"/>
      <c r="L91" s="1315"/>
      <c r="M91" s="1199"/>
      <c r="V91" s="1314"/>
      <c r="W91" s="1314"/>
      <c r="X91" s="1314"/>
      <c r="Y91" s="1199"/>
      <c r="Z91" s="1199"/>
      <c r="AA91" s="1199"/>
    </row>
    <row r="92" spans="1:30" s="1285" customFormat="1" ht="19.5" customHeight="1">
      <c r="A92" s="1313"/>
      <c r="C92" s="1199"/>
      <c r="D92" s="1199"/>
      <c r="E92" s="1199"/>
      <c r="F92" s="1199"/>
      <c r="G92" s="1199"/>
      <c r="H92" s="1199"/>
      <c r="I92" s="1199"/>
      <c r="J92" s="1315"/>
      <c r="K92" s="1315"/>
      <c r="L92" s="1315"/>
      <c r="M92" s="1199"/>
      <c r="V92" s="1314"/>
      <c r="W92" s="1314"/>
      <c r="X92" s="1314"/>
      <c r="Y92" s="1199"/>
      <c r="Z92" s="1199"/>
      <c r="AA92" s="1199"/>
    </row>
    <row r="93" spans="1:30" s="1285" customFormat="1" ht="19.5" customHeight="1">
      <c r="A93" s="1313"/>
      <c r="C93" s="1199"/>
      <c r="D93" s="1199"/>
      <c r="E93" s="1199"/>
      <c r="F93" s="1199"/>
      <c r="G93" s="1199"/>
      <c r="H93" s="1199"/>
      <c r="I93" s="1199"/>
      <c r="J93" s="1315"/>
      <c r="K93" s="1315"/>
      <c r="L93" s="1315"/>
      <c r="M93" s="1199"/>
      <c r="N93" s="1314"/>
      <c r="Y93" s="1199"/>
      <c r="Z93" s="1199"/>
      <c r="AA93" s="1199"/>
    </row>
    <row r="94" spans="1:30" s="1285" customFormat="1" ht="19.5" customHeight="1">
      <c r="A94" s="1313"/>
      <c r="C94" s="1199"/>
      <c r="D94" s="1199"/>
      <c r="E94" s="1316"/>
      <c r="F94" s="1199"/>
      <c r="G94" s="1199"/>
      <c r="H94" s="1199"/>
      <c r="I94" s="1199"/>
      <c r="J94" s="1315"/>
      <c r="K94" s="1315"/>
      <c r="L94" s="1315"/>
      <c r="M94" s="1199"/>
      <c r="V94" s="1314"/>
      <c r="W94" s="1314"/>
      <c r="X94" s="1314"/>
      <c r="Y94" s="1199"/>
      <c r="Z94" s="1199"/>
      <c r="AA94" s="1199"/>
    </row>
    <row r="95" spans="1:30" s="1285" customFormat="1" ht="19.5" customHeight="1">
      <c r="A95" s="1313"/>
      <c r="C95" s="1199"/>
      <c r="D95" s="1199"/>
      <c r="E95" s="1316"/>
      <c r="F95" s="1199"/>
      <c r="G95" s="1199"/>
      <c r="H95" s="1199"/>
      <c r="I95" s="1199"/>
      <c r="J95" s="1315"/>
      <c r="K95" s="1315"/>
      <c r="L95" s="1315"/>
      <c r="M95" s="1199"/>
      <c r="V95" s="1314"/>
      <c r="W95" s="1314"/>
      <c r="X95" s="1314"/>
      <c r="Y95" s="1199"/>
      <c r="Z95" s="1199"/>
      <c r="AA95" s="1199"/>
    </row>
    <row r="96" spans="1:30" s="1285" customFormat="1" ht="26.25" customHeight="1">
      <c r="A96" s="1508"/>
      <c r="B96" s="1508"/>
      <c r="C96" s="1508"/>
      <c r="D96" s="1508"/>
      <c r="E96" s="1508"/>
      <c r="G96" s="1313"/>
      <c r="H96" s="1313"/>
      <c r="I96" s="1313"/>
      <c r="N96" s="1498"/>
      <c r="O96" s="1498"/>
      <c r="P96" s="1498"/>
      <c r="Q96" s="1498"/>
      <c r="R96" s="1498"/>
      <c r="S96" s="1498"/>
      <c r="T96" s="1498"/>
      <c r="U96" s="1498"/>
      <c r="V96" s="1498"/>
      <c r="W96" s="1199"/>
      <c r="X96" s="1199"/>
      <c r="Z96" s="1498"/>
      <c r="AA96" s="1498"/>
      <c r="AB96" s="1498"/>
    </row>
    <row r="97" spans="1:28" s="1285" customFormat="1" ht="19.5" customHeight="1">
      <c r="A97" s="1313"/>
      <c r="C97" s="1199"/>
      <c r="D97" s="1316"/>
      <c r="E97" s="1314"/>
      <c r="F97" s="1317"/>
      <c r="G97" s="1317"/>
      <c r="H97" s="1317"/>
      <c r="I97" s="1317"/>
      <c r="J97" s="1315"/>
      <c r="K97" s="1315"/>
      <c r="L97" s="1315"/>
      <c r="M97" s="1199"/>
      <c r="N97" s="1314"/>
      <c r="V97" s="1281"/>
      <c r="W97" s="1281"/>
      <c r="X97" s="1281"/>
      <c r="Y97" s="1314"/>
    </row>
    <row r="98" spans="1:28" s="1285" customFormat="1" ht="19.5" customHeight="1">
      <c r="A98" s="1313"/>
      <c r="C98" s="1199"/>
      <c r="D98" s="1316"/>
      <c r="E98" s="1314"/>
      <c r="F98" s="1317"/>
      <c r="G98" s="1317"/>
      <c r="H98" s="1317"/>
      <c r="I98" s="1317"/>
      <c r="J98" s="1315"/>
      <c r="K98" s="1315"/>
      <c r="L98" s="1315"/>
      <c r="M98" s="1199"/>
      <c r="N98" s="1314"/>
      <c r="Y98" s="1281"/>
      <c r="Z98" s="1314"/>
    </row>
    <row r="99" spans="1:28">
      <c r="B99" s="1281"/>
      <c r="C99" s="1281"/>
      <c r="E99" s="1318"/>
      <c r="F99" s="1318"/>
      <c r="G99" s="1318"/>
      <c r="H99" s="1318"/>
      <c r="I99" s="1318"/>
      <c r="J99" s="278"/>
      <c r="K99" s="278"/>
      <c r="L99" s="278"/>
      <c r="M99" s="278"/>
      <c r="N99" s="1318"/>
    </row>
    <row r="100" spans="1:28">
      <c r="B100" s="1281"/>
      <c r="C100" s="1281"/>
      <c r="E100" s="1318"/>
      <c r="F100" s="1209"/>
      <c r="G100" s="1209"/>
      <c r="H100" s="1209"/>
      <c r="I100" s="1209"/>
      <c r="J100" s="278"/>
      <c r="K100" s="278"/>
      <c r="L100" s="278"/>
      <c r="M100" s="278"/>
      <c r="N100" s="1209"/>
      <c r="O100" s="1478"/>
      <c r="P100" s="1478"/>
      <c r="Q100" s="1478"/>
      <c r="R100" s="1319"/>
      <c r="S100" s="1319"/>
      <c r="T100" s="1319"/>
      <c r="U100" s="1319"/>
    </row>
    <row r="101" spans="1:28">
      <c r="B101" s="1281"/>
      <c r="C101" s="1281"/>
      <c r="E101" s="1318"/>
      <c r="J101" s="278"/>
      <c r="K101" s="278"/>
      <c r="L101" s="278"/>
      <c r="M101" s="278"/>
      <c r="N101" s="1281"/>
      <c r="Y101" s="1320"/>
    </row>
    <row r="102" spans="1:28" ht="409.6" customHeight="1">
      <c r="B102" s="1281"/>
      <c r="C102" s="1318"/>
      <c r="E102" s="1318"/>
      <c r="J102" s="278"/>
      <c r="K102" s="278"/>
      <c r="L102" s="278"/>
      <c r="M102" s="278"/>
      <c r="N102" s="1281"/>
    </row>
    <row r="103" spans="1:28">
      <c r="B103" s="1281"/>
      <c r="C103" s="1281"/>
      <c r="D103" s="1318"/>
      <c r="E103" s="1318"/>
      <c r="M103" s="1321"/>
      <c r="N103" s="1281"/>
    </row>
    <row r="104" spans="1:28">
      <c r="B104" s="1281"/>
      <c r="C104" s="1318"/>
      <c r="D104" s="1322"/>
      <c r="E104" s="1479"/>
      <c r="F104" s="1318"/>
      <c r="G104" s="1318"/>
      <c r="H104" s="1318"/>
      <c r="I104" s="1318"/>
      <c r="J104" s="278"/>
      <c r="K104" s="278"/>
      <c r="L104" s="278"/>
      <c r="M104" s="278"/>
      <c r="N104" s="1209"/>
    </row>
    <row r="105" spans="1:28">
      <c r="B105" s="1281"/>
      <c r="C105" s="1281"/>
      <c r="E105" s="1479"/>
      <c r="F105" s="1318"/>
      <c r="G105" s="1318"/>
      <c r="H105" s="1318"/>
      <c r="I105" s="1318"/>
      <c r="J105" s="278"/>
      <c r="K105" s="278"/>
      <c r="L105" s="278"/>
      <c r="M105" s="278"/>
      <c r="N105" s="1318"/>
    </row>
    <row r="106" spans="1:28">
      <c r="B106" s="1281"/>
      <c r="C106" s="1281"/>
      <c r="E106" s="1479"/>
      <c r="F106" s="1318"/>
      <c r="G106" s="1318"/>
      <c r="H106" s="1318"/>
      <c r="I106" s="1318"/>
      <c r="J106" s="278"/>
      <c r="K106" s="278"/>
      <c r="L106" s="278"/>
      <c r="M106" s="278"/>
      <c r="N106" s="1281"/>
      <c r="O106" s="1209"/>
      <c r="P106" s="1209"/>
      <c r="Q106" s="1209"/>
      <c r="R106" s="1209"/>
      <c r="S106" s="1209"/>
      <c r="T106" s="1209"/>
      <c r="U106" s="1209"/>
      <c r="V106" s="1209"/>
      <c r="W106" s="1209"/>
      <c r="X106" s="1209"/>
      <c r="Y106" s="1209"/>
      <c r="AB106" s="1318"/>
    </row>
    <row r="107" spans="1:28">
      <c r="B107" s="1281"/>
      <c r="C107" s="1281"/>
      <c r="E107" s="1479"/>
      <c r="F107" s="1318"/>
      <c r="G107" s="1318"/>
      <c r="H107" s="1318"/>
      <c r="I107" s="1318"/>
      <c r="J107" s="278"/>
      <c r="K107" s="278"/>
      <c r="L107" s="278"/>
      <c r="M107" s="278"/>
      <c r="N107" s="1281"/>
      <c r="O107" s="1319"/>
      <c r="P107" s="1319"/>
      <c r="Q107" s="1319"/>
      <c r="R107" s="1319"/>
      <c r="S107" s="1319"/>
      <c r="T107" s="1319"/>
      <c r="U107" s="1319"/>
      <c r="V107" s="1319"/>
      <c r="W107" s="1319"/>
      <c r="X107" s="1319"/>
      <c r="Y107" s="1319"/>
      <c r="AB107" s="1318"/>
    </row>
    <row r="108" spans="1:28">
      <c r="B108" s="1281"/>
      <c r="C108" s="1281"/>
      <c r="E108" s="1318"/>
      <c r="F108" s="1318"/>
      <c r="G108" s="1318"/>
      <c r="H108" s="1318"/>
      <c r="I108" s="1318"/>
      <c r="J108" s="278"/>
      <c r="K108" s="278"/>
      <c r="L108" s="278"/>
      <c r="M108" s="278"/>
      <c r="N108" s="1281"/>
      <c r="O108" s="1319"/>
      <c r="P108" s="1319"/>
      <c r="Q108" s="1319"/>
      <c r="R108" s="1319"/>
      <c r="S108" s="1319"/>
      <c r="T108" s="1319"/>
      <c r="U108" s="1319"/>
      <c r="V108" s="1319"/>
      <c r="W108" s="1319"/>
      <c r="X108" s="1319"/>
      <c r="Y108" s="1319"/>
      <c r="AB108" s="1318"/>
    </row>
    <row r="109" spans="1:28">
      <c r="B109" s="1281"/>
      <c r="C109" s="1281"/>
      <c r="E109" s="1318"/>
      <c r="F109" s="1318"/>
      <c r="G109" s="1318"/>
      <c r="H109" s="1318"/>
      <c r="I109" s="1318"/>
      <c r="J109" s="278"/>
      <c r="K109" s="278"/>
      <c r="L109" s="278"/>
      <c r="M109" s="278"/>
      <c r="N109" s="1281"/>
      <c r="O109" s="1319"/>
      <c r="P109" s="1319"/>
      <c r="Q109" s="1319"/>
      <c r="R109" s="1319"/>
      <c r="S109" s="1319"/>
      <c r="T109" s="1319"/>
      <c r="U109" s="1319"/>
      <c r="V109" s="1319"/>
      <c r="W109" s="1319"/>
      <c r="X109" s="1319"/>
      <c r="Y109" s="1319"/>
      <c r="AB109" s="1318"/>
    </row>
    <row r="110" spans="1:28">
      <c r="B110" s="1281"/>
      <c r="C110" s="1281"/>
      <c r="E110" s="1318"/>
      <c r="F110" s="1318"/>
      <c r="G110" s="1318"/>
      <c r="H110" s="1318"/>
      <c r="I110" s="1318"/>
      <c r="J110" s="278"/>
      <c r="K110" s="278"/>
      <c r="L110" s="278"/>
      <c r="M110" s="278"/>
      <c r="N110" s="1281"/>
      <c r="O110" s="1319"/>
      <c r="P110" s="1319"/>
      <c r="Q110" s="1319"/>
      <c r="R110" s="1319"/>
      <c r="S110" s="1319"/>
      <c r="T110" s="1319"/>
      <c r="U110" s="1319"/>
      <c r="V110" s="1319"/>
      <c r="W110" s="1319"/>
      <c r="X110" s="1319"/>
      <c r="Y110" s="1319"/>
      <c r="AB110" s="1318"/>
    </row>
    <row r="111" spans="1:28">
      <c r="B111" s="1281"/>
      <c r="C111" s="1281"/>
      <c r="E111" s="1318"/>
      <c r="F111" s="1318"/>
      <c r="G111" s="1318"/>
      <c r="H111" s="1318"/>
      <c r="I111" s="1318"/>
      <c r="J111" s="278"/>
      <c r="K111" s="278"/>
      <c r="L111" s="278"/>
      <c r="M111" s="278"/>
      <c r="N111" s="1281"/>
      <c r="O111" s="1319"/>
      <c r="P111" s="1319"/>
      <c r="Q111" s="1319"/>
      <c r="R111" s="1319"/>
      <c r="S111" s="1319"/>
      <c r="T111" s="1319"/>
      <c r="U111" s="1319"/>
      <c r="V111" s="1319"/>
      <c r="W111" s="1319"/>
      <c r="X111" s="1319"/>
      <c r="Y111" s="1319"/>
      <c r="AB111" s="1318"/>
    </row>
    <row r="112" spans="1:28">
      <c r="B112" s="1281"/>
      <c r="C112" s="1281"/>
      <c r="E112" s="1318"/>
      <c r="F112" s="1318"/>
      <c r="G112" s="1318"/>
      <c r="H112" s="1318"/>
      <c r="I112" s="1318"/>
      <c r="J112" s="278"/>
      <c r="K112" s="278"/>
      <c r="L112" s="278"/>
      <c r="M112" s="278"/>
      <c r="N112" s="1281"/>
      <c r="O112" s="1319"/>
      <c r="P112" s="1319"/>
      <c r="Q112" s="1319"/>
      <c r="R112" s="1319"/>
      <c r="S112" s="1319"/>
      <c r="T112" s="1319"/>
      <c r="U112" s="1319"/>
      <c r="V112" s="1319"/>
      <c r="W112" s="1319"/>
      <c r="X112" s="1319"/>
      <c r="Y112" s="1319"/>
      <c r="AB112" s="1318"/>
    </row>
    <row r="113" spans="1:28">
      <c r="B113" s="1281"/>
      <c r="C113" s="1281"/>
      <c r="E113" s="1318"/>
      <c r="F113" s="1318"/>
      <c r="G113" s="1318"/>
      <c r="H113" s="1318"/>
      <c r="I113" s="1318"/>
      <c r="J113" s="278"/>
      <c r="K113" s="278"/>
      <c r="L113" s="278"/>
      <c r="M113" s="278"/>
      <c r="N113" s="1281"/>
      <c r="O113" s="1319"/>
      <c r="P113" s="1319"/>
      <c r="Q113" s="1319"/>
      <c r="R113" s="1319"/>
      <c r="S113" s="1319"/>
      <c r="T113" s="1319"/>
      <c r="U113" s="1319"/>
      <c r="V113" s="1319"/>
      <c r="W113" s="1319"/>
      <c r="X113" s="1319"/>
      <c r="Y113" s="1319"/>
      <c r="AB113" s="1318"/>
    </row>
    <row r="114" spans="1:28">
      <c r="B114" s="1281"/>
      <c r="C114" s="1281"/>
      <c r="E114" s="1281"/>
      <c r="J114" s="278"/>
      <c r="K114" s="278"/>
      <c r="L114" s="278"/>
      <c r="M114" s="278"/>
      <c r="N114" s="1281"/>
      <c r="O114" s="1480"/>
      <c r="P114" s="1480"/>
      <c r="Q114" s="1480"/>
      <c r="R114" s="1321"/>
      <c r="S114" s="1321"/>
      <c r="T114" s="1321"/>
      <c r="U114" s="1321"/>
    </row>
    <row r="115" spans="1:28">
      <c r="B115" s="1281"/>
      <c r="C115" s="1281"/>
      <c r="E115" s="1281"/>
      <c r="J115" s="677"/>
      <c r="K115" s="677"/>
      <c r="L115" s="677"/>
      <c r="M115" s="677"/>
      <c r="N115" s="1281"/>
    </row>
    <row r="116" spans="1:28">
      <c r="B116" s="1281"/>
      <c r="C116" s="1281"/>
      <c r="E116" s="1318"/>
      <c r="J116" s="278"/>
      <c r="K116" s="278"/>
      <c r="L116" s="278"/>
      <c r="M116" s="278"/>
      <c r="N116" s="1281"/>
    </row>
    <row r="117" spans="1:28">
      <c r="B117" s="1281"/>
      <c r="C117" s="1281"/>
      <c r="E117" s="1318"/>
      <c r="J117" s="278"/>
      <c r="K117" s="278"/>
      <c r="L117" s="278"/>
      <c r="M117" s="278"/>
      <c r="N117" s="1281"/>
    </row>
    <row r="118" spans="1:28">
      <c r="B118" s="1281"/>
      <c r="C118" s="1281"/>
      <c r="E118" s="1318"/>
      <c r="J118" s="278"/>
      <c r="K118" s="278"/>
      <c r="L118" s="278"/>
      <c r="M118" s="278"/>
      <c r="N118" s="1281"/>
    </row>
    <row r="119" spans="1:28">
      <c r="A119" s="1281"/>
      <c r="J119" s="278"/>
      <c r="K119" s="278"/>
      <c r="L119" s="278"/>
      <c r="M119" s="278"/>
    </row>
    <row r="120" spans="1:28">
      <c r="A120" s="1281"/>
      <c r="J120" s="278"/>
      <c r="K120" s="278"/>
      <c r="L120" s="278"/>
      <c r="M120" s="278"/>
    </row>
    <row r="121" spans="1:28">
      <c r="A121" s="1281"/>
      <c r="J121" s="278"/>
      <c r="K121" s="278"/>
      <c r="L121" s="278"/>
      <c r="M121" s="278"/>
      <c r="AB121" s="1321"/>
    </row>
    <row r="122" spans="1:28">
      <c r="A122" s="1281"/>
      <c r="J122" s="278"/>
      <c r="K122" s="278"/>
      <c r="L122" s="278"/>
      <c r="M122" s="278"/>
      <c r="AB122" s="1321"/>
    </row>
    <row r="123" spans="1:28">
      <c r="A123" s="1281"/>
      <c r="J123" s="278"/>
      <c r="K123" s="278"/>
      <c r="L123" s="278"/>
      <c r="M123" s="278"/>
      <c r="AB123" s="1321"/>
    </row>
    <row r="124" spans="1:28" ht="28.5" customHeight="1">
      <c r="A124" s="1281"/>
      <c r="B124" s="1342"/>
      <c r="J124" s="1481"/>
      <c r="K124" s="1481"/>
      <c r="L124" s="1481"/>
      <c r="M124" s="1481"/>
      <c r="V124" s="1480"/>
      <c r="W124" s="1480"/>
      <c r="X124" s="1480"/>
      <c r="Y124" s="1480"/>
    </row>
    <row r="125" spans="1:28">
      <c r="A125" s="1281"/>
      <c r="B125" s="1327"/>
      <c r="F125" s="1318"/>
      <c r="G125" s="1318"/>
      <c r="H125" s="1318"/>
      <c r="I125" s="1318"/>
      <c r="J125" s="278"/>
      <c r="K125" s="278"/>
      <c r="L125" s="278"/>
      <c r="M125" s="278"/>
    </row>
    <row r="126" spans="1:28">
      <c r="A126" s="1281"/>
      <c r="B126" s="1327"/>
      <c r="E126" s="1281"/>
      <c r="J126" s="278"/>
      <c r="K126" s="278"/>
      <c r="L126" s="278"/>
      <c r="M126" s="311"/>
    </row>
    <row r="127" spans="1:28">
      <c r="A127" s="1281"/>
      <c r="B127" s="1327"/>
      <c r="J127" s="278"/>
      <c r="K127" s="278"/>
      <c r="L127" s="278"/>
      <c r="M127" s="311"/>
    </row>
    <row r="128" spans="1:28">
      <c r="A128" s="1281"/>
      <c r="J128" s="278"/>
      <c r="K128" s="278"/>
      <c r="L128" s="278"/>
      <c r="M128" s="311"/>
    </row>
    <row r="129" spans="2:16" s="1281" customFormat="1">
      <c r="B129" s="1321"/>
      <c r="C129" s="1323"/>
      <c r="E129" s="310"/>
      <c r="F129" s="1481"/>
      <c r="G129" s="1481"/>
      <c r="H129" s="1481"/>
      <c r="I129" s="1481"/>
      <c r="J129" s="1481"/>
      <c r="K129" s="677"/>
      <c r="L129" s="677"/>
      <c r="M129" s="311"/>
      <c r="N129" s="277"/>
    </row>
    <row r="131" spans="2:16" s="1281" customFormat="1">
      <c r="B131" s="1321"/>
      <c r="C131" s="1323"/>
      <c r="E131" s="310"/>
      <c r="J131" s="1476"/>
      <c r="K131" s="1476"/>
      <c r="L131" s="1476"/>
      <c r="M131" s="1476"/>
      <c r="N131" s="277"/>
    </row>
    <row r="133" spans="2:16" s="1281" customFormat="1">
      <c r="B133" s="1321"/>
      <c r="C133" s="1323"/>
      <c r="E133" s="310"/>
      <c r="F133" s="1318"/>
      <c r="G133" s="1318"/>
      <c r="H133" s="1318"/>
      <c r="I133" s="1318"/>
      <c r="J133" s="278"/>
      <c r="K133" s="278"/>
      <c r="L133" s="278"/>
      <c r="M133" s="276"/>
      <c r="N133" s="277"/>
    </row>
    <row r="134" spans="2:16" s="1281" customFormat="1">
      <c r="B134" s="1321"/>
      <c r="C134" s="1323"/>
      <c r="E134" s="310"/>
      <c r="J134" s="275"/>
      <c r="K134" s="275"/>
      <c r="L134" s="275"/>
      <c r="M134" s="276"/>
      <c r="N134" s="277"/>
      <c r="O134" s="1318"/>
      <c r="P134" s="1318"/>
    </row>
    <row r="138" spans="2:16" s="1281" customFormat="1">
      <c r="B138" s="1321"/>
      <c r="C138" s="1323"/>
      <c r="E138" s="310"/>
      <c r="F138" s="1318"/>
      <c r="G138" s="1318"/>
      <c r="H138" s="1318"/>
      <c r="I138" s="1318"/>
      <c r="J138" s="275"/>
      <c r="K138" s="275"/>
      <c r="L138" s="275"/>
      <c r="M138" s="276"/>
      <c r="N138" s="277"/>
    </row>
    <row r="139" spans="2:16" s="1281" customFormat="1">
      <c r="F139" s="1318"/>
      <c r="G139" s="1318"/>
      <c r="H139" s="1318"/>
      <c r="I139" s="1318"/>
      <c r="J139" s="275"/>
      <c r="K139" s="275"/>
      <c r="L139" s="275"/>
      <c r="M139" s="276"/>
      <c r="N139" s="277"/>
    </row>
    <row r="145" spans="10:25" s="1281" customFormat="1">
      <c r="J145" s="275"/>
      <c r="K145" s="275"/>
      <c r="L145" s="275"/>
      <c r="M145" s="276">
        <v>1678</v>
      </c>
      <c r="N145" s="277">
        <v>1573</v>
      </c>
      <c r="O145" s="1281">
        <v>1187</v>
      </c>
      <c r="Q145" s="1281">
        <v>1183</v>
      </c>
      <c r="Y145" s="1281">
        <f>SUM(M145:Q145)</f>
        <v>5621</v>
      </c>
    </row>
    <row r="146" spans="10:25" s="1281" customFormat="1">
      <c r="J146" s="275"/>
      <c r="K146" s="275"/>
      <c r="L146" s="275"/>
      <c r="M146" s="276">
        <v>257</v>
      </c>
      <c r="N146" s="277">
        <v>244</v>
      </c>
      <c r="O146" s="1281">
        <v>183</v>
      </c>
      <c r="Q146" s="1281">
        <v>182</v>
      </c>
      <c r="Y146" s="1281">
        <f>SUM(M146:Q146)</f>
        <v>866</v>
      </c>
    </row>
    <row r="147" spans="10:25" s="1281" customFormat="1">
      <c r="J147" s="275"/>
      <c r="K147" s="275"/>
      <c r="L147" s="275"/>
      <c r="M147" s="276">
        <v>1935</v>
      </c>
      <c r="N147" s="277">
        <v>1817</v>
      </c>
      <c r="O147" s="1281">
        <v>1370</v>
      </c>
      <c r="Q147" s="1281">
        <v>1365</v>
      </c>
      <c r="Y147" s="1281">
        <f>SUM(M147:Q147)</f>
        <v>6487</v>
      </c>
    </row>
  </sheetData>
  <mergeCells count="36">
    <mergeCell ref="A1:AB1"/>
    <mergeCell ref="A5:J5"/>
    <mergeCell ref="A9:AB9"/>
    <mergeCell ref="A87:AB87"/>
    <mergeCell ref="U85:AB85"/>
    <mergeCell ref="A83:D83"/>
    <mergeCell ref="A11:AB11"/>
    <mergeCell ref="C12:D12"/>
    <mergeCell ref="C13:D13"/>
    <mergeCell ref="A14:A16"/>
    <mergeCell ref="B14:B16"/>
    <mergeCell ref="C14:C16"/>
    <mergeCell ref="A2:AB2"/>
    <mergeCell ref="D14:D16"/>
    <mergeCell ref="A3:AB3"/>
    <mergeCell ref="A6:J6"/>
    <mergeCell ref="F129:J129"/>
    <mergeCell ref="J131:M131"/>
    <mergeCell ref="O114:Q114"/>
    <mergeCell ref="J124:M124"/>
    <mergeCell ref="V124:Y124"/>
    <mergeCell ref="Z13:AA13"/>
    <mergeCell ref="E104:E107"/>
    <mergeCell ref="A84:AB84"/>
    <mergeCell ref="O100:Q100"/>
    <mergeCell ref="Z96:AB96"/>
    <mergeCell ref="E14:Y14"/>
    <mergeCell ref="E15:F15"/>
    <mergeCell ref="G15:N15"/>
    <mergeCell ref="Y86:AB86"/>
    <mergeCell ref="N96:V96"/>
    <mergeCell ref="A96:E96"/>
    <mergeCell ref="O15:Y15"/>
    <mergeCell ref="AA14:AA16"/>
    <mergeCell ref="AB14:AB16"/>
    <mergeCell ref="Z14:Z16"/>
  </mergeCells>
  <printOptions horizontalCentered="1"/>
  <pageMargins left="0.196850393700787" right="0.196850393700787" top="0.23622047244094499" bottom="0.196850393700787" header="0.15748031496063" footer="0.196850393700787"/>
  <pageSetup paperSize="9" scale="43" fitToHeight="0" orientation="landscape" r:id="rId1"/>
  <headerFooter>
    <oddFooter>&amp;R&amp;P</oddFooter>
  </headerFooter>
  <colBreaks count="1" manualBreakCount="1">
    <brk id="28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220"/>
  <sheetViews>
    <sheetView tabSelected="1" topLeftCell="A11" zoomScale="50" zoomScaleNormal="50" zoomScaleSheetLayoutView="55" workbookViewId="0">
      <pane ySplit="5" topLeftCell="A157" activePane="bottomLeft" state="frozen"/>
      <selection activeCell="A11" sqref="A11"/>
      <selection pane="bottomLeft" activeCell="F164" sqref="F164:F165"/>
    </sheetView>
  </sheetViews>
  <sheetFormatPr defaultColWidth="9.42578125" defaultRowHeight="48" customHeight="1"/>
  <cols>
    <col min="1" max="1" width="6.28515625" style="548" customWidth="1"/>
    <col min="2" max="2" width="6" style="1193" customWidth="1"/>
    <col min="3" max="3" width="10.5703125" style="1194" customWidth="1"/>
    <col min="4" max="4" width="15.7109375" style="1195" customWidth="1"/>
    <col min="5" max="5" width="10.140625" style="548" customWidth="1"/>
    <col min="6" max="6" width="14.7109375" style="549" customWidth="1"/>
    <col min="7" max="7" width="16.85546875" style="548" customWidth="1"/>
    <col min="8" max="8" width="14" style="548" customWidth="1"/>
    <col min="9" max="9" width="11.140625" style="548" hidden="1" customWidth="1"/>
    <col min="10" max="10" width="12.42578125" style="548" customWidth="1"/>
    <col min="11" max="13" width="16.42578125" style="550" customWidth="1"/>
    <col min="14" max="14" width="13.140625" style="681" customWidth="1"/>
    <col min="15" max="15" width="17.7109375" style="551" customWidth="1"/>
    <col min="16" max="17" width="13" style="548" customWidth="1"/>
    <col min="18" max="18" width="12.85546875" style="548" hidden="1" customWidth="1"/>
    <col min="19" max="19" width="12.85546875" style="548" customWidth="1"/>
    <col min="20" max="21" width="12.85546875" style="548" hidden="1" customWidth="1"/>
    <col min="22" max="22" width="16.42578125" style="548" hidden="1" customWidth="1"/>
    <col min="23" max="23" width="12.28515625" style="548" customWidth="1"/>
    <col min="24" max="25" width="11.5703125" style="548" hidden="1" customWidth="1"/>
    <col min="26" max="26" width="17.42578125" style="548" customWidth="1"/>
    <col min="27" max="27" width="20.42578125" style="548" customWidth="1"/>
    <col min="28" max="28" width="15.85546875" style="548" hidden="1" customWidth="1"/>
    <col min="29" max="29" width="19" style="548" customWidth="1"/>
    <col min="30" max="30" width="13" style="548" hidden="1" customWidth="1"/>
    <col min="31" max="31" width="14.5703125" style="548" customWidth="1"/>
    <col min="32" max="32" width="16.7109375" style="548" customWidth="1"/>
    <col min="33" max="33" width="27.42578125" style="464" customWidth="1"/>
    <col min="34" max="34" width="23.42578125" style="464" customWidth="1"/>
    <col min="35" max="35" width="16" style="464" customWidth="1"/>
    <col min="36" max="36" width="14.5703125" style="464" customWidth="1"/>
    <col min="37" max="37" width="11.5703125" style="464" bestFit="1" customWidth="1"/>
    <col min="38" max="38" width="16.140625" style="464" customWidth="1"/>
    <col min="39" max="39" width="9.42578125" style="464"/>
    <col min="40" max="40" width="16" style="464" customWidth="1"/>
    <col min="41" max="16384" width="9.42578125" style="548"/>
  </cols>
  <sheetData>
    <row r="1" spans="1:40" ht="10.5" customHeight="1"/>
    <row r="2" spans="1:40" ht="17.25" customHeight="1">
      <c r="AG2" s="1537" t="s">
        <v>383</v>
      </c>
      <c r="AH2" s="1537"/>
    </row>
    <row r="3" spans="1:40" ht="25.5" customHeight="1">
      <c r="B3" s="1538" t="s">
        <v>51</v>
      </c>
      <c r="C3" s="1538"/>
      <c r="D3" s="1538"/>
      <c r="E3" s="1538"/>
      <c r="F3" s="1538"/>
      <c r="G3" s="1538"/>
      <c r="H3" s="1538"/>
      <c r="I3" s="1538"/>
      <c r="J3" s="1538"/>
      <c r="K3" s="1538"/>
      <c r="L3" s="1538"/>
      <c r="M3" s="1538"/>
      <c r="N3" s="1538"/>
      <c r="O3" s="1538"/>
      <c r="P3" s="1538"/>
      <c r="Q3" s="1538"/>
      <c r="R3" s="1538"/>
      <c r="S3" s="1538"/>
      <c r="T3" s="1538"/>
      <c r="U3" s="1538"/>
      <c r="V3" s="1538"/>
      <c r="W3" s="1538"/>
      <c r="X3" s="1538"/>
      <c r="Y3" s="1538"/>
      <c r="Z3" s="1538"/>
      <c r="AA3" s="1538"/>
      <c r="AB3" s="1538"/>
      <c r="AC3" s="1538"/>
      <c r="AD3" s="1538"/>
      <c r="AE3" s="1538"/>
      <c r="AF3" s="678"/>
      <c r="AG3" s="1196" t="s">
        <v>32</v>
      </c>
      <c r="AH3" s="552">
        <v>368.4</v>
      </c>
    </row>
    <row r="4" spans="1:40" ht="25.5" customHeight="1">
      <c r="B4" s="1538" t="s">
        <v>38</v>
      </c>
      <c r="C4" s="1538"/>
      <c r="D4" s="1538"/>
      <c r="E4" s="1538"/>
      <c r="F4" s="1538"/>
      <c r="G4" s="1538"/>
      <c r="H4" s="1538"/>
      <c r="I4" s="1538"/>
      <c r="J4" s="1538"/>
      <c r="K4" s="1538"/>
      <c r="L4" s="1538"/>
      <c r="M4" s="1538"/>
      <c r="N4" s="1538"/>
      <c r="O4" s="1538"/>
      <c r="P4" s="1538"/>
      <c r="Q4" s="1538"/>
      <c r="R4" s="1538"/>
      <c r="S4" s="1538"/>
      <c r="T4" s="1538"/>
      <c r="U4" s="1538"/>
      <c r="V4" s="1538"/>
      <c r="W4" s="1538"/>
      <c r="X4" s="1538"/>
      <c r="Y4" s="1538"/>
      <c r="Z4" s="1538"/>
      <c r="AA4" s="1538"/>
      <c r="AB4" s="1538"/>
      <c r="AC4" s="1538"/>
      <c r="AD4" s="1538"/>
      <c r="AE4" s="1538"/>
      <c r="AF4" s="678"/>
      <c r="AG4" s="1196" t="s">
        <v>369</v>
      </c>
      <c r="AH4" s="1197">
        <v>146.995</v>
      </c>
    </row>
    <row r="5" spans="1:40" ht="25.5" customHeight="1">
      <c r="B5" s="1533" t="s">
        <v>254</v>
      </c>
      <c r="C5" s="1533"/>
      <c r="D5" s="1533"/>
      <c r="E5" s="1533"/>
      <c r="F5" s="1533"/>
      <c r="G5" s="1533"/>
      <c r="H5" s="1533"/>
      <c r="I5" s="1533"/>
      <c r="J5" s="1533"/>
      <c r="K5" s="1533"/>
      <c r="L5" s="1533"/>
      <c r="M5" s="1533"/>
      <c r="N5" s="1533"/>
      <c r="O5" s="1533"/>
      <c r="P5" s="1533"/>
      <c r="Q5" s="1533"/>
      <c r="R5" s="1533"/>
      <c r="S5" s="1533"/>
      <c r="T5" s="1533"/>
      <c r="U5" s="1533"/>
      <c r="V5" s="1533"/>
      <c r="W5" s="1533"/>
      <c r="X5" s="1533"/>
      <c r="Y5" s="1533"/>
      <c r="Z5" s="1533"/>
      <c r="AA5" s="1533"/>
      <c r="AB5" s="1533"/>
      <c r="AC5" s="1533"/>
      <c r="AD5" s="1533"/>
      <c r="AE5" s="1533"/>
      <c r="AF5" s="1199"/>
      <c r="AG5" s="1200" t="s">
        <v>370</v>
      </c>
    </row>
    <row r="6" spans="1:40" ht="25.5" customHeight="1">
      <c r="B6" s="1539" t="s">
        <v>510</v>
      </c>
      <c r="C6" s="1539"/>
      <c r="D6" s="1539"/>
      <c r="E6" s="1539"/>
      <c r="F6" s="1539"/>
      <c r="G6" s="1539"/>
      <c r="H6" s="1539"/>
      <c r="I6" s="1198"/>
      <c r="J6" s="1198"/>
      <c r="K6" s="725"/>
      <c r="L6" s="725"/>
      <c r="M6" s="725"/>
      <c r="N6" s="725"/>
      <c r="O6" s="725"/>
      <c r="P6" s="725"/>
      <c r="Q6" s="725"/>
      <c r="R6" s="725"/>
      <c r="S6" s="725"/>
      <c r="T6" s="725"/>
      <c r="U6" s="725"/>
      <c r="V6" s="725"/>
      <c r="W6" s="725"/>
      <c r="X6" s="725"/>
      <c r="Y6" s="725"/>
      <c r="Z6" s="726"/>
      <c r="AA6" s="726"/>
      <c r="AB6" s="726"/>
      <c r="AC6" s="726"/>
      <c r="AD6" s="726"/>
      <c r="AE6" s="1201"/>
      <c r="AG6" s="1532" t="s">
        <v>113</v>
      </c>
      <c r="AH6" s="1532"/>
      <c r="AI6" s="1532" t="s">
        <v>93</v>
      </c>
      <c r="AJ6" s="1532"/>
      <c r="AK6" s="1532" t="s">
        <v>114</v>
      </c>
      <c r="AL6" s="1532"/>
      <c r="AM6" s="1532" t="s">
        <v>94</v>
      </c>
      <c r="AN6" s="1532"/>
    </row>
    <row r="7" spans="1:40" ht="25.5" customHeight="1">
      <c r="B7" s="1533" t="s">
        <v>497</v>
      </c>
      <c r="C7" s="1533"/>
      <c r="D7" s="1533"/>
      <c r="E7" s="1533"/>
      <c r="F7" s="1533"/>
      <c r="G7" s="1533"/>
      <c r="H7" s="1533"/>
      <c r="I7" s="1198"/>
      <c r="J7" s="1198"/>
      <c r="K7" s="725"/>
      <c r="L7" s="725"/>
      <c r="M7" s="725"/>
      <c r="N7" s="725"/>
      <c r="O7" s="725"/>
      <c r="P7" s="725"/>
      <c r="Q7" s="725"/>
      <c r="R7" s="725"/>
      <c r="S7" s="725"/>
      <c r="T7" s="725"/>
      <c r="U7" s="725"/>
      <c r="V7" s="725"/>
      <c r="W7" s="725"/>
      <c r="X7" s="725"/>
      <c r="Y7" s="725"/>
      <c r="Z7" s="726"/>
      <c r="AA7" s="726"/>
      <c r="AB7" s="726"/>
      <c r="AC7" s="726"/>
      <c r="AD7" s="726"/>
      <c r="AE7" s="1201"/>
      <c r="AG7" s="1202" t="s">
        <v>32</v>
      </c>
      <c r="AH7" s="1203">
        <f>'SẢN LƯỢNG'!$AK$16</f>
        <v>292536</v>
      </c>
      <c r="AI7" s="1202" t="s">
        <v>32</v>
      </c>
      <c r="AJ7" s="1203" t="e">
        <f>'SẢN LƯỢNG'!#REF!</f>
        <v>#REF!</v>
      </c>
      <c r="AK7" s="1202" t="s">
        <v>32</v>
      </c>
      <c r="AL7" s="1203">
        <f>'SẢN LƯỢNG'!AK98</f>
        <v>231746</v>
      </c>
      <c r="AM7" s="1202" t="s">
        <v>32</v>
      </c>
      <c r="AN7" s="1203" t="e">
        <f>'SẢN LƯỢNG'!#REF!</f>
        <v>#REF!</v>
      </c>
    </row>
    <row r="8" spans="1:40" ht="22.5" customHeight="1">
      <c r="B8" s="1198"/>
      <c r="C8" s="1198"/>
      <c r="D8" s="1198"/>
      <c r="E8" s="1198"/>
      <c r="F8" s="1198"/>
      <c r="G8" s="1204"/>
      <c r="H8" s="1204"/>
      <c r="I8" s="1204"/>
      <c r="J8" s="1204"/>
      <c r="K8" s="725"/>
      <c r="L8" s="725"/>
      <c r="M8" s="725"/>
      <c r="N8" s="725"/>
      <c r="O8" s="725"/>
      <c r="P8" s="725"/>
      <c r="Q8" s="725"/>
      <c r="R8" s="725"/>
      <c r="S8" s="725"/>
      <c r="T8" s="725"/>
      <c r="U8" s="725"/>
      <c r="V8" s="725"/>
      <c r="W8" s="725"/>
      <c r="X8" s="725"/>
      <c r="Y8" s="725"/>
      <c r="Z8" s="726"/>
      <c r="AA8" s="727">
        <f>AH4/AH3</f>
        <v>0.39900922909880571</v>
      </c>
      <c r="AB8" s="726"/>
      <c r="AC8" s="726"/>
      <c r="AD8" s="726"/>
      <c r="AE8" s="1201"/>
      <c r="AG8" s="1202" t="s">
        <v>369</v>
      </c>
      <c r="AH8" s="1203">
        <f>'SẢN LƯỢNG'!AM16</f>
        <v>129136.23099999997</v>
      </c>
      <c r="AI8" s="1202" t="s">
        <v>369</v>
      </c>
      <c r="AJ8" s="1203" t="e">
        <f>'SẢN LƯỢNG'!#REF!</f>
        <v>#REF!</v>
      </c>
      <c r="AK8" s="1202" t="s">
        <v>369</v>
      </c>
      <c r="AL8" s="1203">
        <f>'SẢN LƯỢNG'!AM98</f>
        <v>101371.57699999999</v>
      </c>
      <c r="AM8" s="1202" t="s">
        <v>369</v>
      </c>
      <c r="AN8" s="1203" t="e">
        <f>'SẢN LƯỢNG'!#REF!</f>
        <v>#REF!</v>
      </c>
    </row>
    <row r="9" spans="1:40" s="1205" customFormat="1" ht="32.25" customHeight="1">
      <c r="B9" s="1497" t="s">
        <v>748</v>
      </c>
      <c r="C9" s="1497"/>
      <c r="D9" s="1497"/>
      <c r="E9" s="1497"/>
      <c r="F9" s="1497"/>
      <c r="G9" s="1497"/>
      <c r="H9" s="1497"/>
      <c r="I9" s="1497"/>
      <c r="J9" s="1497"/>
      <c r="K9" s="1497"/>
      <c r="L9" s="1497"/>
      <c r="M9" s="1497"/>
      <c r="N9" s="1497"/>
      <c r="O9" s="1497"/>
      <c r="P9" s="1497"/>
      <c r="Q9" s="1497"/>
      <c r="R9" s="1497"/>
      <c r="S9" s="1497"/>
      <c r="T9" s="1497"/>
      <c r="U9" s="1497"/>
      <c r="V9" s="1497"/>
      <c r="W9" s="1497"/>
      <c r="X9" s="1497"/>
      <c r="Y9" s="1497"/>
      <c r="Z9" s="1497"/>
      <c r="AA9" s="1497"/>
      <c r="AB9" s="1497"/>
      <c r="AC9" s="1497"/>
      <c r="AD9" s="1497"/>
      <c r="AE9" s="1497"/>
      <c r="AF9" s="1206"/>
      <c r="AG9" s="1200" t="s">
        <v>370</v>
      </c>
      <c r="AH9" s="664">
        <v>0.5</v>
      </c>
      <c r="AI9" s="1207" t="s">
        <v>370</v>
      </c>
      <c r="AJ9" s="664">
        <v>0.5</v>
      </c>
      <c r="AK9" s="1207" t="s">
        <v>370</v>
      </c>
      <c r="AL9" s="664">
        <v>0.5</v>
      </c>
      <c r="AM9" s="1207" t="s">
        <v>370</v>
      </c>
      <c r="AN9" s="664">
        <v>0.5</v>
      </c>
    </row>
    <row r="10" spans="1:40" s="1205" customFormat="1" ht="18.75" customHeight="1">
      <c r="B10" s="917"/>
      <c r="C10" s="1208"/>
      <c r="F10" s="1209">
        <v>611</v>
      </c>
      <c r="G10" s="1210"/>
      <c r="N10" s="1208"/>
      <c r="O10" s="1208"/>
      <c r="P10" s="1208"/>
      <c r="Q10" s="1208"/>
      <c r="R10" s="1208"/>
      <c r="S10" s="1208"/>
      <c r="T10" s="1208"/>
      <c r="U10" s="1208"/>
      <c r="V10" s="1208"/>
      <c r="W10" s="1208"/>
      <c r="X10" s="1208"/>
      <c r="Y10" s="1208"/>
      <c r="Z10" s="1198" t="s">
        <v>503</v>
      </c>
      <c r="AA10" s="1198"/>
      <c r="AB10" s="1198"/>
      <c r="AC10" s="1198" t="s">
        <v>504</v>
      </c>
      <c r="AD10" s="1198" t="s">
        <v>384</v>
      </c>
      <c r="AE10" s="1198"/>
      <c r="AF10" s="1198"/>
      <c r="AG10" s="1200" t="s">
        <v>371</v>
      </c>
      <c r="AH10" s="664">
        <v>0.2</v>
      </c>
      <c r="AI10" s="1207" t="s">
        <v>371</v>
      </c>
      <c r="AJ10" s="664">
        <v>0.2</v>
      </c>
      <c r="AK10" s="1207" t="s">
        <v>371</v>
      </c>
      <c r="AL10" s="664">
        <v>0.2</v>
      </c>
      <c r="AM10" s="1207" t="s">
        <v>371</v>
      </c>
      <c r="AN10" s="664">
        <v>0.2</v>
      </c>
    </row>
    <row r="11" spans="1:40" ht="24" customHeight="1">
      <c r="B11" s="1211"/>
      <c r="C11" s="1212"/>
      <c r="D11" s="1534" t="s">
        <v>258</v>
      </c>
      <c r="E11" s="1534"/>
      <c r="F11" s="1213">
        <v>659.96</v>
      </c>
      <c r="G11" s="1214"/>
      <c r="H11" s="1214"/>
      <c r="I11" s="1214"/>
      <c r="J11" s="1214"/>
      <c r="K11" s="553"/>
      <c r="L11" s="553"/>
      <c r="M11" s="553"/>
      <c r="N11" s="554"/>
      <c r="O11" s="555"/>
      <c r="P11" s="556"/>
      <c r="Q11" s="556"/>
      <c r="R11" s="556"/>
      <c r="S11" s="556"/>
      <c r="T11" s="556"/>
      <c r="U11" s="556"/>
      <c r="V11" s="556"/>
      <c r="W11" s="556"/>
      <c r="X11" s="556"/>
      <c r="Y11" s="556"/>
      <c r="Z11" s="1215">
        <f>AH8/AH7</f>
        <v>0.44143705731944094</v>
      </c>
      <c r="AA11" s="1535"/>
      <c r="AB11" s="1535"/>
      <c r="AC11" s="874">
        <f>AL8/AL7</f>
        <v>0.4374253579349805</v>
      </c>
      <c r="AD11" s="1216"/>
      <c r="AE11" s="1216"/>
      <c r="AF11" s="1216"/>
    </row>
    <row r="12" spans="1:40" s="1220" customFormat="1" ht="24.75" customHeight="1">
      <c r="A12" s="1528" t="s">
        <v>4</v>
      </c>
      <c r="B12" s="1528"/>
      <c r="C12" s="1528" t="s">
        <v>80</v>
      </c>
      <c r="D12" s="1530" t="s">
        <v>13</v>
      </c>
      <c r="E12" s="1528" t="s">
        <v>17</v>
      </c>
      <c r="F12" s="1540" t="s">
        <v>18</v>
      </c>
      <c r="G12" s="1540"/>
      <c r="H12" s="1540"/>
      <c r="I12" s="1540"/>
      <c r="J12" s="1540"/>
      <c r="K12" s="1540"/>
      <c r="L12" s="1540"/>
      <c r="M12" s="1540"/>
      <c r="N12" s="1540"/>
      <c r="O12" s="1540"/>
      <c r="P12" s="1540"/>
      <c r="Q12" s="1540"/>
      <c r="R12" s="1540"/>
      <c r="S12" s="1540"/>
      <c r="T12" s="1540"/>
      <c r="U12" s="1540"/>
      <c r="V12" s="1540"/>
      <c r="W12" s="1540"/>
      <c r="X12" s="1540"/>
      <c r="Y12" s="1540"/>
      <c r="Z12" s="1540"/>
      <c r="AA12" s="1531" t="s">
        <v>321</v>
      </c>
      <c r="AB12" s="1531" t="s">
        <v>131</v>
      </c>
      <c r="AC12" s="1531" t="s">
        <v>323</v>
      </c>
      <c r="AD12" s="557" t="s">
        <v>19</v>
      </c>
      <c r="AE12" s="1529" t="s">
        <v>62</v>
      </c>
      <c r="AF12" s="1218"/>
      <c r="AG12" s="1219"/>
      <c r="AH12" s="1219"/>
      <c r="AI12" s="1219"/>
      <c r="AJ12" s="1219"/>
      <c r="AK12" s="1219"/>
      <c r="AL12" s="1219"/>
      <c r="AM12" s="1219"/>
      <c r="AN12" s="1219"/>
    </row>
    <row r="13" spans="1:40" s="1220" customFormat="1" ht="39" customHeight="1">
      <c r="A13" s="1528"/>
      <c r="B13" s="1528"/>
      <c r="C13" s="1528"/>
      <c r="D13" s="1530"/>
      <c r="E13" s="1528"/>
      <c r="F13" s="1528" t="s">
        <v>322</v>
      </c>
      <c r="G13" s="1528"/>
      <c r="H13" s="1531" t="s">
        <v>21</v>
      </c>
      <c r="I13" s="1531"/>
      <c r="J13" s="1531"/>
      <c r="K13" s="1531"/>
      <c r="L13" s="1531"/>
      <c r="M13" s="1531"/>
      <c r="N13" s="1531"/>
      <c r="O13" s="1531"/>
      <c r="P13" s="1531" t="s">
        <v>22</v>
      </c>
      <c r="Q13" s="1531"/>
      <c r="R13" s="1531"/>
      <c r="S13" s="1531"/>
      <c r="T13" s="1531"/>
      <c r="U13" s="1531"/>
      <c r="V13" s="1531"/>
      <c r="W13" s="1531"/>
      <c r="X13" s="1531"/>
      <c r="Y13" s="1531"/>
      <c r="Z13" s="1531"/>
      <c r="AA13" s="1531"/>
      <c r="AB13" s="1531"/>
      <c r="AC13" s="1531"/>
      <c r="AD13" s="557"/>
      <c r="AE13" s="1529"/>
      <c r="AF13" s="1218"/>
      <c r="AG13" s="1219"/>
      <c r="AH13" s="1219"/>
      <c r="AI13" s="1219"/>
      <c r="AJ13" s="1219"/>
      <c r="AK13" s="1219"/>
      <c r="AL13" s="1219"/>
      <c r="AM13" s="1219"/>
      <c r="AN13" s="1219"/>
    </row>
    <row r="14" spans="1:40" s="1224" customFormat="1" ht="94.5" customHeight="1">
      <c r="A14" s="1528"/>
      <c r="B14" s="1528"/>
      <c r="C14" s="1528"/>
      <c r="D14" s="1530"/>
      <c r="E14" s="1528"/>
      <c r="F14" s="784" t="s">
        <v>66</v>
      </c>
      <c r="G14" s="1217" t="s">
        <v>23</v>
      </c>
      <c r="H14" s="1217" t="s">
        <v>320</v>
      </c>
      <c r="I14" s="1217" t="s">
        <v>363</v>
      </c>
      <c r="J14" s="558" t="s">
        <v>372</v>
      </c>
      <c r="K14" s="790" t="s">
        <v>364</v>
      </c>
      <c r="L14" s="1221" t="s">
        <v>857</v>
      </c>
      <c r="M14" s="1221" t="s">
        <v>856</v>
      </c>
      <c r="N14" s="775" t="s">
        <v>24</v>
      </c>
      <c r="O14" s="775" t="s">
        <v>25</v>
      </c>
      <c r="P14" s="785" t="s">
        <v>385</v>
      </c>
      <c r="Q14" s="1222" t="s">
        <v>410</v>
      </c>
      <c r="R14" s="1222" t="s">
        <v>411</v>
      </c>
      <c r="S14" s="1222" t="s">
        <v>412</v>
      </c>
      <c r="T14" s="1222" t="s">
        <v>413</v>
      </c>
      <c r="U14" s="1222" t="s">
        <v>414</v>
      </c>
      <c r="V14" s="1222" t="s">
        <v>470</v>
      </c>
      <c r="W14" s="559" t="s">
        <v>757</v>
      </c>
      <c r="X14" s="559" t="s">
        <v>465</v>
      </c>
      <c r="Y14" s="559"/>
      <c r="Z14" s="557" t="s">
        <v>16</v>
      </c>
      <c r="AA14" s="1531"/>
      <c r="AB14" s="1531"/>
      <c r="AC14" s="1531"/>
      <c r="AD14" s="557"/>
      <c r="AE14" s="1529"/>
      <c r="AF14" s="1218"/>
      <c r="AG14" s="1223"/>
      <c r="AH14" s="1223"/>
      <c r="AI14" s="1223"/>
      <c r="AJ14" s="1223"/>
      <c r="AK14" s="1223"/>
      <c r="AL14" s="1223"/>
      <c r="AM14" s="1223"/>
      <c r="AN14" s="1223"/>
    </row>
    <row r="15" spans="1:40" s="1220" customFormat="1" ht="33.75" customHeight="1">
      <c r="A15" s="1529" t="s">
        <v>498</v>
      </c>
      <c r="B15" s="1529"/>
      <c r="C15" s="1529"/>
      <c r="D15" s="1529"/>
      <c r="E15" s="1529"/>
      <c r="F15" s="560">
        <f t="shared" ref="F15:AC15" si="0" xml:space="preserve"> SUM(F16:F99)</f>
        <v>0</v>
      </c>
      <c r="G15" s="560">
        <f t="shared" si="0"/>
        <v>0</v>
      </c>
      <c r="H15" s="560">
        <f t="shared" si="0"/>
        <v>292536</v>
      </c>
      <c r="I15" s="560">
        <f t="shared" si="0"/>
        <v>0</v>
      </c>
      <c r="J15" s="560">
        <f t="shared" si="0"/>
        <v>300</v>
      </c>
      <c r="K15" s="560">
        <f t="shared" si="0"/>
        <v>129301.20099999997</v>
      </c>
      <c r="L15" s="560">
        <f t="shared" si="0"/>
        <v>10180.000000000002</v>
      </c>
      <c r="M15" s="560">
        <f t="shared" si="0"/>
        <v>139481.201</v>
      </c>
      <c r="N15" s="560"/>
      <c r="O15" s="560">
        <f t="shared" si="0"/>
        <v>510467925</v>
      </c>
      <c r="P15" s="560">
        <f t="shared" si="0"/>
        <v>1974</v>
      </c>
      <c r="Q15" s="560">
        <f t="shared" si="0"/>
        <v>294</v>
      </c>
      <c r="R15" s="560">
        <f t="shared" si="0"/>
        <v>0</v>
      </c>
      <c r="S15" s="560">
        <f t="shared" si="0"/>
        <v>0</v>
      </c>
      <c r="T15" s="560">
        <f t="shared" si="0"/>
        <v>0</v>
      </c>
      <c r="U15" s="560">
        <f t="shared" si="0"/>
        <v>0</v>
      </c>
      <c r="V15" s="560">
        <f t="shared" si="0"/>
        <v>0</v>
      </c>
      <c r="W15" s="560">
        <f t="shared" si="0"/>
        <v>0</v>
      </c>
      <c r="X15" s="560">
        <f t="shared" si="0"/>
        <v>0</v>
      </c>
      <c r="Y15" s="560">
        <f t="shared" si="0"/>
        <v>0</v>
      </c>
      <c r="Z15" s="560">
        <f t="shared" si="0"/>
        <v>74978068</v>
      </c>
      <c r="AA15" s="560">
        <f t="shared" si="0"/>
        <v>585445993</v>
      </c>
      <c r="AB15" s="560">
        <f t="shared" si="0"/>
        <v>0</v>
      </c>
      <c r="AC15" s="560">
        <f t="shared" si="0"/>
        <v>585445993</v>
      </c>
      <c r="AD15" s="560">
        <f t="shared" ref="AD15" si="1" xml:space="preserve"> SUM(AD16:AD99)</f>
        <v>0</v>
      </c>
      <c r="AE15" s="1225"/>
      <c r="AF15" s="1226"/>
      <c r="AG15" s="1219"/>
      <c r="AH15" s="1219"/>
      <c r="AI15" s="1219"/>
      <c r="AJ15" s="1219"/>
      <c r="AK15" s="1219"/>
      <c r="AL15" s="1219"/>
      <c r="AM15" s="1219"/>
      <c r="AN15" s="1219"/>
    </row>
    <row r="16" spans="1:40" s="1224" customFormat="1" ht="33" customHeight="1">
      <c r="A16" s="1227">
        <v>1</v>
      </c>
      <c r="B16" s="1228">
        <v>1</v>
      </c>
      <c r="C16" s="1228">
        <f>'Chấm công KT'!C13</f>
        <v>0</v>
      </c>
      <c r="D16" s="1229" t="str">
        <f>TONGHOPCONGDOI!C11</f>
        <v xml:space="preserve">T. Lăm  </v>
      </c>
      <c r="E16" s="1228" t="s">
        <v>26</v>
      </c>
      <c r="F16" s="1230"/>
      <c r="G16" s="227">
        <f>F16*25000</f>
        <v>0</v>
      </c>
      <c r="H16" s="227">
        <f>VLOOKUP(D16,TONGHOPCONGDOI!C11:AD93,16,0)</f>
        <v>4114</v>
      </c>
      <c r="I16" s="227">
        <f>VLOOKUP(D16,TONGHOPCONGDOI!C11:AD93,18,0)</f>
        <v>0</v>
      </c>
      <c r="J16" s="227"/>
      <c r="K16" s="561">
        <f t="shared" ref="K16:K47" si="2">$AH$8/$AH$7*H16+I16*$AH$9+J16*$AH$10</f>
        <v>1816.07205381218</v>
      </c>
      <c r="L16" s="931">
        <f>'SẢN LƯỢNG'!AP17</f>
        <v>131.49148281392226</v>
      </c>
      <c r="M16" s="931">
        <f>'SẢN LƯỢNG'!AQ17</f>
        <v>1947.5635366261022</v>
      </c>
      <c r="N16" s="562" t="str">
        <f>VLOOKUP(D16,'SẢN LƯỢNG'!$D$17:$AR$95,41,0)</f>
        <v>B</v>
      </c>
      <c r="O16" s="1231">
        <f>ROUND((IF(N16="A",(M16*6.1),IF(N16="B",(M16*5.8),IF(N16="C",(M16*5.5),IF(N16="C.",(M16*5.5),IF(N16="D",(M16*5.2),0)))))*$F$10),0)</f>
        <v>6901776</v>
      </c>
      <c r="P16" s="564">
        <f>VLOOKUP(D16,TONGHOPCONGDOI!$C$11:$AD$93,20,0)</f>
        <v>27</v>
      </c>
      <c r="Q16" s="564">
        <f>VLOOKUP(D16,TONGHOPCONGDOI!$C$11:$AD$93,21,0)</f>
        <v>4</v>
      </c>
      <c r="R16" s="564">
        <f>VLOOKUP(D16,TONGHOPCONGDOI!$C$11:$AC$93,22,0)</f>
        <v>0</v>
      </c>
      <c r="S16" s="564">
        <f>VLOOKUP(D16,TONGHOPCONGDOI!$C$11:$AC$94,23,0)</f>
        <v>0</v>
      </c>
      <c r="T16" s="564">
        <f>VLOOKUP(D16,TONGHOPCONGDOI!$C$11:$AC$94,24,0)</f>
        <v>0</v>
      </c>
      <c r="U16" s="564">
        <f>VLOOKUP(D16,TONGHOPCONGDOI!$C$11:$AC$94,25,0)</f>
        <v>0</v>
      </c>
      <c r="V16" s="564"/>
      <c r="W16" s="1229">
        <f>S16</f>
        <v>0</v>
      </c>
      <c r="X16" s="1232"/>
      <c r="Y16" s="1232"/>
      <c r="Z16" s="564">
        <f>ROUND(((P16*46.1)+(Q16*76.9)+(R16*92.2)+(S16*153.8)+(T16*92.2)+(U16*153.8))*$F$11+(V16*25000)+(W16*100000),0)</f>
        <v>1024456</v>
      </c>
      <c r="AA16" s="564">
        <f>G16+O16+Z16</f>
        <v>7926232</v>
      </c>
      <c r="AB16" s="227"/>
      <c r="AC16" s="565">
        <f>AA16-AB16</f>
        <v>7926232</v>
      </c>
      <c r="AD16" s="227"/>
      <c r="AE16" s="565"/>
      <c r="AF16" s="1233"/>
      <c r="AG16" s="1234"/>
      <c r="AH16" s="1223"/>
      <c r="AI16" s="1223"/>
      <c r="AJ16" s="1223"/>
      <c r="AK16" s="1223"/>
      <c r="AL16" s="1223"/>
      <c r="AM16" s="1223"/>
      <c r="AN16" s="1223"/>
    </row>
    <row r="17" spans="1:40" s="1224" customFormat="1" ht="33" customHeight="1">
      <c r="A17" s="1227">
        <v>2</v>
      </c>
      <c r="B17" s="1228">
        <v>2</v>
      </c>
      <c r="C17" s="1228" t="str">
        <f>'Chấm công KT'!C14</f>
        <v>04052</v>
      </c>
      <c r="D17" s="1229" t="str">
        <f>TONGHOPCONGDOI!C12</f>
        <v>T. Feng</v>
      </c>
      <c r="E17" s="1228" t="s">
        <v>26</v>
      </c>
      <c r="F17" s="1230"/>
      <c r="G17" s="227">
        <f t="shared" ref="G17:G80" si="3">F17*25000</f>
        <v>0</v>
      </c>
      <c r="H17" s="227">
        <f>VLOOKUP(D17,TONGHOPCONGDOI!C12:AD94,16,0)</f>
        <v>4202</v>
      </c>
      <c r="I17" s="227">
        <f>VLOOKUP(D17,TONGHOPCONGDOI!C12:AD94,18,0)</f>
        <v>0</v>
      </c>
      <c r="J17" s="227"/>
      <c r="K17" s="561">
        <f>$AH$8/$AH$7*H17+I17*$AH$9+J17*P18</f>
        <v>1854.9185148562908</v>
      </c>
      <c r="L17" s="931">
        <f>'SẢN LƯỢNG'!AP18</f>
        <v>131.79696122004648</v>
      </c>
      <c r="M17" s="931">
        <f>'SẢN LƯỢNG'!AQ18</f>
        <v>1986.7154760763376</v>
      </c>
      <c r="N17" s="562" t="str">
        <f>VLOOKUP(D17,'SẢN LƯỢNG'!$D$17:$AR$95,41,0)</f>
        <v>B</v>
      </c>
      <c r="O17" s="1231">
        <f t="shared" ref="O17:O80" si="4">ROUND((IF(N17="A",(M17*6.1),IF(N17="B",(M17*5.8),IF(N17="C",(M17*5.5),IF(N17="C.",(M17*5.5),IF(N17="D",(M17*5.2),0)))))*$F$10),0)</f>
        <v>7040522</v>
      </c>
      <c r="P17" s="564">
        <f>VLOOKUP(D17,TONGHOPCONGDOI!$C$11:$AD$93,20,0)</f>
        <v>27</v>
      </c>
      <c r="Q17" s="564">
        <f>VLOOKUP(D17,TONGHOPCONGDOI!$C$11:$AD$93,21,0)</f>
        <v>4</v>
      </c>
      <c r="R17" s="564">
        <f>VLOOKUP(D17,TONGHOPCONGDOI!$C$11:$AC$93,22,0)</f>
        <v>0</v>
      </c>
      <c r="S17" s="564">
        <f>VLOOKUP(D17,TONGHOPCONGDOI!$C$11:$AC$94,23,0)</f>
        <v>0</v>
      </c>
      <c r="T17" s="564">
        <f>VLOOKUP(D17,TONGHOPCONGDOI!$C$11:$AC$94,24,0)</f>
        <v>0</v>
      </c>
      <c r="U17" s="564">
        <f>VLOOKUP(D17,TONGHOPCONGDOI!$C$11:$AC$94,25,0)</f>
        <v>0</v>
      </c>
      <c r="V17" s="564"/>
      <c r="W17" s="1229">
        <f t="shared" ref="W17:W80" si="5">S17</f>
        <v>0</v>
      </c>
      <c r="X17" s="1232"/>
      <c r="Y17" s="1232"/>
      <c r="Z17" s="564">
        <f t="shared" ref="Z17:Z80" si="6">ROUND(((P17*46.1)+(Q17*76.9)+(R17*92.2)+(S17*153.8)+(T17*92.2)+(U17*153.8))*$F$11+(V17*25000)+(W17*100000),0)</f>
        <v>1024456</v>
      </c>
      <c r="AA17" s="564">
        <f t="shared" ref="AA17:AA47" si="7">G17+O17+Z17</f>
        <v>8064978</v>
      </c>
      <c r="AB17" s="227"/>
      <c r="AC17" s="566">
        <f>AA17-AB17</f>
        <v>8064978</v>
      </c>
      <c r="AD17" s="227"/>
      <c r="AE17" s="565"/>
      <c r="AF17" s="1233"/>
      <c r="AG17" s="1234"/>
      <c r="AH17" s="1223"/>
      <c r="AI17" s="1223"/>
      <c r="AJ17" s="1223"/>
      <c r="AK17" s="1223"/>
      <c r="AL17" s="1223"/>
      <c r="AM17" s="1223"/>
      <c r="AN17" s="1223"/>
    </row>
    <row r="18" spans="1:40" s="1224" customFormat="1" ht="33" customHeight="1">
      <c r="A18" s="1227">
        <v>3</v>
      </c>
      <c r="B18" s="1228">
        <v>3</v>
      </c>
      <c r="C18" s="1228" t="str">
        <f>'Chấm công KT'!C15</f>
        <v>02725</v>
      </c>
      <c r="D18" s="1229" t="str">
        <f>TONGHOPCONGDOI!C13</f>
        <v>T. Sa Văn</v>
      </c>
      <c r="E18" s="1228" t="s">
        <v>26</v>
      </c>
      <c r="F18" s="1230"/>
      <c r="G18" s="227">
        <f t="shared" si="3"/>
        <v>0</v>
      </c>
      <c r="H18" s="227">
        <f>VLOOKUP(D18,TONGHOPCONGDOI!C13:AD94,16,0)</f>
        <v>4404</v>
      </c>
      <c r="I18" s="227">
        <f>VLOOKUP(D18,TONGHOPCONGDOI!C13:AD94,18,0)</f>
        <v>0</v>
      </c>
      <c r="J18" s="227"/>
      <c r="K18" s="561">
        <f t="shared" si="2"/>
        <v>1944.0888004348178</v>
      </c>
      <c r="L18" s="931">
        <f>'SẢN LƯỢNG'!AP19</f>
        <v>170.89819720394905</v>
      </c>
      <c r="M18" s="931">
        <f>'SẢN LƯỢNG'!AQ19</f>
        <v>2114.9869976387672</v>
      </c>
      <c r="N18" s="562" t="str">
        <f>VLOOKUP(D18,'SẢN LƯỢNG'!$D$17:$AR$95,41,0)</f>
        <v>B</v>
      </c>
      <c r="O18" s="1231">
        <f t="shared" si="4"/>
        <v>7495091</v>
      </c>
      <c r="P18" s="564">
        <f>VLOOKUP(D18,TONGHOPCONGDOI!$C$11:$AD$93,20,0)</f>
        <v>26</v>
      </c>
      <c r="Q18" s="564">
        <f>VLOOKUP(D18,TONGHOPCONGDOI!$C$11:$AD$93,21,0)</f>
        <v>4</v>
      </c>
      <c r="R18" s="564">
        <f>VLOOKUP(D18,TONGHOPCONGDOI!$C$11:$AC$93,22,0)</f>
        <v>0</v>
      </c>
      <c r="S18" s="564">
        <f>VLOOKUP(D18,TONGHOPCONGDOI!$C$11:$AC$94,23,0)</f>
        <v>0</v>
      </c>
      <c r="T18" s="564">
        <f>VLOOKUP(D18,TONGHOPCONGDOI!$C$11:$AC$94,24,0)</f>
        <v>0</v>
      </c>
      <c r="U18" s="564">
        <f>VLOOKUP(D18,TONGHOPCONGDOI!$C$11:$AC$94,25,0)</f>
        <v>0</v>
      </c>
      <c r="V18" s="564"/>
      <c r="W18" s="1229">
        <f t="shared" si="5"/>
        <v>0</v>
      </c>
      <c r="X18" s="1232"/>
      <c r="Y18" s="1232"/>
      <c r="Z18" s="564">
        <f t="shared" si="6"/>
        <v>994032</v>
      </c>
      <c r="AA18" s="564">
        <f t="shared" si="7"/>
        <v>8489123</v>
      </c>
      <c r="AB18" s="227"/>
      <c r="AC18" s="566">
        <f t="shared" ref="AC18:AC81" si="8">AA18-AB18</f>
        <v>8489123</v>
      </c>
      <c r="AD18" s="227"/>
      <c r="AE18" s="565"/>
      <c r="AF18" s="1233"/>
      <c r="AG18" s="1234"/>
      <c r="AH18" s="1223"/>
      <c r="AI18" s="1223"/>
      <c r="AJ18" s="1223"/>
      <c r="AK18" s="1223"/>
      <c r="AL18" s="1223"/>
      <c r="AM18" s="1223"/>
      <c r="AN18" s="1223"/>
    </row>
    <row r="19" spans="1:40" s="1224" customFormat="1" ht="33" customHeight="1">
      <c r="A19" s="1227">
        <v>4</v>
      </c>
      <c r="B19" s="1228">
        <v>4</v>
      </c>
      <c r="C19" s="1228" t="str">
        <f>'Chấm công KT'!C16</f>
        <v>04053</v>
      </c>
      <c r="D19" s="1229" t="str">
        <f>TONGHOPCONGDOI!C14</f>
        <v>Lăm Ma Thu</v>
      </c>
      <c r="E19" s="1228" t="s">
        <v>26</v>
      </c>
      <c r="F19" s="1230"/>
      <c r="G19" s="227">
        <f t="shared" si="3"/>
        <v>0</v>
      </c>
      <c r="H19" s="227">
        <f>VLOOKUP(D19,TONGHOPCONGDOI!C14:AD94,16,0)</f>
        <v>3213</v>
      </c>
      <c r="I19" s="227">
        <f>VLOOKUP(D19,TONGHOPCONGDOI!C14:AD94,18,0)</f>
        <v>0</v>
      </c>
      <c r="J19" s="227"/>
      <c r="K19" s="561">
        <f t="shared" si="2"/>
        <v>1418.3372651673637</v>
      </c>
      <c r="L19" s="931">
        <f>'SẢN LƯỢNG'!AP20</f>
        <v>132.78128052866904</v>
      </c>
      <c r="M19" s="931">
        <f>'SẢN LƯỢNG'!AQ20</f>
        <v>1551.1185456960327</v>
      </c>
      <c r="N19" s="562" t="str">
        <f>VLOOKUP(D19,'SẢN LƯỢNG'!$D$17:$AR$95,41,0)</f>
        <v>B</v>
      </c>
      <c r="O19" s="1231">
        <f t="shared" si="4"/>
        <v>5496854</v>
      </c>
      <c r="P19" s="564">
        <f>VLOOKUP(D19,TONGHOPCONGDOI!$C$11:$AD$93,20,0)</f>
        <v>25</v>
      </c>
      <c r="Q19" s="564">
        <f>VLOOKUP(D19,TONGHOPCONGDOI!$C$11:$AD$93,21,0)</f>
        <v>4</v>
      </c>
      <c r="R19" s="564">
        <f>VLOOKUP(D19,TONGHOPCONGDOI!$C$11:$AC$93,22,0)</f>
        <v>0</v>
      </c>
      <c r="S19" s="564">
        <f>VLOOKUP(D19,TONGHOPCONGDOI!$C$11:$AC$94,23,0)</f>
        <v>0</v>
      </c>
      <c r="T19" s="564">
        <f>VLOOKUP(D19,TONGHOPCONGDOI!$C$11:$AC$94,24,0)</f>
        <v>0</v>
      </c>
      <c r="U19" s="564">
        <f>VLOOKUP(D19,TONGHOPCONGDOI!$C$11:$AC$94,25,0)</f>
        <v>0</v>
      </c>
      <c r="V19" s="564"/>
      <c r="W19" s="1229">
        <f t="shared" si="5"/>
        <v>0</v>
      </c>
      <c r="X19" s="1232"/>
      <c r="Y19" s="1232"/>
      <c r="Z19" s="564">
        <f t="shared" si="6"/>
        <v>963608</v>
      </c>
      <c r="AA19" s="564">
        <f t="shared" si="7"/>
        <v>6460462</v>
      </c>
      <c r="AB19" s="227"/>
      <c r="AC19" s="566">
        <f t="shared" si="8"/>
        <v>6460462</v>
      </c>
      <c r="AD19" s="227"/>
      <c r="AE19" s="565"/>
      <c r="AF19" s="1233"/>
      <c r="AG19" s="1234"/>
      <c r="AH19" s="1223"/>
      <c r="AI19" s="1223"/>
      <c r="AJ19" s="1223"/>
      <c r="AK19" s="1223"/>
      <c r="AL19" s="1223"/>
      <c r="AM19" s="1223"/>
      <c r="AN19" s="1223"/>
    </row>
    <row r="20" spans="1:40" s="1224" customFormat="1" ht="33" customHeight="1">
      <c r="A20" s="1227">
        <v>5</v>
      </c>
      <c r="B20" s="1228">
        <v>5</v>
      </c>
      <c r="C20" s="1228" t="str">
        <f>'Chấm công KT'!C17</f>
        <v>03459</v>
      </c>
      <c r="D20" s="1229" t="str">
        <f>TONGHOPCONGDOI!C15</f>
        <v>N. Vạt</v>
      </c>
      <c r="E20" s="1228" t="s">
        <v>26</v>
      </c>
      <c r="F20" s="1230"/>
      <c r="G20" s="227">
        <f t="shared" si="3"/>
        <v>0</v>
      </c>
      <c r="H20" s="227">
        <f>VLOOKUP(D20,TONGHOPCONGDOI!C15:AD94,16,0)</f>
        <v>3660</v>
      </c>
      <c r="I20" s="227">
        <f>VLOOKUP(D20,TONGHOPCONGDOI!C15:AD94,18,0)</f>
        <v>0</v>
      </c>
      <c r="J20" s="227"/>
      <c r="K20" s="561">
        <f t="shared" si="2"/>
        <v>1615.6596297891538</v>
      </c>
      <c r="L20" s="931">
        <f>'SẢN LƯỢNG'!AP21</f>
        <v>117.81283862858136</v>
      </c>
      <c r="M20" s="931">
        <f>'SẢN LƯỢNG'!AQ21</f>
        <v>1733.4724684177354</v>
      </c>
      <c r="N20" s="562" t="str">
        <f>VLOOKUP(D20,'SẢN LƯỢNG'!$D$17:$AR$95,41,0)</f>
        <v>B</v>
      </c>
      <c r="O20" s="1231">
        <f t="shared" si="4"/>
        <v>6143080</v>
      </c>
      <c r="P20" s="564">
        <f>VLOOKUP(D20,TONGHOPCONGDOI!$C$11:$AD$93,20,0)</f>
        <v>26</v>
      </c>
      <c r="Q20" s="564">
        <f>VLOOKUP(D20,TONGHOPCONGDOI!$C$11:$AD$93,21,0)</f>
        <v>3</v>
      </c>
      <c r="R20" s="564">
        <f>VLOOKUP(D20,TONGHOPCONGDOI!$C$11:$AC$93,22,0)</f>
        <v>0</v>
      </c>
      <c r="S20" s="564">
        <f>VLOOKUP(D20,TONGHOPCONGDOI!$C$11:$AC$94,23,0)</f>
        <v>0</v>
      </c>
      <c r="T20" s="564">
        <f>VLOOKUP(D20,TONGHOPCONGDOI!$C$11:$AC$94,24,0)</f>
        <v>0</v>
      </c>
      <c r="U20" s="564">
        <f>VLOOKUP(D20,TONGHOPCONGDOI!$C$11:$AC$94,25,0)</f>
        <v>0</v>
      </c>
      <c r="V20" s="564"/>
      <c r="W20" s="1229">
        <f t="shared" si="5"/>
        <v>0</v>
      </c>
      <c r="X20" s="1232"/>
      <c r="Y20" s="1232"/>
      <c r="Z20" s="564">
        <f t="shared" si="6"/>
        <v>943281</v>
      </c>
      <c r="AA20" s="564">
        <f t="shared" si="7"/>
        <v>7086361</v>
      </c>
      <c r="AB20" s="227"/>
      <c r="AC20" s="566">
        <f t="shared" si="8"/>
        <v>7086361</v>
      </c>
      <c r="AD20" s="227"/>
      <c r="AE20" s="565"/>
      <c r="AF20" s="1233"/>
      <c r="AG20" s="1234"/>
      <c r="AH20" s="1223"/>
      <c r="AI20" s="1223"/>
      <c r="AJ20" s="1223"/>
      <c r="AK20" s="1223"/>
      <c r="AL20" s="1223"/>
      <c r="AM20" s="1223"/>
      <c r="AN20" s="1223"/>
    </row>
    <row r="21" spans="1:40" s="1224" customFormat="1" ht="33" customHeight="1">
      <c r="A21" s="1227">
        <v>6</v>
      </c>
      <c r="B21" s="1228">
        <v>6</v>
      </c>
      <c r="C21" s="1228" t="str">
        <f>'Chấm công KT'!C18</f>
        <v>04054</v>
      </c>
      <c r="D21" s="1229" t="str">
        <f>TONGHOPCONGDOI!C16</f>
        <v>N. Kay Son</v>
      </c>
      <c r="E21" s="1228" t="s">
        <v>26</v>
      </c>
      <c r="F21" s="1230"/>
      <c r="G21" s="227">
        <f t="shared" si="3"/>
        <v>0</v>
      </c>
      <c r="H21" s="227">
        <f>VLOOKUP(D21,TONGHOPCONGDOI!C16:AD94,16,0)</f>
        <v>4449</v>
      </c>
      <c r="I21" s="227">
        <f>VLOOKUP(D21,TONGHOPCONGDOI!C16:AD94,18,0)</f>
        <v>0</v>
      </c>
      <c r="J21" s="227"/>
      <c r="K21" s="561">
        <f t="shared" si="2"/>
        <v>1963.9534680141928</v>
      </c>
      <c r="L21" s="931">
        <f>'SẢN LƯỢNG'!AP22</f>
        <v>145.6792576761369</v>
      </c>
      <c r="M21" s="931">
        <f>'SẢN LƯỢNG'!AQ22</f>
        <v>2109.6327256903296</v>
      </c>
      <c r="N21" s="562" t="str">
        <f>VLOOKUP(D21,'SẢN LƯỢNG'!$D$17:$AR$95,41,0)</f>
        <v>B</v>
      </c>
      <c r="O21" s="1231">
        <f t="shared" si="4"/>
        <v>7476116</v>
      </c>
      <c r="P21" s="564">
        <f>VLOOKUP(D21,TONGHOPCONGDOI!$C$11:$AD$93,20,0)</f>
        <v>27</v>
      </c>
      <c r="Q21" s="564">
        <f>VLOOKUP(D21,TONGHOPCONGDOI!$C$11:$AD$93,21,0)</f>
        <v>4</v>
      </c>
      <c r="R21" s="564">
        <f>VLOOKUP(D21,TONGHOPCONGDOI!$C$11:$AC$93,22,0)</f>
        <v>0</v>
      </c>
      <c r="S21" s="564">
        <f>VLOOKUP(D21,TONGHOPCONGDOI!$C$11:$AC$94,23,0)</f>
        <v>0</v>
      </c>
      <c r="T21" s="564">
        <f>VLOOKUP(D21,TONGHOPCONGDOI!$C$11:$AC$94,24,0)</f>
        <v>0</v>
      </c>
      <c r="U21" s="564">
        <f>VLOOKUP(D21,TONGHOPCONGDOI!$C$11:$AC$94,25,0)</f>
        <v>0</v>
      </c>
      <c r="V21" s="564"/>
      <c r="W21" s="1229">
        <f t="shared" si="5"/>
        <v>0</v>
      </c>
      <c r="X21" s="1232"/>
      <c r="Y21" s="1232"/>
      <c r="Z21" s="564">
        <f t="shared" si="6"/>
        <v>1024456</v>
      </c>
      <c r="AA21" s="564">
        <f t="shared" si="7"/>
        <v>8500572</v>
      </c>
      <c r="AB21" s="227"/>
      <c r="AC21" s="566">
        <f t="shared" si="8"/>
        <v>8500572</v>
      </c>
      <c r="AD21" s="227"/>
      <c r="AE21" s="565"/>
      <c r="AF21" s="1233"/>
      <c r="AG21" s="1234"/>
      <c r="AH21" s="1223"/>
      <c r="AI21" s="1223"/>
      <c r="AJ21" s="1223"/>
      <c r="AK21" s="1223"/>
      <c r="AL21" s="1223"/>
      <c r="AM21" s="1223"/>
      <c r="AN21" s="1223"/>
    </row>
    <row r="22" spans="1:40" s="1224" customFormat="1" ht="33" customHeight="1">
      <c r="A22" s="1227">
        <v>7</v>
      </c>
      <c r="B22" s="1228">
        <v>7</v>
      </c>
      <c r="C22" s="1228" t="str">
        <f>'Chấm công KT'!C19</f>
        <v>04055</v>
      </c>
      <c r="D22" s="1229" t="str">
        <f>TONGHOPCONGDOI!C17</f>
        <v>T. Đèng 1</v>
      </c>
      <c r="E22" s="1228" t="s">
        <v>26</v>
      </c>
      <c r="F22" s="1230"/>
      <c r="G22" s="227">
        <f t="shared" si="3"/>
        <v>0</v>
      </c>
      <c r="H22" s="227">
        <f>VLOOKUP(D22,TONGHOPCONGDOI!C17:AD94,16,0)</f>
        <v>3953</v>
      </c>
      <c r="I22" s="227">
        <f>VLOOKUP(D22,TONGHOPCONGDOI!C17:AD94,18,0)</f>
        <v>0</v>
      </c>
      <c r="J22" s="227"/>
      <c r="K22" s="561">
        <f t="shared" si="2"/>
        <v>1745.0006875837501</v>
      </c>
      <c r="L22" s="931">
        <f>'SẢN LƯỢNG'!AP23</f>
        <v>128.2669885270553</v>
      </c>
      <c r="M22" s="931">
        <f>'SẢN LƯỢNG'!AQ23</f>
        <v>1873.2676761108053</v>
      </c>
      <c r="N22" s="562" t="str">
        <f>VLOOKUP(D22,'SẢN LƯỢNG'!$D$17:$AR$95,41,0)</f>
        <v>A</v>
      </c>
      <c r="O22" s="1231">
        <f t="shared" si="4"/>
        <v>6981856</v>
      </c>
      <c r="P22" s="564">
        <f>VLOOKUP(D22,TONGHOPCONGDOI!$C$11:$AD$93,20,0)</f>
        <v>26</v>
      </c>
      <c r="Q22" s="564">
        <f>VLOOKUP(D22,TONGHOPCONGDOI!$C$11:$AD$93,21,0)</f>
        <v>4</v>
      </c>
      <c r="R22" s="564">
        <f>VLOOKUP(D22,TONGHOPCONGDOI!$C$11:$AC$93,22,0)</f>
        <v>0</v>
      </c>
      <c r="S22" s="564">
        <f>VLOOKUP(D22,TONGHOPCONGDOI!$C$11:$AC$94,23,0)</f>
        <v>0</v>
      </c>
      <c r="T22" s="564">
        <f>VLOOKUP(D22,TONGHOPCONGDOI!$C$11:$AC$94,24,0)</f>
        <v>0</v>
      </c>
      <c r="U22" s="564">
        <f>VLOOKUP(D22,TONGHOPCONGDOI!$C$11:$AC$94,25,0)</f>
        <v>0</v>
      </c>
      <c r="V22" s="564"/>
      <c r="W22" s="1229">
        <f t="shared" si="5"/>
        <v>0</v>
      </c>
      <c r="X22" s="1232"/>
      <c r="Y22" s="1232"/>
      <c r="Z22" s="564">
        <f t="shared" si="6"/>
        <v>994032</v>
      </c>
      <c r="AA22" s="564">
        <f t="shared" si="7"/>
        <v>7975888</v>
      </c>
      <c r="AB22" s="227"/>
      <c r="AC22" s="566">
        <f t="shared" si="8"/>
        <v>7975888</v>
      </c>
      <c r="AD22" s="227"/>
      <c r="AE22" s="565"/>
      <c r="AF22" s="1233"/>
      <c r="AG22" s="1234"/>
      <c r="AH22" s="1223"/>
      <c r="AI22" s="1223"/>
      <c r="AJ22" s="1223"/>
      <c r="AK22" s="1223"/>
      <c r="AL22" s="1223"/>
      <c r="AM22" s="1223"/>
      <c r="AN22" s="1223"/>
    </row>
    <row r="23" spans="1:40" s="1224" customFormat="1" ht="33" customHeight="1">
      <c r="A23" s="1227">
        <v>8</v>
      </c>
      <c r="B23" s="1228">
        <v>8</v>
      </c>
      <c r="C23" s="1228" t="str">
        <f>'Chấm công KT'!C20</f>
        <v>03462</v>
      </c>
      <c r="D23" s="1229" t="str">
        <f>TONGHOPCONGDOI!C18</f>
        <v>T . Bua Ngân</v>
      </c>
      <c r="E23" s="1228" t="s">
        <v>26</v>
      </c>
      <c r="F23" s="1230"/>
      <c r="G23" s="227">
        <f t="shared" si="3"/>
        <v>0</v>
      </c>
      <c r="H23" s="227">
        <f>VLOOKUP(D23,TONGHOPCONGDOI!C18:AD94,16,0)</f>
        <v>3619</v>
      </c>
      <c r="I23" s="227">
        <f>VLOOKUP(D23,TONGHOPCONGDOI!C18:AD94,18,0)</f>
        <v>0</v>
      </c>
      <c r="J23" s="227"/>
      <c r="K23" s="561">
        <f t="shared" si="2"/>
        <v>1597.5607104390567</v>
      </c>
      <c r="L23" s="931">
        <f>'SẢN LƯỢNG'!AP24</f>
        <v>114.48651820633964</v>
      </c>
      <c r="M23" s="931">
        <f>'SẢN LƯỢNG'!AQ24</f>
        <v>1712.0472286453967</v>
      </c>
      <c r="N23" s="562" t="str">
        <f>VLOOKUP(D23,'SẢN LƯỢNG'!$D$17:$AR$95,41,0)</f>
        <v>A</v>
      </c>
      <c r="O23" s="1231">
        <f t="shared" si="4"/>
        <v>6380971</v>
      </c>
      <c r="P23" s="564">
        <f>VLOOKUP(D23,TONGHOPCONGDOI!$C$11:$AD$93,20,0)</f>
        <v>27</v>
      </c>
      <c r="Q23" s="564">
        <f>VLOOKUP(D23,TONGHOPCONGDOI!$C$11:$AD$93,21,0)</f>
        <v>4</v>
      </c>
      <c r="R23" s="564">
        <f>VLOOKUP(D23,TONGHOPCONGDOI!$C$11:$AC$93,22,0)</f>
        <v>0</v>
      </c>
      <c r="S23" s="564">
        <f>VLOOKUP(D23,TONGHOPCONGDOI!$C$11:$AC$94,23,0)</f>
        <v>0</v>
      </c>
      <c r="T23" s="564">
        <f>VLOOKUP(D23,TONGHOPCONGDOI!$C$11:$AC$94,24,0)</f>
        <v>0</v>
      </c>
      <c r="U23" s="564">
        <f>VLOOKUP(D23,TONGHOPCONGDOI!$C$11:$AC$94,25,0)</f>
        <v>0</v>
      </c>
      <c r="V23" s="564"/>
      <c r="W23" s="1229">
        <f t="shared" si="5"/>
        <v>0</v>
      </c>
      <c r="X23" s="1232"/>
      <c r="Y23" s="1232"/>
      <c r="Z23" s="564">
        <f t="shared" si="6"/>
        <v>1024456</v>
      </c>
      <c r="AA23" s="564">
        <f t="shared" si="7"/>
        <v>7405427</v>
      </c>
      <c r="AB23" s="227"/>
      <c r="AC23" s="566">
        <f t="shared" si="8"/>
        <v>7405427</v>
      </c>
      <c r="AD23" s="227"/>
      <c r="AE23" s="565"/>
      <c r="AF23" s="1233"/>
      <c r="AG23" s="1234"/>
      <c r="AH23" s="1223"/>
      <c r="AI23" s="1223"/>
      <c r="AJ23" s="1223"/>
      <c r="AK23" s="1223"/>
      <c r="AL23" s="1223"/>
      <c r="AM23" s="1223"/>
      <c r="AN23" s="1223"/>
    </row>
    <row r="24" spans="1:40" s="1224" customFormat="1" ht="33" customHeight="1">
      <c r="A24" s="1227">
        <v>9</v>
      </c>
      <c r="B24" s="1228">
        <v>9</v>
      </c>
      <c r="C24" s="1228" t="str">
        <f>'Chấm công KT'!C21</f>
        <v>03463</v>
      </c>
      <c r="D24" s="1229" t="str">
        <f>TONGHOPCONGDOI!C19</f>
        <v>T Căng</v>
      </c>
      <c r="E24" s="1228" t="s">
        <v>26</v>
      </c>
      <c r="F24" s="1230"/>
      <c r="G24" s="227">
        <f t="shared" si="3"/>
        <v>0</v>
      </c>
      <c r="H24" s="227">
        <f>VLOOKUP(D24,TONGHOPCONGDOI!C19:AD94,16,0)</f>
        <v>4653</v>
      </c>
      <c r="I24" s="227">
        <f>VLOOKUP(D24,TONGHOPCONGDOI!C19:AD94,18,0)</f>
        <v>0</v>
      </c>
      <c r="J24" s="227"/>
      <c r="K24" s="561">
        <f t="shared" si="2"/>
        <v>2054.0066277073588</v>
      </c>
      <c r="L24" s="931">
        <f>'SẢN LƯỢNG'!AP25</f>
        <v>162.37874387759527</v>
      </c>
      <c r="M24" s="931">
        <f>'SẢN LƯỢNG'!AQ25</f>
        <v>2216.3853715849541</v>
      </c>
      <c r="N24" s="562" t="str">
        <f>VLOOKUP(D24,'SẢN LƯỢNG'!$D$17:$AR$95,41,0)</f>
        <v>A</v>
      </c>
      <c r="O24" s="1231">
        <f t="shared" si="4"/>
        <v>8260690</v>
      </c>
      <c r="P24" s="564">
        <f>VLOOKUP(D24,TONGHOPCONGDOI!$C$11:$AD$93,20,0)</f>
        <v>27</v>
      </c>
      <c r="Q24" s="564">
        <f>VLOOKUP(D24,TONGHOPCONGDOI!$C$11:$AD$93,21,0)</f>
        <v>4</v>
      </c>
      <c r="R24" s="564">
        <f>VLOOKUP(D24,TONGHOPCONGDOI!$C$11:$AC$93,22,0)</f>
        <v>0</v>
      </c>
      <c r="S24" s="564">
        <f>VLOOKUP(D24,TONGHOPCONGDOI!$C$11:$AC$94,23,0)</f>
        <v>0</v>
      </c>
      <c r="T24" s="564">
        <f>VLOOKUP(D24,TONGHOPCONGDOI!$C$11:$AC$94,24,0)</f>
        <v>0</v>
      </c>
      <c r="U24" s="564">
        <f>VLOOKUP(D24,TONGHOPCONGDOI!$C$11:$AC$94,25,0)</f>
        <v>0</v>
      </c>
      <c r="V24" s="564"/>
      <c r="W24" s="1229">
        <f t="shared" si="5"/>
        <v>0</v>
      </c>
      <c r="X24" s="1232"/>
      <c r="Y24" s="1232"/>
      <c r="Z24" s="564">
        <f t="shared" si="6"/>
        <v>1024456</v>
      </c>
      <c r="AA24" s="564">
        <f t="shared" si="7"/>
        <v>9285146</v>
      </c>
      <c r="AB24" s="227"/>
      <c r="AC24" s="566">
        <f t="shared" si="8"/>
        <v>9285146</v>
      </c>
      <c r="AD24" s="227"/>
      <c r="AE24" s="565"/>
      <c r="AF24" s="1233"/>
      <c r="AG24" s="1234"/>
      <c r="AH24" s="1223"/>
      <c r="AI24" s="1223"/>
      <c r="AJ24" s="1223"/>
      <c r="AK24" s="1223"/>
      <c r="AL24" s="1223"/>
      <c r="AM24" s="1223"/>
      <c r="AN24" s="1223"/>
    </row>
    <row r="25" spans="1:40" s="1224" customFormat="1" ht="33" customHeight="1">
      <c r="A25" s="1227">
        <v>10</v>
      </c>
      <c r="B25" s="1228">
        <v>10</v>
      </c>
      <c r="C25" s="1228" t="str">
        <f>'Chấm công KT'!C22</f>
        <v>03464</v>
      </c>
      <c r="D25" s="1229" t="str">
        <f>TONGHOPCONGDOI!C20</f>
        <v>N. Phôn 1</v>
      </c>
      <c r="E25" s="1228" t="s">
        <v>26</v>
      </c>
      <c r="F25" s="1230"/>
      <c r="G25" s="227">
        <f t="shared" si="3"/>
        <v>0</v>
      </c>
      <c r="H25" s="227">
        <f>VLOOKUP(D25,TONGHOPCONGDOI!C20:AD94,16,0)</f>
        <v>4785</v>
      </c>
      <c r="I25" s="227">
        <f>VLOOKUP(D25,TONGHOPCONGDOI!C20:AD94,18,0)</f>
        <v>0</v>
      </c>
      <c r="J25" s="227"/>
      <c r="K25" s="561">
        <f t="shared" si="2"/>
        <v>2112.2763192735247</v>
      </c>
      <c r="L25" s="931">
        <f>'SẢN LƯỢNG'!AP26</f>
        <v>163.97401999846633</v>
      </c>
      <c r="M25" s="931">
        <f>'SẢN LƯỢNG'!AQ26</f>
        <v>2276.2503392719909</v>
      </c>
      <c r="N25" s="562" t="str">
        <f>VLOOKUP(D25,'SẢN LƯỢNG'!$D$17:$AR$95,41,0)</f>
        <v>A</v>
      </c>
      <c r="O25" s="1231">
        <f t="shared" si="4"/>
        <v>8483813</v>
      </c>
      <c r="P25" s="564">
        <f>VLOOKUP(D25,TONGHOPCONGDOI!$C$11:$AD$93,20,0)</f>
        <v>27</v>
      </c>
      <c r="Q25" s="564">
        <f>VLOOKUP(D25,TONGHOPCONGDOI!$C$11:$AD$93,21,0)</f>
        <v>4</v>
      </c>
      <c r="R25" s="564">
        <f>VLOOKUP(D25,TONGHOPCONGDOI!$C$11:$AC$93,22,0)</f>
        <v>0</v>
      </c>
      <c r="S25" s="564">
        <f>VLOOKUP(D25,TONGHOPCONGDOI!$C$11:$AC$94,23,0)</f>
        <v>0</v>
      </c>
      <c r="T25" s="564">
        <f>VLOOKUP(D25,TONGHOPCONGDOI!$C$11:$AC$94,24,0)</f>
        <v>0</v>
      </c>
      <c r="U25" s="564">
        <f>VLOOKUP(D25,TONGHOPCONGDOI!$C$11:$AC$94,25,0)</f>
        <v>0</v>
      </c>
      <c r="V25" s="564"/>
      <c r="W25" s="1229">
        <f t="shared" si="5"/>
        <v>0</v>
      </c>
      <c r="X25" s="1232"/>
      <c r="Y25" s="1232"/>
      <c r="Z25" s="564">
        <f t="shared" si="6"/>
        <v>1024456</v>
      </c>
      <c r="AA25" s="564">
        <f t="shared" si="7"/>
        <v>9508269</v>
      </c>
      <c r="AB25" s="227"/>
      <c r="AC25" s="566">
        <f t="shared" si="8"/>
        <v>9508269</v>
      </c>
      <c r="AD25" s="227"/>
      <c r="AE25" s="565"/>
      <c r="AF25" s="1233"/>
      <c r="AG25" s="1234"/>
      <c r="AH25" s="1223"/>
      <c r="AI25" s="1223"/>
      <c r="AJ25" s="1223"/>
      <c r="AK25" s="1223"/>
      <c r="AL25" s="1223"/>
      <c r="AM25" s="1223"/>
      <c r="AN25" s="1223"/>
    </row>
    <row r="26" spans="1:40" s="1224" customFormat="1" ht="33" customHeight="1">
      <c r="A26" s="1227">
        <v>11</v>
      </c>
      <c r="B26" s="1228">
        <v>11</v>
      </c>
      <c r="C26" s="1228" t="str">
        <f>'Chấm công KT'!C23</f>
        <v>03465</v>
      </c>
      <c r="D26" s="1229" t="str">
        <f>TONGHOPCONGDOI!C21</f>
        <v>T. In Păn</v>
      </c>
      <c r="E26" s="1228" t="s">
        <v>26</v>
      </c>
      <c r="F26" s="1230"/>
      <c r="G26" s="227">
        <f t="shared" si="3"/>
        <v>0</v>
      </c>
      <c r="H26" s="227">
        <f>VLOOKUP(D26,TONGHOPCONGDOI!C21:AD94,16,0)</f>
        <v>4097</v>
      </c>
      <c r="I26" s="227">
        <f>VLOOKUP(D26,TONGHOPCONGDOI!C21:AD94,18,0)</f>
        <v>0</v>
      </c>
      <c r="J26" s="227"/>
      <c r="K26" s="561">
        <f t="shared" si="2"/>
        <v>1808.5676238377496</v>
      </c>
      <c r="L26" s="931">
        <f>'SẢN LƯỢNG'!AP27</f>
        <v>134.03713619829091</v>
      </c>
      <c r="M26" s="931">
        <f>'SẢN LƯỢNG'!AQ27</f>
        <v>1942.6047600360407</v>
      </c>
      <c r="N26" s="562" t="str">
        <f>VLOOKUP(D26,'SẢN LƯỢNG'!$D$17:$AR$95,41,0)</f>
        <v>A</v>
      </c>
      <c r="O26" s="1231">
        <f t="shared" si="4"/>
        <v>7240282</v>
      </c>
      <c r="P26" s="564">
        <f>VLOOKUP(D26,TONGHOPCONGDOI!$C$11:$AD$93,20,0)</f>
        <v>26</v>
      </c>
      <c r="Q26" s="564">
        <f>VLOOKUP(D26,TONGHOPCONGDOI!$C$11:$AD$93,21,0)</f>
        <v>4</v>
      </c>
      <c r="R26" s="564">
        <f>VLOOKUP(D26,TONGHOPCONGDOI!$C$11:$AC$93,22,0)</f>
        <v>0</v>
      </c>
      <c r="S26" s="564">
        <f>VLOOKUP(D26,TONGHOPCONGDOI!$C$11:$AC$94,23,0)</f>
        <v>0</v>
      </c>
      <c r="T26" s="564">
        <f>VLOOKUP(D26,TONGHOPCONGDOI!$C$11:$AC$94,24,0)</f>
        <v>0</v>
      </c>
      <c r="U26" s="564">
        <f>VLOOKUP(D26,TONGHOPCONGDOI!$C$11:$AC$94,25,0)</f>
        <v>0</v>
      </c>
      <c r="V26" s="564"/>
      <c r="W26" s="1229">
        <f t="shared" si="5"/>
        <v>0</v>
      </c>
      <c r="X26" s="1232"/>
      <c r="Y26" s="1232"/>
      <c r="Z26" s="564">
        <f t="shared" si="6"/>
        <v>994032</v>
      </c>
      <c r="AA26" s="564">
        <f t="shared" si="7"/>
        <v>8234314</v>
      </c>
      <c r="AB26" s="227"/>
      <c r="AC26" s="566">
        <f t="shared" si="8"/>
        <v>8234314</v>
      </c>
      <c r="AD26" s="227"/>
      <c r="AE26" s="565"/>
      <c r="AF26" s="1233"/>
      <c r="AG26" s="1234"/>
      <c r="AH26" s="1223"/>
      <c r="AI26" s="1223"/>
      <c r="AJ26" s="1223"/>
      <c r="AK26" s="1223"/>
      <c r="AL26" s="1223"/>
      <c r="AM26" s="1223"/>
      <c r="AN26" s="1223"/>
    </row>
    <row r="27" spans="1:40" s="1224" customFormat="1" ht="33" customHeight="1">
      <c r="A27" s="1227">
        <v>12</v>
      </c>
      <c r="B27" s="1228">
        <v>12</v>
      </c>
      <c r="C27" s="1228" t="str">
        <f>'Chấm công KT'!C24</f>
        <v>03466</v>
      </c>
      <c r="D27" s="1229" t="str">
        <f>TONGHOPCONGDOI!C22</f>
        <v>N. Keo</v>
      </c>
      <c r="E27" s="1228" t="s">
        <v>26</v>
      </c>
      <c r="F27" s="1230"/>
      <c r="G27" s="227">
        <f t="shared" si="3"/>
        <v>0</v>
      </c>
      <c r="H27" s="227">
        <f>VLOOKUP(D27,TONGHOPCONGDOI!C22:AD94,16,0)</f>
        <v>4510</v>
      </c>
      <c r="I27" s="227">
        <f>VLOOKUP(D27,TONGHOPCONGDOI!C22:AD94,18,0)</f>
        <v>0</v>
      </c>
      <c r="J27" s="227"/>
      <c r="K27" s="561">
        <f t="shared" si="2"/>
        <v>1990.8811285106785</v>
      </c>
      <c r="L27" s="931">
        <f>'SẢN LƯỢNG'!AP28</f>
        <v>146.96905539088368</v>
      </c>
      <c r="M27" s="931">
        <f>'SẢN LƯỢNG'!AQ28</f>
        <v>2137.8501839015626</v>
      </c>
      <c r="N27" s="562" t="str">
        <f>VLOOKUP(D27,'SẢN LƯỢNG'!$D$17:$AR$95,41,0)</f>
        <v>A</v>
      </c>
      <c r="O27" s="1231">
        <f t="shared" si="4"/>
        <v>7967981</v>
      </c>
      <c r="P27" s="564">
        <f>VLOOKUP(D27,TONGHOPCONGDOI!$C$11:$AD$93,20,0)</f>
        <v>27</v>
      </c>
      <c r="Q27" s="564">
        <f>VLOOKUP(D27,TONGHOPCONGDOI!$C$11:$AD$93,21,0)</f>
        <v>4</v>
      </c>
      <c r="R27" s="564">
        <f>VLOOKUP(D27,TONGHOPCONGDOI!$C$11:$AC$93,22,0)</f>
        <v>0</v>
      </c>
      <c r="S27" s="564">
        <f>VLOOKUP(D27,TONGHOPCONGDOI!$C$11:$AC$94,23,0)</f>
        <v>0</v>
      </c>
      <c r="T27" s="564">
        <f>VLOOKUP(D27,TONGHOPCONGDOI!$C$11:$AC$94,24,0)</f>
        <v>0</v>
      </c>
      <c r="U27" s="564">
        <f>VLOOKUP(D27,TONGHOPCONGDOI!$C$11:$AC$94,25,0)</f>
        <v>0</v>
      </c>
      <c r="V27" s="564"/>
      <c r="W27" s="1229">
        <f t="shared" si="5"/>
        <v>0</v>
      </c>
      <c r="X27" s="1232"/>
      <c r="Y27" s="1232"/>
      <c r="Z27" s="564">
        <f t="shared" si="6"/>
        <v>1024456</v>
      </c>
      <c r="AA27" s="564">
        <f t="shared" si="7"/>
        <v>8992437</v>
      </c>
      <c r="AB27" s="227"/>
      <c r="AC27" s="566">
        <f t="shared" si="8"/>
        <v>8992437</v>
      </c>
      <c r="AD27" s="227"/>
      <c r="AE27" s="565"/>
      <c r="AF27" s="1233"/>
      <c r="AG27" s="1234"/>
      <c r="AH27" s="1223"/>
      <c r="AI27" s="1223"/>
      <c r="AJ27" s="1223"/>
      <c r="AK27" s="1223"/>
      <c r="AL27" s="1223"/>
      <c r="AM27" s="1223"/>
      <c r="AN27" s="1223"/>
    </row>
    <row r="28" spans="1:40" s="1224" customFormat="1" ht="33" customHeight="1">
      <c r="A28" s="1227">
        <v>13</v>
      </c>
      <c r="B28" s="1228">
        <v>13</v>
      </c>
      <c r="C28" s="1228" t="str">
        <f>'Chấm công KT'!C25</f>
        <v>02727</v>
      </c>
      <c r="D28" s="1229" t="str">
        <f>TONGHOPCONGDOI!C23</f>
        <v>T. Thong Đon</v>
      </c>
      <c r="E28" s="1228" t="s">
        <v>26</v>
      </c>
      <c r="F28" s="1230"/>
      <c r="G28" s="227">
        <f t="shared" si="3"/>
        <v>0</v>
      </c>
      <c r="H28" s="227">
        <f>VLOOKUP(D28,TONGHOPCONGDOI!C23:AD94,16,0)</f>
        <v>4650</v>
      </c>
      <c r="I28" s="227">
        <f>VLOOKUP(D28,TONGHOPCONGDOI!C23:AD94,18,0)</f>
        <v>0</v>
      </c>
      <c r="J28" s="227"/>
      <c r="K28" s="561">
        <f t="shared" si="2"/>
        <v>2052.6823165354003</v>
      </c>
      <c r="L28" s="931">
        <f>'SẢN LƯỢNG'!AP29</f>
        <v>144.49128609676487</v>
      </c>
      <c r="M28" s="931">
        <f>'SẢN LƯỢNG'!AQ29</f>
        <v>2197.1736026321651</v>
      </c>
      <c r="N28" s="562" t="str">
        <f>VLOOKUP(D28,'SẢN LƯỢNG'!$D$17:$AR$95,41,0)</f>
        <v>B</v>
      </c>
      <c r="O28" s="1231">
        <f t="shared" si="4"/>
        <v>7786344</v>
      </c>
      <c r="P28" s="564">
        <f>VLOOKUP(D28,TONGHOPCONGDOI!$C$11:$AD$93,20,0)</f>
        <v>27</v>
      </c>
      <c r="Q28" s="564">
        <f>VLOOKUP(D28,TONGHOPCONGDOI!$C$11:$AD$93,21,0)</f>
        <v>4</v>
      </c>
      <c r="R28" s="564">
        <f>VLOOKUP(D28,TONGHOPCONGDOI!$C$11:$AC$93,22,0)</f>
        <v>0</v>
      </c>
      <c r="S28" s="564">
        <f>VLOOKUP(D28,TONGHOPCONGDOI!$C$11:$AC$94,23,0)</f>
        <v>0</v>
      </c>
      <c r="T28" s="564">
        <f>VLOOKUP(D28,TONGHOPCONGDOI!$C$11:$AC$94,24,0)</f>
        <v>0</v>
      </c>
      <c r="U28" s="564">
        <f>VLOOKUP(D28,TONGHOPCONGDOI!$C$11:$AC$94,25,0)</f>
        <v>0</v>
      </c>
      <c r="V28" s="564"/>
      <c r="W28" s="1229">
        <f t="shared" si="5"/>
        <v>0</v>
      </c>
      <c r="X28" s="1232"/>
      <c r="Y28" s="1232"/>
      <c r="Z28" s="564">
        <f t="shared" si="6"/>
        <v>1024456</v>
      </c>
      <c r="AA28" s="564">
        <f t="shared" si="7"/>
        <v>8810800</v>
      </c>
      <c r="AB28" s="227"/>
      <c r="AC28" s="566">
        <f t="shared" si="8"/>
        <v>8810800</v>
      </c>
      <c r="AD28" s="227"/>
      <c r="AE28" s="565"/>
      <c r="AF28" s="1233"/>
      <c r="AG28" s="1234"/>
      <c r="AH28" s="1223"/>
      <c r="AI28" s="1223"/>
      <c r="AJ28" s="1223"/>
      <c r="AK28" s="1223"/>
      <c r="AL28" s="1223"/>
      <c r="AM28" s="1223"/>
      <c r="AN28" s="1223"/>
    </row>
    <row r="29" spans="1:40" s="1224" customFormat="1" ht="33" customHeight="1">
      <c r="A29" s="1227">
        <v>14</v>
      </c>
      <c r="B29" s="1228">
        <v>14</v>
      </c>
      <c r="C29" s="1228" t="str">
        <f>'Chấm công KT'!C26</f>
        <v>03467</v>
      </c>
      <c r="D29" s="1229" t="str">
        <f>TONGHOPCONGDOI!C24</f>
        <v>T. Hin</v>
      </c>
      <c r="E29" s="1228" t="s">
        <v>26</v>
      </c>
      <c r="F29" s="1230"/>
      <c r="G29" s="227">
        <f t="shared" si="3"/>
        <v>0</v>
      </c>
      <c r="H29" s="227">
        <f>VLOOKUP(D29,TONGHOPCONGDOI!C24:AD94,16,0)</f>
        <v>3720</v>
      </c>
      <c r="I29" s="227">
        <f>VLOOKUP(D29,TONGHOPCONGDOI!C24:AD94,18,0)</f>
        <v>0</v>
      </c>
      <c r="J29" s="227"/>
      <c r="K29" s="561">
        <f t="shared" si="2"/>
        <v>1642.1458532283202</v>
      </c>
      <c r="L29" s="931">
        <f>'SẢN LƯỢNG'!AP30</f>
        <v>118.3219693054551</v>
      </c>
      <c r="M29" s="931">
        <f>'SẢN LƯỢNG'!AQ30</f>
        <v>1760.4678225337755</v>
      </c>
      <c r="N29" s="562" t="str">
        <f>VLOOKUP(D29,'SẢN LƯỢNG'!$D$17:$AR$95,41,0)</f>
        <v>A</v>
      </c>
      <c r="O29" s="1231">
        <f t="shared" si="4"/>
        <v>6561440</v>
      </c>
      <c r="P29" s="564">
        <f>VLOOKUP(D29,TONGHOPCONGDOI!$C$11:$AD$93,20,0)</f>
        <v>27</v>
      </c>
      <c r="Q29" s="564">
        <f>VLOOKUP(D29,TONGHOPCONGDOI!$C$11:$AD$93,21,0)</f>
        <v>4</v>
      </c>
      <c r="R29" s="564">
        <f>VLOOKUP(D29,TONGHOPCONGDOI!$C$11:$AC$93,22,0)</f>
        <v>0</v>
      </c>
      <c r="S29" s="564">
        <f>VLOOKUP(D29,TONGHOPCONGDOI!$C$11:$AC$94,23,0)</f>
        <v>0</v>
      </c>
      <c r="T29" s="564">
        <f>VLOOKUP(D29,TONGHOPCONGDOI!$C$11:$AC$94,24,0)</f>
        <v>0</v>
      </c>
      <c r="U29" s="564">
        <f>VLOOKUP(D29,TONGHOPCONGDOI!$C$11:$AC$94,25,0)</f>
        <v>0</v>
      </c>
      <c r="V29" s="564"/>
      <c r="W29" s="1229">
        <f t="shared" si="5"/>
        <v>0</v>
      </c>
      <c r="X29" s="1232"/>
      <c r="Y29" s="1232"/>
      <c r="Z29" s="564">
        <f t="shared" si="6"/>
        <v>1024456</v>
      </c>
      <c r="AA29" s="564">
        <f t="shared" si="7"/>
        <v>7585896</v>
      </c>
      <c r="AB29" s="227"/>
      <c r="AC29" s="566">
        <f t="shared" si="8"/>
        <v>7585896</v>
      </c>
      <c r="AD29" s="227"/>
      <c r="AE29" s="565"/>
      <c r="AF29" s="1233"/>
      <c r="AG29" s="1234"/>
      <c r="AH29" s="1223"/>
      <c r="AI29" s="1223"/>
      <c r="AJ29" s="1223"/>
      <c r="AK29" s="1223"/>
      <c r="AL29" s="1223"/>
      <c r="AM29" s="1223"/>
      <c r="AN29" s="1223"/>
    </row>
    <row r="30" spans="1:40" s="1224" customFormat="1" ht="33" customHeight="1">
      <c r="A30" s="1227">
        <v>15</v>
      </c>
      <c r="B30" s="1228">
        <v>15</v>
      </c>
      <c r="C30" s="1228" t="str">
        <f>'Chấm công KT'!C27</f>
        <v>04056</v>
      </c>
      <c r="D30" s="1229" t="str">
        <f>TONGHOPCONGDOI!C25</f>
        <v>N. Ly Phon</v>
      </c>
      <c r="E30" s="1228" t="s">
        <v>26</v>
      </c>
      <c r="F30" s="1230"/>
      <c r="G30" s="227">
        <f t="shared" si="3"/>
        <v>0</v>
      </c>
      <c r="H30" s="227">
        <f>VLOOKUP(D30,TONGHOPCONGDOI!C25:AD94,16,0)</f>
        <v>3893</v>
      </c>
      <c r="I30" s="227">
        <f>VLOOKUP(D30,TONGHOPCONGDOI!C25:AD94,18,0)</f>
        <v>0</v>
      </c>
      <c r="J30" s="227"/>
      <c r="K30" s="561">
        <f t="shared" si="2"/>
        <v>1718.5144641445836</v>
      </c>
      <c r="L30" s="931">
        <f>'SẢN LƯỢNG'!AP31</f>
        <v>116.62486704920931</v>
      </c>
      <c r="M30" s="931">
        <f>'SẢN LƯỢNG'!AQ31</f>
        <v>1835.1393311937929</v>
      </c>
      <c r="N30" s="562" t="str">
        <f>VLOOKUP(D30,'SẢN LƯỢNG'!$D$17:$AR$95,41,0)</f>
        <v>A</v>
      </c>
      <c r="O30" s="1231">
        <f t="shared" si="4"/>
        <v>6839748</v>
      </c>
      <c r="P30" s="564">
        <f>VLOOKUP(D30,TONGHOPCONGDOI!$C$11:$AD$93,20,0)</f>
        <v>27</v>
      </c>
      <c r="Q30" s="564">
        <f>VLOOKUP(D30,TONGHOPCONGDOI!$C$11:$AD$93,21,0)</f>
        <v>4</v>
      </c>
      <c r="R30" s="564">
        <f>VLOOKUP(D30,TONGHOPCONGDOI!$C$11:$AC$93,22,0)</f>
        <v>0</v>
      </c>
      <c r="S30" s="564">
        <f>VLOOKUP(D30,TONGHOPCONGDOI!$C$11:$AC$94,23,0)</f>
        <v>0</v>
      </c>
      <c r="T30" s="564">
        <f>VLOOKUP(D30,TONGHOPCONGDOI!$C$11:$AC$94,24,0)</f>
        <v>0</v>
      </c>
      <c r="U30" s="564">
        <f>VLOOKUP(D30,TONGHOPCONGDOI!$C$11:$AC$94,25,0)</f>
        <v>0</v>
      </c>
      <c r="V30" s="564"/>
      <c r="W30" s="1229">
        <f t="shared" si="5"/>
        <v>0</v>
      </c>
      <c r="X30" s="1232"/>
      <c r="Y30" s="1232"/>
      <c r="Z30" s="564">
        <f t="shared" si="6"/>
        <v>1024456</v>
      </c>
      <c r="AA30" s="564">
        <f t="shared" si="7"/>
        <v>7864204</v>
      </c>
      <c r="AB30" s="227"/>
      <c r="AC30" s="566">
        <f t="shared" si="8"/>
        <v>7864204</v>
      </c>
      <c r="AD30" s="227"/>
      <c r="AE30" s="565"/>
      <c r="AF30" s="1233"/>
      <c r="AG30" s="1234"/>
      <c r="AH30" s="1223"/>
      <c r="AI30" s="1223"/>
      <c r="AJ30" s="1223"/>
      <c r="AK30" s="1223"/>
      <c r="AL30" s="1223"/>
      <c r="AM30" s="1223"/>
      <c r="AN30" s="1223"/>
    </row>
    <row r="31" spans="1:40" s="1224" customFormat="1" ht="33" customHeight="1">
      <c r="A31" s="1227">
        <v>16</v>
      </c>
      <c r="B31" s="1228">
        <v>16</v>
      </c>
      <c r="C31" s="1228" t="str">
        <f>'Chấm công KT'!C28</f>
        <v>03469</v>
      </c>
      <c r="D31" s="1229" t="str">
        <f>TONGHOPCONGDOI!C26</f>
        <v>T. Xôm Va Nít</v>
      </c>
      <c r="E31" s="1228" t="s">
        <v>26</v>
      </c>
      <c r="F31" s="1230"/>
      <c r="G31" s="227">
        <f t="shared" si="3"/>
        <v>0</v>
      </c>
      <c r="H31" s="227">
        <f>VLOOKUP(D31,TONGHOPCONGDOI!C26:AD94,16,0)</f>
        <v>4412</v>
      </c>
      <c r="I31" s="227">
        <f>VLOOKUP(D31,TONGHOPCONGDOI!C26:AD94,18,0)</f>
        <v>0</v>
      </c>
      <c r="J31" s="227"/>
      <c r="K31" s="561">
        <f t="shared" si="2"/>
        <v>1947.6202968933735</v>
      </c>
      <c r="L31" s="931">
        <f>'SẢN LƯỢNG'!AP32</f>
        <v>147.74972242875674</v>
      </c>
      <c r="M31" s="931">
        <f>'SẢN LƯỢNG'!AQ32</f>
        <v>2095.3700193221302</v>
      </c>
      <c r="N31" s="562" t="str">
        <f>VLOOKUP(D31,'SẢN LƯỢNG'!$D$17:$AR$95,41,0)</f>
        <v>A</v>
      </c>
      <c r="O31" s="1231">
        <f t="shared" si="4"/>
        <v>7809654</v>
      </c>
      <c r="P31" s="564">
        <f>VLOOKUP(D31,TONGHOPCONGDOI!$C$11:$AD$93,20,0)</f>
        <v>26</v>
      </c>
      <c r="Q31" s="564">
        <f>VLOOKUP(D31,TONGHOPCONGDOI!$C$11:$AD$93,21,0)</f>
        <v>4</v>
      </c>
      <c r="R31" s="564">
        <f>VLOOKUP(D31,TONGHOPCONGDOI!$C$11:$AC$93,22,0)</f>
        <v>0</v>
      </c>
      <c r="S31" s="564">
        <f>VLOOKUP(D31,TONGHOPCONGDOI!$C$11:$AC$94,23,0)</f>
        <v>0</v>
      </c>
      <c r="T31" s="564">
        <f>VLOOKUP(D31,TONGHOPCONGDOI!$C$11:$AC$94,24,0)</f>
        <v>0</v>
      </c>
      <c r="U31" s="564">
        <f>VLOOKUP(D31,TONGHOPCONGDOI!$C$11:$AC$94,25,0)</f>
        <v>0</v>
      </c>
      <c r="V31" s="564"/>
      <c r="W31" s="1229">
        <f t="shared" si="5"/>
        <v>0</v>
      </c>
      <c r="X31" s="1232"/>
      <c r="Y31" s="1232"/>
      <c r="Z31" s="564">
        <f t="shared" si="6"/>
        <v>994032</v>
      </c>
      <c r="AA31" s="564">
        <f t="shared" si="7"/>
        <v>8803686</v>
      </c>
      <c r="AB31" s="227"/>
      <c r="AC31" s="566">
        <f t="shared" si="8"/>
        <v>8803686</v>
      </c>
      <c r="AD31" s="227"/>
      <c r="AE31" s="565"/>
      <c r="AF31" s="1233"/>
      <c r="AG31" s="1234"/>
      <c r="AH31" s="1223"/>
      <c r="AI31" s="1223"/>
      <c r="AJ31" s="1223"/>
      <c r="AK31" s="1223"/>
      <c r="AL31" s="1223"/>
      <c r="AM31" s="1223"/>
      <c r="AN31" s="1223"/>
    </row>
    <row r="32" spans="1:40" s="1224" customFormat="1" ht="33" customHeight="1">
      <c r="A32" s="1227">
        <v>17</v>
      </c>
      <c r="B32" s="1228">
        <v>17</v>
      </c>
      <c r="C32" s="1228" t="str">
        <f>'Chấm công KT'!C29</f>
        <v>03470</v>
      </c>
      <c r="D32" s="1229" t="str">
        <f>TONGHOPCONGDOI!C27</f>
        <v>T. Lọi</v>
      </c>
      <c r="E32" s="1228" t="s">
        <v>26</v>
      </c>
      <c r="F32" s="1230"/>
      <c r="G32" s="227">
        <f t="shared" si="3"/>
        <v>0</v>
      </c>
      <c r="H32" s="227">
        <f>VLOOKUP(D32,TONGHOPCONGDOI!C27:AD94,16,0)</f>
        <v>3677</v>
      </c>
      <c r="I32" s="227">
        <f>VLOOKUP(D32,TONGHOPCONGDOI!C27:AD94,18,0)</f>
        <v>0</v>
      </c>
      <c r="J32" s="227"/>
      <c r="K32" s="561">
        <f t="shared" si="2"/>
        <v>1623.1640597635844</v>
      </c>
      <c r="L32" s="931">
        <f>'SẢN LƯỢNG'!AP33</f>
        <v>117.54130226758203</v>
      </c>
      <c r="M32" s="931">
        <f>'SẢN LƯỢNG'!AQ33</f>
        <v>1740.7053620311665</v>
      </c>
      <c r="N32" s="562" t="str">
        <f>VLOOKUP(D32,'SẢN LƯỢNG'!$D$17:$AR$95,41,0)</f>
        <v>A</v>
      </c>
      <c r="O32" s="1231">
        <f t="shared" si="4"/>
        <v>6487783</v>
      </c>
      <c r="P32" s="564">
        <f>VLOOKUP(D32,TONGHOPCONGDOI!$C$11:$AD$93,20,0)</f>
        <v>26</v>
      </c>
      <c r="Q32" s="564">
        <f>VLOOKUP(D32,TONGHOPCONGDOI!$C$11:$AD$93,21,0)</f>
        <v>3</v>
      </c>
      <c r="R32" s="564">
        <f>VLOOKUP(D32,TONGHOPCONGDOI!$C$11:$AC$93,22,0)</f>
        <v>0</v>
      </c>
      <c r="S32" s="564">
        <f>VLOOKUP(D32,TONGHOPCONGDOI!$C$11:$AC$94,23,0)</f>
        <v>0</v>
      </c>
      <c r="T32" s="564">
        <f>VLOOKUP(D32,TONGHOPCONGDOI!$C$11:$AC$94,24,0)</f>
        <v>0</v>
      </c>
      <c r="U32" s="564">
        <f>VLOOKUP(D32,TONGHOPCONGDOI!$C$11:$AC$94,25,0)</f>
        <v>0</v>
      </c>
      <c r="V32" s="564"/>
      <c r="W32" s="1229">
        <f t="shared" si="5"/>
        <v>0</v>
      </c>
      <c r="X32" s="1232"/>
      <c r="Y32" s="1232"/>
      <c r="Z32" s="564">
        <f t="shared" si="6"/>
        <v>943281</v>
      </c>
      <c r="AA32" s="564">
        <f t="shared" si="7"/>
        <v>7431064</v>
      </c>
      <c r="AB32" s="227"/>
      <c r="AC32" s="566">
        <f t="shared" si="8"/>
        <v>7431064</v>
      </c>
      <c r="AD32" s="227"/>
      <c r="AE32" s="565"/>
      <c r="AF32" s="1233"/>
      <c r="AG32" s="1234"/>
      <c r="AH32" s="1223"/>
      <c r="AI32" s="1223"/>
      <c r="AJ32" s="1223"/>
      <c r="AK32" s="1223"/>
      <c r="AL32" s="1223"/>
      <c r="AM32" s="1223"/>
      <c r="AN32" s="1223"/>
    </row>
    <row r="33" spans="1:40" s="1224" customFormat="1" ht="33" customHeight="1">
      <c r="A33" s="1227">
        <v>18</v>
      </c>
      <c r="B33" s="1228">
        <v>18</v>
      </c>
      <c r="C33" s="1228" t="str">
        <f>'Chấm công KT'!C30</f>
        <v>03471</v>
      </c>
      <c r="D33" s="1229" t="str">
        <f>TONGHOPCONGDOI!C28</f>
        <v>T. Phô Thong</v>
      </c>
      <c r="E33" s="1228" t="s">
        <v>26</v>
      </c>
      <c r="F33" s="1230"/>
      <c r="G33" s="227">
        <f t="shared" si="3"/>
        <v>0</v>
      </c>
      <c r="H33" s="227">
        <f>VLOOKUP(D33,TONGHOPCONGDOI!C28:AD94,16,0)</f>
        <v>5164</v>
      </c>
      <c r="I33" s="227">
        <f>VLOOKUP(D33,TONGHOPCONGDOI!C28:AD94,18,0)</f>
        <v>0</v>
      </c>
      <c r="J33" s="227"/>
      <c r="K33" s="561">
        <f t="shared" si="2"/>
        <v>2279.5809639975928</v>
      </c>
      <c r="L33" s="931">
        <f>'SẢN LƯỢNG'!AP34</f>
        <v>149.48076673012744</v>
      </c>
      <c r="M33" s="931">
        <f>'SẢN LƯỢNG'!AQ34</f>
        <v>2429.0617307277207</v>
      </c>
      <c r="N33" s="562" t="str">
        <f>VLOOKUP(D33,'SẢN LƯỢNG'!$D$17:$AR$95,41,0)</f>
        <v>A</v>
      </c>
      <c r="O33" s="1231">
        <f t="shared" si="4"/>
        <v>9053356</v>
      </c>
      <c r="P33" s="564">
        <f>VLOOKUP(D33,TONGHOPCONGDOI!$C$11:$AD$93,20,0)</f>
        <v>27</v>
      </c>
      <c r="Q33" s="564">
        <f>VLOOKUP(D33,TONGHOPCONGDOI!$C$11:$AD$93,21,0)</f>
        <v>4</v>
      </c>
      <c r="R33" s="564">
        <f>VLOOKUP(D33,TONGHOPCONGDOI!$C$11:$AC$93,22,0)</f>
        <v>0</v>
      </c>
      <c r="S33" s="564">
        <f>VLOOKUP(D33,TONGHOPCONGDOI!$C$11:$AC$94,23,0)</f>
        <v>0</v>
      </c>
      <c r="T33" s="564">
        <f>VLOOKUP(D33,TONGHOPCONGDOI!$C$11:$AC$94,24,0)</f>
        <v>0</v>
      </c>
      <c r="U33" s="564">
        <f>VLOOKUP(D33,TONGHOPCONGDOI!$C$11:$AC$94,25,0)</f>
        <v>0</v>
      </c>
      <c r="V33" s="564"/>
      <c r="W33" s="1229">
        <f t="shared" si="5"/>
        <v>0</v>
      </c>
      <c r="X33" s="1232"/>
      <c r="Y33" s="1232"/>
      <c r="Z33" s="564">
        <f t="shared" si="6"/>
        <v>1024456</v>
      </c>
      <c r="AA33" s="564">
        <f t="shared" si="7"/>
        <v>10077812</v>
      </c>
      <c r="AB33" s="227"/>
      <c r="AC33" s="566">
        <f t="shared" si="8"/>
        <v>10077812</v>
      </c>
      <c r="AD33" s="227"/>
      <c r="AE33" s="565"/>
      <c r="AF33" s="1233"/>
      <c r="AG33" s="1234"/>
      <c r="AH33" s="1223"/>
      <c r="AI33" s="1223"/>
      <c r="AJ33" s="1223"/>
      <c r="AK33" s="1223"/>
      <c r="AL33" s="1223"/>
      <c r="AM33" s="1223"/>
      <c r="AN33" s="1223"/>
    </row>
    <row r="34" spans="1:40" s="1224" customFormat="1" ht="33" customHeight="1">
      <c r="A34" s="1227">
        <v>19</v>
      </c>
      <c r="B34" s="1228">
        <v>19</v>
      </c>
      <c r="C34" s="1228" t="str">
        <f>'Chấm công KT'!C31</f>
        <v>03472</v>
      </c>
      <c r="D34" s="1229" t="str">
        <f>TONGHOPCONGDOI!C29</f>
        <v>N. Soi</v>
      </c>
      <c r="E34" s="1228" t="s">
        <v>26</v>
      </c>
      <c r="F34" s="1230"/>
      <c r="G34" s="227">
        <f t="shared" si="3"/>
        <v>0</v>
      </c>
      <c r="H34" s="227">
        <f>VLOOKUP(D34,TONGHOPCONGDOI!C29:AD94,16,0)</f>
        <v>3965</v>
      </c>
      <c r="I34" s="227">
        <f>VLOOKUP(D34,TONGHOPCONGDOI!C29:AD94,18,0)</f>
        <v>0</v>
      </c>
      <c r="J34" s="227"/>
      <c r="K34" s="561">
        <f t="shared" si="2"/>
        <v>1750.2979322715832</v>
      </c>
      <c r="L34" s="931">
        <f>'SẢN LƯỢNG'!AP35</f>
        <v>113.12883640134304</v>
      </c>
      <c r="M34" s="931">
        <f>'SẢN LƯỢNG'!AQ35</f>
        <v>1863.4267686729265</v>
      </c>
      <c r="N34" s="562" t="str">
        <f>VLOOKUP(D34,'SẢN LƯỢNG'!$D$17:$AR$95,41,0)</f>
        <v>A</v>
      </c>
      <c r="O34" s="1231">
        <f t="shared" si="4"/>
        <v>6945178</v>
      </c>
      <c r="P34" s="564">
        <f>VLOOKUP(D34,TONGHOPCONGDOI!$C$11:$AD$93,20,0)</f>
        <v>26</v>
      </c>
      <c r="Q34" s="564">
        <f>VLOOKUP(D34,TONGHOPCONGDOI!$C$11:$AD$93,21,0)</f>
        <v>4</v>
      </c>
      <c r="R34" s="564">
        <f>VLOOKUP(D34,TONGHOPCONGDOI!$C$11:$AC$93,22,0)</f>
        <v>0</v>
      </c>
      <c r="S34" s="564">
        <f>VLOOKUP(D34,TONGHOPCONGDOI!$C$11:$AC$94,23,0)</f>
        <v>0</v>
      </c>
      <c r="T34" s="564">
        <f>VLOOKUP(D34,TONGHOPCONGDOI!$C$11:$AC$94,24,0)</f>
        <v>0</v>
      </c>
      <c r="U34" s="564">
        <f>VLOOKUP(D34,TONGHOPCONGDOI!$C$11:$AC$94,25,0)</f>
        <v>0</v>
      </c>
      <c r="V34" s="564"/>
      <c r="W34" s="1229">
        <f t="shared" si="5"/>
        <v>0</v>
      </c>
      <c r="X34" s="1232"/>
      <c r="Y34" s="1232"/>
      <c r="Z34" s="564">
        <f t="shared" si="6"/>
        <v>994032</v>
      </c>
      <c r="AA34" s="564">
        <f t="shared" si="7"/>
        <v>7939210</v>
      </c>
      <c r="AB34" s="227"/>
      <c r="AC34" s="566">
        <f t="shared" si="8"/>
        <v>7939210</v>
      </c>
      <c r="AD34" s="227"/>
      <c r="AE34" s="565"/>
      <c r="AF34" s="1233"/>
      <c r="AG34" s="1234"/>
      <c r="AH34" s="1223"/>
      <c r="AI34" s="1223"/>
      <c r="AJ34" s="1223"/>
      <c r="AK34" s="1223"/>
      <c r="AL34" s="1223"/>
      <c r="AM34" s="1223"/>
      <c r="AN34" s="1223"/>
    </row>
    <row r="35" spans="1:40" s="1224" customFormat="1" ht="33" customHeight="1">
      <c r="A35" s="1227">
        <v>20</v>
      </c>
      <c r="B35" s="1228">
        <v>20</v>
      </c>
      <c r="C35" s="1228" t="str">
        <f>'Chấm công KT'!C32</f>
        <v>03473</v>
      </c>
      <c r="D35" s="1229" t="str">
        <f>TONGHOPCONGDOI!C30</f>
        <v>N. Me Kha La</v>
      </c>
      <c r="E35" s="1228" t="s">
        <v>26</v>
      </c>
      <c r="F35" s="1230"/>
      <c r="G35" s="227">
        <f t="shared" si="3"/>
        <v>0</v>
      </c>
      <c r="H35" s="227">
        <f>VLOOKUP(D35,TONGHOPCONGDOI!C30:AD94,16,0)</f>
        <v>4666</v>
      </c>
      <c r="I35" s="227">
        <f>VLOOKUP(D35,TONGHOPCONGDOI!C30:AD94,18,0)</f>
        <v>0</v>
      </c>
      <c r="J35" s="227"/>
      <c r="K35" s="561">
        <f t="shared" si="2"/>
        <v>2059.7453094525113</v>
      </c>
      <c r="L35" s="931">
        <f>'SẢN LƯỢNG'!AP36</f>
        <v>161.53019274947238</v>
      </c>
      <c r="M35" s="931">
        <f>'SẢN LƯỢNG'!AQ36</f>
        <v>2221.2755022019837</v>
      </c>
      <c r="N35" s="562" t="str">
        <f>VLOOKUP(D35,'SẢN LƯỢNG'!$D$17:$AR$95,41,0)</f>
        <v>A</v>
      </c>
      <c r="O35" s="1231">
        <f t="shared" si="4"/>
        <v>8278916</v>
      </c>
      <c r="P35" s="564">
        <f>VLOOKUP(D35,TONGHOPCONGDOI!$C$11:$AD$93,20,0)</f>
        <v>27</v>
      </c>
      <c r="Q35" s="564">
        <f>VLOOKUP(D35,TONGHOPCONGDOI!$C$11:$AD$93,21,0)</f>
        <v>4</v>
      </c>
      <c r="R35" s="564">
        <f>VLOOKUP(D35,TONGHOPCONGDOI!$C$11:$AC$93,22,0)</f>
        <v>0</v>
      </c>
      <c r="S35" s="564">
        <f>VLOOKUP(D35,TONGHOPCONGDOI!$C$11:$AC$94,23,0)</f>
        <v>0</v>
      </c>
      <c r="T35" s="564">
        <f>VLOOKUP(D35,TONGHOPCONGDOI!$C$11:$AC$94,24,0)</f>
        <v>0</v>
      </c>
      <c r="U35" s="564">
        <f>VLOOKUP(D35,TONGHOPCONGDOI!$C$11:$AC$94,25,0)</f>
        <v>0</v>
      </c>
      <c r="V35" s="564"/>
      <c r="W35" s="1229">
        <f t="shared" si="5"/>
        <v>0</v>
      </c>
      <c r="X35" s="1232"/>
      <c r="Y35" s="1232"/>
      <c r="Z35" s="564">
        <f t="shared" si="6"/>
        <v>1024456</v>
      </c>
      <c r="AA35" s="564">
        <f t="shared" si="7"/>
        <v>9303372</v>
      </c>
      <c r="AB35" s="227"/>
      <c r="AC35" s="566">
        <f t="shared" si="8"/>
        <v>9303372</v>
      </c>
      <c r="AD35" s="227"/>
      <c r="AE35" s="565"/>
      <c r="AF35" s="1233"/>
      <c r="AG35" s="1234"/>
      <c r="AH35" s="1223"/>
      <c r="AI35" s="1223"/>
      <c r="AJ35" s="1223"/>
      <c r="AK35" s="1223"/>
      <c r="AL35" s="1223"/>
      <c r="AM35" s="1223"/>
      <c r="AN35" s="1223"/>
    </row>
    <row r="36" spans="1:40" s="1224" customFormat="1" ht="33" customHeight="1">
      <c r="A36" s="1227">
        <v>21</v>
      </c>
      <c r="B36" s="1228">
        <v>21</v>
      </c>
      <c r="C36" s="1228" t="str">
        <f>'Chấm công KT'!C33</f>
        <v>03474</v>
      </c>
      <c r="D36" s="1229" t="str">
        <f>TONGHOPCONGDOI!C31</f>
        <v>N. Mon Khăm</v>
      </c>
      <c r="E36" s="1228" t="s">
        <v>26</v>
      </c>
      <c r="F36" s="1230"/>
      <c r="G36" s="227">
        <f t="shared" si="3"/>
        <v>0</v>
      </c>
      <c r="H36" s="227">
        <f>VLOOKUP(D36,TONGHOPCONGDOI!C31:AD94,16,0)</f>
        <v>3785</v>
      </c>
      <c r="I36" s="227">
        <f>VLOOKUP(D36,TONGHOPCONGDOI!C31:AD94,18,0)</f>
        <v>0</v>
      </c>
      <c r="J36" s="227"/>
      <c r="K36" s="561">
        <f t="shared" si="2"/>
        <v>1670.8392619540839</v>
      </c>
      <c r="L36" s="931">
        <f>'SẢN LƯỢNG'!AP37</f>
        <v>129.48890215155225</v>
      </c>
      <c r="M36" s="931">
        <f>'SẢN LƯỢNG'!AQ37</f>
        <v>1800.3281641056362</v>
      </c>
      <c r="N36" s="562" t="str">
        <f>VLOOKUP(D36,'SẢN LƯỢNG'!$D$17:$AR$95,41,0)</f>
        <v>B</v>
      </c>
      <c r="O36" s="1231">
        <f t="shared" si="4"/>
        <v>6380003</v>
      </c>
      <c r="P36" s="564">
        <f>VLOOKUP(D36,TONGHOPCONGDOI!$C$11:$AD$93,20,0)</f>
        <v>24</v>
      </c>
      <c r="Q36" s="564">
        <f>VLOOKUP(D36,TONGHOPCONGDOI!$C$11:$AD$93,21,0)</f>
        <v>4</v>
      </c>
      <c r="R36" s="564">
        <f>VLOOKUP(D36,TONGHOPCONGDOI!$C$11:$AC$93,22,0)</f>
        <v>0</v>
      </c>
      <c r="S36" s="564">
        <f>VLOOKUP(D36,TONGHOPCONGDOI!$C$11:$AC$94,23,0)</f>
        <v>0</v>
      </c>
      <c r="T36" s="564">
        <f>VLOOKUP(D36,TONGHOPCONGDOI!$C$11:$AC$94,24,0)</f>
        <v>0</v>
      </c>
      <c r="U36" s="564">
        <f>VLOOKUP(D36,TONGHOPCONGDOI!$C$11:$AC$94,25,0)</f>
        <v>0</v>
      </c>
      <c r="V36" s="564"/>
      <c r="W36" s="1229">
        <f t="shared" si="5"/>
        <v>0</v>
      </c>
      <c r="X36" s="1232"/>
      <c r="Y36" s="1232"/>
      <c r="Z36" s="564">
        <f t="shared" si="6"/>
        <v>933183</v>
      </c>
      <c r="AA36" s="564">
        <f t="shared" si="7"/>
        <v>7313186</v>
      </c>
      <c r="AB36" s="227"/>
      <c r="AC36" s="566">
        <f t="shared" si="8"/>
        <v>7313186</v>
      </c>
      <c r="AD36" s="227"/>
      <c r="AE36" s="565"/>
      <c r="AF36" s="1233"/>
      <c r="AG36" s="1234"/>
      <c r="AH36" s="1223"/>
      <c r="AI36" s="1223"/>
      <c r="AJ36" s="1223"/>
      <c r="AK36" s="1223"/>
      <c r="AL36" s="1223"/>
      <c r="AM36" s="1223"/>
      <c r="AN36" s="1223"/>
    </row>
    <row r="37" spans="1:40" s="1224" customFormat="1" ht="33" customHeight="1">
      <c r="A37" s="1227">
        <v>22</v>
      </c>
      <c r="B37" s="1228">
        <v>22</v>
      </c>
      <c r="C37" s="1228">
        <f>'Chấm công KT'!C34</f>
        <v>0</v>
      </c>
      <c r="D37" s="1229" t="str">
        <f>TONGHOPCONGDOI!C32</f>
        <v>N.Choi</v>
      </c>
      <c r="E37" s="1228" t="s">
        <v>26</v>
      </c>
      <c r="F37" s="1230"/>
      <c r="G37" s="227">
        <f t="shared" si="3"/>
        <v>0</v>
      </c>
      <c r="H37" s="227">
        <f>VLOOKUP(D37,TONGHOPCONGDOI!C32:AD94,16,0)</f>
        <v>3604</v>
      </c>
      <c r="I37" s="227">
        <f>VLOOKUP(D37,TONGHOPCONGDOI!C32:AD94,18,0)</f>
        <v>0</v>
      </c>
      <c r="J37" s="227"/>
      <c r="K37" s="561">
        <f t="shared" si="2"/>
        <v>1590.9391545792651</v>
      </c>
      <c r="L37" s="931">
        <f>'SẢN LƯỢNG'!AP38</f>
        <v>130.84658395654887</v>
      </c>
      <c r="M37" s="931">
        <f>'SẢN LƯỢNG'!AQ38</f>
        <v>1721.7857385358138</v>
      </c>
      <c r="N37" s="562" t="str">
        <f>VLOOKUP(D37,'SẢN LƯỢNG'!$D$17:$AR$95,41,0)</f>
        <v>A</v>
      </c>
      <c r="O37" s="1231">
        <f t="shared" si="4"/>
        <v>6417268</v>
      </c>
      <c r="P37" s="564">
        <f>VLOOKUP(D37,TONGHOPCONGDOI!$C$11:$AD$93,20,0)</f>
        <v>26</v>
      </c>
      <c r="Q37" s="564">
        <f>VLOOKUP(D37,TONGHOPCONGDOI!$C$11:$AD$93,21,0)</f>
        <v>4</v>
      </c>
      <c r="R37" s="564">
        <f>VLOOKUP(D37,TONGHOPCONGDOI!$C$11:$AC$93,22,0)</f>
        <v>0</v>
      </c>
      <c r="S37" s="564">
        <f>VLOOKUP(D37,TONGHOPCONGDOI!$C$11:$AC$94,23,0)</f>
        <v>0</v>
      </c>
      <c r="T37" s="564">
        <f>VLOOKUP(D37,TONGHOPCONGDOI!$C$11:$AC$94,24,0)</f>
        <v>0</v>
      </c>
      <c r="U37" s="564">
        <f>VLOOKUP(D37,TONGHOPCONGDOI!$C$11:$AC$94,25,0)</f>
        <v>0</v>
      </c>
      <c r="V37" s="564"/>
      <c r="W37" s="1229">
        <f t="shared" si="5"/>
        <v>0</v>
      </c>
      <c r="X37" s="1232"/>
      <c r="Y37" s="1232"/>
      <c r="Z37" s="564">
        <f t="shared" si="6"/>
        <v>994032</v>
      </c>
      <c r="AA37" s="564">
        <f t="shared" si="7"/>
        <v>7411300</v>
      </c>
      <c r="AB37" s="227"/>
      <c r="AC37" s="566">
        <f t="shared" si="8"/>
        <v>7411300</v>
      </c>
      <c r="AD37" s="227"/>
      <c r="AE37" s="565"/>
      <c r="AF37" s="1233"/>
      <c r="AG37" s="1234"/>
      <c r="AH37" s="1223"/>
      <c r="AI37" s="1223"/>
      <c r="AJ37" s="1223"/>
      <c r="AK37" s="1223"/>
      <c r="AL37" s="1223"/>
      <c r="AM37" s="1223"/>
      <c r="AN37" s="1223"/>
    </row>
    <row r="38" spans="1:40" s="1224" customFormat="1" ht="33" customHeight="1">
      <c r="A38" s="1227">
        <v>23</v>
      </c>
      <c r="B38" s="1228">
        <v>23</v>
      </c>
      <c r="C38" s="1228" t="str">
        <f>'Chấm công KT'!C35</f>
        <v>03476</v>
      </c>
      <c r="D38" s="1229" t="str">
        <f>TONGHOPCONGDOI!C33</f>
        <v>T. Bin Ly.</v>
      </c>
      <c r="E38" s="1228" t="s">
        <v>26</v>
      </c>
      <c r="F38" s="1230"/>
      <c r="G38" s="227">
        <f t="shared" si="3"/>
        <v>0</v>
      </c>
      <c r="H38" s="227">
        <f>VLOOKUP(D38,TONGHOPCONGDOI!C33:AD94,16,0)</f>
        <v>3954</v>
      </c>
      <c r="I38" s="227">
        <f>VLOOKUP(D38,TONGHOPCONGDOI!C33:AD94,18,0)</f>
        <v>0</v>
      </c>
      <c r="J38" s="227"/>
      <c r="K38" s="561">
        <f t="shared" si="2"/>
        <v>1745.4421246410695</v>
      </c>
      <c r="L38" s="931">
        <f>'SẢN LƯỢNG'!AP39</f>
        <v>146.15444630788571</v>
      </c>
      <c r="M38" s="931">
        <f>'SẢN LƯỢNG'!AQ39</f>
        <v>1891.5965709489551</v>
      </c>
      <c r="N38" s="562" t="str">
        <f>VLOOKUP(D38,'SẢN LƯỢNG'!$D$17:$AR$95,41,0)</f>
        <v>A</v>
      </c>
      <c r="O38" s="1231">
        <f t="shared" si="4"/>
        <v>7050170</v>
      </c>
      <c r="P38" s="564">
        <f>VLOOKUP(D38,TONGHOPCONGDOI!$C$11:$AD$93,20,0)</f>
        <v>27</v>
      </c>
      <c r="Q38" s="564">
        <f>VLOOKUP(D38,TONGHOPCONGDOI!$C$11:$AD$93,21,0)</f>
        <v>4</v>
      </c>
      <c r="R38" s="564">
        <f>VLOOKUP(D38,TONGHOPCONGDOI!$C$11:$AC$93,22,0)</f>
        <v>0</v>
      </c>
      <c r="S38" s="564">
        <f>VLOOKUP(D38,TONGHOPCONGDOI!$C$11:$AC$94,23,0)</f>
        <v>0</v>
      </c>
      <c r="T38" s="564"/>
      <c r="U38" s="564">
        <f>VLOOKUP(D38,TONGHOPCONGDOI!$C$11:$AC$94,25,0)</f>
        <v>0</v>
      </c>
      <c r="V38" s="564"/>
      <c r="W38" s="1229">
        <f t="shared" si="5"/>
        <v>0</v>
      </c>
      <c r="X38" s="1232"/>
      <c r="Y38" s="1232"/>
      <c r="Z38" s="564">
        <f t="shared" si="6"/>
        <v>1024456</v>
      </c>
      <c r="AA38" s="564">
        <f t="shared" si="7"/>
        <v>8074626</v>
      </c>
      <c r="AB38" s="227"/>
      <c r="AC38" s="566">
        <f t="shared" si="8"/>
        <v>8074626</v>
      </c>
      <c r="AD38" s="227"/>
      <c r="AE38" s="565"/>
      <c r="AF38" s="1233"/>
      <c r="AG38" s="1234"/>
      <c r="AH38" s="1223"/>
      <c r="AI38" s="1223"/>
      <c r="AJ38" s="1223"/>
      <c r="AK38" s="1223"/>
      <c r="AL38" s="1223"/>
      <c r="AM38" s="1223"/>
      <c r="AN38" s="1223"/>
    </row>
    <row r="39" spans="1:40" s="1224" customFormat="1" ht="33" customHeight="1">
      <c r="A39" s="1227">
        <v>24</v>
      </c>
      <c r="B39" s="1228">
        <v>24</v>
      </c>
      <c r="C39" s="1228">
        <f>'Chấm công KT'!C36</f>
        <v>0</v>
      </c>
      <c r="D39" s="1229" t="str">
        <f>TONGHOPCONGDOI!C34</f>
        <v>N. Tinh</v>
      </c>
      <c r="E39" s="1228" t="s">
        <v>26</v>
      </c>
      <c r="F39" s="1230"/>
      <c r="G39" s="227">
        <f t="shared" si="3"/>
        <v>0</v>
      </c>
      <c r="H39" s="227">
        <f>VLOOKUP(D39,TONGHOPCONGDOI!C34:AD94,16,0)</f>
        <v>4040</v>
      </c>
      <c r="I39" s="227">
        <f>VLOOKUP(D39,TONGHOPCONGDOI!C34:AD94,18,0)</f>
        <v>0</v>
      </c>
      <c r="J39" s="227"/>
      <c r="K39" s="561">
        <f t="shared" si="2"/>
        <v>1783.4057115705414</v>
      </c>
      <c r="L39" s="931">
        <f>'SẢN LƯỢNG'!AP40</f>
        <v>132.20426576154549</v>
      </c>
      <c r="M39" s="931">
        <f>'SẢN LƯỢNG'!AQ40</f>
        <v>1915.6099773320868</v>
      </c>
      <c r="N39" s="562" t="str">
        <f>VLOOKUP(D39,'SẢN LƯỢNG'!$D$17:$AR$95,41,0)</f>
        <v>A</v>
      </c>
      <c r="O39" s="1231">
        <f t="shared" si="4"/>
        <v>7139670</v>
      </c>
      <c r="P39" s="564">
        <f>VLOOKUP(D39,TONGHOPCONGDOI!$C$11:$AD$93,20,0)</f>
        <v>27</v>
      </c>
      <c r="Q39" s="564">
        <f>VLOOKUP(D39,TONGHOPCONGDOI!$C$11:$AD$93,21,0)</f>
        <v>4</v>
      </c>
      <c r="R39" s="564">
        <f>VLOOKUP(D39,TONGHOPCONGDOI!$C$11:$AC$93,22,0)</f>
        <v>0</v>
      </c>
      <c r="S39" s="564">
        <f>VLOOKUP(D39,TONGHOPCONGDOI!$C$11:$AC$94,23,0)</f>
        <v>0</v>
      </c>
      <c r="T39" s="564">
        <f>VLOOKUP(D39,TONGHOPCONGDOI!$C$11:$AC$94,24,0)</f>
        <v>0</v>
      </c>
      <c r="U39" s="564">
        <f>VLOOKUP(D39,TONGHOPCONGDOI!$C$11:$AC$94,25,0)</f>
        <v>0</v>
      </c>
      <c r="V39" s="564"/>
      <c r="W39" s="1229">
        <f t="shared" si="5"/>
        <v>0</v>
      </c>
      <c r="X39" s="1232"/>
      <c r="Y39" s="1232"/>
      <c r="Z39" s="564">
        <f t="shared" si="6"/>
        <v>1024456</v>
      </c>
      <c r="AA39" s="564">
        <f t="shared" si="7"/>
        <v>8164126</v>
      </c>
      <c r="AB39" s="227"/>
      <c r="AC39" s="566">
        <f t="shared" si="8"/>
        <v>8164126</v>
      </c>
      <c r="AD39" s="227"/>
      <c r="AE39" s="565"/>
      <c r="AF39" s="1233"/>
      <c r="AG39" s="1234"/>
      <c r="AH39" s="1223"/>
      <c r="AI39" s="1223"/>
      <c r="AJ39" s="1223"/>
      <c r="AK39" s="1223"/>
      <c r="AL39" s="1223"/>
      <c r="AM39" s="1223"/>
      <c r="AN39" s="1223"/>
    </row>
    <row r="40" spans="1:40" s="1224" customFormat="1" ht="33" customHeight="1">
      <c r="A40" s="1227">
        <v>25</v>
      </c>
      <c r="B40" s="1228">
        <v>25</v>
      </c>
      <c r="C40" s="1228" t="str">
        <f>'Chấm công KT'!C37</f>
        <v>03478</v>
      </c>
      <c r="D40" s="1229" t="str">
        <f>TONGHOPCONGDOI!C35</f>
        <v>N. Nong</v>
      </c>
      <c r="E40" s="1228" t="s">
        <v>26</v>
      </c>
      <c r="F40" s="1230"/>
      <c r="G40" s="227">
        <f t="shared" si="3"/>
        <v>0</v>
      </c>
      <c r="H40" s="227">
        <f>VLOOKUP(D40,TONGHOPCONGDOI!C35:AD94,16,0)</f>
        <v>4012</v>
      </c>
      <c r="I40" s="227">
        <f>VLOOKUP(D40,TONGHOPCONGDOI!C35:AD94,18,0)</f>
        <v>0</v>
      </c>
      <c r="J40" s="227"/>
      <c r="K40" s="561">
        <f t="shared" si="2"/>
        <v>1771.045473965597</v>
      </c>
      <c r="L40" s="931">
        <f>'SẢN LƯỢNG'!AP41</f>
        <v>151.04210080587353</v>
      </c>
      <c r="M40" s="931">
        <f>'SẢN LƯỢNG'!AQ41</f>
        <v>1922.0875747714706</v>
      </c>
      <c r="N40" s="562" t="str">
        <f>VLOOKUP(D40,'SẢN LƯỢNG'!$D$17:$AR$95,41,0)</f>
        <v>A</v>
      </c>
      <c r="O40" s="1231">
        <f t="shared" si="4"/>
        <v>7163813</v>
      </c>
      <c r="P40" s="564">
        <f>VLOOKUP(D40,TONGHOPCONGDOI!$C$11:$AD$93,20,0)</f>
        <v>27</v>
      </c>
      <c r="Q40" s="564">
        <f>VLOOKUP(D40,TONGHOPCONGDOI!$C$11:$AD$93,21,0)</f>
        <v>4</v>
      </c>
      <c r="R40" s="564">
        <f>VLOOKUP(D40,TONGHOPCONGDOI!$C$11:$AC$93,22,0)</f>
        <v>0</v>
      </c>
      <c r="S40" s="564">
        <f>VLOOKUP(D40,TONGHOPCONGDOI!$C$11:$AC$94,23,0)</f>
        <v>0</v>
      </c>
      <c r="T40" s="564">
        <f>VLOOKUP(D40,TONGHOPCONGDOI!$C$11:$AC$94,24,0)</f>
        <v>0</v>
      </c>
      <c r="U40" s="564">
        <f>VLOOKUP(D40,TONGHOPCONGDOI!$C$11:$AC$94,25,0)</f>
        <v>0</v>
      </c>
      <c r="V40" s="564"/>
      <c r="W40" s="1229">
        <f t="shared" si="5"/>
        <v>0</v>
      </c>
      <c r="X40" s="1232"/>
      <c r="Y40" s="1232"/>
      <c r="Z40" s="564">
        <f t="shared" si="6"/>
        <v>1024456</v>
      </c>
      <c r="AA40" s="564">
        <f t="shared" si="7"/>
        <v>8188269</v>
      </c>
      <c r="AB40" s="227"/>
      <c r="AC40" s="566">
        <f t="shared" si="8"/>
        <v>8188269</v>
      </c>
      <c r="AD40" s="227"/>
      <c r="AE40" s="565"/>
      <c r="AF40" s="1233"/>
      <c r="AG40" s="1234"/>
      <c r="AH40" s="1223"/>
      <c r="AI40" s="1223"/>
      <c r="AJ40" s="1223"/>
      <c r="AK40" s="1223"/>
      <c r="AL40" s="1223"/>
      <c r="AM40" s="1223"/>
      <c r="AN40" s="1223"/>
    </row>
    <row r="41" spans="1:40" s="1224" customFormat="1" ht="33" customHeight="1">
      <c r="A41" s="1227">
        <v>26</v>
      </c>
      <c r="B41" s="1228">
        <v>26</v>
      </c>
      <c r="C41" s="1228" t="str">
        <f>'Chấm công KT'!C38</f>
        <v>03479</v>
      </c>
      <c r="D41" s="1229" t="str">
        <f>TONGHOPCONGDOI!C36</f>
        <v>N. Tun 1</v>
      </c>
      <c r="E41" s="1228" t="s">
        <v>26</v>
      </c>
      <c r="F41" s="1230"/>
      <c r="G41" s="227">
        <f t="shared" si="3"/>
        <v>0</v>
      </c>
      <c r="H41" s="227">
        <f>VLOOKUP(D41,TONGHOPCONGDOI!C36:AD94,16,0)</f>
        <v>3517</v>
      </c>
      <c r="I41" s="227">
        <f>VLOOKUP(D41,TONGHOPCONGDOI!C36:AD94,18,0)</f>
        <v>0</v>
      </c>
      <c r="J41" s="227"/>
      <c r="K41" s="561">
        <f t="shared" si="2"/>
        <v>1552.5341305924737</v>
      </c>
      <c r="L41" s="931">
        <f>'SẢN LƯỢNG'!AP42</f>
        <v>141.87774862214638</v>
      </c>
      <c r="M41" s="931">
        <f>'SẢN LƯỢNG'!AQ42</f>
        <v>1694.4118792146203</v>
      </c>
      <c r="N41" s="562" t="str">
        <f>VLOOKUP(D41,'SẢN LƯỢNG'!$D$17:$AR$95,41,0)</f>
        <v>B</v>
      </c>
      <c r="O41" s="1231">
        <f t="shared" si="4"/>
        <v>6004657</v>
      </c>
      <c r="P41" s="564">
        <f>VLOOKUP(D41,TONGHOPCONGDOI!$C$11:$AD$93,20,0)</f>
        <v>25</v>
      </c>
      <c r="Q41" s="564">
        <f>VLOOKUP(D41,TONGHOPCONGDOI!$C$11:$AD$93,21,0)</f>
        <v>4</v>
      </c>
      <c r="R41" s="564">
        <f>VLOOKUP(D41,TONGHOPCONGDOI!$C$11:$AC$93,22,0)</f>
        <v>0</v>
      </c>
      <c r="S41" s="564">
        <f>VLOOKUP(D41,TONGHOPCONGDOI!$C$11:$AC$94,23,0)</f>
        <v>0</v>
      </c>
      <c r="T41" s="564">
        <f>VLOOKUP(D41,TONGHOPCONGDOI!$C$11:$AC$94,24,0)</f>
        <v>0</v>
      </c>
      <c r="U41" s="564">
        <f>VLOOKUP(D41,TONGHOPCONGDOI!$C$11:$AC$94,25,0)</f>
        <v>0</v>
      </c>
      <c r="V41" s="564"/>
      <c r="W41" s="1229">
        <f t="shared" si="5"/>
        <v>0</v>
      </c>
      <c r="X41" s="1232"/>
      <c r="Y41" s="1232"/>
      <c r="Z41" s="564">
        <f t="shared" si="6"/>
        <v>963608</v>
      </c>
      <c r="AA41" s="564">
        <f t="shared" si="7"/>
        <v>6968265</v>
      </c>
      <c r="AB41" s="227"/>
      <c r="AC41" s="566">
        <f t="shared" si="8"/>
        <v>6968265</v>
      </c>
      <c r="AD41" s="227"/>
      <c r="AE41" s="565"/>
      <c r="AF41" s="1233"/>
      <c r="AG41" s="1234"/>
      <c r="AH41" s="1223"/>
      <c r="AI41" s="1223"/>
      <c r="AJ41" s="1223"/>
      <c r="AK41" s="1223"/>
      <c r="AL41" s="1223"/>
      <c r="AM41" s="1223"/>
      <c r="AN41" s="1223"/>
    </row>
    <row r="42" spans="1:40" s="1224" customFormat="1" ht="33" customHeight="1">
      <c r="A42" s="1227">
        <v>27</v>
      </c>
      <c r="B42" s="1228">
        <v>27</v>
      </c>
      <c r="C42" s="1228" t="str">
        <f>'Chấm công KT'!C39</f>
        <v>03480</v>
      </c>
      <c r="D42" s="1229" t="str">
        <f>TONGHOPCONGDOI!C37</f>
        <v>T . Lốc</v>
      </c>
      <c r="E42" s="1228" t="s">
        <v>26</v>
      </c>
      <c r="F42" s="1230"/>
      <c r="G42" s="227">
        <f t="shared" si="3"/>
        <v>0</v>
      </c>
      <c r="H42" s="227">
        <f>VLOOKUP(D42,TONGHOPCONGDOI!C37:AD94,16,0)</f>
        <v>3582</v>
      </c>
      <c r="I42" s="227">
        <f>VLOOKUP(D42,TONGHOPCONGDOI!C37:AD94,18,0)</f>
        <v>0</v>
      </c>
      <c r="J42" s="227"/>
      <c r="K42" s="561">
        <f t="shared" si="2"/>
        <v>1581.2275393182374</v>
      </c>
      <c r="L42" s="931">
        <f>'SẢN LƯỢNG'!AP43</f>
        <v>142.52264747951978</v>
      </c>
      <c r="M42" s="931">
        <f>'SẢN LƯỢNG'!AQ43</f>
        <v>1723.7501867977571</v>
      </c>
      <c r="N42" s="562" t="str">
        <f>VLOOKUP(D42,'SẢN LƯỢNG'!$D$17:$AR$95,41,0)</f>
        <v>A</v>
      </c>
      <c r="O42" s="1231">
        <f t="shared" si="4"/>
        <v>6424589</v>
      </c>
      <c r="P42" s="564">
        <f>VLOOKUP(D42,TONGHOPCONGDOI!$C$11:$AD$93,20,0)</f>
        <v>25</v>
      </c>
      <c r="Q42" s="564">
        <f>VLOOKUP(D42,TONGHOPCONGDOI!$C$11:$AD$93,21,0)</f>
        <v>4</v>
      </c>
      <c r="R42" s="564">
        <f>VLOOKUP(D42,TONGHOPCONGDOI!$C$11:$AC$93,22,0)</f>
        <v>0</v>
      </c>
      <c r="S42" s="564">
        <f>VLOOKUP(D42,TONGHOPCONGDOI!$C$11:$AC$94,23,0)</f>
        <v>0</v>
      </c>
      <c r="T42" s="564">
        <f>VLOOKUP(D42,TONGHOPCONGDOI!$C$11:$AC$94,24,0)</f>
        <v>0</v>
      </c>
      <c r="U42" s="564">
        <f>VLOOKUP(D42,TONGHOPCONGDOI!$C$11:$AC$94,25,0)</f>
        <v>0</v>
      </c>
      <c r="V42" s="564"/>
      <c r="W42" s="1229">
        <f t="shared" si="5"/>
        <v>0</v>
      </c>
      <c r="X42" s="1232"/>
      <c r="Y42" s="1232"/>
      <c r="Z42" s="564">
        <f t="shared" si="6"/>
        <v>963608</v>
      </c>
      <c r="AA42" s="564">
        <f t="shared" si="7"/>
        <v>7388197</v>
      </c>
      <c r="AB42" s="227"/>
      <c r="AC42" s="566">
        <f t="shared" si="8"/>
        <v>7388197</v>
      </c>
      <c r="AD42" s="227"/>
      <c r="AE42" s="565"/>
      <c r="AF42" s="1233"/>
      <c r="AG42" s="1234"/>
      <c r="AH42" s="1223"/>
      <c r="AI42" s="1223"/>
      <c r="AJ42" s="1223"/>
      <c r="AK42" s="1223"/>
      <c r="AL42" s="1223"/>
      <c r="AM42" s="1223"/>
      <c r="AN42" s="1223"/>
    </row>
    <row r="43" spans="1:40" s="1224" customFormat="1" ht="33" customHeight="1">
      <c r="A43" s="1227">
        <v>28</v>
      </c>
      <c r="B43" s="1228">
        <v>28</v>
      </c>
      <c r="C43" s="1228" t="str">
        <f>'Chấm công KT'!C40</f>
        <v>03481</v>
      </c>
      <c r="D43" s="1229" t="str">
        <f>TONGHOPCONGDOI!C38</f>
        <v>N . Khâm (1)</v>
      </c>
      <c r="E43" s="1228" t="s">
        <v>26</v>
      </c>
      <c r="F43" s="1230"/>
      <c r="G43" s="227">
        <f t="shared" si="3"/>
        <v>0</v>
      </c>
      <c r="H43" s="227">
        <f>VLOOKUP(D43,TONGHOPCONGDOI!C38:AD94,16,0)</f>
        <v>3187</v>
      </c>
      <c r="I43" s="227">
        <f>VLOOKUP(D43,TONGHOPCONGDOI!C38:AD94,18,0)</f>
        <v>0</v>
      </c>
      <c r="J43" s="227"/>
      <c r="K43" s="561">
        <f t="shared" si="2"/>
        <v>1406.8599016770584</v>
      </c>
      <c r="L43" s="931">
        <f>'SẢN LƯỢNG'!AP44</f>
        <v>149.03952014350352</v>
      </c>
      <c r="M43" s="931">
        <f>'SẢN LƯỢNG'!AQ44</f>
        <v>1555.8994218205619</v>
      </c>
      <c r="N43" s="562" t="str">
        <f>VLOOKUP(D43,'SẢN LƯỢNG'!$D$17:$AR$95,41,0)</f>
        <v>A</v>
      </c>
      <c r="O43" s="1231">
        <f t="shared" si="4"/>
        <v>5798993</v>
      </c>
      <c r="P43" s="564">
        <f>VLOOKUP(D43,TONGHOPCONGDOI!$C$11:$AD$93,20,0)</f>
        <v>24</v>
      </c>
      <c r="Q43" s="564">
        <f>VLOOKUP(D43,TONGHOPCONGDOI!$C$11:$AD$93,21,0)</f>
        <v>3</v>
      </c>
      <c r="R43" s="564">
        <f>VLOOKUP(D43,TONGHOPCONGDOI!$C$11:$AC$93,22,0)</f>
        <v>0</v>
      </c>
      <c r="S43" s="564">
        <f>VLOOKUP(D43,TONGHOPCONGDOI!$C$11:$AC$94,23,0)</f>
        <v>0</v>
      </c>
      <c r="T43" s="564">
        <f>VLOOKUP(D43,TONGHOPCONGDOI!$C$11:$AC$94,24,0)</f>
        <v>0</v>
      </c>
      <c r="U43" s="564">
        <f>VLOOKUP(D43,TONGHOPCONGDOI!$C$11:$AC$94,25,0)</f>
        <v>0</v>
      </c>
      <c r="V43" s="564"/>
      <c r="W43" s="1229">
        <f t="shared" si="5"/>
        <v>0</v>
      </c>
      <c r="X43" s="1232"/>
      <c r="Y43" s="1232"/>
      <c r="Z43" s="564">
        <f t="shared" si="6"/>
        <v>882433</v>
      </c>
      <c r="AA43" s="564">
        <f t="shared" si="7"/>
        <v>6681426</v>
      </c>
      <c r="AB43" s="227"/>
      <c r="AC43" s="566">
        <f t="shared" si="8"/>
        <v>6681426</v>
      </c>
      <c r="AD43" s="227"/>
      <c r="AE43" s="565"/>
      <c r="AF43" s="1233"/>
      <c r="AG43" s="1234"/>
      <c r="AH43" s="1223"/>
      <c r="AI43" s="1223"/>
      <c r="AJ43" s="1223"/>
      <c r="AK43" s="1223"/>
      <c r="AL43" s="1223"/>
      <c r="AM43" s="1223"/>
      <c r="AN43" s="1223"/>
    </row>
    <row r="44" spans="1:40" s="1224" customFormat="1" ht="33" customHeight="1">
      <c r="A44" s="1227">
        <v>29</v>
      </c>
      <c r="B44" s="1228">
        <v>29</v>
      </c>
      <c r="C44" s="1228" t="str">
        <f>'Chấm công KT'!C41</f>
        <v>03482</v>
      </c>
      <c r="D44" s="1229" t="str">
        <f>TONGHOPCONGDOI!C39</f>
        <v>T . Phết</v>
      </c>
      <c r="E44" s="1228" t="s">
        <v>26</v>
      </c>
      <c r="F44" s="1230"/>
      <c r="G44" s="227">
        <f t="shared" si="3"/>
        <v>0</v>
      </c>
      <c r="H44" s="227">
        <f>VLOOKUP(D44,TONGHOPCONGDOI!C39:AD94,16,0)</f>
        <v>3323</v>
      </c>
      <c r="I44" s="227">
        <f>VLOOKUP(D44,TONGHOPCONGDOI!C39:AD94,18,0)</f>
        <v>0</v>
      </c>
      <c r="J44" s="227"/>
      <c r="K44" s="561">
        <f t="shared" si="2"/>
        <v>1466.8953414725022</v>
      </c>
      <c r="L44" s="931">
        <f>'SẢN LƯỢNG'!AP45</f>
        <v>153.01073942311862</v>
      </c>
      <c r="M44" s="931">
        <f>'SẢN LƯỢNG'!AQ45</f>
        <v>1619.906080895621</v>
      </c>
      <c r="N44" s="562" t="str">
        <f>VLOOKUP(D44,'SẢN LƯỢNG'!$D$17:$AR$95,41,0)</f>
        <v>A</v>
      </c>
      <c r="O44" s="1231">
        <f t="shared" si="4"/>
        <v>6037552</v>
      </c>
      <c r="P44" s="564">
        <f>VLOOKUP(D44,TONGHOPCONGDOI!$C$11:$AD$93,20,0)</f>
        <v>24</v>
      </c>
      <c r="Q44" s="564">
        <f>VLOOKUP(D44,TONGHOPCONGDOI!$C$11:$AD$93,21,0)</f>
        <v>3</v>
      </c>
      <c r="R44" s="564">
        <f>VLOOKUP(D44,TONGHOPCONGDOI!$C$11:$AC$93,22,0)</f>
        <v>0</v>
      </c>
      <c r="S44" s="564">
        <f>VLOOKUP(D44,TONGHOPCONGDOI!$C$11:$AC$94,23,0)</f>
        <v>0</v>
      </c>
      <c r="T44" s="564">
        <f>VLOOKUP(D44,TONGHOPCONGDOI!$C$11:$AC$94,24,0)</f>
        <v>0</v>
      </c>
      <c r="U44" s="564">
        <f>VLOOKUP(D44,TONGHOPCONGDOI!$C$11:$AC$94,25,0)</f>
        <v>0</v>
      </c>
      <c r="V44" s="564"/>
      <c r="W44" s="1229">
        <f t="shared" si="5"/>
        <v>0</v>
      </c>
      <c r="X44" s="1232"/>
      <c r="Y44" s="1232"/>
      <c r="Z44" s="564">
        <f t="shared" si="6"/>
        <v>882433</v>
      </c>
      <c r="AA44" s="564">
        <f t="shared" si="7"/>
        <v>6919985</v>
      </c>
      <c r="AB44" s="227"/>
      <c r="AC44" s="566">
        <f t="shared" si="8"/>
        <v>6919985</v>
      </c>
      <c r="AD44" s="227"/>
      <c r="AE44" s="565"/>
      <c r="AF44" s="1233"/>
      <c r="AG44" s="1234"/>
      <c r="AH44" s="1223"/>
      <c r="AI44" s="1223"/>
      <c r="AJ44" s="1223"/>
      <c r="AK44" s="1223"/>
      <c r="AL44" s="1223"/>
      <c r="AM44" s="1223"/>
      <c r="AN44" s="1223"/>
    </row>
    <row r="45" spans="1:40" s="1224" customFormat="1" ht="33" customHeight="1">
      <c r="A45" s="1227">
        <v>30</v>
      </c>
      <c r="B45" s="1228">
        <v>30</v>
      </c>
      <c r="C45" s="1228" t="str">
        <f>'Chấm công KT'!C42</f>
        <v>03483</v>
      </c>
      <c r="D45" s="1229" t="str">
        <f>TONGHOPCONGDOI!C40</f>
        <v>T. Viêng Sa Văn</v>
      </c>
      <c r="E45" s="1228" t="s">
        <v>26</v>
      </c>
      <c r="F45" s="1230"/>
      <c r="G45" s="227">
        <f t="shared" si="3"/>
        <v>0</v>
      </c>
      <c r="H45" s="227">
        <f>VLOOKUP(D45,TONGHOPCONGDOI!C40:AD94,16,0)</f>
        <v>3485</v>
      </c>
      <c r="I45" s="227">
        <f>VLOOKUP(D45,TONGHOPCONGDOI!C40:AD94,18,0)</f>
        <v>0</v>
      </c>
      <c r="J45" s="227"/>
      <c r="K45" s="561">
        <f t="shared" si="2"/>
        <v>1538.4081447582516</v>
      </c>
      <c r="L45" s="931">
        <f>'SẢN LƯỢNG'!AP46</f>
        <v>160.98712002747374</v>
      </c>
      <c r="M45" s="931">
        <f>'SẢN LƯỢNG'!AQ46</f>
        <v>1699.3952647857254</v>
      </c>
      <c r="N45" s="562" t="str">
        <f>VLOOKUP(D45,'SẢN LƯỢNG'!$D$17:$AR$95,41,0)</f>
        <v>A</v>
      </c>
      <c r="O45" s="1231">
        <f t="shared" si="4"/>
        <v>6333816</v>
      </c>
      <c r="P45" s="564">
        <f>VLOOKUP(D45,TONGHOPCONGDOI!$C$11:$AD$93,20,0)</f>
        <v>25</v>
      </c>
      <c r="Q45" s="564">
        <f>VLOOKUP(D45,TONGHOPCONGDOI!$C$11:$AD$93,21,0)</f>
        <v>4</v>
      </c>
      <c r="R45" s="564">
        <f>VLOOKUP(D45,TONGHOPCONGDOI!$C$11:$AC$93,22,0)</f>
        <v>0</v>
      </c>
      <c r="S45" s="564">
        <f>VLOOKUP(D45,TONGHOPCONGDOI!$C$11:$AC$94,23,0)</f>
        <v>0</v>
      </c>
      <c r="T45" s="564">
        <f>VLOOKUP(D45,TONGHOPCONGDOI!$C$11:$AC$94,24,0)</f>
        <v>0</v>
      </c>
      <c r="U45" s="564">
        <f>VLOOKUP(D45,TONGHOPCONGDOI!$C$11:$AC$94,25,0)</f>
        <v>0</v>
      </c>
      <c r="V45" s="564"/>
      <c r="W45" s="1229">
        <f t="shared" si="5"/>
        <v>0</v>
      </c>
      <c r="X45" s="1232"/>
      <c r="Y45" s="1232"/>
      <c r="Z45" s="564">
        <f t="shared" si="6"/>
        <v>963608</v>
      </c>
      <c r="AA45" s="564">
        <f t="shared" si="7"/>
        <v>7297424</v>
      </c>
      <c r="AB45" s="227"/>
      <c r="AC45" s="566">
        <f t="shared" si="8"/>
        <v>7297424</v>
      </c>
      <c r="AD45" s="227"/>
      <c r="AE45" s="565"/>
      <c r="AF45" s="1233"/>
      <c r="AG45" s="1234"/>
      <c r="AH45" s="1223"/>
      <c r="AI45" s="1223"/>
      <c r="AJ45" s="1223"/>
      <c r="AK45" s="1223"/>
      <c r="AL45" s="1223"/>
      <c r="AM45" s="1223"/>
      <c r="AN45" s="1223"/>
    </row>
    <row r="46" spans="1:40" s="1224" customFormat="1" ht="33" customHeight="1">
      <c r="A46" s="1227">
        <v>31</v>
      </c>
      <c r="B46" s="1228">
        <v>31</v>
      </c>
      <c r="C46" s="1228" t="str">
        <f>'Chấm công KT'!C43</f>
        <v>03484</v>
      </c>
      <c r="D46" s="1229" t="str">
        <f>TONGHOPCONGDOI!C41</f>
        <v>T. Ca Te</v>
      </c>
      <c r="E46" s="1228" t="s">
        <v>26</v>
      </c>
      <c r="F46" s="1230"/>
      <c r="G46" s="227">
        <f t="shared" si="3"/>
        <v>0</v>
      </c>
      <c r="H46" s="227">
        <f>VLOOKUP(D46,TONGHOPCONGDOI!C41:AD94,16,0)</f>
        <v>4270</v>
      </c>
      <c r="I46" s="227">
        <f>VLOOKUP(D46,TONGHOPCONGDOI!C41:AD94,18,0)</f>
        <v>0</v>
      </c>
      <c r="J46" s="227"/>
      <c r="K46" s="561">
        <f t="shared" si="2"/>
        <v>1884.9362347540127</v>
      </c>
      <c r="L46" s="931">
        <f>'SẢN LƯỢNG'!AP47</f>
        <v>143.30331451739283</v>
      </c>
      <c r="M46" s="931">
        <f>'SẢN LƯỢNG'!AQ47</f>
        <v>2028.2395492714056</v>
      </c>
      <c r="N46" s="562" t="str">
        <f>VLOOKUP(D46,'SẢN LƯỢNG'!$D$17:$AR$95,41,0)</f>
        <v>B</v>
      </c>
      <c r="O46" s="1231">
        <f t="shared" si="4"/>
        <v>7187675</v>
      </c>
      <c r="P46" s="564">
        <f>VLOOKUP(D46,TONGHOPCONGDOI!$C$11:$AD$93,20,0)</f>
        <v>27</v>
      </c>
      <c r="Q46" s="564">
        <f>VLOOKUP(D46,TONGHOPCONGDOI!$C$11:$AD$93,21,0)</f>
        <v>4</v>
      </c>
      <c r="R46" s="564">
        <f>VLOOKUP(D46,TONGHOPCONGDOI!$C$11:$AC$93,22,0)</f>
        <v>0</v>
      </c>
      <c r="S46" s="564">
        <f>VLOOKUP(D46,TONGHOPCONGDOI!$C$11:$AC$94,23,0)</f>
        <v>0</v>
      </c>
      <c r="T46" s="564">
        <f>VLOOKUP(D46,TONGHOPCONGDOI!$C$11:$AC$94,24,0)</f>
        <v>0</v>
      </c>
      <c r="U46" s="564">
        <f>VLOOKUP(D46,TONGHOPCONGDOI!$C$11:$AC$94,25,0)</f>
        <v>0</v>
      </c>
      <c r="V46" s="564"/>
      <c r="W46" s="1229">
        <f t="shared" si="5"/>
        <v>0</v>
      </c>
      <c r="X46" s="1232"/>
      <c r="Y46" s="1232"/>
      <c r="Z46" s="564">
        <f t="shared" si="6"/>
        <v>1024456</v>
      </c>
      <c r="AA46" s="564">
        <f t="shared" si="7"/>
        <v>8212131</v>
      </c>
      <c r="AB46" s="227"/>
      <c r="AC46" s="566">
        <f t="shared" si="8"/>
        <v>8212131</v>
      </c>
      <c r="AD46" s="227"/>
      <c r="AE46" s="565"/>
      <c r="AF46" s="1233"/>
      <c r="AG46" s="1234"/>
      <c r="AH46" s="1223"/>
      <c r="AI46" s="1223"/>
      <c r="AJ46" s="1223"/>
      <c r="AK46" s="1223"/>
      <c r="AL46" s="1223"/>
      <c r="AM46" s="1223"/>
      <c r="AN46" s="1223"/>
    </row>
    <row r="47" spans="1:40" s="1224" customFormat="1" ht="33" customHeight="1">
      <c r="A47" s="1227">
        <v>32</v>
      </c>
      <c r="B47" s="1228">
        <v>32</v>
      </c>
      <c r="C47" s="1228" t="str">
        <f>'Chấm công KT'!C44</f>
        <v>03485</v>
      </c>
      <c r="D47" s="1229" t="str">
        <f>TONGHOPCONGDOI!C42</f>
        <v>T. Lâm Phon</v>
      </c>
      <c r="E47" s="1228" t="s">
        <v>26</v>
      </c>
      <c r="F47" s="1230"/>
      <c r="G47" s="227">
        <f t="shared" si="3"/>
        <v>0</v>
      </c>
      <c r="H47" s="227">
        <f>VLOOKUP(D47,TONGHOPCONGDOI!C42:AD94,16,0)</f>
        <v>4717</v>
      </c>
      <c r="I47" s="227">
        <f>VLOOKUP(D47,TONGHOPCONGDOI!C42:AD94,18,0)</f>
        <v>0</v>
      </c>
      <c r="J47" s="227"/>
      <c r="K47" s="561">
        <f t="shared" si="2"/>
        <v>2082.258599375803</v>
      </c>
      <c r="L47" s="931">
        <f>'SẢN LƯỢNG'!AP48</f>
        <v>152.16218829499573</v>
      </c>
      <c r="M47" s="931">
        <f>'SẢN LƯỢNG'!AQ48</f>
        <v>2234.4207876707987</v>
      </c>
      <c r="N47" s="562" t="str">
        <f>VLOOKUP(D47,'SẢN LƯỢNG'!$D$17:$AR$95,41,0)</f>
        <v>B</v>
      </c>
      <c r="O47" s="1231">
        <f t="shared" si="4"/>
        <v>7918340</v>
      </c>
      <c r="P47" s="564">
        <f>VLOOKUP(D47,TONGHOPCONGDOI!$C$11:$AD$93,20,0)</f>
        <v>27</v>
      </c>
      <c r="Q47" s="564">
        <f>VLOOKUP(D47,TONGHOPCONGDOI!$C$11:$AD$93,21,0)</f>
        <v>4</v>
      </c>
      <c r="R47" s="564">
        <f>VLOOKUP(D47,TONGHOPCONGDOI!$C$11:$AC$93,22,0)</f>
        <v>0</v>
      </c>
      <c r="S47" s="564">
        <f>VLOOKUP(D47,TONGHOPCONGDOI!$C$11:$AC$94,23,0)</f>
        <v>0</v>
      </c>
      <c r="T47" s="564">
        <f>VLOOKUP(D47,TONGHOPCONGDOI!$C$11:$AC$94,24,0)</f>
        <v>0</v>
      </c>
      <c r="U47" s="564">
        <f>VLOOKUP(D47,TONGHOPCONGDOI!$C$11:$AC$94,25,0)</f>
        <v>0</v>
      </c>
      <c r="V47" s="564"/>
      <c r="W47" s="1229">
        <f t="shared" si="5"/>
        <v>0</v>
      </c>
      <c r="X47" s="1232"/>
      <c r="Y47" s="1232"/>
      <c r="Z47" s="564">
        <f t="shared" si="6"/>
        <v>1024456</v>
      </c>
      <c r="AA47" s="564">
        <f t="shared" si="7"/>
        <v>8942796</v>
      </c>
      <c r="AB47" s="227"/>
      <c r="AC47" s="566">
        <f t="shared" si="8"/>
        <v>8942796</v>
      </c>
      <c r="AD47" s="227"/>
      <c r="AE47" s="565"/>
      <c r="AF47" s="1233"/>
      <c r="AG47" s="1234"/>
      <c r="AH47" s="1223"/>
      <c r="AI47" s="1223"/>
      <c r="AJ47" s="1223"/>
      <c r="AK47" s="1223"/>
      <c r="AL47" s="1223"/>
      <c r="AM47" s="1223"/>
      <c r="AN47" s="1223"/>
    </row>
    <row r="48" spans="1:40" s="1224" customFormat="1" ht="33" customHeight="1">
      <c r="A48" s="1227">
        <v>33</v>
      </c>
      <c r="B48" s="1228">
        <v>33</v>
      </c>
      <c r="C48" s="1228" t="str">
        <f>'Chấm công KT'!C45</f>
        <v>02712</v>
      </c>
      <c r="D48" s="1229" t="str">
        <f>TONGHOPCONGDOI!C43</f>
        <v>T. Sô Đa</v>
      </c>
      <c r="E48" s="1228" t="s">
        <v>26</v>
      </c>
      <c r="F48" s="1230"/>
      <c r="G48" s="227">
        <f t="shared" si="3"/>
        <v>0</v>
      </c>
      <c r="H48" s="227">
        <f>VLOOKUP(D48,TONGHOPCONGDOI!C43:AD94,16,0)</f>
        <v>4377</v>
      </c>
      <c r="I48" s="227">
        <f>VLOOKUP(D48,TONGHOPCONGDOI!C43:AD94,18,0)</f>
        <v>0</v>
      </c>
      <c r="J48" s="227"/>
      <c r="K48" s="561">
        <f t="shared" ref="K48:K79" si="9">$AH$8/$AH$7*H48+I48*$AH$9+J48*$AH$10</f>
        <v>1932.1699998871929</v>
      </c>
      <c r="L48" s="931">
        <f>'SẢN LƯỢNG'!AP49</f>
        <v>135.39481800328753</v>
      </c>
      <c r="M48" s="931">
        <f>'SẢN LƯỢNG'!AQ49</f>
        <v>2067.5648178904803</v>
      </c>
      <c r="N48" s="562" t="str">
        <f>VLOOKUP(D48,'SẢN LƯỢNG'!$D$17:$AR$95,41,0)</f>
        <v>A</v>
      </c>
      <c r="O48" s="1231">
        <f t="shared" si="4"/>
        <v>7706021</v>
      </c>
      <c r="P48" s="564">
        <f>VLOOKUP(D48,TONGHOPCONGDOI!$C$11:$AD$93,20,0)</f>
        <v>26</v>
      </c>
      <c r="Q48" s="564">
        <f>VLOOKUP(D48,TONGHOPCONGDOI!$C$11:$AD$93,21,0)</f>
        <v>4</v>
      </c>
      <c r="R48" s="564">
        <f>VLOOKUP(D48,TONGHOPCONGDOI!$C$11:$AC$93,22,0)</f>
        <v>0</v>
      </c>
      <c r="S48" s="564">
        <f>VLOOKUP(D48,TONGHOPCONGDOI!$C$11:$AC$94,23,0)</f>
        <v>0</v>
      </c>
      <c r="T48" s="564">
        <f>VLOOKUP(D48,TONGHOPCONGDOI!$C$11:$AC$94,24,0)</f>
        <v>0</v>
      </c>
      <c r="U48" s="564">
        <f>VLOOKUP(D48,TONGHOPCONGDOI!$C$11:$AC$94,25,0)</f>
        <v>0</v>
      </c>
      <c r="V48" s="564"/>
      <c r="W48" s="1229">
        <f t="shared" si="5"/>
        <v>0</v>
      </c>
      <c r="X48" s="1232"/>
      <c r="Y48" s="1232"/>
      <c r="Z48" s="564">
        <f t="shared" si="6"/>
        <v>994032</v>
      </c>
      <c r="AA48" s="564">
        <f t="shared" ref="AA48:AA79" si="10">G48+O48+Z48</f>
        <v>8700053</v>
      </c>
      <c r="AB48" s="227"/>
      <c r="AC48" s="566">
        <f t="shared" si="8"/>
        <v>8700053</v>
      </c>
      <c r="AD48" s="227"/>
      <c r="AE48" s="565"/>
      <c r="AF48" s="1233"/>
      <c r="AG48" s="1234"/>
      <c r="AH48" s="1223"/>
      <c r="AI48" s="1223"/>
      <c r="AJ48" s="1223"/>
      <c r="AK48" s="1223"/>
      <c r="AL48" s="1223"/>
      <c r="AM48" s="1223"/>
      <c r="AN48" s="1223"/>
    </row>
    <row r="49" spans="1:40" s="1224" customFormat="1" ht="33" customHeight="1">
      <c r="A49" s="1227">
        <v>34</v>
      </c>
      <c r="B49" s="1228">
        <v>34</v>
      </c>
      <c r="C49" s="1228">
        <f>'Chấm công KT'!C46</f>
        <v>0</v>
      </c>
      <c r="D49" s="1229" t="str">
        <f>TONGHOPCONGDOI!C44</f>
        <v>N. Pheng Mi</v>
      </c>
      <c r="E49" s="1228" t="s">
        <v>26</v>
      </c>
      <c r="F49" s="1230"/>
      <c r="G49" s="227">
        <f t="shared" si="3"/>
        <v>0</v>
      </c>
      <c r="H49" s="227">
        <f>VLOOKUP(D49,TONGHOPCONGDOI!C44:AD94,16,0)</f>
        <v>4146</v>
      </c>
      <c r="I49" s="227">
        <f>VLOOKUP(D49,TONGHOPCONGDOI!C44:AD94,18,0)</f>
        <v>0</v>
      </c>
      <c r="J49" s="227"/>
      <c r="K49" s="561">
        <f t="shared" si="9"/>
        <v>1830.1980396464021</v>
      </c>
      <c r="L49" s="931">
        <f>'SẢN LƯỢNG'!AP50</f>
        <v>151.27969512174795</v>
      </c>
      <c r="M49" s="931">
        <f>'SẢN LƯỢNG'!AQ50</f>
        <v>1981.47773476815</v>
      </c>
      <c r="N49" s="562" t="str">
        <f>VLOOKUP(D49,'SẢN LƯỢNG'!$D$17:$AR$95,41,0)</f>
        <v>B</v>
      </c>
      <c r="O49" s="1231">
        <f t="shared" si="4"/>
        <v>7021961</v>
      </c>
      <c r="P49" s="564">
        <f>VLOOKUP(D49,TONGHOPCONGDOI!$C$11:$AD$93,20,0)</f>
        <v>26</v>
      </c>
      <c r="Q49" s="564">
        <f>VLOOKUP(D49,TONGHOPCONGDOI!$C$11:$AD$93,21,0)</f>
        <v>4</v>
      </c>
      <c r="R49" s="564">
        <f>VLOOKUP(D49,TONGHOPCONGDOI!$C$11:$AC$93,22,0)</f>
        <v>0</v>
      </c>
      <c r="S49" s="564">
        <f>VLOOKUP(D49,TONGHOPCONGDOI!$C$11:$AC$94,23,0)</f>
        <v>0</v>
      </c>
      <c r="T49" s="564">
        <f>VLOOKUP(D49,TONGHOPCONGDOI!$C$11:$AC$94,24,0)</f>
        <v>0</v>
      </c>
      <c r="U49" s="564">
        <f>VLOOKUP(D49,TONGHOPCONGDOI!$C$11:$AC$94,25,0)</f>
        <v>0</v>
      </c>
      <c r="V49" s="564"/>
      <c r="W49" s="1229">
        <f t="shared" si="5"/>
        <v>0</v>
      </c>
      <c r="X49" s="1232"/>
      <c r="Y49" s="1232"/>
      <c r="Z49" s="564">
        <f t="shared" si="6"/>
        <v>994032</v>
      </c>
      <c r="AA49" s="564">
        <f t="shared" si="10"/>
        <v>8015993</v>
      </c>
      <c r="AB49" s="227"/>
      <c r="AC49" s="566">
        <f t="shared" si="8"/>
        <v>8015993</v>
      </c>
      <c r="AD49" s="227"/>
      <c r="AE49" s="565"/>
      <c r="AF49" s="1233"/>
      <c r="AG49" s="1234"/>
      <c r="AH49" s="1223"/>
      <c r="AI49" s="1223"/>
      <c r="AJ49" s="1223"/>
      <c r="AK49" s="1223"/>
      <c r="AL49" s="1223"/>
      <c r="AM49" s="1223"/>
      <c r="AN49" s="1223"/>
    </row>
    <row r="50" spans="1:40" s="1224" customFormat="1" ht="33" customHeight="1">
      <c r="A50" s="1227">
        <v>35</v>
      </c>
      <c r="B50" s="1228">
        <v>35</v>
      </c>
      <c r="C50" s="1228" t="str">
        <f>'Chấm công KT'!C47</f>
        <v>02714</v>
      </c>
      <c r="D50" s="1229" t="str">
        <f>TONGHOPCONGDOI!C45</f>
        <v>N. Tủn</v>
      </c>
      <c r="E50" s="1228" t="s">
        <v>26</v>
      </c>
      <c r="F50" s="1230"/>
      <c r="G50" s="227">
        <f t="shared" si="3"/>
        <v>0</v>
      </c>
      <c r="H50" s="227">
        <f>VLOOKUP(D50,TONGHOPCONGDOI!C45:AD94,16,0)</f>
        <v>3661</v>
      </c>
      <c r="I50" s="227">
        <f>VLOOKUP(D50,TONGHOPCONGDOI!C45:AD94,18,0)</f>
        <v>0</v>
      </c>
      <c r="J50" s="227"/>
      <c r="K50" s="561">
        <f t="shared" si="9"/>
        <v>1616.1010668464733</v>
      </c>
      <c r="L50" s="931">
        <f>'SẢN LƯỢNG'!AP51</f>
        <v>144.28763382601537</v>
      </c>
      <c r="M50" s="931">
        <f>'SẢN LƯỢNG'!AQ51</f>
        <v>1760.3887006724885</v>
      </c>
      <c r="N50" s="562" t="str">
        <f>VLOOKUP(D50,'SẢN LƯỢNG'!$D$17:$AR$95,41,0)</f>
        <v>A</v>
      </c>
      <c r="O50" s="1231">
        <f t="shared" si="4"/>
        <v>6561145</v>
      </c>
      <c r="P50" s="564">
        <f>VLOOKUP(D50,TONGHOPCONGDOI!$C$11:$AD$93,20,0)</f>
        <v>26</v>
      </c>
      <c r="Q50" s="564">
        <f>VLOOKUP(D50,TONGHOPCONGDOI!$C$11:$AD$93,21,0)</f>
        <v>4</v>
      </c>
      <c r="R50" s="564">
        <f>VLOOKUP(D50,TONGHOPCONGDOI!$C$11:$AC$93,22,0)</f>
        <v>0</v>
      </c>
      <c r="S50" s="564">
        <f>VLOOKUP(D50,TONGHOPCONGDOI!$C$11:$AC$94,23,0)</f>
        <v>0</v>
      </c>
      <c r="T50" s="564">
        <f>VLOOKUP(D50,TONGHOPCONGDOI!$C$11:$AC$94,24,0)</f>
        <v>0</v>
      </c>
      <c r="U50" s="564">
        <f>VLOOKUP(D50,TONGHOPCONGDOI!$C$11:$AC$94,25,0)</f>
        <v>0</v>
      </c>
      <c r="V50" s="564"/>
      <c r="W50" s="1229">
        <f t="shared" si="5"/>
        <v>0</v>
      </c>
      <c r="X50" s="1232"/>
      <c r="Y50" s="1232"/>
      <c r="Z50" s="564">
        <f t="shared" si="6"/>
        <v>994032</v>
      </c>
      <c r="AA50" s="564">
        <f t="shared" si="10"/>
        <v>7555177</v>
      </c>
      <c r="AB50" s="227"/>
      <c r="AC50" s="566">
        <f t="shared" si="8"/>
        <v>7555177</v>
      </c>
      <c r="AD50" s="227"/>
      <c r="AE50" s="565"/>
      <c r="AF50" s="1233"/>
      <c r="AG50" s="1234"/>
      <c r="AH50" s="1223"/>
      <c r="AI50" s="1223"/>
      <c r="AJ50" s="1223"/>
      <c r="AK50" s="1223"/>
      <c r="AL50" s="1223"/>
      <c r="AM50" s="1223"/>
      <c r="AN50" s="1223"/>
    </row>
    <row r="51" spans="1:40" s="1224" customFormat="1" ht="33" customHeight="1">
      <c r="A51" s="1227">
        <v>36</v>
      </c>
      <c r="B51" s="1228">
        <v>36</v>
      </c>
      <c r="C51" s="1228" t="str">
        <f>'Chấm công KT'!C48</f>
        <v>02713</v>
      </c>
      <c r="D51" s="1229" t="str">
        <f>TONGHOPCONGDOI!C46</f>
        <v>T. Lung</v>
      </c>
      <c r="E51" s="1228" t="s">
        <v>26</v>
      </c>
      <c r="F51" s="1230"/>
      <c r="G51" s="227">
        <f t="shared" si="3"/>
        <v>0</v>
      </c>
      <c r="H51" s="227">
        <f>VLOOKUP(D51,TONGHOPCONGDOI!C46:AD94,16,0)</f>
        <v>3758</v>
      </c>
      <c r="I51" s="227">
        <f>VLOOKUP(D51,TONGHOPCONGDOI!C46:AD94,18,0)</f>
        <v>0</v>
      </c>
      <c r="J51" s="227"/>
      <c r="K51" s="561">
        <f t="shared" si="9"/>
        <v>1658.920461406459</v>
      </c>
      <c r="L51" s="931">
        <f>'SẢN LƯỢNG'!AP52</f>
        <v>146.0865622176359</v>
      </c>
      <c r="M51" s="931">
        <f>'SẢN LƯỢNG'!AQ52</f>
        <v>1805.0070236240952</v>
      </c>
      <c r="N51" s="562" t="str">
        <f>VLOOKUP(D51,'SẢN LƯỢNG'!$D$17:$AR$95,41,0)</f>
        <v>A</v>
      </c>
      <c r="O51" s="1231">
        <f t="shared" si="4"/>
        <v>6727442</v>
      </c>
      <c r="P51" s="564">
        <f>VLOOKUP(D51,TONGHOPCONGDOI!$C$11:$AD$93,20,0)</f>
        <v>26</v>
      </c>
      <c r="Q51" s="564">
        <f>VLOOKUP(D51,TONGHOPCONGDOI!$C$11:$AD$93,21,0)</f>
        <v>4</v>
      </c>
      <c r="R51" s="564">
        <f>VLOOKUP(D51,TONGHOPCONGDOI!$C$11:$AC$93,22,0)</f>
        <v>0</v>
      </c>
      <c r="S51" s="564">
        <f>VLOOKUP(D51,TONGHOPCONGDOI!$C$11:$AC$94,23,0)</f>
        <v>0</v>
      </c>
      <c r="T51" s="564">
        <f>VLOOKUP(D51,TONGHOPCONGDOI!$C$11:$AC$94,24,0)</f>
        <v>0</v>
      </c>
      <c r="U51" s="564">
        <f>VLOOKUP(D51,TONGHOPCONGDOI!$C$11:$AC$94,25,0)</f>
        <v>0</v>
      </c>
      <c r="V51" s="564"/>
      <c r="W51" s="1229">
        <f t="shared" si="5"/>
        <v>0</v>
      </c>
      <c r="X51" s="1232"/>
      <c r="Y51" s="1232"/>
      <c r="Z51" s="564">
        <f t="shared" si="6"/>
        <v>994032</v>
      </c>
      <c r="AA51" s="564">
        <f t="shared" si="10"/>
        <v>7721474</v>
      </c>
      <c r="AB51" s="227"/>
      <c r="AC51" s="566">
        <f t="shared" si="8"/>
        <v>7721474</v>
      </c>
      <c r="AD51" s="227"/>
      <c r="AE51" s="565"/>
      <c r="AF51" s="1233"/>
      <c r="AG51" s="1234"/>
      <c r="AH51" s="1223"/>
      <c r="AI51" s="1223"/>
      <c r="AJ51" s="1223"/>
      <c r="AK51" s="1223"/>
      <c r="AL51" s="1223"/>
      <c r="AM51" s="1223"/>
      <c r="AN51" s="1223"/>
    </row>
    <row r="52" spans="1:40" s="1224" customFormat="1" ht="33" customHeight="1">
      <c r="A52" s="1227">
        <v>37</v>
      </c>
      <c r="B52" s="1228">
        <v>37</v>
      </c>
      <c r="C52" s="1228" t="str">
        <f>'Chấm công KT'!C49</f>
        <v>04058</v>
      </c>
      <c r="D52" s="1229" t="str">
        <f>TONGHOPCONGDOI!C47</f>
        <v>T. Bi Ly (2)</v>
      </c>
      <c r="E52" s="1228" t="s">
        <v>26</v>
      </c>
      <c r="F52" s="1230"/>
      <c r="G52" s="227">
        <f t="shared" si="3"/>
        <v>0</v>
      </c>
      <c r="H52" s="227">
        <f>VLOOKUP(D52,TONGHOPCONGDOI!C47:AD94,16,0)</f>
        <v>4169</v>
      </c>
      <c r="I52" s="227">
        <f>VLOOKUP(D52,TONGHOPCONGDOI!C47:AD94,18,0)</f>
        <v>0</v>
      </c>
      <c r="J52" s="227"/>
      <c r="K52" s="561">
        <f t="shared" si="9"/>
        <v>1840.3510919647492</v>
      </c>
      <c r="L52" s="931">
        <f>'SẢN LƯỢNG'!AP53</f>
        <v>142.31899520877027</v>
      </c>
      <c r="M52" s="931">
        <f>'SẢN LƯỢNG'!AQ53</f>
        <v>1982.6700871735195</v>
      </c>
      <c r="N52" s="562" t="str">
        <f>VLOOKUP(D52,'SẢN LƯỢNG'!$D$17:$AR$95,41,0)</f>
        <v>A</v>
      </c>
      <c r="O52" s="1231">
        <f t="shared" si="4"/>
        <v>7389610</v>
      </c>
      <c r="P52" s="564">
        <f>VLOOKUP(D52,TONGHOPCONGDOI!$C$11:$AD$93,20,0)</f>
        <v>27</v>
      </c>
      <c r="Q52" s="564">
        <f>VLOOKUP(D52,TONGHOPCONGDOI!$C$11:$AD$93,21,0)</f>
        <v>4</v>
      </c>
      <c r="R52" s="564">
        <f>VLOOKUP(D52,TONGHOPCONGDOI!$C$11:$AC$93,22,0)</f>
        <v>0</v>
      </c>
      <c r="S52" s="564">
        <f>VLOOKUP(D52,TONGHOPCONGDOI!$C$11:$AC$94,23,0)</f>
        <v>0</v>
      </c>
      <c r="T52" s="564">
        <f>VLOOKUP(D52,TONGHOPCONGDOI!$C$11:$AC$94,24,0)</f>
        <v>0</v>
      </c>
      <c r="U52" s="564">
        <f>VLOOKUP(D52,TONGHOPCONGDOI!$C$11:$AC$94,25,0)</f>
        <v>0</v>
      </c>
      <c r="V52" s="564"/>
      <c r="W52" s="1229">
        <f t="shared" si="5"/>
        <v>0</v>
      </c>
      <c r="X52" s="1232"/>
      <c r="Y52" s="1232"/>
      <c r="Z52" s="564">
        <f t="shared" si="6"/>
        <v>1024456</v>
      </c>
      <c r="AA52" s="564">
        <f t="shared" si="10"/>
        <v>8414066</v>
      </c>
      <c r="AB52" s="227"/>
      <c r="AC52" s="566">
        <f t="shared" si="8"/>
        <v>8414066</v>
      </c>
      <c r="AD52" s="227"/>
      <c r="AE52" s="565"/>
      <c r="AF52" s="1233"/>
      <c r="AG52" s="1234"/>
      <c r="AH52" s="1223"/>
      <c r="AI52" s="1223"/>
      <c r="AJ52" s="1223"/>
      <c r="AK52" s="1223"/>
      <c r="AL52" s="1223"/>
      <c r="AM52" s="1223"/>
      <c r="AN52" s="1223"/>
    </row>
    <row r="53" spans="1:40" s="1224" customFormat="1" ht="33" customHeight="1">
      <c r="A53" s="1227">
        <v>38</v>
      </c>
      <c r="B53" s="1228">
        <v>38</v>
      </c>
      <c r="C53" s="1228" t="str">
        <f>'Chấm công KT'!C50</f>
        <v>03487</v>
      </c>
      <c r="D53" s="1229" t="str">
        <f>TONGHOPCONGDOI!C48</f>
        <v>N. Ba Say</v>
      </c>
      <c r="E53" s="1228" t="s">
        <v>26</v>
      </c>
      <c r="F53" s="1230"/>
      <c r="G53" s="227">
        <f t="shared" si="3"/>
        <v>0</v>
      </c>
      <c r="H53" s="227">
        <f>VLOOKUP(D53,TONGHOPCONGDOI!C48:AD94,16,0)</f>
        <v>3281</v>
      </c>
      <c r="I53" s="227">
        <f>VLOOKUP(D53,TONGHOPCONGDOI!C48:AD94,18,0)</f>
        <v>0</v>
      </c>
      <c r="J53" s="227"/>
      <c r="K53" s="561">
        <f t="shared" si="9"/>
        <v>1448.3549850650857</v>
      </c>
      <c r="L53" s="931">
        <f>'SẢN LƯỢNG'!AP54</f>
        <v>125.92498741343614</v>
      </c>
      <c r="M53" s="931">
        <f>'SẢN LƯỢNG'!AQ54</f>
        <v>1574.2799724785218</v>
      </c>
      <c r="N53" s="562" t="str">
        <f>VLOOKUP(D53,'SẢN LƯỢNG'!$D$17:$AR$95,41,0)</f>
        <v>B</v>
      </c>
      <c r="O53" s="1231">
        <f t="shared" si="4"/>
        <v>5578933</v>
      </c>
      <c r="P53" s="564">
        <f>VLOOKUP(D53,TONGHOPCONGDOI!$C$11:$AD$93,20,0)</f>
        <v>26</v>
      </c>
      <c r="Q53" s="564">
        <f>VLOOKUP(D53,TONGHOPCONGDOI!$C$11:$AD$93,21,0)</f>
        <v>4</v>
      </c>
      <c r="R53" s="564">
        <f>VLOOKUP(D53,TONGHOPCONGDOI!$C$11:$AC$93,22,0)</f>
        <v>0</v>
      </c>
      <c r="S53" s="564">
        <f>VLOOKUP(D53,TONGHOPCONGDOI!$C$11:$AC$94,23,0)</f>
        <v>0</v>
      </c>
      <c r="T53" s="564">
        <f>VLOOKUP(D53,TONGHOPCONGDOI!$C$11:$AC$94,24,0)</f>
        <v>0</v>
      </c>
      <c r="U53" s="564">
        <f>VLOOKUP(D53,TONGHOPCONGDOI!$C$11:$AC$94,25,0)</f>
        <v>0</v>
      </c>
      <c r="V53" s="564"/>
      <c r="W53" s="1229">
        <f t="shared" si="5"/>
        <v>0</v>
      </c>
      <c r="X53" s="1232"/>
      <c r="Y53" s="1232"/>
      <c r="Z53" s="564">
        <f t="shared" si="6"/>
        <v>994032</v>
      </c>
      <c r="AA53" s="564">
        <f t="shared" si="10"/>
        <v>6572965</v>
      </c>
      <c r="AB53" s="227"/>
      <c r="AC53" s="566">
        <f t="shared" si="8"/>
        <v>6572965</v>
      </c>
      <c r="AD53" s="227"/>
      <c r="AE53" s="565"/>
      <c r="AF53" s="1233"/>
      <c r="AG53" s="1234"/>
      <c r="AH53" s="1223"/>
      <c r="AI53" s="1223"/>
      <c r="AJ53" s="1223"/>
      <c r="AK53" s="1223"/>
      <c r="AL53" s="1223"/>
      <c r="AM53" s="1223"/>
      <c r="AN53" s="1223"/>
    </row>
    <row r="54" spans="1:40" s="1224" customFormat="1" ht="33" customHeight="1">
      <c r="A54" s="1227">
        <v>39</v>
      </c>
      <c r="B54" s="1228">
        <v>39</v>
      </c>
      <c r="C54" s="1228" t="str">
        <f>'Chấm công KT'!C51</f>
        <v>03488</v>
      </c>
      <c r="D54" s="1229" t="str">
        <f>TONGHOPCONGDOI!C49</f>
        <v>N. Đeng</v>
      </c>
      <c r="E54" s="1228" t="s">
        <v>26</v>
      </c>
      <c r="F54" s="1230"/>
      <c r="G54" s="227">
        <f t="shared" si="3"/>
        <v>0</v>
      </c>
      <c r="H54" s="227">
        <f>VLOOKUP(D54,TONGHOPCONGDOI!C49:AD94,16,0)</f>
        <v>3097</v>
      </c>
      <c r="I54" s="227">
        <f>VLOOKUP(D54,TONGHOPCONGDOI!C49:AD94,18,0)</f>
        <v>0</v>
      </c>
      <c r="J54" s="227"/>
      <c r="K54" s="561">
        <f t="shared" si="9"/>
        <v>1367.1305665183086</v>
      </c>
      <c r="L54" s="931">
        <f>'SẢN LƯỢNG'!AP55</f>
        <v>139.67151568902688</v>
      </c>
      <c r="M54" s="931">
        <f>'SẢN LƯỢNG'!AQ55</f>
        <v>1506.8020822073356</v>
      </c>
      <c r="N54" s="562" t="str">
        <f>VLOOKUP(D54,'SẢN LƯỢNG'!$D$17:$AR$95,41,0)</f>
        <v>A</v>
      </c>
      <c r="O54" s="1231">
        <f t="shared" si="4"/>
        <v>5616002</v>
      </c>
      <c r="P54" s="564">
        <f>VLOOKUP(D54,TONGHOPCONGDOI!$C$11:$AD$93,20,0)</f>
        <v>22</v>
      </c>
      <c r="Q54" s="564">
        <f>VLOOKUP(D54,TONGHOPCONGDOI!$C$11:$AD$93,21,0)</f>
        <v>3</v>
      </c>
      <c r="R54" s="564">
        <f>VLOOKUP(D54,TONGHOPCONGDOI!$C$11:$AC$93,22,0)</f>
        <v>0</v>
      </c>
      <c r="S54" s="564">
        <f>VLOOKUP(D54,TONGHOPCONGDOI!$C$11:$AC$94,23,0)</f>
        <v>0</v>
      </c>
      <c r="T54" s="564">
        <f>VLOOKUP(D54,TONGHOPCONGDOI!$C$11:$AC$94,24,0)</f>
        <v>0</v>
      </c>
      <c r="U54" s="564">
        <f>VLOOKUP(D54,TONGHOPCONGDOI!$C$11:$AC$94,25,0)</f>
        <v>0</v>
      </c>
      <c r="V54" s="564"/>
      <c r="W54" s="1229">
        <f t="shared" si="5"/>
        <v>0</v>
      </c>
      <c r="X54" s="1232"/>
      <c r="Y54" s="1232"/>
      <c r="Z54" s="564">
        <f t="shared" si="6"/>
        <v>821584</v>
      </c>
      <c r="AA54" s="564">
        <f t="shared" si="10"/>
        <v>6437586</v>
      </c>
      <c r="AB54" s="227"/>
      <c r="AC54" s="566">
        <f t="shared" si="8"/>
        <v>6437586</v>
      </c>
      <c r="AD54" s="227"/>
      <c r="AE54" s="565"/>
      <c r="AF54" s="1233"/>
      <c r="AG54" s="1234"/>
      <c r="AH54" s="1223"/>
      <c r="AI54" s="1223"/>
      <c r="AJ54" s="1223"/>
      <c r="AK54" s="1223"/>
      <c r="AL54" s="1223"/>
      <c r="AM54" s="1223"/>
      <c r="AN54" s="1223"/>
    </row>
    <row r="55" spans="1:40" s="1224" customFormat="1" ht="33" customHeight="1">
      <c r="A55" s="1227">
        <v>40</v>
      </c>
      <c r="B55" s="1228">
        <v>40</v>
      </c>
      <c r="C55" s="1228" t="str">
        <f>'Chấm công KT'!C52</f>
        <v>03489</v>
      </c>
      <c r="D55" s="1229" t="str">
        <f>TONGHOPCONGDOI!C50</f>
        <v>T. Tinh</v>
      </c>
      <c r="E55" s="1228" t="s">
        <v>26</v>
      </c>
      <c r="F55" s="1230"/>
      <c r="G55" s="227">
        <f t="shared" si="3"/>
        <v>0</v>
      </c>
      <c r="H55" s="227">
        <f>VLOOKUP(D55,TONGHOPCONGDOI!C50:AD94,16,0)</f>
        <v>3193</v>
      </c>
      <c r="I55" s="227">
        <f>VLOOKUP(D55,TONGHOPCONGDOI!C50:AD94,18,0)</f>
        <v>0</v>
      </c>
      <c r="J55" s="227"/>
      <c r="K55" s="561">
        <f t="shared" si="9"/>
        <v>1409.5085240209748</v>
      </c>
      <c r="L55" s="931">
        <f>'SẢN LƯỢNG'!AP56</f>
        <v>127.72391580505666</v>
      </c>
      <c r="M55" s="931">
        <f>'SẢN LƯỢNG'!AQ56</f>
        <v>1537.2324398260316</v>
      </c>
      <c r="N55" s="562" t="str">
        <f>VLOOKUP(D55,'SẢN LƯỢNG'!$D$17:$AR$95,41,0)</f>
        <v>A</v>
      </c>
      <c r="O55" s="1231">
        <f t="shared" si="4"/>
        <v>5729419</v>
      </c>
      <c r="P55" s="564">
        <f>VLOOKUP(D55,TONGHOPCONGDOI!$C$11:$AD$93,20,0)</f>
        <v>26</v>
      </c>
      <c r="Q55" s="564">
        <f>VLOOKUP(D55,TONGHOPCONGDOI!$C$11:$AD$93,21,0)</f>
        <v>4</v>
      </c>
      <c r="R55" s="564">
        <f>VLOOKUP(D55,TONGHOPCONGDOI!$C$11:$AC$93,22,0)</f>
        <v>0</v>
      </c>
      <c r="S55" s="564">
        <f>VLOOKUP(D55,TONGHOPCONGDOI!$C$11:$AC$94,23,0)</f>
        <v>0</v>
      </c>
      <c r="T55" s="564">
        <f>VLOOKUP(D55,TONGHOPCONGDOI!$C$11:$AC$94,24,0)</f>
        <v>0</v>
      </c>
      <c r="U55" s="564">
        <f>VLOOKUP(D55,TONGHOPCONGDOI!$C$11:$AC$94,25,0)</f>
        <v>0</v>
      </c>
      <c r="V55" s="564"/>
      <c r="W55" s="1229">
        <f t="shared" si="5"/>
        <v>0</v>
      </c>
      <c r="X55" s="1232"/>
      <c r="Y55" s="1232"/>
      <c r="Z55" s="564">
        <f t="shared" si="6"/>
        <v>994032</v>
      </c>
      <c r="AA55" s="564">
        <f t="shared" si="10"/>
        <v>6723451</v>
      </c>
      <c r="AB55" s="227"/>
      <c r="AC55" s="566">
        <f t="shared" si="8"/>
        <v>6723451</v>
      </c>
      <c r="AD55" s="227"/>
      <c r="AE55" s="565"/>
      <c r="AF55" s="1233"/>
      <c r="AG55" s="1234"/>
      <c r="AH55" s="1223"/>
      <c r="AI55" s="1223"/>
      <c r="AJ55" s="1223"/>
      <c r="AK55" s="1223"/>
      <c r="AL55" s="1223"/>
      <c r="AM55" s="1223"/>
      <c r="AN55" s="1223"/>
    </row>
    <row r="56" spans="1:40" s="1224" customFormat="1" ht="33" customHeight="1">
      <c r="A56" s="1227">
        <v>41</v>
      </c>
      <c r="B56" s="1228">
        <v>41</v>
      </c>
      <c r="C56" s="1228" t="str">
        <f>'Chấm công KT'!C53</f>
        <v>04059</v>
      </c>
      <c r="D56" s="1229" t="str">
        <f>TONGHOPCONGDOI!C51</f>
        <v>T. Khăm Pỏi</v>
      </c>
      <c r="E56" s="1228" t="s">
        <v>26</v>
      </c>
      <c r="F56" s="1230"/>
      <c r="G56" s="227">
        <f t="shared" si="3"/>
        <v>0</v>
      </c>
      <c r="H56" s="227">
        <f>VLOOKUP(D56,TONGHOPCONGDOI!C51:AD94,16,0)</f>
        <v>3210</v>
      </c>
      <c r="I56" s="227">
        <f>VLOOKUP(D56,TONGHOPCONGDOI!C51:AD94,18,0)</f>
        <v>0</v>
      </c>
      <c r="J56" s="227"/>
      <c r="K56" s="561">
        <f t="shared" si="9"/>
        <v>1417.0129539954055</v>
      </c>
      <c r="L56" s="931">
        <f>'SẢN LƯỢNG'!AP57</f>
        <v>138.24594979378043</v>
      </c>
      <c r="M56" s="931">
        <f>'SẢN LƯỢNG'!AQ57</f>
        <v>1555.258903789186</v>
      </c>
      <c r="N56" s="562" t="str">
        <f>VLOOKUP(D56,'SẢN LƯỢNG'!$D$17:$AR$95,41,0)</f>
        <v>A</v>
      </c>
      <c r="O56" s="1231">
        <f t="shared" si="4"/>
        <v>5796605</v>
      </c>
      <c r="P56" s="564">
        <f>VLOOKUP(D56,TONGHOPCONGDOI!$C$11:$AD$93,20,0)</f>
        <v>26</v>
      </c>
      <c r="Q56" s="564">
        <f>VLOOKUP(D56,TONGHOPCONGDOI!$C$11:$AD$93,21,0)</f>
        <v>4</v>
      </c>
      <c r="R56" s="564">
        <f>VLOOKUP(D56,TONGHOPCONGDOI!$C$11:$AC$93,22,0)</f>
        <v>0</v>
      </c>
      <c r="S56" s="564">
        <f>VLOOKUP(D56,TONGHOPCONGDOI!$C$11:$AC$94,23,0)</f>
        <v>0</v>
      </c>
      <c r="T56" s="564">
        <f>VLOOKUP(D56,TONGHOPCONGDOI!$C$11:$AC$94,24,0)</f>
        <v>0</v>
      </c>
      <c r="U56" s="564">
        <f>VLOOKUP(D56,TONGHOPCONGDOI!$C$11:$AC$94,25,0)</f>
        <v>0</v>
      </c>
      <c r="V56" s="564"/>
      <c r="W56" s="1229">
        <f t="shared" si="5"/>
        <v>0</v>
      </c>
      <c r="X56" s="1232"/>
      <c r="Y56" s="1232"/>
      <c r="Z56" s="564">
        <f t="shared" si="6"/>
        <v>994032</v>
      </c>
      <c r="AA56" s="564">
        <f t="shared" si="10"/>
        <v>6790637</v>
      </c>
      <c r="AB56" s="227"/>
      <c r="AC56" s="566">
        <f t="shared" si="8"/>
        <v>6790637</v>
      </c>
      <c r="AD56" s="227"/>
      <c r="AE56" s="565"/>
      <c r="AF56" s="1233"/>
      <c r="AG56" s="1234"/>
      <c r="AH56" s="1223"/>
      <c r="AI56" s="1223"/>
      <c r="AJ56" s="1223"/>
      <c r="AK56" s="1223"/>
      <c r="AL56" s="1223"/>
      <c r="AM56" s="1223"/>
      <c r="AN56" s="1223"/>
    </row>
    <row r="57" spans="1:40" s="1224" customFormat="1" ht="33" customHeight="1">
      <c r="A57" s="1227">
        <v>42</v>
      </c>
      <c r="B57" s="1228">
        <v>42</v>
      </c>
      <c r="C57" s="1228" t="str">
        <f>'Chấm công KT'!C54</f>
        <v>03491</v>
      </c>
      <c r="D57" s="1229" t="str">
        <f>TONGHOPCONGDOI!C52</f>
        <v>Lăm Ngân</v>
      </c>
      <c r="E57" s="1228" t="s">
        <v>26</v>
      </c>
      <c r="F57" s="1230"/>
      <c r="G57" s="227">
        <f t="shared" si="3"/>
        <v>0</v>
      </c>
      <c r="H57" s="227">
        <f>VLOOKUP(D57,TONGHOPCONGDOI!C52:AD94,16,0)</f>
        <v>3734</v>
      </c>
      <c r="I57" s="227">
        <f>VLOOKUP(D57,TONGHOPCONGDOI!C52:AD94,18,0)</f>
        <v>0</v>
      </c>
      <c r="J57" s="227"/>
      <c r="K57" s="561">
        <f t="shared" si="9"/>
        <v>1648.3259720307924</v>
      </c>
      <c r="L57" s="931">
        <f>'SẢN LƯỢNG'!AP58</f>
        <v>143.235430427143</v>
      </c>
      <c r="M57" s="931">
        <f>'SẢN LƯỢNG'!AQ58</f>
        <v>1791.5614024579356</v>
      </c>
      <c r="N57" s="562" t="str">
        <f>VLOOKUP(D57,'SẢN LƯỢNG'!$D$17:$AR$95,41,0)</f>
        <v>A</v>
      </c>
      <c r="O57" s="1231">
        <f t="shared" si="4"/>
        <v>6677329</v>
      </c>
      <c r="P57" s="564">
        <f>VLOOKUP(D57,TONGHOPCONGDOI!$C$11:$AD$93,20,0)</f>
        <v>26</v>
      </c>
      <c r="Q57" s="564">
        <f>VLOOKUP(D57,TONGHOPCONGDOI!$C$11:$AD$93,21,0)</f>
        <v>4</v>
      </c>
      <c r="R57" s="564">
        <f>VLOOKUP(D57,TONGHOPCONGDOI!$C$11:$AC$93,22,0)</f>
        <v>0</v>
      </c>
      <c r="S57" s="564">
        <f>VLOOKUP(D57,TONGHOPCONGDOI!$C$11:$AC$94,23,0)</f>
        <v>0</v>
      </c>
      <c r="T57" s="564">
        <f>VLOOKUP(D57,TONGHOPCONGDOI!$C$11:$AC$94,24,0)</f>
        <v>0</v>
      </c>
      <c r="U57" s="564">
        <f>VLOOKUP(D57,TONGHOPCONGDOI!$C$11:$AC$94,25,0)</f>
        <v>0</v>
      </c>
      <c r="V57" s="564"/>
      <c r="W57" s="1229">
        <f t="shared" si="5"/>
        <v>0</v>
      </c>
      <c r="X57" s="1232"/>
      <c r="Y57" s="1232"/>
      <c r="Z57" s="564">
        <f t="shared" si="6"/>
        <v>994032</v>
      </c>
      <c r="AA57" s="564">
        <f t="shared" si="10"/>
        <v>7671361</v>
      </c>
      <c r="AB57" s="227"/>
      <c r="AC57" s="566">
        <f t="shared" si="8"/>
        <v>7671361</v>
      </c>
      <c r="AD57" s="227"/>
      <c r="AE57" s="565"/>
      <c r="AF57" s="1233"/>
      <c r="AG57" s="1234"/>
      <c r="AH57" s="1223"/>
      <c r="AI57" s="1223"/>
      <c r="AJ57" s="1223"/>
      <c r="AK57" s="1223"/>
      <c r="AL57" s="1223"/>
      <c r="AM57" s="1223"/>
      <c r="AN57" s="1223"/>
    </row>
    <row r="58" spans="1:40" s="1224" customFormat="1" ht="33" customHeight="1">
      <c r="A58" s="1227">
        <v>43</v>
      </c>
      <c r="B58" s="1228">
        <v>43</v>
      </c>
      <c r="C58" s="1228" t="str">
        <f>'Chấm công KT'!C55</f>
        <v>04060</v>
      </c>
      <c r="D58" s="1229" t="str">
        <f>TONGHOPCONGDOI!C53</f>
        <v>T. Không</v>
      </c>
      <c r="E58" s="1228" t="s">
        <v>26</v>
      </c>
      <c r="F58" s="1230"/>
      <c r="G58" s="227">
        <f t="shared" si="3"/>
        <v>0</v>
      </c>
      <c r="H58" s="227">
        <f>VLOOKUP(D58,TONGHOPCONGDOI!C53:AD94,16,0)</f>
        <v>4073</v>
      </c>
      <c r="I58" s="227">
        <f>VLOOKUP(D58,TONGHOPCONGDOI!C53:AD94,18,0)</f>
        <v>0</v>
      </c>
      <c r="J58" s="227"/>
      <c r="K58" s="561">
        <f t="shared" si="9"/>
        <v>1797.973134462083</v>
      </c>
      <c r="L58" s="931">
        <f>'SẢN LƯỢNG'!AP59</f>
        <v>130.26956918942531</v>
      </c>
      <c r="M58" s="931">
        <f>'SẢN LƯỢNG'!AQ59</f>
        <v>1928.2427036515085</v>
      </c>
      <c r="N58" s="562" t="str">
        <f>VLOOKUP(D58,'SẢN LƯỢNG'!$D$17:$AR$95,41,0)</f>
        <v>A</v>
      </c>
      <c r="O58" s="1231">
        <f t="shared" si="4"/>
        <v>7186753</v>
      </c>
      <c r="P58" s="564">
        <f>VLOOKUP(D58,TONGHOPCONGDOI!$C$11:$AD$93,20,0)</f>
        <v>27</v>
      </c>
      <c r="Q58" s="564">
        <f>VLOOKUP(D58,TONGHOPCONGDOI!$C$11:$AD$93,21,0)</f>
        <v>4</v>
      </c>
      <c r="R58" s="564">
        <f>VLOOKUP(D58,TONGHOPCONGDOI!$C$11:$AC$93,22,0)</f>
        <v>0</v>
      </c>
      <c r="S58" s="564">
        <f>VLOOKUP(D58,TONGHOPCONGDOI!$C$11:$AC$94,23,0)</f>
        <v>0</v>
      </c>
      <c r="T58" s="564">
        <f>VLOOKUP(D58,TONGHOPCONGDOI!$C$11:$AC$94,24,0)</f>
        <v>0</v>
      </c>
      <c r="U58" s="564">
        <f>VLOOKUP(D58,TONGHOPCONGDOI!$C$11:$AC$94,25,0)</f>
        <v>0</v>
      </c>
      <c r="V58" s="564"/>
      <c r="W58" s="1229">
        <f t="shared" si="5"/>
        <v>0</v>
      </c>
      <c r="X58" s="1232"/>
      <c r="Y58" s="1232"/>
      <c r="Z58" s="564">
        <f t="shared" si="6"/>
        <v>1024456</v>
      </c>
      <c r="AA58" s="564">
        <f t="shared" si="10"/>
        <v>8211209</v>
      </c>
      <c r="AB58" s="227"/>
      <c r="AC58" s="566">
        <f t="shared" si="8"/>
        <v>8211209</v>
      </c>
      <c r="AD58" s="227"/>
      <c r="AE58" s="565"/>
      <c r="AF58" s="1233"/>
      <c r="AG58" s="1234"/>
      <c r="AH58" s="1223"/>
      <c r="AI58" s="1223"/>
      <c r="AJ58" s="1223"/>
      <c r="AK58" s="1223"/>
      <c r="AL58" s="1223"/>
      <c r="AM58" s="1223"/>
      <c r="AN58" s="1223"/>
    </row>
    <row r="59" spans="1:40" s="1224" customFormat="1" ht="33" customHeight="1">
      <c r="A59" s="1227">
        <v>44</v>
      </c>
      <c r="B59" s="1228">
        <v>44</v>
      </c>
      <c r="C59" s="1228" t="str">
        <f>'Chấm công KT'!C56</f>
        <v>03492</v>
      </c>
      <c r="D59" s="1229" t="str">
        <f>TONGHOPCONGDOI!C54</f>
        <v>T. Lem</v>
      </c>
      <c r="E59" s="1228" t="s">
        <v>26</v>
      </c>
      <c r="F59" s="1230"/>
      <c r="G59" s="227">
        <f t="shared" si="3"/>
        <v>0</v>
      </c>
      <c r="H59" s="227">
        <f>VLOOKUP(D59,TONGHOPCONGDOI!C54:AD94,16,0)</f>
        <v>3771</v>
      </c>
      <c r="I59" s="227">
        <f>VLOOKUP(D59,TONGHOPCONGDOI!C54:AD94,18,0)</f>
        <v>0</v>
      </c>
      <c r="J59" s="227"/>
      <c r="K59" s="561">
        <f t="shared" si="9"/>
        <v>1664.6591431516117</v>
      </c>
      <c r="L59" s="931">
        <f>'SẢN LƯỢNG'!AP60</f>
        <v>140.99525544889858</v>
      </c>
      <c r="M59" s="931">
        <f>'SẢN LƯỢNG'!AQ60</f>
        <v>1805.6543986005104</v>
      </c>
      <c r="N59" s="562" t="str">
        <f>VLOOKUP(D59,'SẢN LƯỢNG'!$D$17:$AR$95,41,0)</f>
        <v>B</v>
      </c>
      <c r="O59" s="1231">
        <f t="shared" si="4"/>
        <v>6398878</v>
      </c>
      <c r="P59" s="564">
        <f>VLOOKUP(D59,TONGHOPCONGDOI!$C$11:$AD$93,20,0)</f>
        <v>26</v>
      </c>
      <c r="Q59" s="564">
        <f>VLOOKUP(D59,TONGHOPCONGDOI!$C$11:$AD$93,21,0)</f>
        <v>4</v>
      </c>
      <c r="R59" s="564">
        <f>VLOOKUP(D59,TONGHOPCONGDOI!$C$11:$AC$93,22,0)</f>
        <v>0</v>
      </c>
      <c r="S59" s="564">
        <f>VLOOKUP(D59,TONGHOPCONGDOI!$C$11:$AC$94,23,0)</f>
        <v>0</v>
      </c>
      <c r="T59" s="564">
        <f>VLOOKUP(D59,TONGHOPCONGDOI!$C$11:$AC$94,24,0)</f>
        <v>0</v>
      </c>
      <c r="U59" s="564">
        <f>VLOOKUP(D59,TONGHOPCONGDOI!$C$11:$AC$94,25,0)</f>
        <v>0</v>
      </c>
      <c r="V59" s="564"/>
      <c r="W59" s="1229">
        <f t="shared" si="5"/>
        <v>0</v>
      </c>
      <c r="X59" s="1232"/>
      <c r="Y59" s="1232"/>
      <c r="Z59" s="564">
        <f t="shared" si="6"/>
        <v>994032</v>
      </c>
      <c r="AA59" s="564">
        <f t="shared" si="10"/>
        <v>7392910</v>
      </c>
      <c r="AB59" s="227"/>
      <c r="AC59" s="566">
        <f t="shared" si="8"/>
        <v>7392910</v>
      </c>
      <c r="AD59" s="227"/>
      <c r="AE59" s="565"/>
      <c r="AF59" s="1233"/>
      <c r="AG59" s="1234"/>
      <c r="AH59" s="1223"/>
      <c r="AI59" s="1223"/>
      <c r="AJ59" s="1223"/>
      <c r="AK59" s="1223"/>
      <c r="AL59" s="1223"/>
      <c r="AM59" s="1223"/>
      <c r="AN59" s="1223"/>
    </row>
    <row r="60" spans="1:40" s="1224" customFormat="1" ht="33" customHeight="1">
      <c r="A60" s="1227">
        <v>45</v>
      </c>
      <c r="B60" s="1228">
        <v>45</v>
      </c>
      <c r="C60" s="1228" t="str">
        <f>'Chấm công KT'!C57</f>
        <v>03493</v>
      </c>
      <c r="D60" s="1229" t="str">
        <f>TONGHOPCONGDOI!C55</f>
        <v>T. Pông</v>
      </c>
      <c r="E60" s="1228" t="s">
        <v>26</v>
      </c>
      <c r="F60" s="1230"/>
      <c r="G60" s="227">
        <f t="shared" si="3"/>
        <v>0</v>
      </c>
      <c r="H60" s="227">
        <f>VLOOKUP(D60,TONGHOPCONGDOI!C55:AD94,16,0)</f>
        <v>3690</v>
      </c>
      <c r="I60" s="227">
        <f>VLOOKUP(D60,TONGHOPCONGDOI!C55:AD94,18,0)</f>
        <v>0</v>
      </c>
      <c r="J60" s="227"/>
      <c r="K60" s="561">
        <f t="shared" si="9"/>
        <v>1628.9027415087371</v>
      </c>
      <c r="L60" s="931">
        <f>'SẢN LƯỢNG'!AP61</f>
        <v>171.54309606132244</v>
      </c>
      <c r="M60" s="931">
        <f>'SẢN LƯỢNG'!AQ61</f>
        <v>1800.4458375700597</v>
      </c>
      <c r="N60" s="562" t="str">
        <f>VLOOKUP(D60,'SẢN LƯỢNG'!$D$17:$AR$95,41,0)</f>
        <v>A</v>
      </c>
      <c r="O60" s="1231">
        <f t="shared" si="4"/>
        <v>6710442</v>
      </c>
      <c r="P60" s="564">
        <f>VLOOKUP(D60,TONGHOPCONGDOI!$C$11:$AD$93,20,0)</f>
        <v>26</v>
      </c>
      <c r="Q60" s="564">
        <f>VLOOKUP(D60,TONGHOPCONGDOI!$C$11:$AD$93,21,0)</f>
        <v>4</v>
      </c>
      <c r="R60" s="564">
        <f>VLOOKUP(D60,TONGHOPCONGDOI!$C$11:$AC$93,22,0)</f>
        <v>0</v>
      </c>
      <c r="S60" s="564">
        <f>VLOOKUP(D60,TONGHOPCONGDOI!$C$11:$AC$94,23,0)</f>
        <v>0</v>
      </c>
      <c r="T60" s="564">
        <f>VLOOKUP(D60,TONGHOPCONGDOI!$C$11:$AC$94,24,0)</f>
        <v>0</v>
      </c>
      <c r="U60" s="564">
        <f>VLOOKUP(D60,TONGHOPCONGDOI!$C$11:$AC$94,25,0)</f>
        <v>0</v>
      </c>
      <c r="V60" s="564"/>
      <c r="W60" s="1229">
        <f t="shared" si="5"/>
        <v>0</v>
      </c>
      <c r="X60" s="1232"/>
      <c r="Y60" s="1232"/>
      <c r="Z60" s="564">
        <f t="shared" si="6"/>
        <v>994032</v>
      </c>
      <c r="AA60" s="564">
        <f t="shared" si="10"/>
        <v>7704474</v>
      </c>
      <c r="AB60" s="227"/>
      <c r="AC60" s="566">
        <f t="shared" si="8"/>
        <v>7704474</v>
      </c>
      <c r="AD60" s="227"/>
      <c r="AE60" s="565"/>
      <c r="AF60" s="1233"/>
      <c r="AG60" s="1234"/>
      <c r="AH60" s="1223"/>
      <c r="AI60" s="1223"/>
      <c r="AJ60" s="1223"/>
      <c r="AK60" s="1223"/>
      <c r="AL60" s="1223"/>
      <c r="AM60" s="1223"/>
      <c r="AN60" s="1223"/>
    </row>
    <row r="61" spans="1:40" s="1224" customFormat="1" ht="33" customHeight="1">
      <c r="A61" s="1227">
        <v>46</v>
      </c>
      <c r="B61" s="1228">
        <v>46</v>
      </c>
      <c r="C61" s="1228" t="str">
        <f>'Chấm công KT'!C58</f>
        <v>03496</v>
      </c>
      <c r="D61" s="1229" t="str">
        <f>TONGHOPCONGDOI!C56</f>
        <v>T. Lốp</v>
      </c>
      <c r="E61" s="1228" t="s">
        <v>26</v>
      </c>
      <c r="F61" s="1230"/>
      <c r="G61" s="227">
        <f t="shared" si="3"/>
        <v>0</v>
      </c>
      <c r="H61" s="227">
        <f>VLOOKUP(D61,TONGHOPCONGDOI!C56:AD94,16,0)</f>
        <v>4545</v>
      </c>
      <c r="I61" s="227">
        <f>VLOOKUP(D61,TONGHOPCONGDOI!C56:AD94,18,0)</f>
        <v>0</v>
      </c>
      <c r="J61" s="227"/>
      <c r="K61" s="561">
        <f t="shared" si="9"/>
        <v>2006.3314255168591</v>
      </c>
      <c r="L61" s="931">
        <f>'SẢN LƯỢNG'!AP62</f>
        <v>173.2401983175682</v>
      </c>
      <c r="M61" s="931">
        <f>'SẢN LƯỢNG'!AQ62</f>
        <v>2179.5716238344271</v>
      </c>
      <c r="N61" s="562" t="str">
        <f>VLOOKUP(D61,'SẢN LƯỢNG'!$D$17:$AR$95,41,0)</f>
        <v>A</v>
      </c>
      <c r="O61" s="1231">
        <f t="shared" si="4"/>
        <v>8123481</v>
      </c>
      <c r="P61" s="564">
        <f>VLOOKUP(D61,TONGHOPCONGDOI!$C$11:$AD$93,20,0)</f>
        <v>26</v>
      </c>
      <c r="Q61" s="564">
        <f>VLOOKUP(D61,TONGHOPCONGDOI!$C$11:$AD$93,21,0)</f>
        <v>4</v>
      </c>
      <c r="R61" s="564">
        <f>VLOOKUP(D61,TONGHOPCONGDOI!$C$11:$AC$93,22,0)</f>
        <v>0</v>
      </c>
      <c r="S61" s="564">
        <f>VLOOKUP(D61,TONGHOPCONGDOI!$C$11:$AC$94,23,0)</f>
        <v>0</v>
      </c>
      <c r="T61" s="564">
        <f>VLOOKUP(D61,TONGHOPCONGDOI!$C$11:$AC$94,24,0)</f>
        <v>0</v>
      </c>
      <c r="U61" s="564">
        <f>VLOOKUP(D61,TONGHOPCONGDOI!$C$11:$AC$94,25,0)</f>
        <v>0</v>
      </c>
      <c r="V61" s="564"/>
      <c r="W61" s="1229">
        <f t="shared" si="5"/>
        <v>0</v>
      </c>
      <c r="X61" s="1232"/>
      <c r="Y61" s="1232"/>
      <c r="Z61" s="564">
        <f t="shared" si="6"/>
        <v>994032</v>
      </c>
      <c r="AA61" s="564">
        <f t="shared" si="10"/>
        <v>9117513</v>
      </c>
      <c r="AB61" s="227"/>
      <c r="AC61" s="566">
        <f t="shared" si="8"/>
        <v>9117513</v>
      </c>
      <c r="AD61" s="227"/>
      <c r="AE61" s="565"/>
      <c r="AF61" s="1233"/>
      <c r="AG61" s="1234"/>
      <c r="AH61" s="1223"/>
      <c r="AI61" s="1223"/>
      <c r="AJ61" s="1223"/>
      <c r="AK61" s="1223"/>
      <c r="AL61" s="1223"/>
      <c r="AM61" s="1223"/>
      <c r="AN61" s="1223"/>
    </row>
    <row r="62" spans="1:40" s="1224" customFormat="1" ht="33" customHeight="1">
      <c r="A62" s="1227">
        <v>47</v>
      </c>
      <c r="B62" s="1228">
        <v>47</v>
      </c>
      <c r="C62" s="1228" t="str">
        <f>'Chấm công KT'!C59</f>
        <v>04061</v>
      </c>
      <c r="D62" s="1229" t="str">
        <f>TONGHOPCONGDOI!C57</f>
        <v>N. Nu Ni</v>
      </c>
      <c r="E62" s="1228" t="s">
        <v>26</v>
      </c>
      <c r="F62" s="1230"/>
      <c r="G62" s="227">
        <f t="shared" si="3"/>
        <v>0</v>
      </c>
      <c r="H62" s="227">
        <f>VLOOKUP(D62,TONGHOPCONGDOI!C57:AD94,16,0)</f>
        <v>4645</v>
      </c>
      <c r="I62" s="227">
        <f>VLOOKUP(D62,TONGHOPCONGDOI!C57:AD94,18,0)</f>
        <v>0</v>
      </c>
      <c r="J62" s="227"/>
      <c r="K62" s="561">
        <f t="shared" si="9"/>
        <v>2050.4751312488033</v>
      </c>
      <c r="L62" s="931">
        <f>'SẢN LƯỢNG'!AP63</f>
        <v>171.9164585576965</v>
      </c>
      <c r="M62" s="931">
        <f>'SẢN LƯỢNG'!AQ63</f>
        <v>2222.3915898064997</v>
      </c>
      <c r="N62" s="562" t="str">
        <f>VLOOKUP(D62,'SẢN LƯỢNG'!$D$17:$AR$95,41,0)</f>
        <v>B</v>
      </c>
      <c r="O62" s="1231">
        <f t="shared" si="4"/>
        <v>7875711</v>
      </c>
      <c r="P62" s="564">
        <f>VLOOKUP(D62,TONGHOPCONGDOI!$C$11:$AD$93,20,0)</f>
        <v>26</v>
      </c>
      <c r="Q62" s="564">
        <f>VLOOKUP(D62,TONGHOPCONGDOI!$C$11:$AD$93,21,0)</f>
        <v>4</v>
      </c>
      <c r="R62" s="564">
        <f>VLOOKUP(D62,TONGHOPCONGDOI!$C$11:$AC$93,22,0)</f>
        <v>0</v>
      </c>
      <c r="S62" s="564">
        <f>VLOOKUP(D62,TONGHOPCONGDOI!$C$11:$AC$94,23,0)</f>
        <v>0</v>
      </c>
      <c r="T62" s="564">
        <f>VLOOKUP(D62,TONGHOPCONGDOI!$C$11:$AC$94,24,0)</f>
        <v>0</v>
      </c>
      <c r="U62" s="564">
        <f>VLOOKUP(D62,TONGHOPCONGDOI!$C$11:$AC$94,25,0)</f>
        <v>0</v>
      </c>
      <c r="V62" s="564"/>
      <c r="W62" s="1229">
        <f t="shared" si="5"/>
        <v>0</v>
      </c>
      <c r="X62" s="1232"/>
      <c r="Y62" s="1232"/>
      <c r="Z62" s="564">
        <f t="shared" si="6"/>
        <v>994032</v>
      </c>
      <c r="AA62" s="564">
        <f t="shared" si="10"/>
        <v>8869743</v>
      </c>
      <c r="AB62" s="227"/>
      <c r="AC62" s="566">
        <f t="shared" si="8"/>
        <v>8869743</v>
      </c>
      <c r="AD62" s="227"/>
      <c r="AE62" s="565"/>
      <c r="AF62" s="1233"/>
      <c r="AG62" s="1234"/>
      <c r="AH62" s="1223"/>
      <c r="AI62" s="1223"/>
      <c r="AJ62" s="1223"/>
      <c r="AK62" s="1223"/>
      <c r="AL62" s="1223"/>
      <c r="AM62" s="1223"/>
      <c r="AN62" s="1223"/>
    </row>
    <row r="63" spans="1:40" s="1224" customFormat="1" ht="33" customHeight="1">
      <c r="A63" s="1227">
        <v>48</v>
      </c>
      <c r="B63" s="1228">
        <v>48</v>
      </c>
      <c r="C63" s="1228" t="str">
        <f>'Chấm công KT'!C60</f>
        <v>03494</v>
      </c>
      <c r="D63" s="1229" t="str">
        <f>TONGHOPCONGDOI!C58</f>
        <v>T. Đi</v>
      </c>
      <c r="E63" s="1228" t="s">
        <v>26</v>
      </c>
      <c r="F63" s="1230"/>
      <c r="G63" s="227">
        <f t="shared" si="3"/>
        <v>0</v>
      </c>
      <c r="H63" s="227">
        <f>VLOOKUP(D63,TONGHOPCONGDOI!C58:AD94,16,0)</f>
        <v>3506</v>
      </c>
      <c r="I63" s="227">
        <f>VLOOKUP(D63,TONGHOPCONGDOI!C58:AD94,18,0)</f>
        <v>0</v>
      </c>
      <c r="J63" s="227"/>
      <c r="K63" s="561">
        <f t="shared" si="9"/>
        <v>1547.67832296196</v>
      </c>
      <c r="L63" s="931">
        <f>'SẢN LƯỢNG'!AP64</f>
        <v>131.52542485904718</v>
      </c>
      <c r="M63" s="931">
        <f>'SẢN LƯỢNG'!AQ64</f>
        <v>1679.2037478210073</v>
      </c>
      <c r="N63" s="562" t="str">
        <f>VLOOKUP(D63,'SẢN LƯỢNG'!$D$17:$AR$95,41,0)</f>
        <v>A</v>
      </c>
      <c r="O63" s="1231">
        <f t="shared" si="4"/>
        <v>6258560</v>
      </c>
      <c r="P63" s="564">
        <f>VLOOKUP(D63,TONGHOPCONGDOI!$C$11:$AD$93,20,0)</f>
        <v>26</v>
      </c>
      <c r="Q63" s="564">
        <f>VLOOKUP(D63,TONGHOPCONGDOI!$C$11:$AD$93,21,0)</f>
        <v>4</v>
      </c>
      <c r="R63" s="564">
        <f>VLOOKUP(D63,TONGHOPCONGDOI!$C$11:$AC$93,22,0)</f>
        <v>0</v>
      </c>
      <c r="S63" s="564">
        <f>VLOOKUP(D63,TONGHOPCONGDOI!$C$11:$AC$94,23,0)</f>
        <v>0</v>
      </c>
      <c r="T63" s="564">
        <f>VLOOKUP(D63,TONGHOPCONGDOI!$C$11:$AC$94,24,0)</f>
        <v>0</v>
      </c>
      <c r="U63" s="564">
        <f>VLOOKUP(D63,TONGHOPCONGDOI!$C$11:$AC$94,25,0)</f>
        <v>0</v>
      </c>
      <c r="V63" s="564"/>
      <c r="W63" s="1229">
        <f t="shared" si="5"/>
        <v>0</v>
      </c>
      <c r="X63" s="1232"/>
      <c r="Y63" s="1232"/>
      <c r="Z63" s="564">
        <f t="shared" si="6"/>
        <v>994032</v>
      </c>
      <c r="AA63" s="564">
        <f t="shared" si="10"/>
        <v>7252592</v>
      </c>
      <c r="AB63" s="227"/>
      <c r="AC63" s="566">
        <f t="shared" si="8"/>
        <v>7252592</v>
      </c>
      <c r="AD63" s="227"/>
      <c r="AE63" s="565"/>
      <c r="AF63" s="1233"/>
      <c r="AG63" s="1234"/>
      <c r="AH63" s="1223"/>
      <c r="AI63" s="1223"/>
      <c r="AJ63" s="1223"/>
      <c r="AK63" s="1223"/>
      <c r="AL63" s="1223"/>
      <c r="AM63" s="1223"/>
      <c r="AN63" s="1223"/>
    </row>
    <row r="64" spans="1:40" s="1224" customFormat="1" ht="33" customHeight="1">
      <c r="A64" s="1227">
        <v>49</v>
      </c>
      <c r="B64" s="1228">
        <v>49</v>
      </c>
      <c r="C64" s="1228" t="str">
        <f>'Chấm công KT'!C61</f>
        <v>03495</v>
      </c>
      <c r="D64" s="1229" t="str">
        <f>TONGHOPCONGDOI!C59</f>
        <v>N. On Xi</v>
      </c>
      <c r="E64" s="1228" t="s">
        <v>26</v>
      </c>
      <c r="F64" s="1230"/>
      <c r="G64" s="227">
        <f t="shared" si="3"/>
        <v>0</v>
      </c>
      <c r="H64" s="227">
        <f>VLOOKUP(D64,TONGHOPCONGDOI!C59:AD94,16,0)</f>
        <v>4191</v>
      </c>
      <c r="I64" s="227">
        <f>VLOOKUP(D64,TONGHOPCONGDOI!C59:AD94,18,0)</f>
        <v>0</v>
      </c>
      <c r="J64" s="227"/>
      <c r="K64" s="561">
        <f t="shared" si="9"/>
        <v>1850.0627072257769</v>
      </c>
      <c r="L64" s="931">
        <f>'SẢN LƯỢNG'!AP65</f>
        <v>135.0893395971633</v>
      </c>
      <c r="M64" s="931">
        <f>'SẢN LƯỢNG'!AQ65</f>
        <v>1985.1520468229401</v>
      </c>
      <c r="N64" s="562" t="str">
        <f>VLOOKUP(D64,'SẢN LƯỢNG'!$D$17:$AR$95,41,0)</f>
        <v>A</v>
      </c>
      <c r="O64" s="1231">
        <f t="shared" si="4"/>
        <v>7398860</v>
      </c>
      <c r="P64" s="564">
        <f>VLOOKUP(D64,TONGHOPCONGDOI!$C$11:$AD$93,20,0)</f>
        <v>27</v>
      </c>
      <c r="Q64" s="564">
        <f>VLOOKUP(D64,TONGHOPCONGDOI!$C$11:$AD$93,21,0)</f>
        <v>4</v>
      </c>
      <c r="R64" s="564">
        <f>VLOOKUP(D64,TONGHOPCONGDOI!$C$11:$AC$93,22,0)</f>
        <v>0</v>
      </c>
      <c r="S64" s="564">
        <f>VLOOKUP(D64,TONGHOPCONGDOI!$C$11:$AC$94,23,0)</f>
        <v>0</v>
      </c>
      <c r="T64" s="564">
        <f>VLOOKUP(D64,TONGHOPCONGDOI!$C$11:$AC$94,24,0)</f>
        <v>0</v>
      </c>
      <c r="U64" s="564">
        <f>VLOOKUP(D64,TONGHOPCONGDOI!$C$11:$AC$94,25,0)</f>
        <v>0</v>
      </c>
      <c r="V64" s="564"/>
      <c r="W64" s="1229">
        <f t="shared" si="5"/>
        <v>0</v>
      </c>
      <c r="X64" s="1232"/>
      <c r="Y64" s="1232"/>
      <c r="Z64" s="564">
        <f t="shared" si="6"/>
        <v>1024456</v>
      </c>
      <c r="AA64" s="564">
        <f t="shared" si="10"/>
        <v>8423316</v>
      </c>
      <c r="AB64" s="227"/>
      <c r="AC64" s="566">
        <f t="shared" si="8"/>
        <v>8423316</v>
      </c>
      <c r="AD64" s="227"/>
      <c r="AE64" s="565"/>
      <c r="AF64" s="1233"/>
      <c r="AG64" s="1234"/>
      <c r="AH64" s="1223"/>
      <c r="AI64" s="1223"/>
      <c r="AJ64" s="1223"/>
      <c r="AK64" s="1223"/>
      <c r="AL64" s="1223"/>
      <c r="AM64" s="1223"/>
      <c r="AN64" s="1223"/>
    </row>
    <row r="65" spans="1:40" s="1224" customFormat="1" ht="33" customHeight="1">
      <c r="A65" s="1227">
        <v>50</v>
      </c>
      <c r="B65" s="1228">
        <v>50</v>
      </c>
      <c r="C65" s="1228" t="str">
        <f>'Chấm công KT'!C62</f>
        <v>04062</v>
      </c>
      <c r="D65" s="1229" t="str">
        <f>TONGHOPCONGDOI!C60</f>
        <v>N. Thông La</v>
      </c>
      <c r="E65" s="1228" t="s">
        <v>26</v>
      </c>
      <c r="F65" s="1230"/>
      <c r="G65" s="227">
        <f t="shared" si="3"/>
        <v>0</v>
      </c>
      <c r="H65" s="227">
        <f>VLOOKUP(D65,TONGHOPCONGDOI!C60:AD94,16,0)</f>
        <v>4517</v>
      </c>
      <c r="I65" s="227">
        <f>VLOOKUP(D65,TONGHOPCONGDOI!C60:AD94,18,0)</f>
        <v>0</v>
      </c>
      <c r="J65" s="227"/>
      <c r="K65" s="561">
        <f t="shared" si="9"/>
        <v>1993.9711879119147</v>
      </c>
      <c r="L65" s="931">
        <f>'SẢN LƯỢNG'!AP66</f>
        <v>165.16199157783834</v>
      </c>
      <c r="M65" s="931">
        <f>'SẢN LƯỢNG'!AQ66</f>
        <v>2159.1331794897533</v>
      </c>
      <c r="N65" s="562" t="str">
        <f>VLOOKUP(D65,'SẢN LƯỢNG'!$D$17:$AR$95,41,0)</f>
        <v>B</v>
      </c>
      <c r="O65" s="1231">
        <f t="shared" si="4"/>
        <v>7651536</v>
      </c>
      <c r="P65" s="564">
        <f>VLOOKUP(D65,TONGHOPCONGDOI!$C$11:$AD$93,20,0)</f>
        <v>27</v>
      </c>
      <c r="Q65" s="564">
        <f>VLOOKUP(D65,TONGHOPCONGDOI!$C$11:$AD$93,21,0)</f>
        <v>4</v>
      </c>
      <c r="R65" s="564">
        <f>VLOOKUP(D65,TONGHOPCONGDOI!$C$11:$AC$93,22,0)</f>
        <v>0</v>
      </c>
      <c r="S65" s="564">
        <f>VLOOKUP(D65,TONGHOPCONGDOI!$C$11:$AC$94,23,0)</f>
        <v>0</v>
      </c>
      <c r="T65" s="564">
        <f>VLOOKUP(D65,TONGHOPCONGDOI!$C$11:$AC$94,24,0)</f>
        <v>0</v>
      </c>
      <c r="U65" s="564">
        <f>VLOOKUP(D65,TONGHOPCONGDOI!$C$11:$AC$94,25,0)</f>
        <v>0</v>
      </c>
      <c r="V65" s="564"/>
      <c r="W65" s="1229">
        <f t="shared" si="5"/>
        <v>0</v>
      </c>
      <c r="X65" s="1232"/>
      <c r="Y65" s="1232"/>
      <c r="Z65" s="564">
        <f t="shared" si="6"/>
        <v>1024456</v>
      </c>
      <c r="AA65" s="564">
        <f t="shared" si="10"/>
        <v>8675992</v>
      </c>
      <c r="AB65" s="227"/>
      <c r="AC65" s="566">
        <f t="shared" si="8"/>
        <v>8675992</v>
      </c>
      <c r="AD65" s="227"/>
      <c r="AE65" s="565"/>
      <c r="AF65" s="1233"/>
      <c r="AG65" s="1234"/>
      <c r="AH65" s="1223"/>
      <c r="AI65" s="1223"/>
      <c r="AJ65" s="1223"/>
      <c r="AK65" s="1223"/>
      <c r="AL65" s="1223"/>
      <c r="AM65" s="1223"/>
      <c r="AN65" s="1223"/>
    </row>
    <row r="66" spans="1:40" s="1224" customFormat="1" ht="33" customHeight="1">
      <c r="A66" s="1227">
        <v>51</v>
      </c>
      <c r="B66" s="1228">
        <v>51</v>
      </c>
      <c r="C66" s="1228" t="str">
        <f>'Chấm công KT'!C63</f>
        <v>03497</v>
      </c>
      <c r="D66" s="1229" t="str">
        <f>TONGHOPCONGDOI!C61</f>
        <v>T. Son Xay</v>
      </c>
      <c r="E66" s="1228" t="s">
        <v>26</v>
      </c>
      <c r="F66" s="1230"/>
      <c r="G66" s="227">
        <f t="shared" si="3"/>
        <v>0</v>
      </c>
      <c r="H66" s="227">
        <f>VLOOKUP(D66,TONGHOPCONGDOI!C61:AD94,16,0)</f>
        <v>4517</v>
      </c>
      <c r="I66" s="227">
        <f>VLOOKUP(D66,TONGHOPCONGDOI!C61:AD94,18,0)</f>
        <v>0</v>
      </c>
      <c r="J66" s="227"/>
      <c r="K66" s="561">
        <f t="shared" si="9"/>
        <v>1993.9711879119147</v>
      </c>
      <c r="L66" s="931">
        <f>'SẢN LƯỢNG'!AP67</f>
        <v>165.90871657058648</v>
      </c>
      <c r="M66" s="931">
        <f>'SẢN LƯỢNG'!AQ67</f>
        <v>2159.8799044825014</v>
      </c>
      <c r="N66" s="562" t="str">
        <f>VLOOKUP(D66,'SẢN LƯỢNG'!$D$17:$AR$95,41,0)</f>
        <v>B</v>
      </c>
      <c r="O66" s="1231">
        <f t="shared" si="4"/>
        <v>7654182</v>
      </c>
      <c r="P66" s="564">
        <f>VLOOKUP(D66,TONGHOPCONGDOI!$C$11:$AD$93,20,0)</f>
        <v>26</v>
      </c>
      <c r="Q66" s="564">
        <f>VLOOKUP(D66,TONGHOPCONGDOI!$C$11:$AD$93,21,0)</f>
        <v>4</v>
      </c>
      <c r="R66" s="564">
        <f>VLOOKUP(D66,TONGHOPCONGDOI!$C$11:$AC$93,22,0)</f>
        <v>0</v>
      </c>
      <c r="S66" s="564">
        <f>VLOOKUP(D66,TONGHOPCONGDOI!$C$11:$AC$94,23,0)</f>
        <v>0</v>
      </c>
      <c r="T66" s="564">
        <f>VLOOKUP(D66,TONGHOPCONGDOI!$C$11:$AC$94,24,0)</f>
        <v>0</v>
      </c>
      <c r="U66" s="564">
        <f>VLOOKUP(D66,TONGHOPCONGDOI!$C$11:$AC$94,25,0)</f>
        <v>0</v>
      </c>
      <c r="V66" s="564"/>
      <c r="W66" s="1229">
        <f t="shared" si="5"/>
        <v>0</v>
      </c>
      <c r="X66" s="1232"/>
      <c r="Y66" s="1232"/>
      <c r="Z66" s="564">
        <f t="shared" si="6"/>
        <v>994032</v>
      </c>
      <c r="AA66" s="564">
        <f t="shared" si="10"/>
        <v>8648214</v>
      </c>
      <c r="AB66" s="227"/>
      <c r="AC66" s="566">
        <f t="shared" si="8"/>
        <v>8648214</v>
      </c>
      <c r="AD66" s="227"/>
      <c r="AE66" s="565"/>
      <c r="AF66" s="1233"/>
      <c r="AG66" s="1234"/>
      <c r="AH66" s="1223"/>
      <c r="AI66" s="1223"/>
      <c r="AJ66" s="1223"/>
      <c r="AK66" s="1223"/>
      <c r="AL66" s="1223"/>
      <c r="AM66" s="1223"/>
      <c r="AN66" s="1223"/>
    </row>
    <row r="67" spans="1:40" s="1224" customFormat="1" ht="33" customHeight="1">
      <c r="A67" s="1227">
        <v>52</v>
      </c>
      <c r="B67" s="1228">
        <v>52</v>
      </c>
      <c r="C67" s="1228" t="str">
        <f>'Chấm công KT'!C64</f>
        <v>03498</v>
      </c>
      <c r="D67" s="1229" t="str">
        <f>TONGHOPCONGDOI!C62</f>
        <v>N. Lăm Phay</v>
      </c>
      <c r="E67" s="1228" t="s">
        <v>26</v>
      </c>
      <c r="F67" s="1230"/>
      <c r="G67" s="227">
        <f t="shared" si="3"/>
        <v>0</v>
      </c>
      <c r="H67" s="227">
        <f>VLOOKUP(D67,TONGHOPCONGDOI!C62:AD94,16,0)</f>
        <v>4520</v>
      </c>
      <c r="I67" s="227">
        <f>VLOOKUP(D67,TONGHOPCONGDOI!C62:AD94,18,0)</f>
        <v>0</v>
      </c>
      <c r="J67" s="227"/>
      <c r="K67" s="561">
        <f t="shared" si="9"/>
        <v>1995.295499083873</v>
      </c>
      <c r="L67" s="931">
        <f>'SẢN LƯỢNG'!AP68</f>
        <v>168.96350063182888</v>
      </c>
      <c r="M67" s="931">
        <f>'SẢN LƯỢNG'!AQ68</f>
        <v>2164.258999715702</v>
      </c>
      <c r="N67" s="562" t="str">
        <f>VLOOKUP(D67,'SẢN LƯỢNG'!$D$17:$AR$95,41,0)</f>
        <v>A</v>
      </c>
      <c r="O67" s="1231">
        <f t="shared" si="4"/>
        <v>8066410</v>
      </c>
      <c r="P67" s="564">
        <f>VLOOKUP(D67,TONGHOPCONGDOI!$C$11:$AD$93,20,0)</f>
        <v>26</v>
      </c>
      <c r="Q67" s="564">
        <f>VLOOKUP(D67,TONGHOPCONGDOI!$C$11:$AD$93,21,0)</f>
        <v>4</v>
      </c>
      <c r="R67" s="564">
        <f>VLOOKUP(D67,TONGHOPCONGDOI!$C$11:$AC$93,22,0)</f>
        <v>0</v>
      </c>
      <c r="S67" s="564">
        <f>VLOOKUP(D67,TONGHOPCONGDOI!$C$11:$AC$94,23,0)</f>
        <v>0</v>
      </c>
      <c r="T67" s="564">
        <f>VLOOKUP(D67,TONGHOPCONGDOI!$C$11:$AC$94,24,0)</f>
        <v>0</v>
      </c>
      <c r="U67" s="564">
        <f>VLOOKUP(D67,TONGHOPCONGDOI!$C$11:$AC$94,25,0)</f>
        <v>0</v>
      </c>
      <c r="V67" s="564"/>
      <c r="W67" s="1229">
        <f t="shared" si="5"/>
        <v>0</v>
      </c>
      <c r="X67" s="1232"/>
      <c r="Y67" s="1232"/>
      <c r="Z67" s="564">
        <f t="shared" si="6"/>
        <v>994032</v>
      </c>
      <c r="AA67" s="564">
        <f t="shared" si="10"/>
        <v>9060442</v>
      </c>
      <c r="AB67" s="227"/>
      <c r="AC67" s="566">
        <f t="shared" si="8"/>
        <v>9060442</v>
      </c>
      <c r="AD67" s="227"/>
      <c r="AE67" s="565"/>
      <c r="AF67" s="1233"/>
      <c r="AG67" s="1234"/>
      <c r="AH67" s="1223"/>
      <c r="AI67" s="1223"/>
      <c r="AJ67" s="1223"/>
      <c r="AK67" s="1223"/>
      <c r="AL67" s="1223"/>
      <c r="AM67" s="1223"/>
      <c r="AN67" s="1223"/>
    </row>
    <row r="68" spans="1:40" s="1224" customFormat="1" ht="33" customHeight="1">
      <c r="A68" s="1227">
        <v>53</v>
      </c>
      <c r="B68" s="1228">
        <v>53</v>
      </c>
      <c r="C68" s="1228" t="str">
        <f>'Chấm công KT'!C65</f>
        <v>02706</v>
      </c>
      <c r="D68" s="1229" t="str">
        <f>TONGHOPCONGDOI!C63</f>
        <v>T. Nhung</v>
      </c>
      <c r="E68" s="1228" t="s">
        <v>26</v>
      </c>
      <c r="F68" s="1230"/>
      <c r="G68" s="227">
        <f t="shared" si="3"/>
        <v>0</v>
      </c>
      <c r="H68" s="227">
        <f>VLOOKUP(D68,TONGHOPCONGDOI!C63:AD94,16,0)</f>
        <v>4469</v>
      </c>
      <c r="I68" s="227">
        <f>VLOOKUP(D68,TONGHOPCONGDOI!C63:AD94,18,0)</f>
        <v>0</v>
      </c>
      <c r="J68" s="227"/>
      <c r="K68" s="561">
        <f t="shared" si="9"/>
        <v>1972.7822091605815</v>
      </c>
      <c r="L68" s="931">
        <f>'SẢN LƯỢNG'!AP69</f>
        <v>161.25865638847307</v>
      </c>
      <c r="M68" s="931">
        <f>'SẢN LƯỢNG'!AQ69</f>
        <v>2134.0408655490546</v>
      </c>
      <c r="N68" s="562" t="str">
        <f>VLOOKUP(D68,'SẢN LƯỢNG'!$D$17:$AR$95,41,0)</f>
        <v>A</v>
      </c>
      <c r="O68" s="1231">
        <f t="shared" si="4"/>
        <v>7953784</v>
      </c>
      <c r="P68" s="564">
        <f>VLOOKUP(D68,TONGHOPCONGDOI!$C$11:$AD$93,20,0)</f>
        <v>27</v>
      </c>
      <c r="Q68" s="564">
        <f>VLOOKUP(D68,TONGHOPCONGDOI!$C$11:$AD$93,21,0)</f>
        <v>4</v>
      </c>
      <c r="R68" s="564">
        <f>VLOOKUP(D68,TONGHOPCONGDOI!$C$11:$AC$93,22,0)</f>
        <v>0</v>
      </c>
      <c r="S68" s="564">
        <f>VLOOKUP(D68,TONGHOPCONGDOI!$C$11:$AC$94,23,0)</f>
        <v>0</v>
      </c>
      <c r="T68" s="564">
        <f>VLOOKUP(D68,TONGHOPCONGDOI!$C$11:$AC$94,24,0)</f>
        <v>0</v>
      </c>
      <c r="U68" s="564">
        <f>VLOOKUP(D68,TONGHOPCONGDOI!$C$11:$AC$94,25,0)</f>
        <v>0</v>
      </c>
      <c r="V68" s="564"/>
      <c r="W68" s="1229">
        <f t="shared" si="5"/>
        <v>0</v>
      </c>
      <c r="X68" s="1232"/>
      <c r="Y68" s="1232"/>
      <c r="Z68" s="564">
        <f t="shared" si="6"/>
        <v>1024456</v>
      </c>
      <c r="AA68" s="564">
        <f t="shared" si="10"/>
        <v>8978240</v>
      </c>
      <c r="AB68" s="227"/>
      <c r="AC68" s="566">
        <f t="shared" si="8"/>
        <v>8978240</v>
      </c>
      <c r="AD68" s="227"/>
      <c r="AE68" s="565"/>
      <c r="AF68" s="1233"/>
      <c r="AG68" s="1234"/>
      <c r="AH68" s="1223"/>
      <c r="AI68" s="1223"/>
      <c r="AJ68" s="1223"/>
      <c r="AK68" s="1223"/>
      <c r="AL68" s="1223"/>
      <c r="AM68" s="1223"/>
      <c r="AN68" s="1223"/>
    </row>
    <row r="69" spans="1:40" s="1224" customFormat="1" ht="33" customHeight="1">
      <c r="A69" s="1227">
        <v>54</v>
      </c>
      <c r="B69" s="1228">
        <v>54</v>
      </c>
      <c r="C69" s="1228">
        <f>'Chấm công KT'!C66</f>
        <v>0</v>
      </c>
      <c r="D69" s="1229" t="str">
        <f>TONGHOPCONGDOI!C64</f>
        <v>N. In Ton</v>
      </c>
      <c r="E69" s="1228" t="s">
        <v>26</v>
      </c>
      <c r="F69" s="1230"/>
      <c r="G69" s="227">
        <f t="shared" si="3"/>
        <v>0</v>
      </c>
      <c r="H69" s="227">
        <f>VLOOKUP(D69,TONGHOPCONGDOI!C64:AD94,16,0)</f>
        <v>3480</v>
      </c>
      <c r="I69" s="227">
        <f>VLOOKUP(D69,TONGHOPCONGDOI!C64:AD94,18,0)</f>
        <v>0</v>
      </c>
      <c r="J69" s="227"/>
      <c r="K69" s="561">
        <f t="shared" si="9"/>
        <v>1536.2009594716544</v>
      </c>
      <c r="L69" s="931">
        <f>'SẢN LƯỢNG'!AP70</f>
        <v>139.53574750852721</v>
      </c>
      <c r="M69" s="931">
        <f>'SẢN LƯỢNG'!AQ70</f>
        <v>1675.7367069801817</v>
      </c>
      <c r="N69" s="562" t="str">
        <f>VLOOKUP(D69,'SẢN LƯỢNG'!$D$17:$AR$95,41,0)</f>
        <v>A</v>
      </c>
      <c r="O69" s="1231">
        <f t="shared" si="4"/>
        <v>6245638</v>
      </c>
      <c r="P69" s="564">
        <f>VLOOKUP(D69,TONGHOPCONGDOI!$C$11:$AD$93,20,0)</f>
        <v>27</v>
      </c>
      <c r="Q69" s="564">
        <f>VLOOKUP(D69,TONGHOPCONGDOI!$C$11:$AD$93,21,0)</f>
        <v>4</v>
      </c>
      <c r="R69" s="564">
        <f>VLOOKUP(D69,TONGHOPCONGDOI!$C$11:$AC$93,22,0)</f>
        <v>0</v>
      </c>
      <c r="S69" s="564">
        <f>VLOOKUP(D69,TONGHOPCONGDOI!$C$11:$AC$94,23,0)</f>
        <v>0</v>
      </c>
      <c r="T69" s="564">
        <f>VLOOKUP(D69,TONGHOPCONGDOI!$C$11:$AC$94,24,0)</f>
        <v>0</v>
      </c>
      <c r="U69" s="564">
        <f>VLOOKUP(D69,TONGHOPCONGDOI!$C$11:$AC$94,25,0)</f>
        <v>0</v>
      </c>
      <c r="V69" s="564"/>
      <c r="W69" s="1229">
        <f t="shared" si="5"/>
        <v>0</v>
      </c>
      <c r="X69" s="1232"/>
      <c r="Y69" s="1232"/>
      <c r="Z69" s="564">
        <f t="shared" si="6"/>
        <v>1024456</v>
      </c>
      <c r="AA69" s="564">
        <f t="shared" si="10"/>
        <v>7270094</v>
      </c>
      <c r="AB69" s="227"/>
      <c r="AC69" s="566">
        <f t="shared" si="8"/>
        <v>7270094</v>
      </c>
      <c r="AD69" s="227"/>
      <c r="AE69" s="565"/>
      <c r="AF69" s="1233"/>
      <c r="AG69" s="1234"/>
      <c r="AH69" s="1223"/>
      <c r="AI69" s="1223"/>
      <c r="AJ69" s="1223"/>
      <c r="AK69" s="1223"/>
      <c r="AL69" s="1223"/>
      <c r="AM69" s="1223"/>
      <c r="AN69" s="1223"/>
    </row>
    <row r="70" spans="1:40" s="1224" customFormat="1" ht="33" customHeight="1">
      <c r="A70" s="1227">
        <v>55</v>
      </c>
      <c r="B70" s="1228">
        <v>55</v>
      </c>
      <c r="C70" s="1228" t="str">
        <f>'Chấm công KT'!C67</f>
        <v>04064</v>
      </c>
      <c r="D70" s="1229" t="str">
        <f>TONGHOPCONGDOI!C65</f>
        <v>N. Khay Chăn</v>
      </c>
      <c r="E70" s="1228" t="s">
        <v>26</v>
      </c>
      <c r="F70" s="1230"/>
      <c r="G70" s="227">
        <f t="shared" si="3"/>
        <v>0</v>
      </c>
      <c r="H70" s="227">
        <f>VLOOKUP(D70,TONGHOPCONGDOI!C65:AD94,16,0)</f>
        <v>5309</v>
      </c>
      <c r="I70" s="227">
        <f>VLOOKUP(D70,TONGHOPCONGDOI!C65:AD94,18,0)</f>
        <v>0</v>
      </c>
      <c r="J70" s="227"/>
      <c r="K70" s="561">
        <f t="shared" si="9"/>
        <v>2343.589337308912</v>
      </c>
      <c r="L70" s="931">
        <f>'SẢN LƯỢNG'!AP71</f>
        <v>139.12844296702823</v>
      </c>
      <c r="M70" s="931">
        <f>'SẢN LƯỢNG'!AQ71</f>
        <v>2482.7177802759402</v>
      </c>
      <c r="N70" s="562" t="str">
        <f>VLOOKUP(D70,'SẢN LƯỢNG'!$D$17:$AR$95,41,0)</f>
        <v>A</v>
      </c>
      <c r="O70" s="1231">
        <f t="shared" si="4"/>
        <v>9253337</v>
      </c>
      <c r="P70" s="564">
        <f>VLOOKUP(D70,TONGHOPCONGDOI!$C$11:$AD$93,20,0)</f>
        <v>27</v>
      </c>
      <c r="Q70" s="564">
        <f>VLOOKUP(D70,TONGHOPCONGDOI!$C$11:$AD$93,21,0)</f>
        <v>4</v>
      </c>
      <c r="R70" s="564">
        <f>VLOOKUP(D70,TONGHOPCONGDOI!$C$11:$AC$93,22,0)</f>
        <v>0</v>
      </c>
      <c r="S70" s="564">
        <f>VLOOKUP(D70,TONGHOPCONGDOI!$C$11:$AC$94,23,0)</f>
        <v>0</v>
      </c>
      <c r="T70" s="564">
        <f>VLOOKUP(D70,TONGHOPCONGDOI!$C$11:$AC$94,24,0)</f>
        <v>0</v>
      </c>
      <c r="U70" s="564">
        <f>VLOOKUP(D70,TONGHOPCONGDOI!$C$11:$AC$94,25,0)</f>
        <v>0</v>
      </c>
      <c r="V70" s="564"/>
      <c r="W70" s="1229">
        <f t="shared" si="5"/>
        <v>0</v>
      </c>
      <c r="X70" s="1232"/>
      <c r="Y70" s="1232"/>
      <c r="Z70" s="564">
        <f t="shared" si="6"/>
        <v>1024456</v>
      </c>
      <c r="AA70" s="564">
        <f t="shared" si="10"/>
        <v>10277793</v>
      </c>
      <c r="AB70" s="227"/>
      <c r="AC70" s="566">
        <f t="shared" si="8"/>
        <v>10277793</v>
      </c>
      <c r="AD70" s="227"/>
      <c r="AE70" s="565"/>
      <c r="AF70" s="1233"/>
      <c r="AG70" s="1234"/>
      <c r="AH70" s="1223"/>
      <c r="AI70" s="1223"/>
      <c r="AJ70" s="1223"/>
      <c r="AK70" s="1223"/>
      <c r="AL70" s="1223"/>
      <c r="AM70" s="1223"/>
      <c r="AN70" s="1223"/>
    </row>
    <row r="71" spans="1:40" s="1224" customFormat="1" ht="33" customHeight="1">
      <c r="A71" s="1227">
        <v>56</v>
      </c>
      <c r="B71" s="1228">
        <v>56</v>
      </c>
      <c r="C71" s="1228" t="str">
        <f>'Chấm công KT'!C68</f>
        <v>03501</v>
      </c>
      <c r="D71" s="1229" t="str">
        <f>TONGHOPCONGDOI!C66</f>
        <v>T Dăn</v>
      </c>
      <c r="E71" s="1228" t="s">
        <v>26</v>
      </c>
      <c r="F71" s="1230"/>
      <c r="G71" s="227">
        <f t="shared" si="3"/>
        <v>0</v>
      </c>
      <c r="H71" s="227">
        <f>VLOOKUP(D71,TONGHOPCONGDOI!C66:AD94,16,0)</f>
        <v>3494</v>
      </c>
      <c r="I71" s="227">
        <f>VLOOKUP(D71,TONGHOPCONGDOI!C66:AD94,18,0)</f>
        <v>0</v>
      </c>
      <c r="J71" s="227"/>
      <c r="K71" s="561">
        <f t="shared" si="9"/>
        <v>1542.3810782741266</v>
      </c>
      <c r="L71" s="931">
        <f>'SẢN LƯỢNG'!AP72</f>
        <v>108.75031258022895</v>
      </c>
      <c r="M71" s="931">
        <f>'SẢN LƯỢNG'!AQ72</f>
        <v>1651.1313908543555</v>
      </c>
      <c r="N71" s="562" t="str">
        <f>VLOOKUP(D71,'SẢN LƯỢNG'!$D$17:$AR$95,41,0)</f>
        <v>B</v>
      </c>
      <c r="O71" s="1231">
        <f t="shared" si="4"/>
        <v>5851279</v>
      </c>
      <c r="P71" s="564">
        <f>VLOOKUP(D71,TONGHOPCONGDOI!$C$11:$AD$93,20,0)</f>
        <v>26</v>
      </c>
      <c r="Q71" s="564">
        <f>VLOOKUP(D71,TONGHOPCONGDOI!$C$11:$AD$93,21,0)</f>
        <v>4</v>
      </c>
      <c r="R71" s="564">
        <f>VLOOKUP(D71,TONGHOPCONGDOI!$C$11:$AC$93,22,0)</f>
        <v>0</v>
      </c>
      <c r="S71" s="564">
        <f>VLOOKUP(D71,TONGHOPCONGDOI!$C$11:$AC$94,23,0)</f>
        <v>0</v>
      </c>
      <c r="T71" s="564">
        <f>VLOOKUP(D71,TONGHOPCONGDOI!$C$11:$AC$94,24,0)</f>
        <v>0</v>
      </c>
      <c r="U71" s="564">
        <f>VLOOKUP(D71,TONGHOPCONGDOI!$C$11:$AC$94,25,0)</f>
        <v>0</v>
      </c>
      <c r="V71" s="564"/>
      <c r="W71" s="1229">
        <f t="shared" si="5"/>
        <v>0</v>
      </c>
      <c r="X71" s="1232"/>
      <c r="Y71" s="1232"/>
      <c r="Z71" s="564">
        <f t="shared" si="6"/>
        <v>994032</v>
      </c>
      <c r="AA71" s="564">
        <f t="shared" si="10"/>
        <v>6845311</v>
      </c>
      <c r="AB71" s="227"/>
      <c r="AC71" s="566">
        <f t="shared" si="8"/>
        <v>6845311</v>
      </c>
      <c r="AD71" s="227"/>
      <c r="AE71" s="565"/>
      <c r="AF71" s="1233"/>
      <c r="AG71" s="1234"/>
      <c r="AH71" s="1223"/>
      <c r="AI71" s="1223"/>
      <c r="AJ71" s="1223"/>
      <c r="AK71" s="1223"/>
      <c r="AL71" s="1223"/>
      <c r="AM71" s="1223"/>
      <c r="AN71" s="1223"/>
    </row>
    <row r="72" spans="1:40" s="1224" customFormat="1" ht="33" customHeight="1">
      <c r="A72" s="1227">
        <v>57</v>
      </c>
      <c r="B72" s="1228">
        <v>57</v>
      </c>
      <c r="C72" s="1228" t="str">
        <f>'Chấm công KT'!C69</f>
        <v>03502</v>
      </c>
      <c r="D72" s="1229" t="str">
        <f>TONGHOPCONGDOI!C67</f>
        <v>T. Xợt</v>
      </c>
      <c r="E72" s="1228" t="s">
        <v>26</v>
      </c>
      <c r="F72" s="1230"/>
      <c r="G72" s="227">
        <f t="shared" si="3"/>
        <v>0</v>
      </c>
      <c r="H72" s="227">
        <f>VLOOKUP(D72,TONGHOPCONGDOI!C67:AD94,16,0)</f>
        <v>4006</v>
      </c>
      <c r="I72" s="227">
        <f>VLOOKUP(D72,TONGHOPCONGDOI!C67:AD94,18,0)</f>
        <v>0</v>
      </c>
      <c r="J72" s="227"/>
      <c r="K72" s="561">
        <f t="shared" si="9"/>
        <v>1768.3968516216803</v>
      </c>
      <c r="L72" s="931">
        <f>'SẢN LƯỢNG'!AP73</f>
        <v>126.73959649643412</v>
      </c>
      <c r="M72" s="931">
        <f>'SẢN LƯỢNG'!AQ73</f>
        <v>1895.1364481181147</v>
      </c>
      <c r="N72" s="562" t="str">
        <f>VLOOKUP(D72,'SẢN LƯỢNG'!$D$17:$AR$95,41,0)</f>
        <v>A</v>
      </c>
      <c r="O72" s="1231">
        <f t="shared" si="4"/>
        <v>7063363</v>
      </c>
      <c r="P72" s="564">
        <f>VLOOKUP(D72,TONGHOPCONGDOI!$C$11:$AD$93,20,0)</f>
        <v>27</v>
      </c>
      <c r="Q72" s="564">
        <f>VLOOKUP(D72,TONGHOPCONGDOI!$C$11:$AD$93,21,0)</f>
        <v>4</v>
      </c>
      <c r="R72" s="564">
        <f>VLOOKUP(D72,TONGHOPCONGDOI!$C$11:$AC$93,22,0)</f>
        <v>0</v>
      </c>
      <c r="S72" s="564">
        <f>VLOOKUP(D72,TONGHOPCONGDOI!$C$11:$AC$94,23,0)</f>
        <v>0</v>
      </c>
      <c r="T72" s="564">
        <f>VLOOKUP(D72,TONGHOPCONGDOI!$C$11:$AC$94,24,0)</f>
        <v>0</v>
      </c>
      <c r="U72" s="564">
        <f>VLOOKUP(D72,TONGHOPCONGDOI!$C$11:$AC$94,25,0)</f>
        <v>0</v>
      </c>
      <c r="V72" s="564"/>
      <c r="W72" s="1229">
        <f t="shared" si="5"/>
        <v>0</v>
      </c>
      <c r="X72" s="1232"/>
      <c r="Y72" s="1232"/>
      <c r="Z72" s="564">
        <f t="shared" si="6"/>
        <v>1024456</v>
      </c>
      <c r="AA72" s="564">
        <f t="shared" si="10"/>
        <v>8087819</v>
      </c>
      <c r="AB72" s="227"/>
      <c r="AC72" s="566">
        <f t="shared" si="8"/>
        <v>8087819</v>
      </c>
      <c r="AD72" s="227"/>
      <c r="AE72" s="565"/>
      <c r="AF72" s="1233"/>
      <c r="AG72" s="1234"/>
      <c r="AH72" s="1223"/>
      <c r="AI72" s="1223"/>
      <c r="AJ72" s="1223"/>
      <c r="AK72" s="1223"/>
      <c r="AL72" s="1223"/>
      <c r="AM72" s="1223"/>
      <c r="AN72" s="1223"/>
    </row>
    <row r="73" spans="1:40" s="1224" customFormat="1" ht="33" customHeight="1">
      <c r="A73" s="1227">
        <v>58</v>
      </c>
      <c r="B73" s="1228">
        <v>58</v>
      </c>
      <c r="C73" s="1228" t="str">
        <f>'Chấm công KT'!C70</f>
        <v>04065</v>
      </c>
      <c r="D73" s="1229" t="str">
        <f>TONGHOPCONGDOI!C68</f>
        <v>N. Phết 2</v>
      </c>
      <c r="E73" s="1228" t="s">
        <v>26</v>
      </c>
      <c r="F73" s="1230"/>
      <c r="G73" s="227">
        <f t="shared" si="3"/>
        <v>0</v>
      </c>
      <c r="H73" s="227">
        <f>VLOOKUP(D73,TONGHOPCONGDOI!C68:AD94,16,0)</f>
        <v>3440</v>
      </c>
      <c r="I73" s="227">
        <f>VLOOKUP(D73,TONGHOPCONGDOI!C68:AD94,18,0)</f>
        <v>0</v>
      </c>
      <c r="J73" s="227"/>
      <c r="K73" s="561">
        <f t="shared" si="9"/>
        <v>1518.5434771788769</v>
      </c>
      <c r="L73" s="931">
        <f>'SẢN LƯỢNG'!AP74</f>
        <v>136.71855776315925</v>
      </c>
      <c r="M73" s="931">
        <f>'SẢN LƯỢNG'!AQ74</f>
        <v>1655.2620349420361</v>
      </c>
      <c r="N73" s="562" t="str">
        <f>VLOOKUP(D73,'SẢN LƯỢNG'!$D$17:$AR$95,41,0)</f>
        <v>A</v>
      </c>
      <c r="O73" s="1231">
        <f t="shared" si="4"/>
        <v>6169327</v>
      </c>
      <c r="P73" s="564">
        <f>VLOOKUP(D73,TONGHOPCONGDOI!$C$11:$AD$93,20,0)</f>
        <v>27</v>
      </c>
      <c r="Q73" s="564">
        <f>VLOOKUP(D73,TONGHOPCONGDOI!$C$11:$AD$93,21,0)</f>
        <v>4</v>
      </c>
      <c r="R73" s="564">
        <f>VLOOKUP(D73,TONGHOPCONGDOI!$C$11:$AC$93,22,0)</f>
        <v>0</v>
      </c>
      <c r="S73" s="564">
        <f>VLOOKUP(D73,TONGHOPCONGDOI!$C$11:$AC$94,23,0)</f>
        <v>0</v>
      </c>
      <c r="T73" s="564">
        <f>VLOOKUP(D73,TONGHOPCONGDOI!$C$11:$AC$94,24,0)</f>
        <v>0</v>
      </c>
      <c r="U73" s="564">
        <f>VLOOKUP(D73,TONGHOPCONGDOI!$C$11:$AC$94,25,0)</f>
        <v>0</v>
      </c>
      <c r="V73" s="564"/>
      <c r="W73" s="1229">
        <f t="shared" si="5"/>
        <v>0</v>
      </c>
      <c r="X73" s="1232"/>
      <c r="Y73" s="1232"/>
      <c r="Z73" s="564">
        <f t="shared" si="6"/>
        <v>1024456</v>
      </c>
      <c r="AA73" s="564">
        <f t="shared" si="10"/>
        <v>7193783</v>
      </c>
      <c r="AB73" s="227"/>
      <c r="AC73" s="566">
        <f t="shared" si="8"/>
        <v>7193783</v>
      </c>
      <c r="AD73" s="227"/>
      <c r="AE73" s="565"/>
      <c r="AF73" s="1233"/>
      <c r="AG73" s="1234"/>
      <c r="AH73" s="1223"/>
      <c r="AI73" s="1223"/>
      <c r="AJ73" s="1223"/>
      <c r="AK73" s="1223"/>
      <c r="AL73" s="1223"/>
      <c r="AM73" s="1223"/>
      <c r="AN73" s="1223"/>
    </row>
    <row r="74" spans="1:40" s="1224" customFormat="1" ht="33" customHeight="1">
      <c r="A74" s="1227">
        <v>59</v>
      </c>
      <c r="B74" s="1228">
        <v>59</v>
      </c>
      <c r="C74" s="1228" t="str">
        <f>'Chấm công KT'!C71</f>
        <v>03504</v>
      </c>
      <c r="D74" s="1229" t="str">
        <f>TONGHOPCONGDOI!C69</f>
        <v>T. Cạp</v>
      </c>
      <c r="E74" s="1228" t="s">
        <v>26</v>
      </c>
      <c r="F74" s="1230"/>
      <c r="G74" s="227">
        <f t="shared" si="3"/>
        <v>0</v>
      </c>
      <c r="H74" s="227">
        <f>VLOOKUP(D74,TONGHOPCONGDOI!C69:AD94,16,0)</f>
        <v>3798</v>
      </c>
      <c r="I74" s="227">
        <f>VLOOKUP(D74,TONGHOPCONGDOI!C69:AD94,18,0)</f>
        <v>0</v>
      </c>
      <c r="J74" s="227"/>
      <c r="K74" s="561">
        <f t="shared" si="9"/>
        <v>1676.5779436992366</v>
      </c>
      <c r="L74" s="931">
        <f>'SẢN LƯỢNG'!AP75</f>
        <v>121.91982608869611</v>
      </c>
      <c r="M74" s="931">
        <f>'SẢN LƯỢNG'!AQ75</f>
        <v>1798.4977697879328</v>
      </c>
      <c r="N74" s="562" t="str">
        <f>VLOOKUP(D74,'SẢN LƯỢNG'!$D$17:$AR$95,41,0)</f>
        <v>B</v>
      </c>
      <c r="O74" s="1231">
        <f t="shared" si="4"/>
        <v>6373516</v>
      </c>
      <c r="P74" s="564">
        <f>VLOOKUP(D74,TONGHOPCONGDOI!$C$11:$AD$93,20,0)</f>
        <v>26</v>
      </c>
      <c r="Q74" s="564">
        <f>VLOOKUP(D74,TONGHOPCONGDOI!$C$11:$AD$93,21,0)</f>
        <v>4</v>
      </c>
      <c r="R74" s="564">
        <f>VLOOKUP(D74,TONGHOPCONGDOI!$C$11:$AC$93,22,0)</f>
        <v>0</v>
      </c>
      <c r="S74" s="564">
        <f>VLOOKUP(D74,TONGHOPCONGDOI!$C$11:$AC$94,23,0)</f>
        <v>0</v>
      </c>
      <c r="T74" s="564">
        <f>VLOOKUP(D74,TONGHOPCONGDOI!$C$11:$AC$94,24,0)</f>
        <v>0</v>
      </c>
      <c r="U74" s="564">
        <f>VLOOKUP(D74,TONGHOPCONGDOI!$C$11:$AC$94,25,0)</f>
        <v>0</v>
      </c>
      <c r="V74" s="564"/>
      <c r="W74" s="1229">
        <f t="shared" si="5"/>
        <v>0</v>
      </c>
      <c r="X74" s="1232"/>
      <c r="Y74" s="1232"/>
      <c r="Z74" s="564">
        <f t="shared" si="6"/>
        <v>994032</v>
      </c>
      <c r="AA74" s="564">
        <f t="shared" si="10"/>
        <v>7367548</v>
      </c>
      <c r="AB74" s="227"/>
      <c r="AC74" s="566">
        <f t="shared" si="8"/>
        <v>7367548</v>
      </c>
      <c r="AD74" s="227"/>
      <c r="AE74" s="565"/>
      <c r="AF74" s="1233"/>
      <c r="AG74" s="1234"/>
      <c r="AH74" s="1223"/>
      <c r="AI74" s="1223"/>
      <c r="AJ74" s="1223"/>
      <c r="AK74" s="1223"/>
      <c r="AL74" s="1223"/>
      <c r="AM74" s="1223"/>
      <c r="AN74" s="1223"/>
    </row>
    <row r="75" spans="1:40" s="1224" customFormat="1" ht="33" customHeight="1">
      <c r="A75" s="1227">
        <v>60</v>
      </c>
      <c r="B75" s="1228">
        <v>60</v>
      </c>
      <c r="C75" s="1228">
        <f>'Chấm công KT'!C72</f>
        <v>0</v>
      </c>
      <c r="D75" s="1229" t="str">
        <f>TONGHOPCONGDOI!C70</f>
        <v>N. Ních</v>
      </c>
      <c r="E75" s="1228" t="s">
        <v>26</v>
      </c>
      <c r="F75" s="1230"/>
      <c r="G75" s="227">
        <f t="shared" si="3"/>
        <v>0</v>
      </c>
      <c r="H75" s="227">
        <f>VLOOKUP(D75,TONGHOPCONGDOI!C70:AD94,16,0)</f>
        <v>3861</v>
      </c>
      <c r="I75" s="227">
        <f>VLOOKUP(D75,TONGHOPCONGDOI!C70:AD94,18,0)</f>
        <v>0</v>
      </c>
      <c r="J75" s="227"/>
      <c r="K75" s="561">
        <f t="shared" si="9"/>
        <v>1704.3884783103615</v>
      </c>
      <c r="L75" s="931">
        <f>'SẢN LƯỢNG'!AP76</f>
        <v>125.178262420688</v>
      </c>
      <c r="M75" s="931">
        <f>'SẢN LƯỢNG'!AQ76</f>
        <v>1829.5667407310493</v>
      </c>
      <c r="N75" s="562" t="str">
        <f>VLOOKUP(D75,'SẢN LƯỢNG'!$D$17:$AR$95,41,0)</f>
        <v>B</v>
      </c>
      <c r="O75" s="1231">
        <f t="shared" si="4"/>
        <v>6483619</v>
      </c>
      <c r="P75" s="564">
        <f>VLOOKUP(D75,TONGHOPCONGDOI!$C$11:$AD$93,20,0)</f>
        <v>26</v>
      </c>
      <c r="Q75" s="564">
        <f>VLOOKUP(D75,TONGHOPCONGDOI!$C$11:$AD$93,21,0)</f>
        <v>4</v>
      </c>
      <c r="R75" s="564">
        <f>VLOOKUP(D75,TONGHOPCONGDOI!$C$11:$AC$93,22,0)</f>
        <v>0</v>
      </c>
      <c r="S75" s="564">
        <f>VLOOKUP(D75,TONGHOPCONGDOI!$C$11:$AC$94,23,0)</f>
        <v>0</v>
      </c>
      <c r="T75" s="564">
        <f>VLOOKUP(D75,TONGHOPCONGDOI!$C$11:$AC$94,24,0)</f>
        <v>0</v>
      </c>
      <c r="U75" s="564">
        <f>VLOOKUP(D75,TONGHOPCONGDOI!$C$11:$AC$94,25,0)</f>
        <v>0</v>
      </c>
      <c r="V75" s="564"/>
      <c r="W75" s="1229">
        <f t="shared" si="5"/>
        <v>0</v>
      </c>
      <c r="X75" s="1232"/>
      <c r="Y75" s="1232"/>
      <c r="Z75" s="564">
        <f t="shared" si="6"/>
        <v>994032</v>
      </c>
      <c r="AA75" s="564">
        <f t="shared" si="10"/>
        <v>7477651</v>
      </c>
      <c r="AB75" s="227"/>
      <c r="AC75" s="566">
        <f t="shared" si="8"/>
        <v>7477651</v>
      </c>
      <c r="AD75" s="227"/>
      <c r="AE75" s="565"/>
      <c r="AF75" s="1233"/>
      <c r="AG75" s="1234"/>
      <c r="AH75" s="1223"/>
      <c r="AI75" s="1223"/>
      <c r="AJ75" s="1223"/>
      <c r="AK75" s="1223"/>
      <c r="AL75" s="1223"/>
      <c r="AM75" s="1223"/>
      <c r="AN75" s="1223"/>
    </row>
    <row r="76" spans="1:40" s="1224" customFormat="1" ht="33" customHeight="1">
      <c r="A76" s="1227">
        <v>61</v>
      </c>
      <c r="B76" s="1228">
        <v>61</v>
      </c>
      <c r="C76" s="1228" t="str">
        <f>'Chấm công KT'!C73</f>
        <v>03506</v>
      </c>
      <c r="D76" s="1229" t="str">
        <f>TONGHOPCONGDOI!C71</f>
        <v>N. Bua Hom</v>
      </c>
      <c r="E76" s="1228" t="s">
        <v>26</v>
      </c>
      <c r="F76" s="1230"/>
      <c r="G76" s="227">
        <f t="shared" si="3"/>
        <v>0</v>
      </c>
      <c r="H76" s="227">
        <f>VLOOKUP(D76,TONGHOPCONGDOI!C71:AD94,16,0)</f>
        <v>4532</v>
      </c>
      <c r="I76" s="227">
        <f>VLOOKUP(D76,TONGHOPCONGDOI!C71:AD94,18,0)</f>
        <v>0</v>
      </c>
      <c r="J76" s="227"/>
      <c r="K76" s="561">
        <f t="shared" si="9"/>
        <v>2000.5927437717064</v>
      </c>
      <c r="L76" s="931">
        <f>'SẢN LƯỢNG'!AP77</f>
        <v>164.27949840459056</v>
      </c>
      <c r="M76" s="931">
        <f>'SẢN LƯỢNG'!AQ77</f>
        <v>2164.8722421762968</v>
      </c>
      <c r="N76" s="562" t="str">
        <f>VLOOKUP(D76,'SẢN LƯỢNG'!$D$17:$AR$95,41,0)</f>
        <v>A</v>
      </c>
      <c r="O76" s="1231">
        <f t="shared" si="4"/>
        <v>8068695</v>
      </c>
      <c r="P76" s="564">
        <f>VLOOKUP(D76,TONGHOPCONGDOI!$C$11:$AD$93,20,0)</f>
        <v>27</v>
      </c>
      <c r="Q76" s="564">
        <f>VLOOKUP(D76,TONGHOPCONGDOI!$C$11:$AD$93,21,0)</f>
        <v>4</v>
      </c>
      <c r="R76" s="564">
        <f>VLOOKUP(D76,TONGHOPCONGDOI!$C$11:$AC$93,22,0)</f>
        <v>0</v>
      </c>
      <c r="S76" s="564">
        <f>VLOOKUP(D76,TONGHOPCONGDOI!$C$11:$AC$94,23,0)</f>
        <v>0</v>
      </c>
      <c r="T76" s="564">
        <f>VLOOKUP(D76,TONGHOPCONGDOI!$C$11:$AC$94,24,0)</f>
        <v>0</v>
      </c>
      <c r="U76" s="564">
        <f>VLOOKUP(D76,TONGHOPCONGDOI!$C$11:$AC$94,25,0)</f>
        <v>0</v>
      </c>
      <c r="V76" s="564"/>
      <c r="W76" s="1229">
        <f t="shared" si="5"/>
        <v>0</v>
      </c>
      <c r="X76" s="1232"/>
      <c r="Y76" s="1232"/>
      <c r="Z76" s="564">
        <f t="shared" si="6"/>
        <v>1024456</v>
      </c>
      <c r="AA76" s="564">
        <f t="shared" si="10"/>
        <v>9093151</v>
      </c>
      <c r="AB76" s="227"/>
      <c r="AC76" s="566">
        <f t="shared" si="8"/>
        <v>9093151</v>
      </c>
      <c r="AD76" s="227"/>
      <c r="AE76" s="565"/>
      <c r="AF76" s="1233"/>
      <c r="AG76" s="1234"/>
      <c r="AH76" s="1223"/>
      <c r="AI76" s="1223"/>
      <c r="AJ76" s="1223"/>
      <c r="AK76" s="1223"/>
      <c r="AL76" s="1223"/>
      <c r="AM76" s="1223"/>
      <c r="AN76" s="1223"/>
    </row>
    <row r="77" spans="1:40" s="1224" customFormat="1" ht="33" customHeight="1">
      <c r="A77" s="1227">
        <v>62</v>
      </c>
      <c r="B77" s="1228">
        <v>62</v>
      </c>
      <c r="C77" s="1228" t="str">
        <f>'Chấm công KT'!C74</f>
        <v>04067</v>
      </c>
      <c r="D77" s="1229" t="str">
        <f>TONGHOPCONGDOI!C72</f>
        <v>N. Lăm Phay (2)</v>
      </c>
      <c r="E77" s="1228" t="s">
        <v>26</v>
      </c>
      <c r="F77" s="1230"/>
      <c r="G77" s="227">
        <f t="shared" si="3"/>
        <v>0</v>
      </c>
      <c r="H77" s="227">
        <f>VLOOKUP(D77,TONGHOPCONGDOI!C72:AD94,16,0)</f>
        <v>3169</v>
      </c>
      <c r="I77" s="227">
        <f>VLOOKUP(D77,TONGHOPCONGDOI!C72:AD94,18,0)</f>
        <v>0</v>
      </c>
      <c r="J77" s="227"/>
      <c r="K77" s="561">
        <f t="shared" si="9"/>
        <v>1398.9140346453084</v>
      </c>
      <c r="L77" s="931">
        <f>'SẢN LƯỢNG'!AP78</f>
        <v>136.82038389853398</v>
      </c>
      <c r="M77" s="931">
        <f>'SẢN LƯỢNG'!AQ78</f>
        <v>1535.7344185438421</v>
      </c>
      <c r="N77" s="562" t="str">
        <f>VLOOKUP(D77,'SẢN LƯỢNG'!$D$17:$AR$95,41,0)</f>
        <v>A</v>
      </c>
      <c r="O77" s="1231">
        <f t="shared" si="4"/>
        <v>5723836</v>
      </c>
      <c r="P77" s="564">
        <f>VLOOKUP(D77,TONGHOPCONGDOI!$C$11:$AD$93,20,0)</f>
        <v>25</v>
      </c>
      <c r="Q77" s="564">
        <f>VLOOKUP(D77,TONGHOPCONGDOI!$C$11:$AD$93,21,0)</f>
        <v>4</v>
      </c>
      <c r="R77" s="564">
        <f>VLOOKUP(D77,TONGHOPCONGDOI!$C$11:$AC$93,22,0)</f>
        <v>0</v>
      </c>
      <c r="S77" s="564">
        <f>VLOOKUP(D77,TONGHOPCONGDOI!$C$11:$AC$94,23,0)</f>
        <v>0</v>
      </c>
      <c r="T77" s="564">
        <f>VLOOKUP(D77,TONGHOPCONGDOI!$C$11:$AC$94,24,0)</f>
        <v>0</v>
      </c>
      <c r="U77" s="564">
        <f>VLOOKUP(D77,TONGHOPCONGDOI!$C$11:$AC$94,25,0)</f>
        <v>0</v>
      </c>
      <c r="V77" s="564"/>
      <c r="W77" s="1229">
        <f t="shared" si="5"/>
        <v>0</v>
      </c>
      <c r="X77" s="1232"/>
      <c r="Y77" s="1232"/>
      <c r="Z77" s="564">
        <f t="shared" si="6"/>
        <v>963608</v>
      </c>
      <c r="AA77" s="564">
        <f t="shared" si="10"/>
        <v>6687444</v>
      </c>
      <c r="AB77" s="227"/>
      <c r="AC77" s="566">
        <f t="shared" si="8"/>
        <v>6687444</v>
      </c>
      <c r="AD77" s="227"/>
      <c r="AE77" s="565"/>
      <c r="AF77" s="1233"/>
      <c r="AG77" s="1234"/>
      <c r="AH77" s="1223"/>
      <c r="AI77" s="1223"/>
      <c r="AJ77" s="1223"/>
      <c r="AK77" s="1223"/>
      <c r="AL77" s="1223"/>
      <c r="AM77" s="1223"/>
      <c r="AN77" s="1223"/>
    </row>
    <row r="78" spans="1:40" s="1224" customFormat="1" ht="33" customHeight="1">
      <c r="A78" s="1227">
        <v>63</v>
      </c>
      <c r="B78" s="1228">
        <v>63</v>
      </c>
      <c r="C78" s="1228" t="str">
        <f>'Chấm công KT'!C75</f>
        <v>03508</v>
      </c>
      <c r="D78" s="1229" t="str">
        <f>TONGHOPCONGDOI!C73</f>
        <v>T. Đèng</v>
      </c>
      <c r="E78" s="1228" t="s">
        <v>26</v>
      </c>
      <c r="F78" s="1230"/>
      <c r="G78" s="227">
        <f t="shared" si="3"/>
        <v>0</v>
      </c>
      <c r="H78" s="227">
        <f>VLOOKUP(D78,TONGHOPCONGDOI!C73:AD94,16,0)</f>
        <v>2667</v>
      </c>
      <c r="I78" s="227">
        <f>VLOOKUP(D78,TONGHOPCONGDOI!C73:AD94,18,0)</f>
        <v>0</v>
      </c>
      <c r="J78" s="227"/>
      <c r="K78" s="561">
        <f t="shared" si="9"/>
        <v>1177.312631870949</v>
      </c>
      <c r="L78" s="931">
        <f>'SẢN LƯỢNG'!AP79</f>
        <v>99.144713809877885</v>
      </c>
      <c r="M78" s="931">
        <f>'SẢN LƯỢNG'!AQ79</f>
        <v>1276.4573456808268</v>
      </c>
      <c r="N78" s="562" t="str">
        <f>VLOOKUP(D78,'SẢN LƯỢNG'!$D$17:$AR$95,41,0)</f>
        <v>B</v>
      </c>
      <c r="O78" s="1231">
        <f t="shared" si="4"/>
        <v>4523510</v>
      </c>
      <c r="P78" s="564">
        <f>VLOOKUP(D78,TONGHOPCONGDOI!$C$11:$AD$93,20,0)</f>
        <v>23</v>
      </c>
      <c r="Q78" s="564">
        <f>VLOOKUP(D78,TONGHOPCONGDOI!$C$11:$AD$93,21,0)</f>
        <v>3</v>
      </c>
      <c r="R78" s="564">
        <f>VLOOKUP(D78,TONGHOPCONGDOI!$C$11:$AC$93,22,0)</f>
        <v>0</v>
      </c>
      <c r="S78" s="564">
        <f>VLOOKUP(D78,TONGHOPCONGDOI!$C$11:$AC$94,23,0)</f>
        <v>0</v>
      </c>
      <c r="T78" s="564">
        <f>VLOOKUP(D78,TONGHOPCONGDOI!$C$11:$AC$94,24,0)</f>
        <v>0</v>
      </c>
      <c r="U78" s="564">
        <f>VLOOKUP(D78,TONGHOPCONGDOI!$C$11:$AC$94,25,0)</f>
        <v>0</v>
      </c>
      <c r="V78" s="564"/>
      <c r="W78" s="1229">
        <f t="shared" si="5"/>
        <v>0</v>
      </c>
      <c r="X78" s="1232"/>
      <c r="Y78" s="1232"/>
      <c r="Z78" s="564">
        <f t="shared" si="6"/>
        <v>852008</v>
      </c>
      <c r="AA78" s="564">
        <f t="shared" si="10"/>
        <v>5375518</v>
      </c>
      <c r="AB78" s="227"/>
      <c r="AC78" s="566">
        <f t="shared" si="8"/>
        <v>5375518</v>
      </c>
      <c r="AD78" s="227"/>
      <c r="AE78" s="565"/>
      <c r="AF78" s="1233"/>
      <c r="AG78" s="1234"/>
      <c r="AH78" s="1223"/>
      <c r="AI78" s="1223"/>
      <c r="AJ78" s="1223"/>
      <c r="AK78" s="1223"/>
      <c r="AL78" s="1223"/>
      <c r="AM78" s="1223"/>
      <c r="AN78" s="1223"/>
    </row>
    <row r="79" spans="1:40" s="1224" customFormat="1" ht="33" customHeight="1">
      <c r="A79" s="1227">
        <v>64</v>
      </c>
      <c r="B79" s="1228">
        <v>64</v>
      </c>
      <c r="C79" s="1228" t="str">
        <f>'Chấm công KT'!C76</f>
        <v>03512</v>
      </c>
      <c r="D79" s="1229" t="str">
        <f>TONGHOPCONGDOI!C74</f>
        <v>N. Đon</v>
      </c>
      <c r="E79" s="1228" t="s">
        <v>26</v>
      </c>
      <c r="F79" s="1230"/>
      <c r="G79" s="227">
        <f t="shared" si="3"/>
        <v>0</v>
      </c>
      <c r="H79" s="227">
        <f>VLOOKUP(D79,TONGHOPCONGDOI!C74:AD94,16,0)</f>
        <v>3839</v>
      </c>
      <c r="I79" s="227">
        <f>VLOOKUP(D79,TONGHOPCONGDOI!C74:AD94,18,0)</f>
        <v>0</v>
      </c>
      <c r="J79" s="227"/>
      <c r="K79" s="561">
        <f t="shared" si="9"/>
        <v>1694.6768630493339</v>
      </c>
      <c r="L79" s="931">
        <f>'SẢN LƯỢNG'!AP80</f>
        <v>115.53872160521203</v>
      </c>
      <c r="M79" s="931">
        <f>'SẢN LƯỢNG'!AQ80</f>
        <v>1810.2155846545459</v>
      </c>
      <c r="N79" s="562" t="str">
        <f>VLOOKUP(D79,'SẢN LƯỢNG'!$D$17:$AR$95,41,0)</f>
        <v>B</v>
      </c>
      <c r="O79" s="1231">
        <f t="shared" si="4"/>
        <v>6415042</v>
      </c>
      <c r="P79" s="564">
        <f>VLOOKUP(D79,TONGHOPCONGDOI!$C$11:$AD$93,20,0)</f>
        <v>27</v>
      </c>
      <c r="Q79" s="564">
        <f>VLOOKUP(D79,TONGHOPCONGDOI!$C$11:$AD$93,21,0)</f>
        <v>3</v>
      </c>
      <c r="R79" s="564">
        <f>VLOOKUP(D79,TONGHOPCONGDOI!$C$11:$AC$93,22,0)</f>
        <v>0</v>
      </c>
      <c r="S79" s="564">
        <f>VLOOKUP(D79,TONGHOPCONGDOI!$C$11:$AC$94,23,0)</f>
        <v>0</v>
      </c>
      <c r="T79" s="564">
        <f>VLOOKUP(D79,TONGHOPCONGDOI!$C$11:$AC$94,24,0)</f>
        <v>0</v>
      </c>
      <c r="U79" s="564">
        <f>VLOOKUP(D79,TONGHOPCONGDOI!$C$11:$AC$94,25,0)</f>
        <v>0</v>
      </c>
      <c r="V79" s="564"/>
      <c r="W79" s="1229">
        <f t="shared" si="5"/>
        <v>0</v>
      </c>
      <c r="X79" s="1232"/>
      <c r="Y79" s="1232"/>
      <c r="Z79" s="564">
        <f t="shared" si="6"/>
        <v>973705</v>
      </c>
      <c r="AA79" s="564">
        <f t="shared" si="10"/>
        <v>7388747</v>
      </c>
      <c r="AB79" s="227"/>
      <c r="AC79" s="566">
        <f t="shared" si="8"/>
        <v>7388747</v>
      </c>
      <c r="AD79" s="227"/>
      <c r="AE79" s="565"/>
      <c r="AF79" s="1233"/>
      <c r="AG79" s="1234"/>
      <c r="AH79" s="1223"/>
      <c r="AI79" s="1223"/>
      <c r="AJ79" s="1223"/>
      <c r="AK79" s="1223"/>
      <c r="AL79" s="1223"/>
      <c r="AM79" s="1223"/>
      <c r="AN79" s="1223"/>
    </row>
    <row r="80" spans="1:40" s="1224" customFormat="1" ht="33" customHeight="1">
      <c r="A80" s="1227">
        <v>65</v>
      </c>
      <c r="B80" s="1228">
        <v>65</v>
      </c>
      <c r="C80" s="1228" t="str">
        <f>'Chấm công KT'!C77</f>
        <v>04068</v>
      </c>
      <c r="D80" s="1229" t="str">
        <f>TONGHOPCONGDOI!C75</f>
        <v xml:space="preserve">T. La </v>
      </c>
      <c r="E80" s="1228" t="s">
        <v>26</v>
      </c>
      <c r="F80" s="1230"/>
      <c r="G80" s="227">
        <f t="shared" si="3"/>
        <v>0</v>
      </c>
      <c r="H80" s="227">
        <f>VLOOKUP(D80,TONGHOPCONGDOI!C75:AD94,16,0)</f>
        <v>3945</v>
      </c>
      <c r="I80" s="227">
        <f>VLOOKUP(D80,TONGHOPCONGDOI!C75:AD94,18,0)</f>
        <v>0</v>
      </c>
      <c r="J80" s="227"/>
      <c r="K80" s="561">
        <f t="shared" ref="K80:K95" si="11">$AH$8/$AH$7*H80+I80*$AH$9+J80*$AH$10</f>
        <v>1741.4691911251946</v>
      </c>
      <c r="L80" s="931">
        <f>'SẢN LƯỢNG'!AP81</f>
        <v>112.07663300247066</v>
      </c>
      <c r="M80" s="931">
        <f>'SẢN LƯỢNG'!AQ81</f>
        <v>1853.5458241276651</v>
      </c>
      <c r="N80" s="562" t="str">
        <f>VLOOKUP(D80,'SẢN LƯỢNG'!$D$17:$AR$95,41,0)</f>
        <v>B</v>
      </c>
      <c r="O80" s="1231">
        <f t="shared" si="4"/>
        <v>6568596</v>
      </c>
      <c r="P80" s="564">
        <f>VLOOKUP(D80,TONGHOPCONGDOI!$C$11:$AD$93,20,0)</f>
        <v>25</v>
      </c>
      <c r="Q80" s="564">
        <f>VLOOKUP(D80,TONGHOPCONGDOI!$C$11:$AD$93,21,0)</f>
        <v>4</v>
      </c>
      <c r="R80" s="564">
        <f>VLOOKUP(D80,TONGHOPCONGDOI!$C$11:$AC$93,22,0)</f>
        <v>0</v>
      </c>
      <c r="S80" s="564">
        <f>VLOOKUP(D80,TONGHOPCONGDOI!$C$11:$AC$94,23,0)</f>
        <v>0</v>
      </c>
      <c r="T80" s="564">
        <f>VLOOKUP(D80,TONGHOPCONGDOI!$C$11:$AC$94,24,0)</f>
        <v>0</v>
      </c>
      <c r="U80" s="564">
        <f>VLOOKUP(D80,TONGHOPCONGDOI!$C$11:$AC$94,25,0)</f>
        <v>0</v>
      </c>
      <c r="V80" s="564"/>
      <c r="W80" s="1229">
        <f t="shared" si="5"/>
        <v>0</v>
      </c>
      <c r="X80" s="1232"/>
      <c r="Y80" s="1232"/>
      <c r="Z80" s="564">
        <f t="shared" si="6"/>
        <v>963608</v>
      </c>
      <c r="AA80" s="564">
        <f t="shared" ref="AA80:AA98" si="12">G80+O80+Z80</f>
        <v>7532204</v>
      </c>
      <c r="AB80" s="227"/>
      <c r="AC80" s="566">
        <f t="shared" si="8"/>
        <v>7532204</v>
      </c>
      <c r="AD80" s="227"/>
      <c r="AE80" s="565"/>
      <c r="AF80" s="1233"/>
      <c r="AG80" s="1234"/>
      <c r="AH80" s="1223"/>
      <c r="AI80" s="1223"/>
      <c r="AJ80" s="1223"/>
      <c r="AK80" s="1223"/>
      <c r="AL80" s="1223"/>
      <c r="AM80" s="1223"/>
      <c r="AN80" s="1223"/>
    </row>
    <row r="81" spans="1:40" s="1224" customFormat="1" ht="33" customHeight="1">
      <c r="A81" s="1227">
        <v>66</v>
      </c>
      <c r="B81" s="1228">
        <v>66</v>
      </c>
      <c r="C81" s="1228" t="str">
        <f>'Chấm công KT'!C78</f>
        <v>04069</v>
      </c>
      <c r="D81" s="1229" t="str">
        <f>TONGHOPCONGDOI!C76</f>
        <v>T. Bờm</v>
      </c>
      <c r="E81" s="1228" t="s">
        <v>26</v>
      </c>
      <c r="F81" s="1230"/>
      <c r="G81" s="227">
        <f t="shared" ref="G81:G88" si="13">F81*25000</f>
        <v>0</v>
      </c>
      <c r="H81" s="227">
        <f>VLOOKUP(D81,TONGHOPCONGDOI!C76:AD94,16,0)</f>
        <v>4085</v>
      </c>
      <c r="I81" s="227">
        <f>VLOOKUP(D81,TONGHOPCONGDOI!C76:AD94,18,0)</f>
        <v>0</v>
      </c>
      <c r="J81" s="227"/>
      <c r="K81" s="561">
        <f t="shared" si="11"/>
        <v>1803.2703791499162</v>
      </c>
      <c r="L81" s="931">
        <f>'SẢN LƯỢNG'!AP82</f>
        <v>111.36385005484743</v>
      </c>
      <c r="M81" s="931">
        <f>'SẢN LƯỢNG'!AQ82</f>
        <v>1914.6342292047639</v>
      </c>
      <c r="N81" s="562" t="str">
        <f>VLOOKUP(D81,'SẢN LƯỢNG'!$D$17:$AR$95,41,0)</f>
        <v>A</v>
      </c>
      <c r="O81" s="1231">
        <f t="shared" ref="O81:O94" si="14">ROUND((IF(N81="A",(M81*6.1),IF(N81="B",(M81*5.8),IF(N81="C",(M81*5.5),IF(N81="C.",(M81*5.5),IF(N81="D",(M81*5.2),0)))))*$F$10),0)</f>
        <v>7136033</v>
      </c>
      <c r="P81" s="564">
        <f>VLOOKUP(D81,TONGHOPCONGDOI!$C$11:$AD$93,20,0)</f>
        <v>26</v>
      </c>
      <c r="Q81" s="564">
        <f>VLOOKUP(D81,TONGHOPCONGDOI!$C$11:$AD$93,21,0)</f>
        <v>3</v>
      </c>
      <c r="R81" s="564">
        <f>VLOOKUP(D81,TONGHOPCONGDOI!$C$11:$AC$93,22,0)</f>
        <v>0</v>
      </c>
      <c r="S81" s="564">
        <f>VLOOKUP(D81,TONGHOPCONGDOI!$C$11:$AC$94,23,0)</f>
        <v>0</v>
      </c>
      <c r="T81" s="564">
        <f>VLOOKUP(D81,TONGHOPCONGDOI!$C$11:$AC$94,24,0)</f>
        <v>0</v>
      </c>
      <c r="U81" s="564">
        <f>VLOOKUP(D81,TONGHOPCONGDOI!$C$11:$AC$94,25,0)</f>
        <v>0</v>
      </c>
      <c r="V81" s="564"/>
      <c r="W81" s="1229">
        <f t="shared" ref="W81:W96" si="15">S81</f>
        <v>0</v>
      </c>
      <c r="X81" s="1232"/>
      <c r="Y81" s="1232"/>
      <c r="Z81" s="564">
        <f t="shared" ref="Z81:Z95" si="16">ROUND(((P81*46.1)+(Q81*76.9)+(R81*92.2)+(S81*153.8)+(T81*92.2)+(U81*153.8))*$F$11+(V81*25000)+(W81*100000),0)</f>
        <v>943281</v>
      </c>
      <c r="AA81" s="564">
        <f t="shared" si="12"/>
        <v>8079314</v>
      </c>
      <c r="AB81" s="227"/>
      <c r="AC81" s="566">
        <f t="shared" si="8"/>
        <v>8079314</v>
      </c>
      <c r="AD81" s="227"/>
      <c r="AE81" s="565"/>
      <c r="AF81" s="1233"/>
      <c r="AG81" s="1234"/>
      <c r="AH81" s="1223"/>
      <c r="AI81" s="1223"/>
      <c r="AJ81" s="1223"/>
      <c r="AK81" s="1223"/>
      <c r="AL81" s="1223"/>
      <c r="AM81" s="1223"/>
      <c r="AN81" s="1223"/>
    </row>
    <row r="82" spans="1:40" s="1224" customFormat="1" ht="33" customHeight="1">
      <c r="A82" s="1227">
        <v>67</v>
      </c>
      <c r="B82" s="1228">
        <v>67</v>
      </c>
      <c r="C82" s="1228" t="str">
        <f>'Chấm công KT'!C79</f>
        <v>03546</v>
      </c>
      <c r="D82" s="1229" t="str">
        <f>TONGHOPCONGDOI!C77</f>
        <v>T. Nọi</v>
      </c>
      <c r="E82" s="1228" t="s">
        <v>26</v>
      </c>
      <c r="F82" s="1230"/>
      <c r="G82" s="227">
        <f t="shared" si="13"/>
        <v>0</v>
      </c>
      <c r="H82" s="227">
        <f>VLOOKUP(D82,TONGHOPCONGDOI!C77:AD94,16,0)</f>
        <v>3076</v>
      </c>
      <c r="I82" s="227">
        <f>VLOOKUP(D82,TONGHOPCONGDOI!C77:AD94,18,0)</f>
        <v>0</v>
      </c>
      <c r="J82" s="227"/>
      <c r="K82" s="561">
        <f t="shared" si="11"/>
        <v>1357.8603883146004</v>
      </c>
      <c r="L82" s="931">
        <f>'SẢN LƯỢNG'!AP83</f>
        <v>123.10779766806816</v>
      </c>
      <c r="M82" s="931">
        <f>'SẢN LƯỢNG'!AQ83</f>
        <v>1480.9681859826683</v>
      </c>
      <c r="N82" s="562" t="str">
        <f>VLOOKUP(D82,'SẢN LƯỢNG'!$D$17:$AR$95,41,0)</f>
        <v>B</v>
      </c>
      <c r="O82" s="1231">
        <f t="shared" si="14"/>
        <v>5248255</v>
      </c>
      <c r="P82" s="564">
        <f>VLOOKUP(D82,TONGHOPCONGDOI!$C$11:$AD$93,20,0)</f>
        <v>25</v>
      </c>
      <c r="Q82" s="564">
        <f>VLOOKUP(D82,TONGHOPCONGDOI!$C$11:$AD$93,21,0)</f>
        <v>4</v>
      </c>
      <c r="R82" s="564">
        <f>VLOOKUP(D82,TONGHOPCONGDOI!$C$11:$AC$93,22,0)</f>
        <v>0</v>
      </c>
      <c r="S82" s="564">
        <f>VLOOKUP(D82,TONGHOPCONGDOI!$C$11:$AC$94,23,0)</f>
        <v>0</v>
      </c>
      <c r="T82" s="564">
        <f>VLOOKUP(D82,TONGHOPCONGDOI!$C$11:$AC$94,24,0)</f>
        <v>0</v>
      </c>
      <c r="U82" s="564">
        <f>VLOOKUP(D82,TONGHOPCONGDOI!$C$11:$AC$94,25,0)</f>
        <v>0</v>
      </c>
      <c r="V82" s="564"/>
      <c r="W82" s="1229">
        <f t="shared" si="15"/>
        <v>0</v>
      </c>
      <c r="X82" s="1232"/>
      <c r="Y82" s="1232"/>
      <c r="Z82" s="564">
        <f t="shared" si="16"/>
        <v>963608</v>
      </c>
      <c r="AA82" s="564">
        <f t="shared" si="12"/>
        <v>6211863</v>
      </c>
      <c r="AB82" s="227"/>
      <c r="AC82" s="566">
        <f t="shared" ref="AC82:AC88" si="17">AA82-AB82</f>
        <v>6211863</v>
      </c>
      <c r="AD82" s="227"/>
      <c r="AE82" s="565"/>
      <c r="AF82" s="1233"/>
      <c r="AG82" s="1234"/>
      <c r="AH82" s="1223"/>
      <c r="AI82" s="1223"/>
      <c r="AJ82" s="1223"/>
      <c r="AK82" s="1223"/>
      <c r="AL82" s="1223"/>
      <c r="AM82" s="1223"/>
      <c r="AN82" s="1223"/>
    </row>
    <row r="83" spans="1:40" s="1224" customFormat="1" ht="33" customHeight="1">
      <c r="A83" s="1227">
        <v>68</v>
      </c>
      <c r="B83" s="1228">
        <v>68</v>
      </c>
      <c r="C83" s="1228">
        <f>'Chấm công KT'!C80</f>
        <v>0</v>
      </c>
      <c r="D83" s="1229" t="str">
        <f>TONGHOPCONGDOI!C78</f>
        <v>T. Kong Ma Ny</v>
      </c>
      <c r="E83" s="1228" t="s">
        <v>26</v>
      </c>
      <c r="F83" s="1230"/>
      <c r="G83" s="227">
        <f t="shared" si="13"/>
        <v>0</v>
      </c>
      <c r="H83" s="227">
        <f>VLOOKUP(D83,TONGHOPCONGDOI!C78:AD94,16,0)</f>
        <v>3469</v>
      </c>
      <c r="I83" s="227">
        <f>VLOOKUP(D83,TONGHOPCONGDOI!C78:AD94,18,0)</f>
        <v>0</v>
      </c>
      <c r="J83" s="227"/>
      <c r="K83" s="561">
        <f t="shared" si="11"/>
        <v>1531.3451518411407</v>
      </c>
      <c r="L83" s="931">
        <f>'SẢN LƯỢNG'!AP84</f>
        <v>101.04546833687314</v>
      </c>
      <c r="M83" s="931">
        <f>'SẢN LƯỢNG'!AQ84</f>
        <v>1632.3906201780139</v>
      </c>
      <c r="N83" s="562" t="str">
        <f>VLOOKUP(D83,'SẢN LƯỢNG'!$D$17:$AR$95,41,0)</f>
        <v>B</v>
      </c>
      <c r="O83" s="1231">
        <f t="shared" si="14"/>
        <v>5784866</v>
      </c>
      <c r="P83" s="564">
        <f>VLOOKUP(D83,TONGHOPCONGDOI!$C$11:$AD$93,20,0)</f>
        <v>27</v>
      </c>
      <c r="Q83" s="564">
        <f>VLOOKUP(D83,TONGHOPCONGDOI!$C$11:$AD$93,21,0)</f>
        <v>4</v>
      </c>
      <c r="R83" s="564">
        <f>VLOOKUP(D83,TONGHOPCONGDOI!$C$11:$AC$93,22,0)</f>
        <v>0</v>
      </c>
      <c r="S83" s="564">
        <f>VLOOKUP(D83,TONGHOPCONGDOI!$C$11:$AC$94,23,0)</f>
        <v>0</v>
      </c>
      <c r="T83" s="564">
        <f>VLOOKUP(D83,TONGHOPCONGDOI!$C$11:$AC$94,24,0)</f>
        <v>0</v>
      </c>
      <c r="U83" s="564">
        <f>VLOOKUP(D83,TONGHOPCONGDOI!$C$11:$AC$94,25,0)</f>
        <v>0</v>
      </c>
      <c r="V83" s="564"/>
      <c r="W83" s="1229">
        <f t="shared" si="15"/>
        <v>0</v>
      </c>
      <c r="X83" s="1232"/>
      <c r="Y83" s="1232"/>
      <c r="Z83" s="564">
        <f t="shared" si="16"/>
        <v>1024456</v>
      </c>
      <c r="AA83" s="564">
        <f t="shared" si="12"/>
        <v>6809322</v>
      </c>
      <c r="AB83" s="227"/>
      <c r="AC83" s="566">
        <f t="shared" si="17"/>
        <v>6809322</v>
      </c>
      <c r="AD83" s="227"/>
      <c r="AE83" s="565"/>
      <c r="AF83" s="1233"/>
      <c r="AG83" s="1234"/>
      <c r="AH83" s="1223"/>
      <c r="AI83" s="1223"/>
      <c r="AJ83" s="1223"/>
      <c r="AK83" s="1223"/>
      <c r="AL83" s="1223"/>
      <c r="AM83" s="1223"/>
      <c r="AN83" s="1223"/>
    </row>
    <row r="84" spans="1:40" s="1224" customFormat="1" ht="33" customHeight="1">
      <c r="A84" s="1227">
        <v>69</v>
      </c>
      <c r="B84" s="1228">
        <v>69</v>
      </c>
      <c r="C84" s="1228">
        <f>'Chấm công KT'!C81</f>
        <v>0</v>
      </c>
      <c r="D84" s="1229" t="str">
        <f>TONGHOPCONGDOI!C79</f>
        <v>T. Hô Lông</v>
      </c>
      <c r="E84" s="1228" t="s">
        <v>26</v>
      </c>
      <c r="F84" s="1230"/>
      <c r="G84" s="227">
        <f t="shared" si="13"/>
        <v>0</v>
      </c>
      <c r="H84" s="227">
        <f>VLOOKUP(D84,TONGHOPCONGDOI!C79:AD94,16,0)</f>
        <v>4583</v>
      </c>
      <c r="I84" s="227">
        <f>VLOOKUP(D84,TONGHOPCONGDOI!C79:AD94,18,0)</f>
        <v>0</v>
      </c>
      <c r="J84" s="227"/>
      <c r="K84" s="561">
        <f t="shared" si="11"/>
        <v>2023.1060336949979</v>
      </c>
      <c r="L84" s="931">
        <f>'SẢN LƯỢNG'!AP85</f>
        <v>117.26976590658271</v>
      </c>
      <c r="M84" s="931">
        <f>'SẢN LƯỢNG'!AQ85</f>
        <v>2140.3757996015806</v>
      </c>
      <c r="N84" s="562" t="str">
        <f>VLOOKUP(D84,'SẢN LƯỢNG'!$D$17:$AR$95,41,0)</f>
        <v>B</v>
      </c>
      <c r="O84" s="1231">
        <f t="shared" si="14"/>
        <v>7585064</v>
      </c>
      <c r="P84" s="564">
        <f>VLOOKUP(D84,TONGHOPCONGDOI!$C$11:$AD$93,20,0)</f>
        <v>27</v>
      </c>
      <c r="Q84" s="564">
        <f>VLOOKUP(D84,TONGHOPCONGDOI!$C$11:$AD$93,21,0)</f>
        <v>4</v>
      </c>
      <c r="R84" s="564">
        <f>VLOOKUP(D84,TONGHOPCONGDOI!$C$11:$AC$93,22,0)</f>
        <v>0</v>
      </c>
      <c r="S84" s="564">
        <f>VLOOKUP(D84,TONGHOPCONGDOI!$C$11:$AC$94,23,0)</f>
        <v>0</v>
      </c>
      <c r="T84" s="564">
        <f>VLOOKUP(D84,TONGHOPCONGDOI!$C$11:$AC$94,24,0)</f>
        <v>0</v>
      </c>
      <c r="U84" s="564">
        <f>VLOOKUP(D84,TONGHOPCONGDOI!$C$11:$AC$94,25,0)</f>
        <v>0</v>
      </c>
      <c r="V84" s="564"/>
      <c r="W84" s="1229">
        <f t="shared" si="15"/>
        <v>0</v>
      </c>
      <c r="X84" s="1232"/>
      <c r="Y84" s="1232"/>
      <c r="Z84" s="564">
        <f t="shared" si="16"/>
        <v>1024456</v>
      </c>
      <c r="AA84" s="564">
        <f t="shared" si="12"/>
        <v>8609520</v>
      </c>
      <c r="AB84" s="227"/>
      <c r="AC84" s="566">
        <f t="shared" si="17"/>
        <v>8609520</v>
      </c>
      <c r="AD84" s="227"/>
      <c r="AE84" s="565"/>
      <c r="AF84" s="1233"/>
      <c r="AG84" s="1234"/>
      <c r="AH84" s="1223"/>
      <c r="AI84" s="1223"/>
      <c r="AJ84" s="1223"/>
      <c r="AK84" s="1223"/>
      <c r="AL84" s="1223"/>
      <c r="AM84" s="1223"/>
      <c r="AN84" s="1223"/>
    </row>
    <row r="85" spans="1:40" s="1224" customFormat="1" ht="33" customHeight="1">
      <c r="A85" s="1227">
        <v>70</v>
      </c>
      <c r="B85" s="1228">
        <v>70</v>
      </c>
      <c r="C85" s="1228" t="str">
        <f>'Chấm công KT'!C82</f>
        <v>03515</v>
      </c>
      <c r="D85" s="1229" t="str">
        <f>TONGHOPCONGDOI!C80</f>
        <v>N. Xi</v>
      </c>
      <c r="E85" s="1228" t="s">
        <v>26</v>
      </c>
      <c r="F85" s="1230"/>
      <c r="G85" s="227">
        <f t="shared" si="13"/>
        <v>0</v>
      </c>
      <c r="H85" s="227">
        <f>VLOOKUP(D85,TONGHOPCONGDOI!C80:AD94,16,0)</f>
        <v>4054</v>
      </c>
      <c r="I85" s="227">
        <f>VLOOKUP(D85,TONGHOPCONGDOI!C80:AD94,18,0)</f>
        <v>0</v>
      </c>
      <c r="J85" s="227"/>
      <c r="K85" s="561">
        <f t="shared" si="11"/>
        <v>1789.5858303730136</v>
      </c>
      <c r="L85" s="931">
        <f>'SẢN LƯỢNG'!AP86</f>
        <v>133.52800552141719</v>
      </c>
      <c r="M85" s="931">
        <f>'SẢN LƯỢNG'!AQ86</f>
        <v>1923.1138358944308</v>
      </c>
      <c r="N85" s="562" t="str">
        <f>VLOOKUP(D85,'SẢN LƯỢNG'!$D$17:$AR$95,41,0)</f>
        <v>A</v>
      </c>
      <c r="O85" s="1231">
        <f t="shared" si="14"/>
        <v>7167638</v>
      </c>
      <c r="P85" s="564">
        <f>VLOOKUP(D85,TONGHOPCONGDOI!$C$11:$AD$93,20,0)</f>
        <v>27</v>
      </c>
      <c r="Q85" s="564">
        <f>VLOOKUP(D85,TONGHOPCONGDOI!$C$11:$AD$93,21,0)</f>
        <v>4</v>
      </c>
      <c r="R85" s="564">
        <f>VLOOKUP(D85,TONGHOPCONGDOI!$C$11:$AC$93,22,0)</f>
        <v>0</v>
      </c>
      <c r="S85" s="564">
        <f>VLOOKUP(D85,TONGHOPCONGDOI!$C$11:$AC$94,23,0)</f>
        <v>0</v>
      </c>
      <c r="T85" s="564">
        <f>VLOOKUP(D85,TONGHOPCONGDOI!$C$11:$AC$94,24,0)</f>
        <v>0</v>
      </c>
      <c r="U85" s="564">
        <f>VLOOKUP(D85,TONGHOPCONGDOI!$C$11:$AC$94,25,0)</f>
        <v>0</v>
      </c>
      <c r="V85" s="564"/>
      <c r="W85" s="1229">
        <f t="shared" si="15"/>
        <v>0</v>
      </c>
      <c r="X85" s="1232"/>
      <c r="Y85" s="1232"/>
      <c r="Z85" s="564">
        <f t="shared" si="16"/>
        <v>1024456</v>
      </c>
      <c r="AA85" s="564">
        <f t="shared" si="12"/>
        <v>8192094</v>
      </c>
      <c r="AB85" s="227"/>
      <c r="AC85" s="566">
        <f t="shared" si="17"/>
        <v>8192094</v>
      </c>
      <c r="AD85" s="227"/>
      <c r="AE85" s="565"/>
      <c r="AF85" s="1233"/>
      <c r="AG85" s="1234"/>
      <c r="AH85" s="1223"/>
      <c r="AI85" s="1223"/>
      <c r="AJ85" s="1223"/>
      <c r="AK85" s="1223"/>
      <c r="AL85" s="1223"/>
      <c r="AM85" s="1223"/>
      <c r="AN85" s="1223"/>
    </row>
    <row r="86" spans="1:40" s="1224" customFormat="1" ht="33" customHeight="1">
      <c r="A86" s="1227">
        <v>71</v>
      </c>
      <c r="B86" s="1228">
        <v>71</v>
      </c>
      <c r="C86" s="1228" t="str">
        <f>'Chấm công KT'!C83</f>
        <v>03516</v>
      </c>
      <c r="D86" s="1229" t="str">
        <f>TONGHOPCONGDOI!C81</f>
        <v>N. Chay</v>
      </c>
      <c r="E86" s="1228" t="s">
        <v>26</v>
      </c>
      <c r="F86" s="1230"/>
      <c r="G86" s="227">
        <f t="shared" si="13"/>
        <v>0</v>
      </c>
      <c r="H86" s="227">
        <f>VLOOKUP(D86,TONGHOPCONGDOI!C81:AD94,16,0)</f>
        <v>3541</v>
      </c>
      <c r="I86" s="227">
        <f>VLOOKUP(D86,TONGHOPCONGDOI!C81:AD94,18,0)</f>
        <v>0</v>
      </c>
      <c r="J86" s="227"/>
      <c r="K86" s="561">
        <f t="shared" si="11"/>
        <v>1563.1286199681404</v>
      </c>
      <c r="L86" s="931">
        <f>'SẢN LƯỢNG'!AP87</f>
        <v>130.94841009192362</v>
      </c>
      <c r="M86" s="931">
        <f>'SẢN LƯỢNG'!AQ87</f>
        <v>1694.0770300600643</v>
      </c>
      <c r="N86" s="562" t="str">
        <f>VLOOKUP(D86,'SẢN LƯỢNG'!$D$17:$AR$95,41,0)</f>
        <v>A</v>
      </c>
      <c r="O86" s="1231">
        <f t="shared" si="14"/>
        <v>6313994</v>
      </c>
      <c r="P86" s="564">
        <f>VLOOKUP(D86,TONGHOPCONGDOI!$C$11:$AD$93,20,0)</f>
        <v>26</v>
      </c>
      <c r="Q86" s="564">
        <f>VLOOKUP(D86,TONGHOPCONGDOI!$C$11:$AD$93,21,0)</f>
        <v>4</v>
      </c>
      <c r="R86" s="564">
        <f>VLOOKUP(D86,TONGHOPCONGDOI!$C$11:$AC$93,22,0)</f>
        <v>0</v>
      </c>
      <c r="S86" s="564">
        <f>VLOOKUP(D86,TONGHOPCONGDOI!$C$11:$AC$94,23,0)</f>
        <v>0</v>
      </c>
      <c r="T86" s="564">
        <f>VLOOKUP(D86,TONGHOPCONGDOI!$C$11:$AC$94,24,0)</f>
        <v>0</v>
      </c>
      <c r="U86" s="564">
        <f>VLOOKUP(D86,TONGHOPCONGDOI!$C$11:$AC$94,25,0)</f>
        <v>0</v>
      </c>
      <c r="V86" s="564"/>
      <c r="W86" s="1229">
        <f t="shared" si="15"/>
        <v>0</v>
      </c>
      <c r="X86" s="1232"/>
      <c r="Y86" s="1232"/>
      <c r="Z86" s="564">
        <f t="shared" si="16"/>
        <v>994032</v>
      </c>
      <c r="AA86" s="564">
        <f t="shared" si="12"/>
        <v>7308026</v>
      </c>
      <c r="AB86" s="227"/>
      <c r="AC86" s="566">
        <f t="shared" si="17"/>
        <v>7308026</v>
      </c>
      <c r="AD86" s="227"/>
      <c r="AE86" s="565"/>
      <c r="AF86" s="1233"/>
      <c r="AG86" s="1234"/>
      <c r="AH86" s="1223"/>
      <c r="AI86" s="1223"/>
      <c r="AJ86" s="1223"/>
      <c r="AK86" s="1223"/>
      <c r="AL86" s="1223"/>
      <c r="AM86" s="1223"/>
      <c r="AN86" s="1223"/>
    </row>
    <row r="87" spans="1:40" s="1224" customFormat="1" ht="33" customHeight="1">
      <c r="A87" s="1227">
        <v>72</v>
      </c>
      <c r="B87" s="1228">
        <v>72</v>
      </c>
      <c r="C87" s="1228" t="str">
        <f>'Chấm công KT'!C84</f>
        <v>03544</v>
      </c>
      <c r="D87" s="1229" t="str">
        <f>TONGHOPCONGDOI!C82</f>
        <v>T. Ta</v>
      </c>
      <c r="E87" s="1228" t="s">
        <v>26</v>
      </c>
      <c r="F87" s="1230"/>
      <c r="G87" s="227">
        <f t="shared" si="13"/>
        <v>0</v>
      </c>
      <c r="H87" s="227">
        <f>VLOOKUP(D87,TONGHOPCONGDOI!C82:AD94,16,0)</f>
        <v>2061</v>
      </c>
      <c r="I87" s="227">
        <f>VLOOKUP(D87,TONGHOPCONGDOI!C82:AD94,18,0)</f>
        <v>0</v>
      </c>
      <c r="J87" s="227"/>
      <c r="K87" s="561">
        <f t="shared" si="11"/>
        <v>909.80177513536773</v>
      </c>
      <c r="L87" s="931">
        <f>'SẢN LƯỢNG'!AP88</f>
        <v>92.118710469020414</v>
      </c>
      <c r="M87" s="931">
        <f>'SẢN LƯỢNG'!AQ88</f>
        <v>1001.9204856043882</v>
      </c>
      <c r="N87" s="562" t="str">
        <f>VLOOKUP(D87,'SẢN LƯỢNG'!$D$17:$AR$95,41,0)</f>
        <v>A</v>
      </c>
      <c r="O87" s="1231">
        <f t="shared" si="14"/>
        <v>3734258</v>
      </c>
      <c r="P87" s="564">
        <f>VLOOKUP(D87,TONGHOPCONGDOI!$C$11:$AD$93,20,0)</f>
        <v>21</v>
      </c>
      <c r="Q87" s="564">
        <f>VLOOKUP(D87,TONGHOPCONGDOI!$C$11:$AD$93,21,0)</f>
        <v>4</v>
      </c>
      <c r="R87" s="564">
        <f>VLOOKUP(D87,TONGHOPCONGDOI!$C$11:$AC$93,22,0)</f>
        <v>0</v>
      </c>
      <c r="S87" s="564">
        <f>VLOOKUP(D87,TONGHOPCONGDOI!$C$11:$AC$94,23,0)</f>
        <v>0</v>
      </c>
      <c r="T87" s="564">
        <f>VLOOKUP(D87,TONGHOPCONGDOI!$C$11:$AC$94,24,0)</f>
        <v>0</v>
      </c>
      <c r="U87" s="564">
        <f>VLOOKUP(D87,TONGHOPCONGDOI!$C$11:$AC$94,25,0)</f>
        <v>0</v>
      </c>
      <c r="V87" s="564"/>
      <c r="W87" s="1229">
        <f t="shared" si="15"/>
        <v>0</v>
      </c>
      <c r="X87" s="1232"/>
      <c r="Y87" s="1232"/>
      <c r="Z87" s="564">
        <f t="shared" si="16"/>
        <v>841911</v>
      </c>
      <c r="AA87" s="564">
        <f t="shared" si="12"/>
        <v>4576169</v>
      </c>
      <c r="AB87" s="227"/>
      <c r="AC87" s="566">
        <f t="shared" si="17"/>
        <v>4576169</v>
      </c>
      <c r="AD87" s="227"/>
      <c r="AE87" s="565"/>
      <c r="AF87" s="1233"/>
      <c r="AG87" s="1234"/>
      <c r="AH87" s="1223"/>
      <c r="AI87" s="1223"/>
      <c r="AJ87" s="1223"/>
      <c r="AK87" s="1223"/>
      <c r="AL87" s="1223"/>
      <c r="AM87" s="1223"/>
      <c r="AN87" s="1223"/>
    </row>
    <row r="88" spans="1:40" s="1224" customFormat="1" ht="33" customHeight="1">
      <c r="A88" s="1227">
        <v>73</v>
      </c>
      <c r="B88" s="1228">
        <v>73</v>
      </c>
      <c r="C88" s="1228" t="str">
        <f>'Chấm công KT'!C85</f>
        <v>04071</v>
      </c>
      <c r="D88" s="1229" t="str">
        <f>TONGHOPCONGDOI!C83</f>
        <v>T. Ne</v>
      </c>
      <c r="E88" s="1228" t="s">
        <v>26</v>
      </c>
      <c r="F88" s="1230"/>
      <c r="G88" s="227">
        <f t="shared" si="13"/>
        <v>0</v>
      </c>
      <c r="H88" s="227">
        <f>VLOOKUP(D88,TONGHOPCONGDOI!C83:AD94,16,0)</f>
        <v>2063</v>
      </c>
      <c r="I88" s="227">
        <f>VLOOKUP(D88,TONGHOPCONGDOI!C83:AD94,18,0)</f>
        <v>0</v>
      </c>
      <c r="J88" s="227"/>
      <c r="K88" s="561">
        <f t="shared" si="11"/>
        <v>910.68464925000671</v>
      </c>
      <c r="L88" s="931">
        <f>'SẢN LƯỢNG'!AP89</f>
        <v>92.356304784894803</v>
      </c>
      <c r="M88" s="931">
        <f>'SẢN LƯỢNG'!AQ89</f>
        <v>1003.0409540349015</v>
      </c>
      <c r="N88" s="562" t="str">
        <f>VLOOKUP(D88,'SẢN LƯỢNG'!$D$17:$AR$95,41,0)</f>
        <v>A</v>
      </c>
      <c r="O88" s="1231">
        <f t="shared" si="14"/>
        <v>3738434</v>
      </c>
      <c r="P88" s="564">
        <f>VLOOKUP(D88,TONGHOPCONGDOI!$C$11:$AD$93,20,0)</f>
        <v>21</v>
      </c>
      <c r="Q88" s="564">
        <f>VLOOKUP(D88,TONGHOPCONGDOI!$C$11:$AD$93,21,0)</f>
        <v>4</v>
      </c>
      <c r="R88" s="564">
        <f>VLOOKUP(D88,TONGHOPCONGDOI!$C$11:$AC$93,22,0)</f>
        <v>0</v>
      </c>
      <c r="S88" s="564">
        <f>VLOOKUP(D88,TONGHOPCONGDOI!$C$11:$AC$94,23,0)</f>
        <v>0</v>
      </c>
      <c r="T88" s="564">
        <f>VLOOKUP(D88,TONGHOPCONGDOI!$C$11:$AC$94,24,0)</f>
        <v>0</v>
      </c>
      <c r="U88" s="564">
        <f>VLOOKUP(D88,TONGHOPCONGDOI!$C$11:$AC$94,25,0)</f>
        <v>0</v>
      </c>
      <c r="V88" s="564"/>
      <c r="W88" s="1229">
        <f t="shared" si="15"/>
        <v>0</v>
      </c>
      <c r="X88" s="1232"/>
      <c r="Y88" s="1232"/>
      <c r="Z88" s="564">
        <f t="shared" si="16"/>
        <v>841911</v>
      </c>
      <c r="AA88" s="564">
        <f t="shared" si="12"/>
        <v>4580345</v>
      </c>
      <c r="AB88" s="227"/>
      <c r="AC88" s="566">
        <f t="shared" si="17"/>
        <v>4580345</v>
      </c>
      <c r="AD88" s="227"/>
      <c r="AE88" s="565"/>
      <c r="AF88" s="1233"/>
      <c r="AG88" s="1234"/>
      <c r="AH88" s="1223"/>
      <c r="AI88" s="1223"/>
      <c r="AJ88" s="1223"/>
      <c r="AK88" s="1223"/>
      <c r="AL88" s="1223"/>
      <c r="AM88" s="1223"/>
      <c r="AN88" s="1223"/>
    </row>
    <row r="89" spans="1:40" s="1224" customFormat="1" ht="33" customHeight="1">
      <c r="A89" s="1227">
        <v>74</v>
      </c>
      <c r="B89" s="1228">
        <v>74</v>
      </c>
      <c r="C89" s="1228"/>
      <c r="D89" s="1229" t="str">
        <f>TONGHOPCONGDOI!C84</f>
        <v>N. Khăn</v>
      </c>
      <c r="E89" s="1228" t="s">
        <v>26</v>
      </c>
      <c r="F89" s="1230"/>
      <c r="G89" s="227">
        <f t="shared" ref="G89:G99" si="18">F89*25000</f>
        <v>0</v>
      </c>
      <c r="H89" s="227">
        <f>VLOOKUP(D89,TONGHOPCONGDOI!C84:AD94,16,0)</f>
        <v>564</v>
      </c>
      <c r="I89" s="227">
        <f>VLOOKUP(D89,TONGHOPCONGDOI!C84:AD94,18,0)</f>
        <v>0</v>
      </c>
      <c r="J89" s="227"/>
      <c r="K89" s="561">
        <f t="shared" si="11"/>
        <v>248.97050032816469</v>
      </c>
      <c r="L89" s="931">
        <f>'SẢN LƯỢNG'!AP90</f>
        <v>83.701083278041381</v>
      </c>
      <c r="M89" s="931">
        <f>'SẢN LƯỢNG'!AQ90</f>
        <v>332.67158360620613</v>
      </c>
      <c r="N89" s="562" t="str">
        <f>VLOOKUP(D89,'SẢN LƯỢNG'!$D$17:$AR$95,41,0)</f>
        <v>C.</v>
      </c>
      <c r="O89" s="1231">
        <f t="shared" si="14"/>
        <v>1117943</v>
      </c>
      <c r="P89" s="564">
        <f>VLOOKUP(D89,TONGHOPCONGDOI!$C$11:$AD$93,20,0)</f>
        <v>13</v>
      </c>
      <c r="Q89" s="564">
        <f>VLOOKUP(D89,TONGHOPCONGDOI!$C$11:$AD$93,21,0)</f>
        <v>2</v>
      </c>
      <c r="R89" s="564">
        <f>VLOOKUP(D89,TONGHOPCONGDOI!$C$11:$AC$93,22,0)</f>
        <v>0</v>
      </c>
      <c r="S89" s="564">
        <f>VLOOKUP(D89,TONGHOPCONGDOI!$C$11:$AC$94,23,0)</f>
        <v>0</v>
      </c>
      <c r="T89" s="564">
        <f>VLOOKUP(D89,TONGHOPCONGDOI!$C$11:$AC$94,24,0)</f>
        <v>0</v>
      </c>
      <c r="U89" s="564">
        <f>VLOOKUP(D89,TONGHOPCONGDOI!$C$11:$AC$94,25,0)</f>
        <v>0</v>
      </c>
      <c r="V89" s="564"/>
      <c r="W89" s="1229">
        <f t="shared" si="15"/>
        <v>0</v>
      </c>
      <c r="X89" s="1232"/>
      <c r="Y89" s="1232"/>
      <c r="Z89" s="564">
        <f t="shared" si="16"/>
        <v>497016</v>
      </c>
      <c r="AA89" s="564">
        <f t="shared" si="12"/>
        <v>1614959</v>
      </c>
      <c r="AB89" s="227"/>
      <c r="AC89" s="566">
        <f t="shared" ref="AC89:AC99" si="19">AA89-AB89</f>
        <v>1614959</v>
      </c>
      <c r="AD89" s="227"/>
      <c r="AE89" s="565"/>
      <c r="AF89" s="1233"/>
      <c r="AG89" s="1234"/>
      <c r="AH89" s="1223"/>
      <c r="AI89" s="1223"/>
      <c r="AJ89" s="1223"/>
      <c r="AK89" s="1223"/>
      <c r="AL89" s="1223"/>
      <c r="AM89" s="1223"/>
      <c r="AN89" s="1223"/>
    </row>
    <row r="90" spans="1:40" s="1224" customFormat="1" ht="33" customHeight="1">
      <c r="A90" s="1227">
        <v>75</v>
      </c>
      <c r="B90" s="1228">
        <v>75</v>
      </c>
      <c r="C90" s="1228"/>
      <c r="D90" s="1229" t="str">
        <f>TONGHOPCONGDOI!C85</f>
        <v>T. Lã</v>
      </c>
      <c r="E90" s="1228" t="s">
        <v>26</v>
      </c>
      <c r="F90" s="1230">
        <f>VLOOKUP(D90,TONGHOPCONGDOI!C85:AC96,15,0)</f>
        <v>0</v>
      </c>
      <c r="G90" s="227">
        <f t="shared" si="18"/>
        <v>0</v>
      </c>
      <c r="H90" s="227">
        <f>VLOOKUP(D90,TONGHOPCONGDOI!C85:AD94,16,0)</f>
        <v>2447</v>
      </c>
      <c r="I90" s="227">
        <f>VLOOKUP(D90,TONGHOPCONGDOI!C85:AD94,18,0)</f>
        <v>0</v>
      </c>
      <c r="J90" s="227"/>
      <c r="K90" s="561">
        <f t="shared" si="11"/>
        <v>1080.196479260672</v>
      </c>
      <c r="L90" s="931">
        <f>'SẢN LƯỢNG'!AP91</f>
        <v>36.623466689783719</v>
      </c>
      <c r="M90" s="931">
        <f>'SẢN LƯỢNG'!AQ91</f>
        <v>1116.8199459504558</v>
      </c>
      <c r="N90" s="562" t="str">
        <f>VLOOKUP(D90,'SẢN LƯỢNG'!$D$17:$AR$95,41,0)</f>
        <v>C.</v>
      </c>
      <c r="O90" s="1231">
        <f t="shared" si="14"/>
        <v>3753073</v>
      </c>
      <c r="P90" s="564">
        <f>VLOOKUP(D90,TONGHOPCONGDOI!$C$11:$AD$93,20,0)</f>
        <v>20</v>
      </c>
      <c r="Q90" s="564">
        <f>VLOOKUP(D90,TONGHOPCONGDOI!$C$11:$AD$93,21,0)</f>
        <v>3</v>
      </c>
      <c r="R90" s="564">
        <f>VLOOKUP(D90,TONGHOPCONGDOI!$C$11:$AC$93,22,0)</f>
        <v>0</v>
      </c>
      <c r="S90" s="564">
        <f>VLOOKUP(D90,TONGHOPCONGDOI!$C$11:$AC$94,23,0)</f>
        <v>0</v>
      </c>
      <c r="T90" s="564">
        <f>VLOOKUP(D90,TONGHOPCONGDOI!$C$11:$AC$94,24,0)</f>
        <v>0</v>
      </c>
      <c r="U90" s="564">
        <f>VLOOKUP(D90,TONGHOPCONGDOI!$C$11:$AC$94,25,0)</f>
        <v>0</v>
      </c>
      <c r="V90" s="564"/>
      <c r="W90" s="1229">
        <f t="shared" si="15"/>
        <v>0</v>
      </c>
      <c r="X90" s="1232"/>
      <c r="Y90" s="1232"/>
      <c r="Z90" s="564">
        <f t="shared" si="16"/>
        <v>760736</v>
      </c>
      <c r="AA90" s="564">
        <f t="shared" si="12"/>
        <v>4513809</v>
      </c>
      <c r="AB90" s="227"/>
      <c r="AC90" s="566">
        <f t="shared" si="19"/>
        <v>4513809</v>
      </c>
      <c r="AD90" s="227"/>
      <c r="AE90" s="565"/>
      <c r="AF90" s="1233"/>
      <c r="AG90" s="1234"/>
      <c r="AH90" s="1223"/>
      <c r="AI90" s="1223"/>
      <c r="AJ90" s="1223"/>
      <c r="AK90" s="1223"/>
      <c r="AL90" s="1223"/>
      <c r="AM90" s="1223"/>
      <c r="AN90" s="1223"/>
    </row>
    <row r="91" spans="1:40" s="1224" customFormat="1" ht="33" customHeight="1">
      <c r="A91" s="1227">
        <v>76</v>
      </c>
      <c r="B91" s="1228">
        <v>76</v>
      </c>
      <c r="C91" s="1228"/>
      <c r="D91" s="1229" t="str">
        <f>TONGHOPCONGDOI!C86</f>
        <v>N. Veo</v>
      </c>
      <c r="E91" s="1228" t="s">
        <v>26</v>
      </c>
      <c r="F91" s="1230">
        <f>VLOOKUP(D91,TONGHOPCONGDOI!C86:AC97,15,0)</f>
        <v>0</v>
      </c>
      <c r="G91" s="227">
        <f t="shared" si="18"/>
        <v>0</v>
      </c>
      <c r="H91" s="227">
        <f>VLOOKUP(D91,TONGHOPCONGDOI!C86:AD94,16,0)</f>
        <v>2022</v>
      </c>
      <c r="I91" s="227">
        <f>VLOOKUP(D91,TONGHOPCONGDOI!C86:AD94,18,0)</f>
        <v>0</v>
      </c>
      <c r="J91" s="227"/>
      <c r="K91" s="561">
        <f t="shared" si="11"/>
        <v>892.58572989990955</v>
      </c>
      <c r="L91" s="931">
        <f>'SẢN LƯỢNG'!AP92</f>
        <v>15.477572576961423</v>
      </c>
      <c r="M91" s="931">
        <f>'SẢN LƯỢNG'!AQ92</f>
        <v>908.06330247687106</v>
      </c>
      <c r="N91" s="562" t="str">
        <f>VLOOKUP(D91,'SẢN LƯỢNG'!$D$17:$AR$95,41,0)</f>
        <v>C.</v>
      </c>
      <c r="O91" s="1231">
        <f t="shared" si="14"/>
        <v>3051547</v>
      </c>
      <c r="P91" s="564">
        <f>VLOOKUP(D91,TONGHOPCONGDOI!$C$11:$AD$93,20,0)</f>
        <v>16</v>
      </c>
      <c r="Q91" s="564">
        <f>VLOOKUP(D91,TONGHOPCONGDOI!$C$11:$AD$93,21,0)</f>
        <v>2</v>
      </c>
      <c r="R91" s="564">
        <f>VLOOKUP(D91,TONGHOPCONGDOI!$C$11:$AC$93,22,0)</f>
        <v>0</v>
      </c>
      <c r="S91" s="564">
        <f>VLOOKUP(D91,TONGHOPCONGDOI!$C$11:$AC$94,23,0)</f>
        <v>0</v>
      </c>
      <c r="T91" s="564">
        <f>VLOOKUP(D91,TONGHOPCONGDOI!$C$11:$AC$94,24,0)</f>
        <v>0</v>
      </c>
      <c r="U91" s="564">
        <f>VLOOKUP(D91,TONGHOPCONGDOI!$C$11:$AC$94,25,0)</f>
        <v>0</v>
      </c>
      <c r="V91" s="564"/>
      <c r="W91" s="1229">
        <f t="shared" si="15"/>
        <v>0</v>
      </c>
      <c r="X91" s="1232"/>
      <c r="Y91" s="1232"/>
      <c r="Z91" s="564">
        <f t="shared" si="16"/>
        <v>588288</v>
      </c>
      <c r="AA91" s="564">
        <f t="shared" si="12"/>
        <v>3639835</v>
      </c>
      <c r="AB91" s="227"/>
      <c r="AC91" s="566">
        <f t="shared" si="19"/>
        <v>3639835</v>
      </c>
      <c r="AD91" s="227"/>
      <c r="AE91" s="565"/>
      <c r="AF91" s="1233"/>
      <c r="AG91" s="1234"/>
      <c r="AH91" s="1223"/>
      <c r="AI91" s="1223"/>
      <c r="AJ91" s="1223"/>
      <c r="AK91" s="1223"/>
      <c r="AL91" s="1223"/>
      <c r="AM91" s="1223"/>
      <c r="AN91" s="1223"/>
    </row>
    <row r="92" spans="1:40" s="1224" customFormat="1" ht="33" customHeight="1">
      <c r="A92" s="1227">
        <v>77</v>
      </c>
      <c r="B92" s="1228">
        <v>77</v>
      </c>
      <c r="C92" s="1228"/>
      <c r="D92" s="1229" t="str">
        <f>TONGHOPCONGDOI!C87</f>
        <v>T. Pu</v>
      </c>
      <c r="E92" s="1228" t="s">
        <v>26</v>
      </c>
      <c r="F92" s="1230">
        <f>VLOOKUP(D92,TONGHOPCONGDOI!C87:AC98,15,0)</f>
        <v>0</v>
      </c>
      <c r="G92" s="227">
        <f t="shared" si="18"/>
        <v>0</v>
      </c>
      <c r="H92" s="227">
        <f>VLOOKUP(D92,TONGHOPCONGDOI!C87:AD94,16,0)</f>
        <v>1284</v>
      </c>
      <c r="I92" s="227">
        <f>VLOOKUP(D92,TONGHOPCONGDOI!C87:AD94,18,0)</f>
        <v>0</v>
      </c>
      <c r="J92" s="227"/>
      <c r="K92" s="561">
        <f t="shared" si="11"/>
        <v>566.80518159816222</v>
      </c>
      <c r="L92" s="931">
        <f>'SẢN LƯỢNG'!AP93</f>
        <v>13.474991914591415</v>
      </c>
      <c r="M92" s="931">
        <f>'SẢN LƯỢNG'!AQ93</f>
        <v>580.28017351275355</v>
      </c>
      <c r="N92" s="562" t="str">
        <f>VLOOKUP(D92,'SẢN LƯỢNG'!$D$17:$AR$95,41,0)</f>
        <v>C.</v>
      </c>
      <c r="O92" s="1231">
        <f t="shared" si="14"/>
        <v>1950032</v>
      </c>
      <c r="P92" s="564">
        <f>VLOOKUP(D92,TONGHOPCONGDOI!$C$11:$AD$93,20,0)</f>
        <v>10</v>
      </c>
      <c r="Q92" s="564">
        <f>VLOOKUP(D92,TONGHOPCONGDOI!$C$11:$AD$93,21,0)</f>
        <v>1</v>
      </c>
      <c r="R92" s="564">
        <f>VLOOKUP(D92,TONGHOPCONGDOI!$C$11:$AC$93,22,0)</f>
        <v>0</v>
      </c>
      <c r="S92" s="564">
        <f>VLOOKUP(D92,TONGHOPCONGDOI!$C$11:$AC$94,23,0)</f>
        <v>0</v>
      </c>
      <c r="T92" s="564">
        <f>VLOOKUP(D92,TONGHOPCONGDOI!$C$11:$AC$94,24,0)</f>
        <v>0</v>
      </c>
      <c r="U92" s="564">
        <f>VLOOKUP(D92,TONGHOPCONGDOI!$C$11:$AC$94,25,0)</f>
        <v>0</v>
      </c>
      <c r="V92" s="564"/>
      <c r="W92" s="1229">
        <f t="shared" si="15"/>
        <v>0</v>
      </c>
      <c r="X92" s="1232"/>
      <c r="Y92" s="1232"/>
      <c r="Z92" s="564">
        <f t="shared" si="16"/>
        <v>354992</v>
      </c>
      <c r="AA92" s="564">
        <f t="shared" si="12"/>
        <v>2305024</v>
      </c>
      <c r="AB92" s="227"/>
      <c r="AC92" s="566">
        <f t="shared" si="19"/>
        <v>2305024</v>
      </c>
      <c r="AD92" s="227"/>
      <c r="AE92" s="565"/>
      <c r="AF92" s="1233"/>
      <c r="AG92" s="1234"/>
      <c r="AH92" s="1223"/>
      <c r="AI92" s="1223"/>
      <c r="AJ92" s="1223"/>
      <c r="AK92" s="1223"/>
      <c r="AL92" s="1223"/>
      <c r="AM92" s="1223"/>
      <c r="AN92" s="1223"/>
    </row>
    <row r="93" spans="1:40" s="1224" customFormat="1" ht="33" customHeight="1">
      <c r="A93" s="1227">
        <v>78</v>
      </c>
      <c r="B93" s="1228">
        <v>78</v>
      </c>
      <c r="C93" s="1228"/>
      <c r="D93" s="1229" t="str">
        <f>TONGHOPCONGDOI!C88</f>
        <v>T. Ta.</v>
      </c>
      <c r="E93" s="1228" t="s">
        <v>26</v>
      </c>
      <c r="F93" s="1230">
        <f>VLOOKUP(D93,TONGHOPCONGDOI!C88:AC99,15,0)</f>
        <v>0</v>
      </c>
      <c r="G93" s="227">
        <f t="shared" si="18"/>
        <v>0</v>
      </c>
      <c r="H93" s="227">
        <f>VLOOKUP(D93,TONGHOPCONGDOI!C88:AD94,16,0)</f>
        <v>637</v>
      </c>
      <c r="I93" s="227">
        <f>VLOOKUP(D93,TONGHOPCONGDOI!C88:AD94,18,0)</f>
        <v>0</v>
      </c>
      <c r="J93" s="227"/>
      <c r="K93" s="561">
        <f t="shared" si="11"/>
        <v>281.19540551248389</v>
      </c>
      <c r="L93" s="931">
        <f>'SẢN LƯỢNG'!AP94</f>
        <v>11.031164665597505</v>
      </c>
      <c r="M93" s="931">
        <f>'SẢN LƯỢNG'!AQ94</f>
        <v>292.22657017808137</v>
      </c>
      <c r="N93" s="562" t="str">
        <f>VLOOKUP(D93,'SẢN LƯỢNG'!$D$17:$AR$95,41,0)</f>
        <v>C.</v>
      </c>
      <c r="O93" s="1231">
        <f t="shared" si="14"/>
        <v>982027</v>
      </c>
      <c r="P93" s="564">
        <f>VLOOKUP(D93,TONGHOPCONGDOI!$C$11:$AD$93,20,0)</f>
        <v>7</v>
      </c>
      <c r="Q93" s="564">
        <f>VLOOKUP(D93,TONGHOPCONGDOI!$C$11:$AD$93,21,0)</f>
        <v>1</v>
      </c>
      <c r="R93" s="564">
        <f>VLOOKUP(D93,TONGHOPCONGDOI!$C$11:$AC$93,22,0)</f>
        <v>0</v>
      </c>
      <c r="S93" s="564">
        <f>VLOOKUP(D93,TONGHOPCONGDOI!$C$11:$AC$94,23,0)</f>
        <v>0</v>
      </c>
      <c r="T93" s="564">
        <f>VLOOKUP(D93,TONGHOPCONGDOI!$C$11:$AC$94,24,0)</f>
        <v>0</v>
      </c>
      <c r="U93" s="564">
        <f>VLOOKUP(D93,TONGHOPCONGDOI!$C$11:$AC$94,25,0)</f>
        <v>0</v>
      </c>
      <c r="V93" s="564"/>
      <c r="W93" s="1229">
        <f t="shared" si="15"/>
        <v>0</v>
      </c>
      <c r="X93" s="1232"/>
      <c r="Y93" s="1232"/>
      <c r="Z93" s="564">
        <f t="shared" si="16"/>
        <v>263720</v>
      </c>
      <c r="AA93" s="564">
        <f t="shared" si="12"/>
        <v>1245747</v>
      </c>
      <c r="AB93" s="227"/>
      <c r="AC93" s="566">
        <f t="shared" si="19"/>
        <v>1245747</v>
      </c>
      <c r="AD93" s="227"/>
      <c r="AE93" s="565"/>
      <c r="AF93" s="1233"/>
      <c r="AG93" s="1234"/>
      <c r="AH93" s="1223"/>
      <c r="AI93" s="1223"/>
      <c r="AJ93" s="1223"/>
      <c r="AK93" s="1223"/>
      <c r="AL93" s="1223"/>
      <c r="AM93" s="1223"/>
      <c r="AN93" s="1223"/>
    </row>
    <row r="94" spans="1:40" s="1224" customFormat="1" ht="33" customHeight="1">
      <c r="A94" s="1227">
        <v>79</v>
      </c>
      <c r="B94" s="1228">
        <v>79</v>
      </c>
      <c r="C94" s="1228"/>
      <c r="D94" s="1229" t="str">
        <f>TONGHOPCONGDOI!C89</f>
        <v>N. Nang</v>
      </c>
      <c r="E94" s="1228" t="s">
        <v>26</v>
      </c>
      <c r="F94" s="1230">
        <f>VLOOKUP(D94,TONGHOPCONGDOI!C89:AC100,15,0)</f>
        <v>0</v>
      </c>
      <c r="G94" s="227">
        <f t="shared" si="18"/>
        <v>0</v>
      </c>
      <c r="H94" s="227">
        <f>VLOOKUP(D94,TONGHOPCONGDOI!C89:AD94,16,0)</f>
        <v>427</v>
      </c>
      <c r="I94" s="227">
        <f>VLOOKUP(D94,TONGHOPCONGDOI!C89:AD94,18,0)</f>
        <v>0</v>
      </c>
      <c r="J94" s="227"/>
      <c r="K94" s="561">
        <f t="shared" si="11"/>
        <v>188.49362347540128</v>
      </c>
      <c r="L94" s="931">
        <f>'SẢN LƯỢNG'!AP95</f>
        <v>0</v>
      </c>
      <c r="M94" s="931">
        <f>'SẢN LƯỢNG'!AQ95</f>
        <v>188.49362347540128</v>
      </c>
      <c r="N94" s="562" t="str">
        <f>VLOOKUP(D94,'SẢN LƯỢNG'!$D$17:$AR$95,41,0)</f>
        <v>C.</v>
      </c>
      <c r="O94" s="1231">
        <f t="shared" si="14"/>
        <v>633433</v>
      </c>
      <c r="P94" s="564">
        <f>VLOOKUP(D94,TONGHOPCONGDOI!$C$11:$AD$93,20,0)</f>
        <v>5</v>
      </c>
      <c r="Q94" s="564">
        <f>VLOOKUP(D94,TONGHOPCONGDOI!$C$11:$AD$93,21,0)</f>
        <v>1</v>
      </c>
      <c r="R94" s="564">
        <f>VLOOKUP(D94,TONGHOPCONGDOI!$C$11:$AC$93,22,0)</f>
        <v>0</v>
      </c>
      <c r="S94" s="564">
        <f>VLOOKUP(D94,TONGHOPCONGDOI!$C$11:$AC$94,23,0)</f>
        <v>0</v>
      </c>
      <c r="T94" s="564">
        <f>VLOOKUP(D94,TONGHOPCONGDOI!$C$11:$AC$94,24,0)</f>
        <v>0</v>
      </c>
      <c r="U94" s="564">
        <f>VLOOKUP(D94,TONGHOPCONGDOI!$C$11:$AC$94,25,0)</f>
        <v>0</v>
      </c>
      <c r="V94" s="564"/>
      <c r="W94" s="1229">
        <f t="shared" si="15"/>
        <v>0</v>
      </c>
      <c r="X94" s="1232"/>
      <c r="Y94" s="1232"/>
      <c r="Z94" s="564">
        <f t="shared" si="16"/>
        <v>202872</v>
      </c>
      <c r="AA94" s="564">
        <f t="shared" si="12"/>
        <v>836305</v>
      </c>
      <c r="AB94" s="227"/>
      <c r="AC94" s="566">
        <f t="shared" si="19"/>
        <v>836305</v>
      </c>
      <c r="AD94" s="227"/>
      <c r="AE94" s="565"/>
      <c r="AF94" s="1233"/>
      <c r="AG94" s="1234"/>
      <c r="AH94" s="1223"/>
      <c r="AI94" s="1223"/>
      <c r="AJ94" s="1223"/>
      <c r="AK94" s="1223"/>
      <c r="AL94" s="1223"/>
      <c r="AM94" s="1223"/>
      <c r="AN94" s="1223"/>
    </row>
    <row r="95" spans="1:40" s="1224" customFormat="1" ht="33" customHeight="1">
      <c r="A95" s="1227">
        <v>80</v>
      </c>
      <c r="B95" s="1228">
        <v>80</v>
      </c>
      <c r="C95" s="1228"/>
      <c r="D95" s="1229" t="str">
        <f>TONGHOPCONGDOI!C90</f>
        <v>T. Tan</v>
      </c>
      <c r="E95" s="1228" t="s">
        <v>26</v>
      </c>
      <c r="F95" s="1230">
        <f>VLOOKUP(D95,TONGHOPCONGDOI!C90:AC101,15,0)</f>
        <v>0</v>
      </c>
      <c r="G95" s="227">
        <f t="shared" si="18"/>
        <v>0</v>
      </c>
      <c r="H95" s="227">
        <f>VLOOKUP(D95,TONGHOPCONGDOI!C90:AD94,16,0)</f>
        <v>331</v>
      </c>
      <c r="I95" s="227">
        <f>VLOOKUP(D95,TONGHOPCONGDOI!C90:AD94,18,0)</f>
        <v>0</v>
      </c>
      <c r="J95" s="227"/>
      <c r="K95" s="561">
        <f t="shared" si="11"/>
        <v>146.11566597273494</v>
      </c>
      <c r="L95" s="931">
        <f>'SẢN LƯỢNG'!AP96</f>
        <v>0</v>
      </c>
      <c r="M95" s="931">
        <f>'SẢN LƯỢNG'!AQ96</f>
        <v>146.11566597273494</v>
      </c>
      <c r="N95" s="562" t="str">
        <f>VLOOKUP(D95,'SẢN LƯỢNG'!$D$17:$AR$97,41,0)</f>
        <v>C.</v>
      </c>
      <c r="O95" s="1231">
        <f>ROUND((IF(N95="A",(M95*6.1),IF(N95="B",(M95*5.8),IF(N95="C",(M95*5.5),IF(N95="C.",(M95*5.5),IF(N95="D",(M95*5.2),0)))))*$F$10),0)</f>
        <v>491022</v>
      </c>
      <c r="P95" s="564">
        <f>VLOOKUP(D95,TONGHOPCONGDOI!$C$11:$AD$93,20,0)</f>
        <v>4</v>
      </c>
      <c r="Q95" s="564">
        <f>VLOOKUP(D95,TONGHOPCONGDOI!$C$11:$AD$93,21,0)</f>
        <v>0</v>
      </c>
      <c r="R95" s="564">
        <f>VLOOKUP(D95,TONGHOPCONGDOI!$C$11:$AC$93,22,0)</f>
        <v>0</v>
      </c>
      <c r="S95" s="564">
        <f>VLOOKUP(D95,TONGHOPCONGDOI!$C$11:$AC$94,23,0)</f>
        <v>0</v>
      </c>
      <c r="T95" s="564">
        <f>VLOOKUP(D95,TONGHOPCONGDOI!$C$11:$AC$94,24,0)</f>
        <v>0</v>
      </c>
      <c r="U95" s="564">
        <f>VLOOKUP(D95,TONGHOPCONGDOI!$C$11:$AC$94,25,0)</f>
        <v>0</v>
      </c>
      <c r="V95" s="564"/>
      <c r="W95" s="1229">
        <f t="shared" si="15"/>
        <v>0</v>
      </c>
      <c r="X95" s="1232"/>
      <c r="Y95" s="1232"/>
      <c r="Z95" s="564">
        <f t="shared" si="16"/>
        <v>121697</v>
      </c>
      <c r="AA95" s="564">
        <f t="shared" si="12"/>
        <v>612719</v>
      </c>
      <c r="AB95" s="227"/>
      <c r="AC95" s="566">
        <f t="shared" si="19"/>
        <v>612719</v>
      </c>
      <c r="AD95" s="227"/>
      <c r="AE95" s="565"/>
      <c r="AF95" s="1233"/>
      <c r="AG95" s="1234"/>
      <c r="AH95" s="1223"/>
      <c r="AI95" s="1223"/>
      <c r="AJ95" s="1223"/>
      <c r="AK95" s="1223"/>
      <c r="AL95" s="1223"/>
      <c r="AM95" s="1223"/>
      <c r="AN95" s="1223"/>
    </row>
    <row r="96" spans="1:40" s="1224" customFormat="1" ht="33" customHeight="1">
      <c r="A96" s="1227">
        <v>81</v>
      </c>
      <c r="B96" s="1228">
        <v>81</v>
      </c>
      <c r="C96" s="1228"/>
      <c r="D96" s="1229" t="str">
        <f>TONGHOPCONGDOI!C91</f>
        <v>Mủ Xi Rum 1</v>
      </c>
      <c r="E96" s="1228" t="s">
        <v>26</v>
      </c>
      <c r="F96" s="1230">
        <f>VLOOKUP(D96,TONGHOPCONGDOI!C91:AC102,15,0)</f>
        <v>0</v>
      </c>
      <c r="G96" s="227">
        <f t="shared" si="18"/>
        <v>0</v>
      </c>
      <c r="H96" s="227"/>
      <c r="I96" s="227">
        <f>VLOOKUP(D96,TONGHOPCONGDOI!C91:AD94,18,0)</f>
        <v>0</v>
      </c>
      <c r="J96" s="227">
        <f>'Trạm 1'!I96</f>
        <v>300</v>
      </c>
      <c r="K96" s="931">
        <v>164.97000000000003</v>
      </c>
      <c r="L96" s="931">
        <f>'SẢN LƯỢNG'!AP97</f>
        <v>0</v>
      </c>
      <c r="M96" s="931">
        <f>K96</f>
        <v>164.97000000000003</v>
      </c>
      <c r="N96" s="562"/>
      <c r="O96" s="563">
        <f>ROUND((K96*6.1*F10),0)</f>
        <v>614860</v>
      </c>
      <c r="P96" s="564">
        <f>VLOOKUP(D96,TONGHOPCONGDOI!$C$11:$AD$93,20,0)</f>
        <v>0</v>
      </c>
      <c r="Q96" s="564">
        <f>VLOOKUP(D96,TONGHOPCONGDOI!$C$11:$AD$93,21,0)</f>
        <v>0</v>
      </c>
      <c r="R96" s="564">
        <f>VLOOKUP(D96,TONGHOPCONGDOI!$C$11:$AC$93,22,0)</f>
        <v>0</v>
      </c>
      <c r="S96" s="564">
        <f>VLOOKUP(D96,TONGHOPCONGDOI!$C$11:$AC$94,23,0)</f>
        <v>0</v>
      </c>
      <c r="T96" s="564">
        <f>VLOOKUP(D96,TONGHOPCONGDOI!$C$11:$AC$94,24,0)</f>
        <v>0</v>
      </c>
      <c r="U96" s="564">
        <f>VLOOKUP(D96,TONGHOPCONGDOI!$C$11:$AC$94,25,0)</f>
        <v>0</v>
      </c>
      <c r="V96" s="564"/>
      <c r="W96" s="1229">
        <f t="shared" si="15"/>
        <v>0</v>
      </c>
      <c r="X96" s="1232"/>
      <c r="Y96" s="1232"/>
      <c r="Z96" s="564">
        <f t="shared" ref="Z96:Z99" si="20">ROUND(((P96*46.1)+(Q96*76.9)+(R96*92.2)+(S96*153.8)+(T96*92.2)+(U96*153.8))*$F$11+(V96*25000)+(W96*100000),0)</f>
        <v>0</v>
      </c>
      <c r="AA96" s="564">
        <f t="shared" si="12"/>
        <v>614860</v>
      </c>
      <c r="AB96" s="227"/>
      <c r="AC96" s="566">
        <f t="shared" si="19"/>
        <v>614860</v>
      </c>
      <c r="AD96" s="227"/>
      <c r="AE96" s="565"/>
      <c r="AF96" s="1233"/>
      <c r="AG96" s="1234"/>
      <c r="AH96" s="1223"/>
      <c r="AI96" s="1223"/>
      <c r="AJ96" s="1223"/>
      <c r="AK96" s="1223"/>
      <c r="AL96" s="1223"/>
      <c r="AM96" s="1223"/>
      <c r="AN96" s="1223"/>
    </row>
    <row r="97" spans="1:40" s="1224" customFormat="1" ht="33" customHeight="1">
      <c r="A97" s="1227">
        <v>81</v>
      </c>
      <c r="B97" s="1228">
        <v>81</v>
      </c>
      <c r="C97" s="1228"/>
      <c r="D97" s="1229" t="str">
        <f>TONGHOPCONGDOI!C92</f>
        <v>Keo</v>
      </c>
      <c r="E97" s="1228" t="s">
        <v>26</v>
      </c>
      <c r="F97" s="1230"/>
      <c r="G97" s="227"/>
      <c r="H97" s="227"/>
      <c r="I97" s="227"/>
      <c r="J97" s="227"/>
      <c r="K97" s="931"/>
      <c r="L97" s="931"/>
      <c r="M97" s="931"/>
      <c r="N97" s="562"/>
      <c r="O97" s="563">
        <v>854627</v>
      </c>
      <c r="P97" s="564">
        <f>VLOOKUP(D97,TONGHOPCONGDOI!$C$11:$AD$93,20,0)</f>
        <v>0</v>
      </c>
      <c r="Q97" s="564">
        <f>VLOOKUP(D97,TONGHOPCONGDOI!$C$11:$AD$93,21,0)</f>
        <v>0</v>
      </c>
      <c r="R97" s="564">
        <f>VLOOKUP(D97,TONGHOPCONGDOI!$C$11:$AC$93,22,0)</f>
        <v>0</v>
      </c>
      <c r="S97" s="564">
        <f>VLOOKUP(D97,TONGHOPCONGDOI!$C$11:$AC$94,23,0)</f>
        <v>0</v>
      </c>
      <c r="T97" s="564">
        <f>VLOOKUP(D97,TONGHOPCONGDOI!$C$11:$AC$94,24,0)</f>
        <v>0</v>
      </c>
      <c r="U97" s="564">
        <f>VLOOKUP(D97,TONGHOPCONGDOI!$C$11:$AC$94,25,0)</f>
        <v>0</v>
      </c>
      <c r="V97" s="564"/>
      <c r="W97" s="1232"/>
      <c r="X97" s="1232"/>
      <c r="Y97" s="1232"/>
      <c r="Z97" s="564">
        <f t="shared" si="20"/>
        <v>0</v>
      </c>
      <c r="AA97" s="564">
        <f t="shared" si="12"/>
        <v>854627</v>
      </c>
      <c r="AB97" s="227"/>
      <c r="AC97" s="566">
        <f t="shared" si="19"/>
        <v>854627</v>
      </c>
      <c r="AD97" s="227"/>
      <c r="AE97" s="565"/>
      <c r="AF97" s="1233"/>
      <c r="AG97" s="1234"/>
      <c r="AH97" s="1223"/>
      <c r="AI97" s="1223"/>
      <c r="AJ97" s="1223"/>
      <c r="AK97" s="1223"/>
      <c r="AL97" s="1223"/>
      <c r="AM97" s="1223"/>
      <c r="AN97" s="1223"/>
    </row>
    <row r="98" spans="1:40" s="1241" customFormat="1" ht="33" customHeight="1">
      <c r="A98" s="1227">
        <v>82</v>
      </c>
      <c r="B98" s="1228">
        <v>82</v>
      </c>
      <c r="C98" s="1235"/>
      <c r="D98" s="1236" t="str">
        <f>TONGHOPCONGDOI!C93</f>
        <v>A. Trí</v>
      </c>
      <c r="E98" s="1235" t="s">
        <v>328</v>
      </c>
      <c r="F98" s="1237"/>
      <c r="G98" s="860">
        <f t="shared" si="18"/>
        <v>0</v>
      </c>
      <c r="H98" s="860"/>
      <c r="I98" s="860"/>
      <c r="J98" s="860"/>
      <c r="K98" s="861"/>
      <c r="L98" s="861"/>
      <c r="M98" s="861"/>
      <c r="N98" s="862"/>
      <c r="O98" s="863"/>
      <c r="P98" s="864"/>
      <c r="Q98" s="864"/>
      <c r="R98" s="864"/>
      <c r="S98" s="864"/>
      <c r="T98" s="864"/>
      <c r="U98" s="864"/>
      <c r="V98" s="864"/>
      <c r="W98" s="1238"/>
      <c r="X98" s="1238"/>
      <c r="Y98" s="1238"/>
      <c r="Z98" s="564">
        <f t="shared" si="20"/>
        <v>0</v>
      </c>
      <c r="AA98" s="864">
        <f t="shared" si="12"/>
        <v>0</v>
      </c>
      <c r="AB98" s="860"/>
      <c r="AC98" s="866">
        <f t="shared" si="19"/>
        <v>0</v>
      </c>
      <c r="AD98" s="860"/>
      <c r="AE98" s="867"/>
      <c r="AF98" s="1239"/>
      <c r="AG98" s="1234"/>
      <c r="AH98" s="1223"/>
      <c r="AI98" s="1240"/>
      <c r="AJ98" s="1240"/>
      <c r="AK98" s="1240"/>
      <c r="AL98" s="1240"/>
      <c r="AM98" s="1240"/>
      <c r="AN98" s="1240"/>
    </row>
    <row r="99" spans="1:40" s="1243" customFormat="1" ht="33" customHeight="1">
      <c r="A99" s="1227">
        <v>83</v>
      </c>
      <c r="B99" s="1228">
        <v>83</v>
      </c>
      <c r="C99" s="1235"/>
      <c r="D99" s="1236" t="str">
        <f>TONGHOPCONGDOI!C94</f>
        <v>T. Tạch</v>
      </c>
      <c r="E99" s="1235" t="s">
        <v>26</v>
      </c>
      <c r="F99" s="1237"/>
      <c r="G99" s="860">
        <f t="shared" si="18"/>
        <v>0</v>
      </c>
      <c r="H99" s="860"/>
      <c r="I99" s="860"/>
      <c r="J99" s="860"/>
      <c r="K99" s="861"/>
      <c r="L99" s="861"/>
      <c r="M99" s="861"/>
      <c r="N99" s="862"/>
      <c r="O99" s="863"/>
      <c r="P99" s="864"/>
      <c r="Q99" s="864"/>
      <c r="R99" s="864"/>
      <c r="S99" s="864"/>
      <c r="T99" s="864"/>
      <c r="U99" s="864"/>
      <c r="V99" s="864"/>
      <c r="W99" s="1238"/>
      <c r="X99" s="1238"/>
      <c r="Y99" s="1238"/>
      <c r="Z99" s="564">
        <f t="shared" si="20"/>
        <v>0</v>
      </c>
      <c r="AA99" s="864">
        <f>G99+O99+Z99</f>
        <v>0</v>
      </c>
      <c r="AB99" s="860"/>
      <c r="AC99" s="866">
        <f t="shared" si="19"/>
        <v>0</v>
      </c>
      <c r="AD99" s="860"/>
      <c r="AE99" s="867"/>
      <c r="AF99" s="1239"/>
      <c r="AG99" s="1234"/>
      <c r="AH99" s="1223"/>
      <c r="AI99" s="1242"/>
      <c r="AJ99" s="1242"/>
      <c r="AK99" s="1242"/>
      <c r="AL99" s="1242"/>
      <c r="AM99" s="1242"/>
      <c r="AN99" s="1242"/>
    </row>
    <row r="100" spans="1:40" s="1244" customFormat="1" ht="33" customHeight="1">
      <c r="A100" s="1529" t="s">
        <v>502</v>
      </c>
      <c r="B100" s="1529"/>
      <c r="C100" s="1529"/>
      <c r="D100" s="1529"/>
      <c r="E100" s="1529"/>
      <c r="F100" s="560">
        <f>SUM(F101:F166)</f>
        <v>0</v>
      </c>
      <c r="G100" s="560">
        <f t="shared" ref="G100:AD100" si="21">SUM(G101:G166)</f>
        <v>0</v>
      </c>
      <c r="H100" s="560">
        <f t="shared" si="21"/>
        <v>231746</v>
      </c>
      <c r="I100" s="560">
        <f t="shared" si="21"/>
        <v>0</v>
      </c>
      <c r="J100" s="560">
        <f t="shared" si="21"/>
        <v>485</v>
      </c>
      <c r="K100" s="560">
        <f t="shared" si="21"/>
        <v>101630.75899999999</v>
      </c>
      <c r="L100" s="560">
        <f t="shared" si="21"/>
        <v>8081.0000000000018</v>
      </c>
      <c r="M100" s="560">
        <f t="shared" si="21"/>
        <v>109711.75900000005</v>
      </c>
      <c r="N100" s="560">
        <f t="shared" si="21"/>
        <v>0</v>
      </c>
      <c r="O100" s="560">
        <f t="shared" si="21"/>
        <v>404113476</v>
      </c>
      <c r="P100" s="560">
        <f t="shared" si="21"/>
        <v>1557</v>
      </c>
      <c r="Q100" s="560">
        <f t="shared" si="21"/>
        <v>61</v>
      </c>
      <c r="R100" s="560">
        <f t="shared" si="21"/>
        <v>0</v>
      </c>
      <c r="S100" s="560">
        <f t="shared" si="21"/>
        <v>171</v>
      </c>
      <c r="T100" s="560">
        <f t="shared" si="21"/>
        <v>0</v>
      </c>
      <c r="U100" s="560">
        <f t="shared" si="21"/>
        <v>0</v>
      </c>
      <c r="V100" s="560">
        <f t="shared" si="21"/>
        <v>0</v>
      </c>
      <c r="W100" s="560">
        <f t="shared" si="21"/>
        <v>171</v>
      </c>
      <c r="X100" s="560">
        <f t="shared" si="21"/>
        <v>0</v>
      </c>
      <c r="Y100" s="560">
        <f t="shared" si="21"/>
        <v>0</v>
      </c>
      <c r="Z100" s="560">
        <f t="shared" si="21"/>
        <v>84923041</v>
      </c>
      <c r="AA100" s="560">
        <f t="shared" si="21"/>
        <v>489036517</v>
      </c>
      <c r="AB100" s="560">
        <f t="shared" si="21"/>
        <v>0</v>
      </c>
      <c r="AC100" s="560">
        <f t="shared" si="21"/>
        <v>489036517</v>
      </c>
      <c r="AD100" s="560">
        <f t="shared" si="21"/>
        <v>0</v>
      </c>
      <c r="AE100" s="565"/>
      <c r="AF100" s="1233"/>
      <c r="AG100" s="1234"/>
      <c r="AH100" s="1223"/>
      <c r="AI100" s="567"/>
      <c r="AJ100" s="567"/>
      <c r="AK100" s="567"/>
      <c r="AL100" s="567"/>
      <c r="AM100" s="567"/>
      <c r="AN100" s="567"/>
    </row>
    <row r="101" spans="1:40" s="1244" customFormat="1" ht="33" customHeight="1">
      <c r="A101" s="1245">
        <v>84</v>
      </c>
      <c r="B101" s="1246">
        <v>1</v>
      </c>
      <c r="C101" s="1247" t="str">
        <f>'Chấm công KT'!C95</f>
        <v>04072</v>
      </c>
      <c r="D101" s="1247" t="str">
        <f>TONGHOPCONGDOI!C96</f>
        <v xml:space="preserve">T. Lun </v>
      </c>
      <c r="E101" s="1247" t="s">
        <v>26</v>
      </c>
      <c r="F101" s="1248"/>
      <c r="G101" s="227">
        <f t="shared" ref="G101:G165" si="22">F101*25000</f>
        <v>0</v>
      </c>
      <c r="H101" s="227">
        <f>VLOOKUP(D101,TONGHOPCONGDOI!C96:AD160,16,0)</f>
        <v>3742</v>
      </c>
      <c r="I101" s="227">
        <f>VLOOKUP(D101,TONGHOPCONGDOI!C96:AD160,18,0)</f>
        <v>0</v>
      </c>
      <c r="J101" s="227"/>
      <c r="K101" s="561">
        <f t="shared" ref="K101:K132" si="23">$AL$8/$AL$7*H101+I101*$AL$9+J101*$AL$10</f>
        <v>1636.8456893926971</v>
      </c>
      <c r="L101" s="931">
        <f>'SẢN LƯỢNG'!AP99</f>
        <v>139.32055401801864</v>
      </c>
      <c r="M101" s="931">
        <f>'SẢN LƯỢNG'!AQ99</f>
        <v>1776.1662434107159</v>
      </c>
      <c r="N101" s="562" t="str">
        <f>VLOOKUP(D101,'SẢN LƯỢNG'!$D$98:$AR$160,41,0)</f>
        <v>A</v>
      </c>
      <c r="O101" s="1231">
        <f>ROUND((IF(N101="A",(M101*6.1),IF(N101="B",(M101*5.8),IF(N101="C",(M101*5.5),IF(N101="C.",(M101*5.5),IF(N101="D",(M101*5.2),0)))))*$F$10),0)</f>
        <v>6619949</v>
      </c>
      <c r="P101" s="564">
        <f>VLOOKUP(D101,TONGHOPCONGDOI!$C$96:$AD$153,20,0)</f>
        <v>26</v>
      </c>
      <c r="Q101" s="564">
        <f>VLOOKUP(D101,TONGHOPCONGDOI!$C$96:$AD$153,21,0)</f>
        <v>1</v>
      </c>
      <c r="R101" s="564">
        <f>VLOOKUP(D101,TONGHOPCONGDOI!$C$96:$AD$153,22,0)</f>
        <v>0</v>
      </c>
      <c r="S101" s="564">
        <f>VLOOKUP(D101,TONGHOPCONGDOI!$C$96:$AD$153,23,0)</f>
        <v>3</v>
      </c>
      <c r="T101" s="564">
        <f>VLOOKUP(D101,TONGHOPCONGDOI!$C$96:$AD$153,24,0)</f>
        <v>0</v>
      </c>
      <c r="U101" s="564">
        <f>VLOOKUP(D101,TONGHOPCONGDOI!$C$96:$AD$153,25,0)</f>
        <v>0</v>
      </c>
      <c r="V101" s="564"/>
      <c r="W101" s="1229">
        <f>S101</f>
        <v>3</v>
      </c>
      <c r="X101" s="1232"/>
      <c r="Y101" s="1232"/>
      <c r="Z101" s="564">
        <f>ROUND(((P101*46.1)+(Q101*76.9)+(R101*92.2)+(S101*153.8)+(T101*92.2)+(U101*153.8))*$F$11+(V101*25000)+(W101*100000),0)</f>
        <v>1446285</v>
      </c>
      <c r="AA101" s="564">
        <f t="shared" ref="AA101:AA132" si="24">G101+O101+Z101</f>
        <v>8066234</v>
      </c>
      <c r="AB101" s="568"/>
      <c r="AC101" s="566">
        <f t="shared" ref="AC101:AC161" si="25">AA101-AB101</f>
        <v>8066234</v>
      </c>
      <c r="AD101" s="227"/>
      <c r="AE101" s="1249">
        <v>1</v>
      </c>
      <c r="AF101" s="1233"/>
      <c r="AG101" s="1234"/>
      <c r="AH101" s="1223"/>
      <c r="AI101" s="567"/>
      <c r="AJ101" s="567"/>
      <c r="AK101" s="567"/>
      <c r="AL101" s="567"/>
      <c r="AM101" s="567"/>
      <c r="AN101" s="567"/>
    </row>
    <row r="102" spans="1:40" s="1244" customFormat="1" ht="33" customHeight="1">
      <c r="A102" s="1245">
        <v>85</v>
      </c>
      <c r="B102" s="1247">
        <v>2</v>
      </c>
      <c r="C102" s="1247" t="str">
        <f>'Chấm công KT'!C96</f>
        <v>03466</v>
      </c>
      <c r="D102" s="1247" t="str">
        <f>TONGHOPCONGDOI!C97</f>
        <v>N. Keo</v>
      </c>
      <c r="E102" s="1247" t="s">
        <v>26</v>
      </c>
      <c r="F102" s="1248"/>
      <c r="G102" s="227">
        <f t="shared" si="22"/>
        <v>0</v>
      </c>
      <c r="H102" s="227">
        <f>VLOOKUP(D102,TONGHOPCONGDOI!C97:AD160,16,0)</f>
        <v>3580</v>
      </c>
      <c r="I102" s="227">
        <f>VLOOKUP(D102,TONGHOPCONGDOI!C97:AD160,18,0)</f>
        <v>0</v>
      </c>
      <c r="J102" s="227"/>
      <c r="K102" s="561">
        <f t="shared" si="23"/>
        <v>1565.9827814072303</v>
      </c>
      <c r="L102" s="931">
        <f>'SẢN LƯỢNG'!AP100</f>
        <v>147.23997072604459</v>
      </c>
      <c r="M102" s="931">
        <f>'SẢN LƯỢNG'!AQ100</f>
        <v>1713.2227521332748</v>
      </c>
      <c r="N102" s="562" t="str">
        <f>VLOOKUP(D102,'SẢN LƯỢNG'!$D$98:$AR$160,41,0)</f>
        <v>A</v>
      </c>
      <c r="O102" s="1231">
        <f t="shared" ref="O102:O161" si="26">ROUND((IF(N102="A",(M102*6.1),IF(N102="B",(M102*5.8),IF(N102="C",(M102*5.5),IF(N102="C.",(M102*5.5),IF(N102="D",(M102*5.2),0)))))*$F$10),0)</f>
        <v>6385353</v>
      </c>
      <c r="P102" s="564">
        <f>VLOOKUP(D102,TONGHOPCONGDOI!$C$96:$AD$153,20,0)</f>
        <v>25</v>
      </c>
      <c r="Q102" s="564">
        <f>VLOOKUP(D102,TONGHOPCONGDOI!$C$96:$AD$153,21,0)</f>
        <v>1</v>
      </c>
      <c r="R102" s="564">
        <f>VLOOKUP(D102,TONGHOPCONGDOI!$C$96:$AD$153,22,0)</f>
        <v>0</v>
      </c>
      <c r="S102" s="564">
        <f>VLOOKUP(D102,TONGHOPCONGDOI!$C$96:$AD$153,23,0)</f>
        <v>3</v>
      </c>
      <c r="T102" s="564">
        <f>VLOOKUP(D102,TONGHOPCONGDOI!$C$96:$AD$153,24,0)</f>
        <v>0</v>
      </c>
      <c r="U102" s="564">
        <f>VLOOKUP(D102,TONGHOPCONGDOI!$C$96:$AD$153,25,0)</f>
        <v>0</v>
      </c>
      <c r="V102" s="564"/>
      <c r="W102" s="1229">
        <f t="shared" ref="W102:W162" si="27">S102</f>
        <v>3</v>
      </c>
      <c r="X102" s="1232"/>
      <c r="Y102" s="1232"/>
      <c r="Z102" s="564">
        <f t="shared" ref="Z102:Z161" si="28">ROUND(((P102*46.1)+(Q102*76.9)+(R102*92.2)+(S102*153.8)+(T102*92.2)+(U102*153.8))*$F$11+(V102*25000)+(W102*100000),0)</f>
        <v>1415860</v>
      </c>
      <c r="AA102" s="564">
        <f t="shared" si="24"/>
        <v>7801213</v>
      </c>
      <c r="AB102" s="568"/>
      <c r="AC102" s="566">
        <f t="shared" si="25"/>
        <v>7801213</v>
      </c>
      <c r="AD102" s="227"/>
      <c r="AE102" s="1249">
        <v>2</v>
      </c>
      <c r="AF102" s="1233"/>
      <c r="AG102" s="1234"/>
      <c r="AH102" s="1223"/>
      <c r="AI102" s="567"/>
      <c r="AJ102" s="567"/>
      <c r="AK102" s="567"/>
      <c r="AL102" s="567"/>
      <c r="AM102" s="567"/>
      <c r="AN102" s="567"/>
    </row>
    <row r="103" spans="1:40" s="1244" customFormat="1" ht="33" customHeight="1">
      <c r="A103" s="1245">
        <v>86</v>
      </c>
      <c r="B103" s="1246">
        <v>3</v>
      </c>
      <c r="C103" s="1247" t="str">
        <f>'Chấm công KT'!C97</f>
        <v>03590</v>
      </c>
      <c r="D103" s="1247" t="str">
        <f>TONGHOPCONGDOI!C98</f>
        <v>T .Nhum</v>
      </c>
      <c r="E103" s="1247" t="s">
        <v>26</v>
      </c>
      <c r="F103" s="1248"/>
      <c r="G103" s="227">
        <f t="shared" si="22"/>
        <v>0</v>
      </c>
      <c r="H103" s="227">
        <f>VLOOKUP(D103,TONGHOPCONGDOI!C98:AD160,16,0)</f>
        <v>3738</v>
      </c>
      <c r="I103" s="227">
        <f>VLOOKUP(D103,TONGHOPCONGDOI!C98:AD160,18,0)</f>
        <v>0</v>
      </c>
      <c r="J103" s="227"/>
      <c r="K103" s="561">
        <f t="shared" si="23"/>
        <v>1635.095987960957</v>
      </c>
      <c r="L103" s="931">
        <f>'SẢN LƯỢNG'!AP101</f>
        <v>130.89130361634298</v>
      </c>
      <c r="M103" s="931">
        <f>'SẢN LƯỢNG'!AQ101</f>
        <v>1765.9872915773003</v>
      </c>
      <c r="N103" s="562" t="str">
        <f>VLOOKUP(D103,'SẢN LƯỢNG'!$D$98:$AR$160,41,0)</f>
        <v>A</v>
      </c>
      <c r="O103" s="1231">
        <f t="shared" si="26"/>
        <v>6582011</v>
      </c>
      <c r="P103" s="564">
        <f>VLOOKUP(D103,TONGHOPCONGDOI!$C$96:$AD$153,20,0)</f>
        <v>27</v>
      </c>
      <c r="Q103" s="564">
        <f>VLOOKUP(D103,TONGHOPCONGDOI!$C$96:$AD$153,21,0)</f>
        <v>1</v>
      </c>
      <c r="R103" s="564">
        <f>VLOOKUP(D103,TONGHOPCONGDOI!$C$96:$AD$153,22,0)</f>
        <v>0</v>
      </c>
      <c r="S103" s="564">
        <f>VLOOKUP(D103,TONGHOPCONGDOI!$C$96:$AD$153,23,0)</f>
        <v>3</v>
      </c>
      <c r="T103" s="564">
        <f>VLOOKUP(D103,TONGHOPCONGDOI!$C$96:$AD$153,24,0)</f>
        <v>0</v>
      </c>
      <c r="U103" s="564">
        <f>VLOOKUP(D103,TONGHOPCONGDOI!$C$96:$AD$153,25,0)</f>
        <v>0</v>
      </c>
      <c r="V103" s="564"/>
      <c r="W103" s="1229">
        <f t="shared" si="27"/>
        <v>3</v>
      </c>
      <c r="X103" s="1232"/>
      <c r="Y103" s="1232"/>
      <c r="Z103" s="564">
        <f t="shared" si="28"/>
        <v>1476709</v>
      </c>
      <c r="AA103" s="564">
        <f t="shared" si="24"/>
        <v>8058720</v>
      </c>
      <c r="AB103" s="568"/>
      <c r="AC103" s="566">
        <f t="shared" si="25"/>
        <v>8058720</v>
      </c>
      <c r="AD103" s="227"/>
      <c r="AE103" s="1249">
        <v>3</v>
      </c>
      <c r="AF103" s="1233"/>
      <c r="AG103" s="1234"/>
      <c r="AH103" s="1223"/>
      <c r="AI103" s="567"/>
      <c r="AJ103" s="567"/>
      <c r="AK103" s="567"/>
      <c r="AL103" s="567"/>
      <c r="AM103" s="567"/>
      <c r="AN103" s="567"/>
    </row>
    <row r="104" spans="1:40" s="1244" customFormat="1" ht="33" customHeight="1">
      <c r="A104" s="1245">
        <v>87</v>
      </c>
      <c r="B104" s="1247">
        <v>4</v>
      </c>
      <c r="C104" s="1247" t="str">
        <f>'Chấm công KT'!C98</f>
        <v>03591</v>
      </c>
      <c r="D104" s="1247" t="str">
        <f>TONGHOPCONGDOI!C99</f>
        <v>N.Vông Ma Ni</v>
      </c>
      <c r="E104" s="1247" t="s">
        <v>26</v>
      </c>
      <c r="F104" s="1248"/>
      <c r="G104" s="227">
        <f t="shared" si="22"/>
        <v>0</v>
      </c>
      <c r="H104" s="227">
        <f>VLOOKUP(D104,TONGHOPCONGDOI!C99:AD160,16,0)</f>
        <v>3849</v>
      </c>
      <c r="I104" s="227">
        <f>VLOOKUP(D104,TONGHOPCONGDOI!C99:AD160,18,0)</f>
        <v>0</v>
      </c>
      <c r="J104" s="227"/>
      <c r="K104" s="561">
        <f t="shared" si="23"/>
        <v>1683.6502026917399</v>
      </c>
      <c r="L104" s="931">
        <f>'SẢN LƯỢNG'!AP102</f>
        <v>125.6230221152957</v>
      </c>
      <c r="M104" s="931">
        <f>'SẢN LƯỢNG'!AQ102</f>
        <v>1809.2732248070358</v>
      </c>
      <c r="N104" s="562" t="str">
        <f>VLOOKUP(D104,'SẢN LƯỢNG'!$D$98:$AR$160,41,0)</f>
        <v>A</v>
      </c>
      <c r="O104" s="1231">
        <f t="shared" si="26"/>
        <v>6743342</v>
      </c>
      <c r="P104" s="564">
        <f>VLOOKUP(D104,TONGHOPCONGDOI!$C$96:$AD$153,20,0)</f>
        <v>26</v>
      </c>
      <c r="Q104" s="564">
        <f>VLOOKUP(D104,TONGHOPCONGDOI!$C$96:$AD$153,21,0)</f>
        <v>1</v>
      </c>
      <c r="R104" s="564">
        <f>VLOOKUP(D104,TONGHOPCONGDOI!$C$96:$AD$153,22,0)</f>
        <v>0</v>
      </c>
      <c r="S104" s="564">
        <f>VLOOKUP(D104,TONGHOPCONGDOI!$C$96:$AD$153,23,0)</f>
        <v>3</v>
      </c>
      <c r="T104" s="564">
        <f>VLOOKUP(D104,TONGHOPCONGDOI!$C$96:$AD$153,24,0)</f>
        <v>0</v>
      </c>
      <c r="U104" s="564">
        <f>VLOOKUP(D104,TONGHOPCONGDOI!$C$96:$AD$153,25,0)</f>
        <v>0</v>
      </c>
      <c r="V104" s="564"/>
      <c r="W104" s="1229">
        <f t="shared" si="27"/>
        <v>3</v>
      </c>
      <c r="X104" s="1232"/>
      <c r="Y104" s="1232"/>
      <c r="Z104" s="564">
        <f t="shared" si="28"/>
        <v>1446285</v>
      </c>
      <c r="AA104" s="564">
        <f t="shared" si="24"/>
        <v>8189627</v>
      </c>
      <c r="AB104" s="568"/>
      <c r="AC104" s="566">
        <f t="shared" si="25"/>
        <v>8189627</v>
      </c>
      <c r="AD104" s="227"/>
      <c r="AE104" s="1249">
        <v>4</v>
      </c>
      <c r="AF104" s="1233"/>
      <c r="AG104" s="1234"/>
      <c r="AH104" s="1223"/>
      <c r="AI104" s="567"/>
      <c r="AJ104" s="567"/>
      <c r="AK104" s="567"/>
      <c r="AL104" s="567"/>
      <c r="AM104" s="567"/>
      <c r="AN104" s="567"/>
    </row>
    <row r="105" spans="1:40" s="1244" customFormat="1" ht="33" customHeight="1">
      <c r="A105" s="1245">
        <v>88</v>
      </c>
      <c r="B105" s="1246">
        <v>5</v>
      </c>
      <c r="C105" s="1247" t="str">
        <f>'Chấm công KT'!C99</f>
        <v>03592</v>
      </c>
      <c r="D105" s="1247" t="str">
        <f>TONGHOPCONGDOI!C100</f>
        <v>Đao Hương</v>
      </c>
      <c r="E105" s="1247" t="s">
        <v>26</v>
      </c>
      <c r="F105" s="1248"/>
      <c r="G105" s="227">
        <f t="shared" si="22"/>
        <v>0</v>
      </c>
      <c r="H105" s="227">
        <f>VLOOKUP(D105,TONGHOPCONGDOI!C100:AD160,16,0)</f>
        <v>3654</v>
      </c>
      <c r="I105" s="227">
        <f>VLOOKUP(D105,TONGHOPCONGDOI!C100:AD160,18,0)</f>
        <v>0</v>
      </c>
      <c r="J105" s="227"/>
      <c r="K105" s="561">
        <f t="shared" si="23"/>
        <v>1598.3522578944187</v>
      </c>
      <c r="L105" s="931">
        <f>'SẢN LƯỢNG'!AP103</f>
        <v>124.36543233762633</v>
      </c>
      <c r="M105" s="931">
        <f>'SẢN LƯỢNG'!AQ103</f>
        <v>1722.7176902320452</v>
      </c>
      <c r="N105" s="562" t="str">
        <f>VLOOKUP(D105,'SẢN LƯỢNG'!$D$98:$AR$160,41,0)</f>
        <v>A</v>
      </c>
      <c r="O105" s="1231">
        <f t="shared" si="26"/>
        <v>6420741</v>
      </c>
      <c r="P105" s="564">
        <f>VLOOKUP(D105,TONGHOPCONGDOI!$C$96:$AD$153,20,0)</f>
        <v>26</v>
      </c>
      <c r="Q105" s="564">
        <f>VLOOKUP(D105,TONGHOPCONGDOI!$C$96:$AD$153,21,0)</f>
        <v>1</v>
      </c>
      <c r="R105" s="564">
        <f>VLOOKUP(D105,TONGHOPCONGDOI!$C$96:$AD$153,22,0)</f>
        <v>0</v>
      </c>
      <c r="S105" s="564">
        <f>VLOOKUP(D105,TONGHOPCONGDOI!$C$96:$AD$153,23,0)</f>
        <v>3</v>
      </c>
      <c r="T105" s="564">
        <f>VLOOKUP(D105,TONGHOPCONGDOI!$C$96:$AD$153,24,0)</f>
        <v>0</v>
      </c>
      <c r="U105" s="564">
        <f>VLOOKUP(D105,TONGHOPCONGDOI!$C$96:$AD$153,25,0)</f>
        <v>0</v>
      </c>
      <c r="V105" s="564"/>
      <c r="W105" s="1229">
        <f t="shared" si="27"/>
        <v>3</v>
      </c>
      <c r="X105" s="1232"/>
      <c r="Y105" s="1232"/>
      <c r="Z105" s="564">
        <f t="shared" si="28"/>
        <v>1446285</v>
      </c>
      <c r="AA105" s="564">
        <f t="shared" si="24"/>
        <v>7867026</v>
      </c>
      <c r="AB105" s="568"/>
      <c r="AC105" s="566">
        <f t="shared" si="25"/>
        <v>7867026</v>
      </c>
      <c r="AD105" s="227"/>
      <c r="AE105" s="1249">
        <v>5</v>
      </c>
      <c r="AF105" s="1233"/>
      <c r="AG105" s="1234"/>
      <c r="AH105" s="1223"/>
      <c r="AI105" s="567"/>
      <c r="AJ105" s="567"/>
      <c r="AK105" s="567"/>
      <c r="AL105" s="567"/>
      <c r="AM105" s="567"/>
      <c r="AN105" s="567"/>
    </row>
    <row r="106" spans="1:40" s="1244" customFormat="1" ht="33" customHeight="1">
      <c r="A106" s="1245">
        <v>89</v>
      </c>
      <c r="B106" s="1247">
        <v>6</v>
      </c>
      <c r="C106" s="1247" t="str">
        <f>'Chấm công KT'!C100</f>
        <v>03593</v>
      </c>
      <c r="D106" s="1247" t="str">
        <f>TONGHOPCONGDOI!C101</f>
        <v>T. Xi Nun</v>
      </c>
      <c r="E106" s="1247" t="s">
        <v>26</v>
      </c>
      <c r="F106" s="1248"/>
      <c r="G106" s="227">
        <f t="shared" si="22"/>
        <v>0</v>
      </c>
      <c r="H106" s="227">
        <f>VLOOKUP(D106,TONGHOPCONGDOI!C101:AD160,16,0)</f>
        <v>3441</v>
      </c>
      <c r="I106" s="227">
        <f>VLOOKUP(D106,TONGHOPCONGDOI!C101:AD160,18,0)</f>
        <v>0</v>
      </c>
      <c r="J106" s="227"/>
      <c r="K106" s="561">
        <f t="shared" si="23"/>
        <v>1505.180656654268</v>
      </c>
      <c r="L106" s="931">
        <f>'SẢN LƯỢNG'!AP104</f>
        <v>164.37038283267586</v>
      </c>
      <c r="M106" s="931">
        <f>'SẢN LƯỢNG'!AQ104</f>
        <v>1669.5510394869441</v>
      </c>
      <c r="N106" s="562" t="str">
        <f>VLOOKUP(D106,'SẢN LƯỢNG'!$D$98:$AR$160,41,0)</f>
        <v>B</v>
      </c>
      <c r="O106" s="1231">
        <f t="shared" si="26"/>
        <v>5916555</v>
      </c>
      <c r="P106" s="564">
        <f>VLOOKUP(D106,TONGHOPCONGDOI!$C$96:$AD$153,20,0)</f>
        <v>20</v>
      </c>
      <c r="Q106" s="564">
        <f>VLOOKUP(D106,TONGHOPCONGDOI!$C$96:$AD$153,21,0)</f>
        <v>1</v>
      </c>
      <c r="R106" s="564">
        <f>VLOOKUP(D106,TONGHOPCONGDOI!$C$96:$AD$153,22,0)</f>
        <v>0</v>
      </c>
      <c r="S106" s="564">
        <f>VLOOKUP(D106,TONGHOPCONGDOI!$C$96:$AD$153,23,0)</f>
        <v>2</v>
      </c>
      <c r="T106" s="564">
        <f>VLOOKUP(D106,TONGHOPCONGDOI!$C$96:$AD$153,24,0)</f>
        <v>0</v>
      </c>
      <c r="U106" s="564">
        <f>VLOOKUP(D106,TONGHOPCONGDOI!$C$96:$AD$153,25,0)</f>
        <v>0</v>
      </c>
      <c r="V106" s="564"/>
      <c r="W106" s="1229">
        <f t="shared" si="27"/>
        <v>2</v>
      </c>
      <c r="X106" s="1232"/>
      <c r="Y106" s="1232"/>
      <c r="Z106" s="564">
        <f t="shared" si="28"/>
        <v>1062238</v>
      </c>
      <c r="AA106" s="564">
        <f t="shared" si="24"/>
        <v>6978793</v>
      </c>
      <c r="AB106" s="568"/>
      <c r="AC106" s="566">
        <f t="shared" si="25"/>
        <v>6978793</v>
      </c>
      <c r="AD106" s="227"/>
      <c r="AE106" s="1249">
        <v>6</v>
      </c>
      <c r="AF106" s="1233"/>
      <c r="AG106" s="1234"/>
      <c r="AH106" s="1223"/>
      <c r="AI106" s="567"/>
      <c r="AJ106" s="567"/>
      <c r="AK106" s="567"/>
      <c r="AL106" s="567"/>
      <c r="AM106" s="567"/>
      <c r="AN106" s="567"/>
    </row>
    <row r="107" spans="1:40" s="1244" customFormat="1" ht="33" customHeight="1">
      <c r="A107" s="1245">
        <v>90</v>
      </c>
      <c r="B107" s="1246">
        <v>7</v>
      </c>
      <c r="C107" s="1247" t="str">
        <f>'Chấm công KT'!C101</f>
        <v>03594</v>
      </c>
      <c r="D107" s="1247" t="str">
        <f>TONGHOPCONGDOI!C102</f>
        <v>T. Bun Hinh</v>
      </c>
      <c r="E107" s="1247" t="s">
        <v>26</v>
      </c>
      <c r="F107" s="1248"/>
      <c r="G107" s="227">
        <f t="shared" si="22"/>
        <v>0</v>
      </c>
      <c r="H107" s="227">
        <f>VLOOKUP(D107,TONGHOPCONGDOI!C102:AD160,16,0)</f>
        <v>2889</v>
      </c>
      <c r="I107" s="227">
        <f>VLOOKUP(D107,TONGHOPCONGDOI!C102:AD160,18,0)</f>
        <v>0</v>
      </c>
      <c r="J107" s="227"/>
      <c r="K107" s="561">
        <f t="shared" si="23"/>
        <v>1263.7218590741586</v>
      </c>
      <c r="L107" s="931">
        <f>'SẢN LƯỢNG'!AP105</f>
        <v>111.48363434474294</v>
      </c>
      <c r="M107" s="931">
        <f>'SẢN LƯỢNG'!AQ105</f>
        <v>1375.2054934189018</v>
      </c>
      <c r="N107" s="562" t="str">
        <f>VLOOKUP(D107,'SẢN LƯỢNG'!$D$98:$AR$160,41,0)</f>
        <v>A</v>
      </c>
      <c r="O107" s="1231">
        <f t="shared" si="26"/>
        <v>5125528</v>
      </c>
      <c r="P107" s="564">
        <f>VLOOKUP(D107,TONGHOPCONGDOI!$C$96:$AD$153,20,0)</f>
        <v>27</v>
      </c>
      <c r="Q107" s="564">
        <f>VLOOKUP(D107,TONGHOPCONGDOI!$C$96:$AD$153,21,0)</f>
        <v>1</v>
      </c>
      <c r="R107" s="564">
        <f>VLOOKUP(D107,TONGHOPCONGDOI!$C$96:$AD$153,22,0)</f>
        <v>0</v>
      </c>
      <c r="S107" s="564">
        <f>VLOOKUP(D107,TONGHOPCONGDOI!$C$96:$AD$153,23,0)</f>
        <v>3</v>
      </c>
      <c r="T107" s="564">
        <f>VLOOKUP(D107,TONGHOPCONGDOI!$C$96:$AD$153,24,0)</f>
        <v>0</v>
      </c>
      <c r="U107" s="564">
        <f>VLOOKUP(D107,TONGHOPCONGDOI!$C$96:$AD$153,25,0)</f>
        <v>0</v>
      </c>
      <c r="V107" s="564"/>
      <c r="W107" s="1229">
        <f t="shared" si="27"/>
        <v>3</v>
      </c>
      <c r="X107" s="1232"/>
      <c r="Y107" s="1232"/>
      <c r="Z107" s="564">
        <f t="shared" si="28"/>
        <v>1476709</v>
      </c>
      <c r="AA107" s="564">
        <f t="shared" si="24"/>
        <v>6602237</v>
      </c>
      <c r="AB107" s="568"/>
      <c r="AC107" s="566">
        <f t="shared" si="25"/>
        <v>6602237</v>
      </c>
      <c r="AD107" s="227"/>
      <c r="AE107" s="1249">
        <v>7</v>
      </c>
      <c r="AF107" s="1233"/>
      <c r="AG107" s="1234"/>
      <c r="AH107" s="1223"/>
      <c r="AI107" s="567"/>
      <c r="AJ107" s="567"/>
      <c r="AK107" s="567"/>
      <c r="AL107" s="567"/>
      <c r="AM107" s="567"/>
      <c r="AN107" s="567"/>
    </row>
    <row r="108" spans="1:40" s="1244" customFormat="1" ht="33" customHeight="1">
      <c r="A108" s="1245">
        <v>91</v>
      </c>
      <c r="B108" s="1247">
        <v>8</v>
      </c>
      <c r="C108" s="1247" t="str">
        <f>'Chấm công KT'!C102</f>
        <v>04073</v>
      </c>
      <c r="D108" s="1247" t="str">
        <f>TONGHOPCONGDOI!C103</f>
        <v>T. Miềng</v>
      </c>
      <c r="E108" s="1247" t="s">
        <v>26</v>
      </c>
      <c r="F108" s="1248"/>
      <c r="G108" s="227">
        <f t="shared" si="22"/>
        <v>0</v>
      </c>
      <c r="H108" s="227">
        <f>VLOOKUP(D108,TONGHOPCONGDOI!C103:AD160,16,0)</f>
        <v>2394</v>
      </c>
      <c r="I108" s="227">
        <f>VLOOKUP(D108,TONGHOPCONGDOI!C103:AD160,18,0)</f>
        <v>0</v>
      </c>
      <c r="J108" s="227"/>
      <c r="K108" s="561">
        <f t="shared" si="23"/>
        <v>1047.1963068963432</v>
      </c>
      <c r="L108" s="931">
        <f>'SẢN LƯỢNG'!AP106</f>
        <v>114.6785921582813</v>
      </c>
      <c r="M108" s="931">
        <f>'SẢN LƯỢNG'!AQ106</f>
        <v>1161.8748990546248</v>
      </c>
      <c r="N108" s="562" t="str">
        <f>VLOOKUP(D108,'SẢN LƯỢNG'!$D$98:$AR$160,41,0)</f>
        <v>A</v>
      </c>
      <c r="O108" s="1231">
        <f t="shared" si="26"/>
        <v>4330424</v>
      </c>
      <c r="P108" s="564">
        <f>VLOOKUP(D108,TONGHOPCONGDOI!$C$96:$AD$153,20,0)</f>
        <v>22</v>
      </c>
      <c r="Q108" s="564">
        <f>VLOOKUP(D108,TONGHOPCONGDOI!$C$96:$AD$153,21,0)</f>
        <v>0</v>
      </c>
      <c r="R108" s="564">
        <f>VLOOKUP(D108,TONGHOPCONGDOI!$C$96:$AD$153,22,0)</f>
        <v>0</v>
      </c>
      <c r="S108" s="564">
        <f>VLOOKUP(D108,TONGHOPCONGDOI!$C$96:$AD$153,23,0)</f>
        <v>0</v>
      </c>
      <c r="T108" s="564">
        <f>VLOOKUP(D108,TONGHOPCONGDOI!$C$96:$AD$153,24,0)</f>
        <v>0</v>
      </c>
      <c r="U108" s="564">
        <f>VLOOKUP(D108,TONGHOPCONGDOI!$C$96:$AD$153,25,0)</f>
        <v>0</v>
      </c>
      <c r="V108" s="564"/>
      <c r="W108" s="1229">
        <f t="shared" si="27"/>
        <v>0</v>
      </c>
      <c r="X108" s="1232"/>
      <c r="Y108" s="1232"/>
      <c r="Z108" s="564">
        <f t="shared" si="28"/>
        <v>669331</v>
      </c>
      <c r="AA108" s="564">
        <f t="shared" si="24"/>
        <v>4999755</v>
      </c>
      <c r="AB108" s="568"/>
      <c r="AC108" s="566">
        <f t="shared" si="25"/>
        <v>4999755</v>
      </c>
      <c r="AD108" s="227"/>
      <c r="AE108" s="1249">
        <v>8</v>
      </c>
      <c r="AF108" s="1233"/>
      <c r="AG108" s="1234"/>
      <c r="AH108" s="1223"/>
      <c r="AI108" s="567"/>
      <c r="AJ108" s="567"/>
      <c r="AK108" s="567"/>
      <c r="AL108" s="567"/>
      <c r="AM108" s="567"/>
      <c r="AN108" s="567"/>
    </row>
    <row r="109" spans="1:40" s="1244" customFormat="1" ht="33" customHeight="1">
      <c r="A109" s="1245">
        <v>92</v>
      </c>
      <c r="B109" s="1246">
        <v>9</v>
      </c>
      <c r="C109" s="1247" t="str">
        <f>'Chấm công KT'!C103</f>
        <v>03596</v>
      </c>
      <c r="D109" s="1247" t="str">
        <f>TONGHOPCONGDOI!C104</f>
        <v>N. Xúc</v>
      </c>
      <c r="E109" s="1247" t="s">
        <v>26</v>
      </c>
      <c r="F109" s="1248"/>
      <c r="G109" s="227">
        <f t="shared" si="22"/>
        <v>0</v>
      </c>
      <c r="H109" s="227">
        <f>VLOOKUP(D109,TONGHOPCONGDOI!C104:AD160,16,0)</f>
        <v>3481</v>
      </c>
      <c r="I109" s="227">
        <f>VLOOKUP(D109,TONGHOPCONGDOI!C104:AD160,18,0)</f>
        <v>0</v>
      </c>
      <c r="J109" s="227"/>
      <c r="K109" s="561">
        <f t="shared" si="23"/>
        <v>1522.6776709716671</v>
      </c>
      <c r="L109" s="931">
        <f>'SẢN LƯỢNG'!AP107</f>
        <v>114.20274737754154</v>
      </c>
      <c r="M109" s="931">
        <f>'SẢN LƯỢNG'!AQ107</f>
        <v>1636.8804183492089</v>
      </c>
      <c r="N109" s="562" t="str">
        <f>VLOOKUP(D109,'SẢN LƯỢNG'!$D$98:$AR$160,41,0)</f>
        <v>A</v>
      </c>
      <c r="O109" s="1231">
        <f t="shared" si="26"/>
        <v>6100817</v>
      </c>
      <c r="P109" s="564">
        <f>VLOOKUP(D109,TONGHOPCONGDOI!$C$96:$AD$153,20,0)</f>
        <v>26</v>
      </c>
      <c r="Q109" s="564">
        <f>VLOOKUP(D109,TONGHOPCONGDOI!$C$96:$AD$153,21,0)</f>
        <v>1</v>
      </c>
      <c r="R109" s="564">
        <f>VLOOKUP(D109,TONGHOPCONGDOI!$C$96:$AD$153,22,0)</f>
        <v>0</v>
      </c>
      <c r="S109" s="564">
        <f>VLOOKUP(D109,TONGHOPCONGDOI!$C$96:$AD$153,23,0)</f>
        <v>3</v>
      </c>
      <c r="T109" s="564">
        <f>VLOOKUP(D109,TONGHOPCONGDOI!$C$96:$AD$153,24,0)</f>
        <v>0</v>
      </c>
      <c r="U109" s="564">
        <f>VLOOKUP(D109,TONGHOPCONGDOI!$C$96:$AD$153,25,0)</f>
        <v>0</v>
      </c>
      <c r="V109" s="564"/>
      <c r="W109" s="1229">
        <f t="shared" si="27"/>
        <v>3</v>
      </c>
      <c r="X109" s="1232"/>
      <c r="Y109" s="1232"/>
      <c r="Z109" s="564">
        <f t="shared" si="28"/>
        <v>1446285</v>
      </c>
      <c r="AA109" s="564">
        <f t="shared" si="24"/>
        <v>7547102</v>
      </c>
      <c r="AB109" s="568"/>
      <c r="AC109" s="566">
        <f t="shared" si="25"/>
        <v>7547102</v>
      </c>
      <c r="AD109" s="227"/>
      <c r="AE109" s="1249">
        <v>9</v>
      </c>
      <c r="AF109" s="1233"/>
      <c r="AG109" s="1234"/>
      <c r="AH109" s="1223"/>
      <c r="AI109" s="567"/>
      <c r="AJ109" s="567"/>
      <c r="AK109" s="567"/>
      <c r="AL109" s="567"/>
      <c r="AM109" s="567"/>
      <c r="AN109" s="567"/>
    </row>
    <row r="110" spans="1:40" s="1244" customFormat="1" ht="33" customHeight="1">
      <c r="A110" s="1245">
        <v>93</v>
      </c>
      <c r="B110" s="1247">
        <v>10</v>
      </c>
      <c r="C110" s="1247" t="str">
        <f>'Chấm công KT'!C104</f>
        <v>03597</v>
      </c>
      <c r="D110" s="1247" t="str">
        <f>TONGHOPCONGDOI!C105</f>
        <v>N. Lẹ</v>
      </c>
      <c r="E110" s="1247" t="s">
        <v>26</v>
      </c>
      <c r="F110" s="1248"/>
      <c r="G110" s="227">
        <f t="shared" si="22"/>
        <v>0</v>
      </c>
      <c r="H110" s="227">
        <f>VLOOKUP(D110,TONGHOPCONGDOI!C105:AD160,16,0)</f>
        <v>3868</v>
      </c>
      <c r="I110" s="227">
        <f>VLOOKUP(D110,TONGHOPCONGDOI!C105:AD160,18,0)</f>
        <v>0</v>
      </c>
      <c r="J110" s="227"/>
      <c r="K110" s="561">
        <f t="shared" si="23"/>
        <v>1691.9612844925045</v>
      </c>
      <c r="L110" s="931">
        <f>'SẢN LƯỢNG'!AP108</f>
        <v>125.2151551603759</v>
      </c>
      <c r="M110" s="931">
        <f>'SẢN LƯỢNG'!AQ108</f>
        <v>1817.1764396528806</v>
      </c>
      <c r="N110" s="562" t="str">
        <f>VLOOKUP(D110,'SẢN LƯỢNG'!$D$98:$AR$160,41,0)</f>
        <v>A</v>
      </c>
      <c r="O110" s="1231">
        <f t="shared" si="26"/>
        <v>6772798</v>
      </c>
      <c r="P110" s="564">
        <f>VLOOKUP(D110,TONGHOPCONGDOI!$C$96:$AD$153,20,0)</f>
        <v>27</v>
      </c>
      <c r="Q110" s="564">
        <f>VLOOKUP(D110,TONGHOPCONGDOI!$C$96:$AD$153,21,0)</f>
        <v>1</v>
      </c>
      <c r="R110" s="564">
        <f>VLOOKUP(D110,TONGHOPCONGDOI!$C$96:$AD$153,22,0)</f>
        <v>0</v>
      </c>
      <c r="S110" s="564">
        <f>VLOOKUP(D110,TONGHOPCONGDOI!$C$96:$AD$153,23,0)</f>
        <v>3</v>
      </c>
      <c r="T110" s="564">
        <f>VLOOKUP(D110,TONGHOPCONGDOI!$C$96:$AD$153,24,0)</f>
        <v>0</v>
      </c>
      <c r="U110" s="564">
        <f>VLOOKUP(D110,TONGHOPCONGDOI!$C$96:$AD$153,25,0)</f>
        <v>0</v>
      </c>
      <c r="V110" s="564"/>
      <c r="W110" s="1229">
        <f t="shared" si="27"/>
        <v>3</v>
      </c>
      <c r="X110" s="1232"/>
      <c r="Y110" s="1232"/>
      <c r="Z110" s="564">
        <f t="shared" si="28"/>
        <v>1476709</v>
      </c>
      <c r="AA110" s="564">
        <f t="shared" si="24"/>
        <v>8249507</v>
      </c>
      <c r="AB110" s="568"/>
      <c r="AC110" s="566">
        <f t="shared" si="25"/>
        <v>8249507</v>
      </c>
      <c r="AD110" s="227"/>
      <c r="AE110" s="1249">
        <v>10</v>
      </c>
      <c r="AF110" s="1233"/>
      <c r="AG110" s="1234"/>
      <c r="AH110" s="1223"/>
      <c r="AI110" s="567"/>
      <c r="AJ110" s="567"/>
      <c r="AK110" s="567"/>
      <c r="AL110" s="567"/>
      <c r="AM110" s="567"/>
      <c r="AN110" s="567"/>
    </row>
    <row r="111" spans="1:40" s="1244" customFormat="1" ht="33" customHeight="1">
      <c r="A111" s="1245">
        <v>94</v>
      </c>
      <c r="B111" s="1246">
        <v>11</v>
      </c>
      <c r="C111" s="1247" t="str">
        <f>'Chấm công KT'!C105</f>
        <v>03598</v>
      </c>
      <c r="D111" s="1247" t="str">
        <f>TONGHOPCONGDOI!C106</f>
        <v>N . Thích</v>
      </c>
      <c r="E111" s="1247" t="s">
        <v>26</v>
      </c>
      <c r="F111" s="1248"/>
      <c r="G111" s="227">
        <f t="shared" si="22"/>
        <v>0</v>
      </c>
      <c r="H111" s="227">
        <f>VLOOKUP(D111,TONGHOPCONGDOI!C106:AD160,16,0)</f>
        <v>3755</v>
      </c>
      <c r="I111" s="227">
        <f>VLOOKUP(D111,TONGHOPCONGDOI!C106:AD160,18,0)</f>
        <v>0</v>
      </c>
      <c r="J111" s="227"/>
      <c r="K111" s="561">
        <f t="shared" si="23"/>
        <v>1642.5322190458517</v>
      </c>
      <c r="L111" s="931">
        <f>'SẢN LƯỢNG'!AP109</f>
        <v>122.73396451794717</v>
      </c>
      <c r="M111" s="931">
        <f>'SẢN LƯỢNG'!AQ109</f>
        <v>1765.2661835637991</v>
      </c>
      <c r="N111" s="562" t="str">
        <f>VLOOKUP(D111,'SẢN LƯỢNG'!$D$98:$AR$160,41,0)</f>
        <v>A</v>
      </c>
      <c r="O111" s="1231">
        <f t="shared" si="26"/>
        <v>6579324</v>
      </c>
      <c r="P111" s="564">
        <f>VLOOKUP(D111,TONGHOPCONGDOI!$C$96:$AD$153,20,0)</f>
        <v>27</v>
      </c>
      <c r="Q111" s="564">
        <f>VLOOKUP(D111,TONGHOPCONGDOI!$C$96:$AD$153,21,0)</f>
        <v>1</v>
      </c>
      <c r="R111" s="564">
        <f>VLOOKUP(D111,TONGHOPCONGDOI!$C$96:$AD$153,22,0)</f>
        <v>0</v>
      </c>
      <c r="S111" s="564">
        <f>VLOOKUP(D111,TONGHOPCONGDOI!$C$96:$AD$153,23,0)</f>
        <v>3</v>
      </c>
      <c r="T111" s="564">
        <f>VLOOKUP(D111,TONGHOPCONGDOI!$C$96:$AD$153,24,0)</f>
        <v>0</v>
      </c>
      <c r="U111" s="564">
        <f>VLOOKUP(D111,TONGHOPCONGDOI!$C$96:$AD$153,25,0)</f>
        <v>0</v>
      </c>
      <c r="V111" s="564"/>
      <c r="W111" s="1229">
        <f t="shared" si="27"/>
        <v>3</v>
      </c>
      <c r="X111" s="1232"/>
      <c r="Y111" s="1232"/>
      <c r="Z111" s="564">
        <f t="shared" si="28"/>
        <v>1476709</v>
      </c>
      <c r="AA111" s="564">
        <f t="shared" si="24"/>
        <v>8056033</v>
      </c>
      <c r="AB111" s="568"/>
      <c r="AC111" s="566">
        <f t="shared" si="25"/>
        <v>8056033</v>
      </c>
      <c r="AD111" s="227"/>
      <c r="AE111" s="1249">
        <v>11</v>
      </c>
      <c r="AF111" s="1233"/>
      <c r="AG111" s="1234"/>
      <c r="AH111" s="1223"/>
      <c r="AI111" s="567"/>
      <c r="AJ111" s="567"/>
      <c r="AK111" s="567"/>
      <c r="AL111" s="567"/>
      <c r="AM111" s="567"/>
      <c r="AN111" s="567"/>
    </row>
    <row r="112" spans="1:40" s="1244" customFormat="1" ht="33" customHeight="1">
      <c r="A112" s="1245">
        <v>95</v>
      </c>
      <c r="B112" s="1247">
        <v>12</v>
      </c>
      <c r="C112" s="1247" t="str">
        <f>'Chấm công KT'!C106</f>
        <v>03599</v>
      </c>
      <c r="D112" s="1247" t="str">
        <f>TONGHOPCONGDOI!C107</f>
        <v>N. Cong Mi</v>
      </c>
      <c r="E112" s="1247" t="s">
        <v>26</v>
      </c>
      <c r="F112" s="1248"/>
      <c r="G112" s="227">
        <f t="shared" si="22"/>
        <v>0</v>
      </c>
      <c r="H112" s="227">
        <f>VLOOKUP(D112,TONGHOPCONGDOI!C107:AD160,16,0)</f>
        <v>2704</v>
      </c>
      <c r="I112" s="227">
        <f>VLOOKUP(D112,TONGHOPCONGDOI!C107:AD160,18,0)</f>
        <v>0</v>
      </c>
      <c r="J112" s="227"/>
      <c r="K112" s="561">
        <f t="shared" si="23"/>
        <v>1182.7981678561873</v>
      </c>
      <c r="L112" s="931">
        <f>'SẢN LƯỢNG'!AP110</f>
        <v>114.88252563574119</v>
      </c>
      <c r="M112" s="931">
        <f>'SẢN LƯỢNG'!AQ110</f>
        <v>1297.6806934919287</v>
      </c>
      <c r="N112" s="562" t="str">
        <f>VLOOKUP(D112,'SẢN LƯỢNG'!$D$98:$AR$160,41,0)</f>
        <v>A</v>
      </c>
      <c r="O112" s="1231">
        <f t="shared" si="26"/>
        <v>4836586</v>
      </c>
      <c r="P112" s="564">
        <f>VLOOKUP(D112,TONGHOPCONGDOI!$C$96:$AD$153,20,0)</f>
        <v>27</v>
      </c>
      <c r="Q112" s="564">
        <f>VLOOKUP(D112,TONGHOPCONGDOI!$C$96:$AD$153,21,0)</f>
        <v>0</v>
      </c>
      <c r="R112" s="564">
        <f>VLOOKUP(D112,TONGHOPCONGDOI!$C$96:$AD$153,22,0)</f>
        <v>0</v>
      </c>
      <c r="S112" s="564">
        <f>VLOOKUP(D112,TONGHOPCONGDOI!$C$96:$AD$153,23,0)</f>
        <v>3</v>
      </c>
      <c r="T112" s="564">
        <f>VLOOKUP(D112,TONGHOPCONGDOI!$C$96:$AD$153,24,0)</f>
        <v>0</v>
      </c>
      <c r="U112" s="564">
        <f>VLOOKUP(D112,TONGHOPCONGDOI!$C$96:$AD$153,25,0)</f>
        <v>0</v>
      </c>
      <c r="V112" s="564"/>
      <c r="W112" s="1229">
        <f t="shared" si="27"/>
        <v>3</v>
      </c>
      <c r="X112" s="1232"/>
      <c r="Y112" s="1232"/>
      <c r="Z112" s="564">
        <f t="shared" si="28"/>
        <v>1425958</v>
      </c>
      <c r="AA112" s="564">
        <f t="shared" si="24"/>
        <v>6262544</v>
      </c>
      <c r="AB112" s="568"/>
      <c r="AC112" s="566">
        <f t="shared" si="25"/>
        <v>6262544</v>
      </c>
      <c r="AD112" s="227"/>
      <c r="AE112" s="1249">
        <v>12</v>
      </c>
      <c r="AF112" s="1233"/>
      <c r="AG112" s="1234"/>
      <c r="AH112" s="1223"/>
      <c r="AI112" s="567"/>
      <c r="AJ112" s="567"/>
      <c r="AK112" s="567"/>
      <c r="AL112" s="567"/>
      <c r="AM112" s="567"/>
      <c r="AN112" s="567"/>
    </row>
    <row r="113" spans="1:40" s="1244" customFormat="1" ht="33" customHeight="1">
      <c r="A113" s="1245">
        <v>96</v>
      </c>
      <c r="B113" s="1246">
        <v>13</v>
      </c>
      <c r="C113" s="1247" t="str">
        <f>'Chấm công KT'!C107</f>
        <v>04074</v>
      </c>
      <c r="D113" s="1247" t="str">
        <f>TONGHOPCONGDOI!C108</f>
        <v>T. Na</v>
      </c>
      <c r="E113" s="1247" t="s">
        <v>26</v>
      </c>
      <c r="F113" s="1248"/>
      <c r="G113" s="227">
        <f t="shared" si="22"/>
        <v>0</v>
      </c>
      <c r="H113" s="227">
        <f>VLOOKUP(D113,TONGHOPCONGDOI!C108:AD160,16,0)</f>
        <v>1763</v>
      </c>
      <c r="I113" s="227">
        <f>VLOOKUP(D113,TONGHOPCONGDOI!C108:AD160,18,0)</f>
        <v>0</v>
      </c>
      <c r="J113" s="227"/>
      <c r="K113" s="561">
        <f t="shared" si="23"/>
        <v>771.1809060393706</v>
      </c>
      <c r="L113" s="931">
        <f>'SẢN LƯỢNG'!AP111</f>
        <v>113.62493585807184</v>
      </c>
      <c r="M113" s="931">
        <f>'SẢN LƯỢNG'!AQ111</f>
        <v>884.80584189744252</v>
      </c>
      <c r="N113" s="562" t="str">
        <f>VLOOKUP(D113,'SẢN LƯỢNG'!$D$98:$AR$160,41,0)</f>
        <v>B</v>
      </c>
      <c r="O113" s="1231">
        <f t="shared" si="26"/>
        <v>3135575</v>
      </c>
      <c r="P113" s="564">
        <f>VLOOKUP(D113,TONGHOPCONGDOI!$C$96:$AD$153,20,0)</f>
        <v>21</v>
      </c>
      <c r="Q113" s="564">
        <f>VLOOKUP(D113,TONGHOPCONGDOI!$C$96:$AD$153,21,0)</f>
        <v>0</v>
      </c>
      <c r="R113" s="564">
        <f>VLOOKUP(D113,TONGHOPCONGDOI!$C$96:$AD$153,22,0)</f>
        <v>0</v>
      </c>
      <c r="S113" s="564">
        <f>VLOOKUP(D113,TONGHOPCONGDOI!$C$96:$AD$153,23,0)</f>
        <v>0</v>
      </c>
      <c r="T113" s="564">
        <f>VLOOKUP(D113,TONGHOPCONGDOI!$C$96:$AD$153,24,0)</f>
        <v>0</v>
      </c>
      <c r="U113" s="564">
        <f>VLOOKUP(D113,TONGHOPCONGDOI!$C$96:$AD$153,25,0)</f>
        <v>0</v>
      </c>
      <c r="V113" s="564"/>
      <c r="W113" s="1229">
        <f t="shared" si="27"/>
        <v>0</v>
      </c>
      <c r="X113" s="1232"/>
      <c r="Y113" s="1232"/>
      <c r="Z113" s="564">
        <f t="shared" si="28"/>
        <v>638907</v>
      </c>
      <c r="AA113" s="564">
        <f t="shared" si="24"/>
        <v>3774482</v>
      </c>
      <c r="AB113" s="568"/>
      <c r="AC113" s="566">
        <f t="shared" si="25"/>
        <v>3774482</v>
      </c>
      <c r="AD113" s="227"/>
      <c r="AE113" s="1249">
        <v>13</v>
      </c>
      <c r="AF113" s="1233"/>
      <c r="AG113" s="1234"/>
      <c r="AH113" s="1223"/>
      <c r="AI113" s="567"/>
      <c r="AJ113" s="567"/>
      <c r="AK113" s="567"/>
      <c r="AL113" s="567"/>
      <c r="AM113" s="567"/>
      <c r="AN113" s="567"/>
    </row>
    <row r="114" spans="1:40" s="1244" customFormat="1" ht="33" customHeight="1">
      <c r="A114" s="1245">
        <v>97</v>
      </c>
      <c r="B114" s="1247">
        <v>14</v>
      </c>
      <c r="C114" s="1247" t="str">
        <f>'Chấm công KT'!C108</f>
        <v>03601</v>
      </c>
      <c r="D114" s="1247" t="str">
        <f>TONGHOPCONGDOI!C109</f>
        <v>T. Khăm Mặn</v>
      </c>
      <c r="E114" s="1247" t="s">
        <v>26</v>
      </c>
      <c r="F114" s="1248"/>
      <c r="G114" s="227">
        <f t="shared" si="22"/>
        <v>0</v>
      </c>
      <c r="H114" s="227">
        <f>VLOOKUP(D114,TONGHOPCONGDOI!C109:AD160,16,0)</f>
        <v>5322</v>
      </c>
      <c r="I114" s="227">
        <f>VLOOKUP(D114,TONGHOPCONGDOI!C109:AD160,18,0)</f>
        <v>0</v>
      </c>
      <c r="J114" s="227"/>
      <c r="K114" s="561">
        <f t="shared" si="23"/>
        <v>2327.9777549299661</v>
      </c>
      <c r="L114" s="931">
        <f>'SẢN LƯỢNG'!AP112</f>
        <v>174.09121192493086</v>
      </c>
      <c r="M114" s="931">
        <f>'SẢN LƯỢNG'!AQ112</f>
        <v>2502.0689668548976</v>
      </c>
      <c r="N114" s="562" t="str">
        <f>VLOOKUP(D114,'SẢN LƯỢNG'!$D$98:$AR$160,41,0)</f>
        <v>A</v>
      </c>
      <c r="O114" s="1231">
        <f t="shared" si="26"/>
        <v>9325461</v>
      </c>
      <c r="P114" s="564">
        <f>VLOOKUP(D114,TONGHOPCONGDOI!$C$96:$AD$153,20,0)</f>
        <v>27</v>
      </c>
      <c r="Q114" s="564">
        <f>VLOOKUP(D114,TONGHOPCONGDOI!$C$96:$AD$153,21,0)</f>
        <v>1</v>
      </c>
      <c r="R114" s="564">
        <f>VLOOKUP(D114,TONGHOPCONGDOI!$C$96:$AD$153,22,0)</f>
        <v>0</v>
      </c>
      <c r="S114" s="564">
        <f>VLOOKUP(D114,TONGHOPCONGDOI!$C$96:$AD$153,23,0)</f>
        <v>3</v>
      </c>
      <c r="T114" s="564">
        <f>VLOOKUP(D114,TONGHOPCONGDOI!$C$96:$AD$153,24,0)</f>
        <v>0</v>
      </c>
      <c r="U114" s="564">
        <f>VLOOKUP(D114,TONGHOPCONGDOI!$C$96:$AD$153,25,0)</f>
        <v>0</v>
      </c>
      <c r="V114" s="564"/>
      <c r="W114" s="1229">
        <f t="shared" si="27"/>
        <v>3</v>
      </c>
      <c r="X114" s="1232"/>
      <c r="Y114" s="1232"/>
      <c r="Z114" s="564">
        <f t="shared" si="28"/>
        <v>1476709</v>
      </c>
      <c r="AA114" s="564">
        <f t="shared" si="24"/>
        <v>10802170</v>
      </c>
      <c r="AB114" s="568"/>
      <c r="AC114" s="566">
        <f t="shared" si="25"/>
        <v>10802170</v>
      </c>
      <c r="AD114" s="227"/>
      <c r="AE114" s="1249">
        <v>14</v>
      </c>
      <c r="AF114" s="1233"/>
      <c r="AG114" s="1234"/>
      <c r="AH114" s="1223"/>
      <c r="AI114" s="567"/>
      <c r="AJ114" s="567"/>
      <c r="AK114" s="567"/>
      <c r="AL114" s="567"/>
      <c r="AM114" s="567"/>
      <c r="AN114" s="567"/>
    </row>
    <row r="115" spans="1:40" s="1244" customFormat="1" ht="33" customHeight="1">
      <c r="A115" s="1245">
        <v>98</v>
      </c>
      <c r="B115" s="1246">
        <v>15</v>
      </c>
      <c r="C115" s="1247" t="str">
        <f>'Chấm công KT'!C109</f>
        <v>03602</v>
      </c>
      <c r="D115" s="1247" t="str">
        <f>TONGHOPCONGDOI!C110</f>
        <v>T . In Tong</v>
      </c>
      <c r="E115" s="1247" t="s">
        <v>26</v>
      </c>
      <c r="F115" s="1248"/>
      <c r="G115" s="227">
        <f t="shared" si="22"/>
        <v>0</v>
      </c>
      <c r="H115" s="227">
        <f>VLOOKUP(D115,TONGHOPCONGDOI!C110:AD160,16,0)</f>
        <v>4106</v>
      </c>
      <c r="I115" s="227">
        <f>VLOOKUP(D115,TONGHOPCONGDOI!C110:AD160,18,0)</f>
        <v>0</v>
      </c>
      <c r="J115" s="227"/>
      <c r="K115" s="561">
        <f t="shared" si="23"/>
        <v>1796.06851968103</v>
      </c>
      <c r="L115" s="931">
        <f>'SẢN LƯỢNG'!AP113</f>
        <v>127.49241232534474</v>
      </c>
      <c r="M115" s="931">
        <f>'SẢN LƯỢNG'!AQ113</f>
        <v>1923.560932006375</v>
      </c>
      <c r="N115" s="562" t="str">
        <f>VLOOKUP(D115,'SẢN LƯỢNG'!$D$98:$AR$160,41,0)</f>
        <v>A</v>
      </c>
      <c r="O115" s="1231">
        <f t="shared" si="26"/>
        <v>7169304</v>
      </c>
      <c r="P115" s="564">
        <f>VLOOKUP(D115,TONGHOPCONGDOI!$C$96:$AD$153,20,0)</f>
        <v>27</v>
      </c>
      <c r="Q115" s="564">
        <f>VLOOKUP(D115,TONGHOPCONGDOI!$C$96:$AD$153,21,0)</f>
        <v>1</v>
      </c>
      <c r="R115" s="564">
        <f>VLOOKUP(D115,TONGHOPCONGDOI!$C$96:$AD$153,22,0)</f>
        <v>0</v>
      </c>
      <c r="S115" s="564">
        <f>VLOOKUP(D115,TONGHOPCONGDOI!$C$96:$AD$153,23,0)</f>
        <v>3</v>
      </c>
      <c r="T115" s="564">
        <f>VLOOKUP(D115,TONGHOPCONGDOI!$C$96:$AD$153,24,0)</f>
        <v>0</v>
      </c>
      <c r="U115" s="564">
        <f>VLOOKUP(D115,TONGHOPCONGDOI!$C$96:$AD$153,25,0)</f>
        <v>0</v>
      </c>
      <c r="V115" s="564"/>
      <c r="W115" s="1229">
        <f t="shared" si="27"/>
        <v>3</v>
      </c>
      <c r="X115" s="1232"/>
      <c r="Y115" s="1232"/>
      <c r="Z115" s="564">
        <f t="shared" si="28"/>
        <v>1476709</v>
      </c>
      <c r="AA115" s="564">
        <f t="shared" si="24"/>
        <v>8646013</v>
      </c>
      <c r="AB115" s="568"/>
      <c r="AC115" s="566">
        <f t="shared" si="25"/>
        <v>8646013</v>
      </c>
      <c r="AD115" s="227"/>
      <c r="AE115" s="1249">
        <v>15</v>
      </c>
      <c r="AF115" s="1233"/>
      <c r="AG115" s="1234"/>
      <c r="AH115" s="1223"/>
      <c r="AI115" s="567"/>
      <c r="AJ115" s="567"/>
      <c r="AK115" s="567"/>
      <c r="AL115" s="567"/>
      <c r="AM115" s="567"/>
      <c r="AN115" s="567"/>
    </row>
    <row r="116" spans="1:40" s="1244" customFormat="1" ht="33" customHeight="1">
      <c r="A116" s="1245">
        <v>99</v>
      </c>
      <c r="B116" s="1247">
        <v>16</v>
      </c>
      <c r="C116" s="1247" t="str">
        <f>'Chấm công KT'!C110</f>
        <v>03496</v>
      </c>
      <c r="D116" s="1247" t="str">
        <f>TONGHOPCONGDOI!C111</f>
        <v>T. Lốp</v>
      </c>
      <c r="E116" s="1247" t="s">
        <v>26</v>
      </c>
      <c r="F116" s="1248"/>
      <c r="G116" s="227">
        <f t="shared" si="22"/>
        <v>0</v>
      </c>
      <c r="H116" s="227">
        <f>VLOOKUP(D116,TONGHOPCONGDOI!C111:AD160,16,0)</f>
        <v>3593</v>
      </c>
      <c r="I116" s="227">
        <f>VLOOKUP(D116,TONGHOPCONGDOI!C111:AD160,18,0)</f>
        <v>0</v>
      </c>
      <c r="J116" s="227"/>
      <c r="K116" s="561">
        <f t="shared" si="23"/>
        <v>1571.6693110603849</v>
      </c>
      <c r="L116" s="931">
        <f>'SẢN LƯỢNG'!AP114</f>
        <v>65.802535393726316</v>
      </c>
      <c r="M116" s="931">
        <f>'SẢN LƯỢNG'!AQ114</f>
        <v>1637.4718464541115</v>
      </c>
      <c r="N116" s="562" t="str">
        <f>VLOOKUP(D116,'SẢN LƯỢNG'!$D$98:$AR$160,41,0)</f>
        <v>A</v>
      </c>
      <c r="O116" s="1231">
        <f t="shared" si="26"/>
        <v>6103021</v>
      </c>
      <c r="P116" s="564">
        <f>VLOOKUP(D116,TONGHOPCONGDOI!$C$96:$AD$153,20,0)</f>
        <v>27</v>
      </c>
      <c r="Q116" s="564">
        <f>VLOOKUP(D116,TONGHOPCONGDOI!$C$96:$AD$153,21,0)</f>
        <v>1</v>
      </c>
      <c r="R116" s="564">
        <f>VLOOKUP(D116,TONGHOPCONGDOI!$C$96:$AD$153,22,0)</f>
        <v>0</v>
      </c>
      <c r="S116" s="564">
        <f>VLOOKUP(D116,TONGHOPCONGDOI!$C$96:$AD$153,23,0)</f>
        <v>3</v>
      </c>
      <c r="T116" s="564">
        <f>VLOOKUP(D116,TONGHOPCONGDOI!$C$96:$AD$153,24,0)</f>
        <v>0</v>
      </c>
      <c r="U116" s="564">
        <f>VLOOKUP(D116,TONGHOPCONGDOI!$C$96:$AD$153,25,0)</f>
        <v>0</v>
      </c>
      <c r="V116" s="564"/>
      <c r="W116" s="1229">
        <f t="shared" si="27"/>
        <v>3</v>
      </c>
      <c r="X116" s="1232"/>
      <c r="Y116" s="1232"/>
      <c r="Z116" s="564">
        <f t="shared" si="28"/>
        <v>1476709</v>
      </c>
      <c r="AA116" s="564">
        <f t="shared" si="24"/>
        <v>7579730</v>
      </c>
      <c r="AB116" s="568"/>
      <c r="AC116" s="566">
        <f t="shared" si="25"/>
        <v>7579730</v>
      </c>
      <c r="AD116" s="227"/>
      <c r="AE116" s="1249">
        <v>16</v>
      </c>
      <c r="AF116" s="1233"/>
      <c r="AG116" s="1234"/>
      <c r="AH116" s="1223"/>
      <c r="AI116" s="567"/>
      <c r="AJ116" s="567"/>
      <c r="AK116" s="567"/>
      <c r="AL116" s="567"/>
      <c r="AM116" s="567"/>
      <c r="AN116" s="567"/>
    </row>
    <row r="117" spans="1:40" s="1244" customFormat="1" ht="33" customHeight="1">
      <c r="A117" s="1245">
        <v>100</v>
      </c>
      <c r="B117" s="1246">
        <v>17</v>
      </c>
      <c r="C117" s="1247" t="str">
        <f>'Chấm công KT'!C111</f>
        <v>03604</v>
      </c>
      <c r="D117" s="1247" t="str">
        <f>TONGHOPCONGDOI!C112</f>
        <v>T. Lăm Phêng</v>
      </c>
      <c r="E117" s="1247" t="s">
        <v>26</v>
      </c>
      <c r="F117" s="1248"/>
      <c r="G117" s="227">
        <f t="shared" si="22"/>
        <v>0</v>
      </c>
      <c r="H117" s="227">
        <f>VLOOKUP(D117,TONGHOPCONGDOI!C112:AD160,16,0)</f>
        <v>6230</v>
      </c>
      <c r="I117" s="227">
        <f>VLOOKUP(D117,TONGHOPCONGDOI!C112:AD160,18,0)</f>
        <v>0</v>
      </c>
      <c r="J117" s="227"/>
      <c r="K117" s="561">
        <f t="shared" si="23"/>
        <v>2725.1599799349283</v>
      </c>
      <c r="L117" s="931">
        <f>'SẢN LƯỢNG'!AP115</f>
        <v>203.5935883307958</v>
      </c>
      <c r="M117" s="931">
        <f>'SẢN LƯỢNG'!AQ115</f>
        <v>2928.7535682657244</v>
      </c>
      <c r="N117" s="562" t="str">
        <f>VLOOKUP(D117,'SẢN LƯỢNG'!$D$98:$AR$160,41,0)</f>
        <v>A</v>
      </c>
      <c r="O117" s="1231">
        <f t="shared" si="26"/>
        <v>10915757</v>
      </c>
      <c r="P117" s="564">
        <f>VLOOKUP(D117,TONGHOPCONGDOI!$C$96:$AD$153,20,0)</f>
        <v>27</v>
      </c>
      <c r="Q117" s="564">
        <f>VLOOKUP(D117,TONGHOPCONGDOI!$C$96:$AD$153,21,0)</f>
        <v>2</v>
      </c>
      <c r="R117" s="564">
        <f>VLOOKUP(D117,TONGHOPCONGDOI!$C$96:$AD$153,22,0)</f>
        <v>0</v>
      </c>
      <c r="S117" s="564">
        <f>VLOOKUP(D117,TONGHOPCONGDOI!$C$96:$AD$153,23,0)</f>
        <v>2</v>
      </c>
      <c r="T117" s="564">
        <f>VLOOKUP(D117,TONGHOPCONGDOI!$C$96:$AD$153,24,0)</f>
        <v>0</v>
      </c>
      <c r="U117" s="564">
        <f>VLOOKUP(D117,TONGHOPCONGDOI!$C$96:$AD$153,25,0)</f>
        <v>0</v>
      </c>
      <c r="V117" s="564"/>
      <c r="W117" s="1229">
        <f t="shared" si="27"/>
        <v>2</v>
      </c>
      <c r="X117" s="1232"/>
      <c r="Y117" s="1232"/>
      <c r="Z117" s="564">
        <f t="shared" si="28"/>
        <v>1325958</v>
      </c>
      <c r="AA117" s="564">
        <f t="shared" si="24"/>
        <v>12241715</v>
      </c>
      <c r="AB117" s="568"/>
      <c r="AC117" s="566">
        <f t="shared" si="25"/>
        <v>12241715</v>
      </c>
      <c r="AD117" s="227"/>
      <c r="AE117" s="1249">
        <v>17</v>
      </c>
      <c r="AF117" s="1233"/>
      <c r="AG117" s="1234"/>
      <c r="AH117" s="1223"/>
      <c r="AI117" s="567"/>
      <c r="AJ117" s="567"/>
      <c r="AK117" s="567"/>
      <c r="AL117" s="567"/>
      <c r="AM117" s="567"/>
      <c r="AN117" s="567"/>
    </row>
    <row r="118" spans="1:40" s="1244" customFormat="1" ht="33" customHeight="1">
      <c r="A118" s="1245">
        <v>101</v>
      </c>
      <c r="B118" s="1247">
        <v>18</v>
      </c>
      <c r="C118" s="1247" t="str">
        <f>'Chấm công KT'!C112</f>
        <v>04075</v>
      </c>
      <c r="D118" s="1247" t="str">
        <f>TONGHOPCONGDOI!C113</f>
        <v>T Xèng</v>
      </c>
      <c r="E118" s="1247" t="s">
        <v>26</v>
      </c>
      <c r="F118" s="1248"/>
      <c r="G118" s="227">
        <f t="shared" si="22"/>
        <v>0</v>
      </c>
      <c r="H118" s="227">
        <f>VLOOKUP(D118,TONGHOPCONGDOI!C113:AD160,16,0)</f>
        <v>4370</v>
      </c>
      <c r="I118" s="227">
        <f>VLOOKUP(D118,TONGHOPCONGDOI!C113:AD160,18,0)</f>
        <v>0</v>
      </c>
      <c r="J118" s="227"/>
      <c r="K118" s="561">
        <f t="shared" si="23"/>
        <v>1911.5488141758647</v>
      </c>
      <c r="L118" s="931">
        <f>'SẢN LƯỢNG'!AP116</f>
        <v>152.57623005291188</v>
      </c>
      <c r="M118" s="931">
        <f>'SẢN LƯỢNG'!AQ116</f>
        <v>2064.1250442287769</v>
      </c>
      <c r="N118" s="562" t="str">
        <f>VLOOKUP(D118,'SẢN LƯỢNG'!$D$98:$AR$160,41,0)</f>
        <v>A</v>
      </c>
      <c r="O118" s="1231">
        <f t="shared" si="26"/>
        <v>7693200</v>
      </c>
      <c r="P118" s="564">
        <f>VLOOKUP(D118,TONGHOPCONGDOI!$C$96:$AD$153,20,0)</f>
        <v>27</v>
      </c>
      <c r="Q118" s="564">
        <f>VLOOKUP(D118,TONGHOPCONGDOI!$C$96:$AD$153,21,0)</f>
        <v>1</v>
      </c>
      <c r="R118" s="564">
        <f>VLOOKUP(D118,TONGHOPCONGDOI!$C$96:$AD$153,22,0)</f>
        <v>0</v>
      </c>
      <c r="S118" s="564">
        <f>VLOOKUP(D118,TONGHOPCONGDOI!$C$96:$AD$153,23,0)</f>
        <v>3</v>
      </c>
      <c r="T118" s="564">
        <f>VLOOKUP(D118,TONGHOPCONGDOI!$C$96:$AD$153,24,0)</f>
        <v>0</v>
      </c>
      <c r="U118" s="564">
        <f>VLOOKUP(D118,TONGHOPCONGDOI!$C$96:$AD$153,25,0)</f>
        <v>0</v>
      </c>
      <c r="V118" s="564"/>
      <c r="W118" s="1229">
        <f t="shared" si="27"/>
        <v>3</v>
      </c>
      <c r="X118" s="1232"/>
      <c r="Y118" s="1232"/>
      <c r="Z118" s="564">
        <f t="shared" si="28"/>
        <v>1476709</v>
      </c>
      <c r="AA118" s="564">
        <f t="shared" si="24"/>
        <v>9169909</v>
      </c>
      <c r="AB118" s="568"/>
      <c r="AC118" s="566">
        <f t="shared" si="25"/>
        <v>9169909</v>
      </c>
      <c r="AD118" s="227"/>
      <c r="AE118" s="1249">
        <v>18</v>
      </c>
      <c r="AF118" s="1233"/>
      <c r="AG118" s="1234"/>
      <c r="AH118" s="1223"/>
      <c r="AI118" s="567"/>
      <c r="AJ118" s="567"/>
      <c r="AK118" s="567"/>
      <c r="AL118" s="567"/>
      <c r="AM118" s="567"/>
      <c r="AN118" s="567"/>
    </row>
    <row r="119" spans="1:40" s="1244" customFormat="1" ht="33" customHeight="1">
      <c r="A119" s="1245">
        <v>102</v>
      </c>
      <c r="B119" s="1246">
        <v>19</v>
      </c>
      <c r="C119" s="1247" t="str">
        <f>'Chấm công KT'!C113</f>
        <v>03509</v>
      </c>
      <c r="D119" s="1247" t="str">
        <f>TONGHOPCONGDOI!C114</f>
        <v>T. May</v>
      </c>
      <c r="E119" s="1247" t="s">
        <v>26</v>
      </c>
      <c r="F119" s="1248"/>
      <c r="G119" s="227">
        <f t="shared" si="22"/>
        <v>0</v>
      </c>
      <c r="H119" s="227">
        <f>VLOOKUP(D119,TONGHOPCONGDOI!C114:AD160,16,0)</f>
        <v>3980</v>
      </c>
      <c r="I119" s="227">
        <f>VLOOKUP(D119,TONGHOPCONGDOI!C114:AD160,18,0)</f>
        <v>0</v>
      </c>
      <c r="J119" s="227"/>
      <c r="K119" s="561">
        <f t="shared" si="23"/>
        <v>1740.9529245812223</v>
      </c>
      <c r="L119" s="931">
        <f>'SẢN LƯỢNG'!AP117</f>
        <v>138.36886445653917</v>
      </c>
      <c r="M119" s="931">
        <f>'SẢN LƯỢNG'!AQ117</f>
        <v>1879.3217890377618</v>
      </c>
      <c r="N119" s="562" t="str">
        <f>VLOOKUP(D119,'SẢN LƯỢNG'!$D$98:$AR$160,41,0)</f>
        <v>A</v>
      </c>
      <c r="O119" s="1231">
        <f t="shared" si="26"/>
        <v>7004420</v>
      </c>
      <c r="P119" s="564">
        <f>VLOOKUP(D119,TONGHOPCONGDOI!$C$96:$AD$153,20,0)</f>
        <v>26</v>
      </c>
      <c r="Q119" s="564">
        <f>VLOOKUP(D119,TONGHOPCONGDOI!$C$96:$AD$153,21,0)</f>
        <v>1</v>
      </c>
      <c r="R119" s="564">
        <f>VLOOKUP(D119,TONGHOPCONGDOI!$C$96:$AD$153,22,0)</f>
        <v>0</v>
      </c>
      <c r="S119" s="564">
        <f>VLOOKUP(D119,TONGHOPCONGDOI!$C$96:$AD$153,23,0)</f>
        <v>3</v>
      </c>
      <c r="T119" s="564">
        <f>VLOOKUP(D119,TONGHOPCONGDOI!$C$96:$AD$153,24,0)</f>
        <v>0</v>
      </c>
      <c r="U119" s="564">
        <f>VLOOKUP(D119,TONGHOPCONGDOI!$C$96:$AD$153,25,0)</f>
        <v>0</v>
      </c>
      <c r="V119" s="564"/>
      <c r="W119" s="1229">
        <f t="shared" si="27"/>
        <v>3</v>
      </c>
      <c r="X119" s="1232"/>
      <c r="Y119" s="1232"/>
      <c r="Z119" s="564">
        <f t="shared" si="28"/>
        <v>1446285</v>
      </c>
      <c r="AA119" s="564">
        <f t="shared" si="24"/>
        <v>8450705</v>
      </c>
      <c r="AB119" s="568"/>
      <c r="AC119" s="566">
        <f t="shared" si="25"/>
        <v>8450705</v>
      </c>
      <c r="AD119" s="227"/>
      <c r="AE119" s="1249">
        <v>19</v>
      </c>
      <c r="AF119" s="1233"/>
      <c r="AG119" s="1234"/>
      <c r="AH119" s="1223"/>
      <c r="AI119" s="567"/>
      <c r="AJ119" s="567"/>
      <c r="AK119" s="567"/>
      <c r="AL119" s="567"/>
      <c r="AM119" s="567"/>
      <c r="AN119" s="567"/>
    </row>
    <row r="120" spans="1:40" s="1244" customFormat="1" ht="33" customHeight="1">
      <c r="A120" s="1245">
        <v>103</v>
      </c>
      <c r="B120" s="1247">
        <v>20</v>
      </c>
      <c r="C120" s="1247" t="str">
        <f>'Chấm công KT'!C114</f>
        <v>03607</v>
      </c>
      <c r="D120" s="1247" t="str">
        <f>TONGHOPCONGDOI!C115</f>
        <v>T. Huôn</v>
      </c>
      <c r="E120" s="1247" t="s">
        <v>26</v>
      </c>
      <c r="F120" s="1248"/>
      <c r="G120" s="227">
        <f t="shared" si="22"/>
        <v>0</v>
      </c>
      <c r="H120" s="227">
        <f>VLOOKUP(D120,TONGHOPCONGDOI!C115:AD160,16,0)</f>
        <v>2789</v>
      </c>
      <c r="I120" s="227">
        <f>VLOOKUP(D120,TONGHOPCONGDOI!C115:AD160,18,0)</f>
        <v>0</v>
      </c>
      <c r="J120" s="227"/>
      <c r="K120" s="561">
        <f t="shared" si="23"/>
        <v>1219.9793232806605</v>
      </c>
      <c r="L120" s="931">
        <f>'SẢN LƯỢNG'!AP118</f>
        <v>112.40133499331246</v>
      </c>
      <c r="M120" s="931">
        <f>'SẢN LƯỢNG'!AQ118</f>
        <v>1332.3806582739733</v>
      </c>
      <c r="N120" s="562" t="str">
        <f>VLOOKUP(D120,'SẢN LƯỢNG'!$D$98:$AR$160,41,0)</f>
        <v>A</v>
      </c>
      <c r="O120" s="1231">
        <f t="shared" si="26"/>
        <v>4965916</v>
      </c>
      <c r="P120" s="564">
        <f>VLOOKUP(D120,TONGHOPCONGDOI!$C$96:$AD$153,20,0)</f>
        <v>25</v>
      </c>
      <c r="Q120" s="564">
        <f>VLOOKUP(D120,TONGHOPCONGDOI!$C$96:$AD$153,21,0)</f>
        <v>1</v>
      </c>
      <c r="R120" s="564">
        <f>VLOOKUP(D120,TONGHOPCONGDOI!$C$96:$AD$153,22,0)</f>
        <v>0</v>
      </c>
      <c r="S120" s="564">
        <f>VLOOKUP(D120,TONGHOPCONGDOI!$C$96:$AD$153,23,0)</f>
        <v>3</v>
      </c>
      <c r="T120" s="564">
        <f>VLOOKUP(D120,TONGHOPCONGDOI!$C$96:$AD$153,24,0)</f>
        <v>0</v>
      </c>
      <c r="U120" s="564">
        <f>VLOOKUP(D120,TONGHOPCONGDOI!$C$96:$AD$153,25,0)</f>
        <v>0</v>
      </c>
      <c r="V120" s="564"/>
      <c r="W120" s="1229">
        <f t="shared" si="27"/>
        <v>3</v>
      </c>
      <c r="X120" s="1232"/>
      <c r="Y120" s="1232"/>
      <c r="Z120" s="564">
        <f t="shared" si="28"/>
        <v>1415860</v>
      </c>
      <c r="AA120" s="564">
        <f t="shared" si="24"/>
        <v>6381776</v>
      </c>
      <c r="AB120" s="568"/>
      <c r="AC120" s="566">
        <f t="shared" si="25"/>
        <v>6381776</v>
      </c>
      <c r="AD120" s="227"/>
      <c r="AE120" s="1249">
        <v>20</v>
      </c>
      <c r="AF120" s="1233"/>
      <c r="AG120" s="1234"/>
      <c r="AH120" s="1223"/>
      <c r="AI120" s="567"/>
      <c r="AJ120" s="567"/>
      <c r="AK120" s="567"/>
      <c r="AL120" s="567"/>
      <c r="AM120" s="567"/>
      <c r="AN120" s="567"/>
    </row>
    <row r="121" spans="1:40" s="1244" customFormat="1" ht="33" customHeight="1">
      <c r="A121" s="1245">
        <v>104</v>
      </c>
      <c r="B121" s="1246">
        <v>21</v>
      </c>
      <c r="C121" s="1247" t="str">
        <f>'Chấm công KT'!C115</f>
        <v>02729</v>
      </c>
      <c r="D121" s="1247" t="str">
        <f>TONGHOPCONGDOI!C116</f>
        <v>N. Lay</v>
      </c>
      <c r="E121" s="1247" t="s">
        <v>26</v>
      </c>
      <c r="F121" s="1248"/>
      <c r="G121" s="227">
        <f t="shared" si="22"/>
        <v>0</v>
      </c>
      <c r="H121" s="227">
        <f>VLOOKUP(D121,TONGHOPCONGDOI!C116:AD160,16,0)</f>
        <v>2775</v>
      </c>
      <c r="I121" s="227">
        <f>VLOOKUP(D121,TONGHOPCONGDOI!C116:AD160,18,0)</f>
        <v>0</v>
      </c>
      <c r="J121" s="227"/>
      <c r="K121" s="561">
        <f t="shared" si="23"/>
        <v>1213.8553682695708</v>
      </c>
      <c r="L121" s="931">
        <f>'SẢN LƯỢNG'!AP119</f>
        <v>109.47828848305394</v>
      </c>
      <c r="M121" s="931">
        <f>'SẢN LƯỢNG'!AQ119</f>
        <v>1323.3336567526251</v>
      </c>
      <c r="N121" s="562" t="str">
        <f>VLOOKUP(D121,'SẢN LƯỢNG'!$D$98:$AR$160,41,0)</f>
        <v>A</v>
      </c>
      <c r="O121" s="1231">
        <f t="shared" si="26"/>
        <v>4932197</v>
      </c>
      <c r="P121" s="564">
        <f>VLOOKUP(D121,TONGHOPCONGDOI!$C$96:$AD$153,20,0)</f>
        <v>25</v>
      </c>
      <c r="Q121" s="564">
        <f>VLOOKUP(D121,TONGHOPCONGDOI!$C$96:$AD$153,21,0)</f>
        <v>1</v>
      </c>
      <c r="R121" s="564">
        <f>VLOOKUP(D121,TONGHOPCONGDOI!$C$96:$AD$153,22,0)</f>
        <v>0</v>
      </c>
      <c r="S121" s="564">
        <f>VLOOKUP(D121,TONGHOPCONGDOI!$C$96:$AD$153,23,0)</f>
        <v>3</v>
      </c>
      <c r="T121" s="564">
        <f>VLOOKUP(D121,TONGHOPCONGDOI!$C$96:$AD$153,24,0)</f>
        <v>0</v>
      </c>
      <c r="U121" s="564">
        <f>VLOOKUP(D121,TONGHOPCONGDOI!$C$96:$AD$153,25,0)</f>
        <v>0</v>
      </c>
      <c r="V121" s="564"/>
      <c r="W121" s="1229">
        <f t="shared" si="27"/>
        <v>3</v>
      </c>
      <c r="X121" s="1232"/>
      <c r="Y121" s="1232"/>
      <c r="Z121" s="564">
        <f t="shared" si="28"/>
        <v>1415860</v>
      </c>
      <c r="AA121" s="564">
        <f t="shared" si="24"/>
        <v>6348057</v>
      </c>
      <c r="AB121" s="568"/>
      <c r="AC121" s="566">
        <f t="shared" si="25"/>
        <v>6348057</v>
      </c>
      <c r="AD121" s="227"/>
      <c r="AE121" s="1249">
        <v>21</v>
      </c>
      <c r="AF121" s="1233"/>
      <c r="AG121" s="1234"/>
      <c r="AH121" s="1223"/>
      <c r="AI121" s="567"/>
      <c r="AJ121" s="567"/>
      <c r="AK121" s="567"/>
      <c r="AL121" s="567"/>
      <c r="AM121" s="567"/>
      <c r="AN121" s="567"/>
    </row>
    <row r="122" spans="1:40" s="1244" customFormat="1" ht="33" customHeight="1">
      <c r="A122" s="1245">
        <v>105</v>
      </c>
      <c r="B122" s="1247">
        <v>22</v>
      </c>
      <c r="C122" s="1247" t="str">
        <f>'Chấm công KT'!C116</f>
        <v>03608</v>
      </c>
      <c r="D122" s="1247" t="str">
        <f>TONGHOPCONGDOI!C117</f>
        <v>N. Pon</v>
      </c>
      <c r="E122" s="1247" t="s">
        <v>26</v>
      </c>
      <c r="F122" s="1248"/>
      <c r="G122" s="227">
        <f t="shared" si="22"/>
        <v>0</v>
      </c>
      <c r="H122" s="227">
        <f>VLOOKUP(D122,TONGHOPCONGDOI!C117:AD160,16,0)</f>
        <v>3557</v>
      </c>
      <c r="I122" s="227">
        <f>VLOOKUP(D122,TONGHOPCONGDOI!C117:AD160,18,0)</f>
        <v>0</v>
      </c>
      <c r="J122" s="227"/>
      <c r="K122" s="561">
        <f t="shared" si="23"/>
        <v>1555.9219981747256</v>
      </c>
      <c r="L122" s="931">
        <f>'SẢN LƯỢNG'!AP120</f>
        <v>156.34899938591997</v>
      </c>
      <c r="M122" s="931">
        <f>'SẢN LƯỢNG'!AQ120</f>
        <v>1712.2709975606458</v>
      </c>
      <c r="N122" s="562" t="str">
        <f>VLOOKUP(D122,'SẢN LƯỢNG'!$D$98:$AR$160,41,0)</f>
        <v>A</v>
      </c>
      <c r="O122" s="1231">
        <f t="shared" si="26"/>
        <v>6381805</v>
      </c>
      <c r="P122" s="564">
        <f>VLOOKUP(D122,TONGHOPCONGDOI!$C$96:$AD$153,20,0)</f>
        <v>25</v>
      </c>
      <c r="Q122" s="564">
        <f>VLOOKUP(D122,TONGHOPCONGDOI!$C$96:$AD$153,21,0)</f>
        <v>1</v>
      </c>
      <c r="R122" s="564">
        <f>VLOOKUP(D122,TONGHOPCONGDOI!$C$96:$AD$153,22,0)</f>
        <v>0</v>
      </c>
      <c r="S122" s="564">
        <f>VLOOKUP(D122,TONGHOPCONGDOI!$C$96:$AD$153,23,0)</f>
        <v>3</v>
      </c>
      <c r="T122" s="564">
        <f>VLOOKUP(D122,TONGHOPCONGDOI!$C$96:$AD$153,24,0)</f>
        <v>0</v>
      </c>
      <c r="U122" s="564">
        <f>VLOOKUP(D122,TONGHOPCONGDOI!$C$96:$AD$153,25,0)</f>
        <v>0</v>
      </c>
      <c r="V122" s="564"/>
      <c r="W122" s="1229">
        <f t="shared" si="27"/>
        <v>3</v>
      </c>
      <c r="X122" s="1232"/>
      <c r="Y122" s="1232"/>
      <c r="Z122" s="564">
        <f t="shared" si="28"/>
        <v>1415860</v>
      </c>
      <c r="AA122" s="564">
        <f t="shared" si="24"/>
        <v>7797665</v>
      </c>
      <c r="AB122" s="568"/>
      <c r="AC122" s="566">
        <f t="shared" si="25"/>
        <v>7797665</v>
      </c>
      <c r="AD122" s="227"/>
      <c r="AE122" s="1249">
        <v>22</v>
      </c>
      <c r="AF122" s="1233"/>
      <c r="AG122" s="1234"/>
      <c r="AH122" s="1223"/>
      <c r="AI122" s="567"/>
      <c r="AJ122" s="567"/>
      <c r="AK122" s="567"/>
      <c r="AL122" s="567"/>
      <c r="AM122" s="567"/>
      <c r="AN122" s="567"/>
    </row>
    <row r="123" spans="1:40" s="1244" customFormat="1" ht="33" customHeight="1">
      <c r="A123" s="1245">
        <v>106</v>
      </c>
      <c r="B123" s="1246">
        <v>23</v>
      </c>
      <c r="C123" s="1247" t="str">
        <f>'Chấm công KT'!C117</f>
        <v>03609</v>
      </c>
      <c r="D123" s="1247" t="str">
        <f>TONGHOPCONGDOI!C118</f>
        <v>N. Bun Đi</v>
      </c>
      <c r="E123" s="1247" t="s">
        <v>26</v>
      </c>
      <c r="F123" s="1248"/>
      <c r="G123" s="227">
        <f t="shared" si="22"/>
        <v>0</v>
      </c>
      <c r="H123" s="227">
        <f>VLOOKUP(D123,TONGHOPCONGDOI!C118:AD160,16,0)</f>
        <v>3436</v>
      </c>
      <c r="I123" s="227">
        <f>VLOOKUP(D123,TONGHOPCONGDOI!C118:AD160,18,0)</f>
        <v>0</v>
      </c>
      <c r="J123" s="227"/>
      <c r="K123" s="561">
        <f t="shared" si="23"/>
        <v>1502.993529864593</v>
      </c>
      <c r="L123" s="931">
        <f>'SẢN LƯỢNG'!AP121</f>
        <v>128.1382016706344</v>
      </c>
      <c r="M123" s="931">
        <f>'SẢN LƯỢNG'!AQ121</f>
        <v>1631.1317315352276</v>
      </c>
      <c r="N123" s="562" t="str">
        <f>VLOOKUP(D123,'SẢN LƯỢNG'!$D$98:$AR$160,41,0)</f>
        <v>A</v>
      </c>
      <c r="O123" s="1231">
        <f t="shared" si="26"/>
        <v>6079391</v>
      </c>
      <c r="P123" s="564">
        <f>VLOOKUP(D123,TONGHOPCONGDOI!$C$96:$AD$153,20,0)</f>
        <v>27</v>
      </c>
      <c r="Q123" s="564">
        <f>VLOOKUP(D123,TONGHOPCONGDOI!$C$96:$AD$153,21,0)</f>
        <v>1</v>
      </c>
      <c r="R123" s="564">
        <f>VLOOKUP(D123,TONGHOPCONGDOI!$C$96:$AD$153,22,0)</f>
        <v>0</v>
      </c>
      <c r="S123" s="564">
        <f>VLOOKUP(D123,TONGHOPCONGDOI!$C$96:$AD$153,23,0)</f>
        <v>3</v>
      </c>
      <c r="T123" s="564">
        <f>VLOOKUP(D123,TONGHOPCONGDOI!$C$96:$AD$153,24,0)</f>
        <v>0</v>
      </c>
      <c r="U123" s="564">
        <f>VLOOKUP(D123,TONGHOPCONGDOI!$C$96:$AD$153,25,0)</f>
        <v>0</v>
      </c>
      <c r="V123" s="564"/>
      <c r="W123" s="1229">
        <f t="shared" si="27"/>
        <v>3</v>
      </c>
      <c r="X123" s="1232"/>
      <c r="Y123" s="1232"/>
      <c r="Z123" s="564">
        <f t="shared" si="28"/>
        <v>1476709</v>
      </c>
      <c r="AA123" s="564">
        <f t="shared" si="24"/>
        <v>7556100</v>
      </c>
      <c r="AB123" s="568"/>
      <c r="AC123" s="566">
        <f t="shared" si="25"/>
        <v>7556100</v>
      </c>
      <c r="AD123" s="227"/>
      <c r="AE123" s="1249">
        <v>23</v>
      </c>
      <c r="AF123" s="1233"/>
      <c r="AG123" s="1234"/>
      <c r="AH123" s="1223"/>
      <c r="AI123" s="567"/>
      <c r="AJ123" s="567"/>
      <c r="AK123" s="567"/>
      <c r="AL123" s="567"/>
      <c r="AM123" s="567"/>
      <c r="AN123" s="567"/>
    </row>
    <row r="124" spans="1:40" s="1244" customFormat="1" ht="33" customHeight="1">
      <c r="A124" s="1245">
        <v>107</v>
      </c>
      <c r="B124" s="1247">
        <v>24</v>
      </c>
      <c r="C124" s="1247" t="str">
        <f>'Chấm công KT'!C118</f>
        <v>03610</v>
      </c>
      <c r="D124" s="1247" t="str">
        <f>TONGHOPCONGDOI!C119</f>
        <v>N. Phon</v>
      </c>
      <c r="E124" s="1247" t="s">
        <v>26</v>
      </c>
      <c r="F124" s="1248"/>
      <c r="G124" s="227">
        <f t="shared" si="22"/>
        <v>0</v>
      </c>
      <c r="H124" s="227">
        <f>VLOOKUP(D124,TONGHOPCONGDOI!C119:AD160,16,0)</f>
        <v>3600</v>
      </c>
      <c r="I124" s="227">
        <f>VLOOKUP(D124,TONGHOPCONGDOI!C119:AD160,18,0)</f>
        <v>0</v>
      </c>
      <c r="J124" s="227"/>
      <c r="K124" s="561">
        <f t="shared" si="23"/>
        <v>1574.7312885659298</v>
      </c>
      <c r="L124" s="931">
        <f>'SẢN LƯỢNG'!AP122</f>
        <v>125.96291124439551</v>
      </c>
      <c r="M124" s="931">
        <f>'SẢN LƯỢNG'!AQ122</f>
        <v>1700.6941998103257</v>
      </c>
      <c r="N124" s="562" t="str">
        <f>VLOOKUP(D124,'SẢN LƯỢNG'!$D$98:$AR$160,41,0)</f>
        <v>B</v>
      </c>
      <c r="O124" s="1231">
        <f t="shared" si="26"/>
        <v>6026920</v>
      </c>
      <c r="P124" s="564">
        <f>VLOOKUP(D124,TONGHOPCONGDOI!$C$96:$AD$153,20,0)</f>
        <v>27</v>
      </c>
      <c r="Q124" s="564">
        <f>VLOOKUP(D124,TONGHOPCONGDOI!$C$96:$AD$153,21,0)</f>
        <v>1</v>
      </c>
      <c r="R124" s="564">
        <f>VLOOKUP(D124,TONGHOPCONGDOI!$C$96:$AD$153,22,0)</f>
        <v>0</v>
      </c>
      <c r="S124" s="564">
        <f>VLOOKUP(D124,TONGHOPCONGDOI!$C$96:$AD$153,23,0)</f>
        <v>3</v>
      </c>
      <c r="T124" s="564">
        <f>VLOOKUP(D124,TONGHOPCONGDOI!$C$96:$AD$153,24,0)</f>
        <v>0</v>
      </c>
      <c r="U124" s="564">
        <f>VLOOKUP(D124,TONGHOPCONGDOI!$C$96:$AD$153,25,0)</f>
        <v>0</v>
      </c>
      <c r="V124" s="564"/>
      <c r="W124" s="1229">
        <f t="shared" si="27"/>
        <v>3</v>
      </c>
      <c r="X124" s="1232"/>
      <c r="Y124" s="1232"/>
      <c r="Z124" s="564">
        <f t="shared" si="28"/>
        <v>1476709</v>
      </c>
      <c r="AA124" s="564">
        <f t="shared" si="24"/>
        <v>7503629</v>
      </c>
      <c r="AB124" s="568"/>
      <c r="AC124" s="566">
        <f t="shared" si="25"/>
        <v>7503629</v>
      </c>
      <c r="AD124" s="227"/>
      <c r="AE124" s="1249">
        <v>24</v>
      </c>
      <c r="AF124" s="1233"/>
      <c r="AG124" s="1234"/>
      <c r="AH124" s="1223"/>
      <c r="AI124" s="567"/>
      <c r="AJ124" s="567"/>
      <c r="AK124" s="567"/>
      <c r="AL124" s="567"/>
      <c r="AM124" s="567"/>
      <c r="AN124" s="567"/>
    </row>
    <row r="125" spans="1:40" s="1244" customFormat="1" ht="33" customHeight="1">
      <c r="A125" s="1245">
        <v>108</v>
      </c>
      <c r="B125" s="1246">
        <v>25</v>
      </c>
      <c r="C125" s="1247" t="str">
        <f>'Chấm công KT'!C119</f>
        <v>04076</v>
      </c>
      <c r="D125" s="1247" t="str">
        <f>TONGHOPCONGDOI!C120</f>
        <v xml:space="preserve">N. Bun </v>
      </c>
      <c r="E125" s="1247" t="s">
        <v>26</v>
      </c>
      <c r="F125" s="1248"/>
      <c r="G125" s="227">
        <f t="shared" si="22"/>
        <v>0</v>
      </c>
      <c r="H125" s="227">
        <f>VLOOKUP(D125,TONGHOPCONGDOI!C120:AD160,16,0)</f>
        <v>4260</v>
      </c>
      <c r="I125" s="227">
        <f>VLOOKUP(D125,TONGHOPCONGDOI!C120:AD160,18,0)</f>
        <v>0</v>
      </c>
      <c r="J125" s="227"/>
      <c r="K125" s="561">
        <f t="shared" si="23"/>
        <v>1863.4320248030169</v>
      </c>
      <c r="L125" s="931">
        <f>'SẢN LƯỢNG'!AP123</f>
        <v>156.31501047300998</v>
      </c>
      <c r="M125" s="931">
        <f>'SẢN LƯỢNG'!AQ123</f>
        <v>2019.7470352760272</v>
      </c>
      <c r="N125" s="562" t="str">
        <f>VLOOKUP(D125,'SẢN LƯỢNG'!$D$98:$AR$160,41,0)</f>
        <v>A</v>
      </c>
      <c r="O125" s="1231">
        <f t="shared" si="26"/>
        <v>7527799</v>
      </c>
      <c r="P125" s="564">
        <f>VLOOKUP(D125,TONGHOPCONGDOI!$C$96:$AD$153,20,0)</f>
        <v>27</v>
      </c>
      <c r="Q125" s="564">
        <f>VLOOKUP(D125,TONGHOPCONGDOI!$C$96:$AD$153,21,0)</f>
        <v>1</v>
      </c>
      <c r="R125" s="564">
        <f>VLOOKUP(D125,TONGHOPCONGDOI!$C$96:$AD$153,22,0)</f>
        <v>0</v>
      </c>
      <c r="S125" s="564">
        <f>VLOOKUP(D125,TONGHOPCONGDOI!$C$96:$AD$153,23,0)</f>
        <v>3</v>
      </c>
      <c r="T125" s="564">
        <f>VLOOKUP(D125,TONGHOPCONGDOI!$C$96:$AD$153,24,0)</f>
        <v>0</v>
      </c>
      <c r="U125" s="564">
        <f>VLOOKUP(D125,TONGHOPCONGDOI!$C$96:$AD$153,25,0)</f>
        <v>0</v>
      </c>
      <c r="V125" s="564"/>
      <c r="W125" s="1229">
        <f t="shared" si="27"/>
        <v>3</v>
      </c>
      <c r="X125" s="1232"/>
      <c r="Y125" s="1232"/>
      <c r="Z125" s="564">
        <f t="shared" si="28"/>
        <v>1476709</v>
      </c>
      <c r="AA125" s="564">
        <f t="shared" si="24"/>
        <v>9004508</v>
      </c>
      <c r="AB125" s="568"/>
      <c r="AC125" s="566">
        <f t="shared" si="25"/>
        <v>9004508</v>
      </c>
      <c r="AD125" s="227"/>
      <c r="AE125" s="1249">
        <v>25</v>
      </c>
      <c r="AF125" s="1233"/>
      <c r="AG125" s="1234"/>
      <c r="AH125" s="1223"/>
      <c r="AI125" s="567"/>
      <c r="AJ125" s="567"/>
      <c r="AK125" s="567"/>
      <c r="AL125" s="567"/>
      <c r="AM125" s="567"/>
      <c r="AN125" s="567"/>
    </row>
    <row r="126" spans="1:40" s="1244" customFormat="1" ht="33" customHeight="1">
      <c r="A126" s="1245">
        <v>109</v>
      </c>
      <c r="B126" s="1247">
        <v>26</v>
      </c>
      <c r="C126" s="1247" t="str">
        <f>'Chấm công KT'!C120</f>
        <v>03612</v>
      </c>
      <c r="D126" s="1247" t="str">
        <f>TONGHOPCONGDOI!C121</f>
        <v>N. Phu Văn</v>
      </c>
      <c r="E126" s="1247" t="s">
        <v>26</v>
      </c>
      <c r="F126" s="1248"/>
      <c r="G126" s="227">
        <f t="shared" si="22"/>
        <v>0</v>
      </c>
      <c r="H126" s="227">
        <f>VLOOKUP(D126,TONGHOPCONGDOI!C121:AD160,16,0)</f>
        <v>4453</v>
      </c>
      <c r="I126" s="227">
        <f>VLOOKUP(D126,TONGHOPCONGDOI!C121:AD160,18,0)</f>
        <v>0</v>
      </c>
      <c r="J126" s="227"/>
      <c r="K126" s="561">
        <f t="shared" si="23"/>
        <v>1947.8551188844681</v>
      </c>
      <c r="L126" s="931">
        <f>'SẢN LƯỢNG'!AP124</f>
        <v>152.13437418508212</v>
      </c>
      <c r="M126" s="931">
        <f>'SẢN LƯỢNG'!AQ124</f>
        <v>2099.9894930695505</v>
      </c>
      <c r="N126" s="562" t="str">
        <f>VLOOKUP(D126,'SẢN LƯỢNG'!$D$98:$AR$160,41,0)</f>
        <v>A</v>
      </c>
      <c r="O126" s="1231">
        <f t="shared" si="26"/>
        <v>7826871</v>
      </c>
      <c r="P126" s="564">
        <f>VLOOKUP(D126,TONGHOPCONGDOI!$C$96:$AD$153,20,0)</f>
        <v>27</v>
      </c>
      <c r="Q126" s="564">
        <f>VLOOKUP(D126,TONGHOPCONGDOI!$C$96:$AD$153,21,0)</f>
        <v>1</v>
      </c>
      <c r="R126" s="564">
        <f>VLOOKUP(D126,TONGHOPCONGDOI!$C$96:$AD$153,22,0)</f>
        <v>0</v>
      </c>
      <c r="S126" s="564">
        <f>VLOOKUP(D126,TONGHOPCONGDOI!$C$96:$AD$153,23,0)</f>
        <v>3</v>
      </c>
      <c r="T126" s="564">
        <f>VLOOKUP(D126,TONGHOPCONGDOI!$C$96:$AD$153,24,0)</f>
        <v>0</v>
      </c>
      <c r="U126" s="564">
        <f>VLOOKUP(D126,TONGHOPCONGDOI!$C$96:$AD$153,25,0)</f>
        <v>0</v>
      </c>
      <c r="V126" s="564"/>
      <c r="W126" s="1229">
        <f t="shared" si="27"/>
        <v>3</v>
      </c>
      <c r="X126" s="1232"/>
      <c r="Y126" s="1232"/>
      <c r="Z126" s="564">
        <f t="shared" si="28"/>
        <v>1476709</v>
      </c>
      <c r="AA126" s="564">
        <f t="shared" si="24"/>
        <v>9303580</v>
      </c>
      <c r="AB126" s="568"/>
      <c r="AC126" s="566">
        <f t="shared" si="25"/>
        <v>9303580</v>
      </c>
      <c r="AD126" s="227"/>
      <c r="AE126" s="1249">
        <v>26</v>
      </c>
      <c r="AF126" s="1233"/>
      <c r="AG126" s="1234"/>
      <c r="AH126" s="1223"/>
      <c r="AI126" s="567"/>
      <c r="AJ126" s="567"/>
      <c r="AK126" s="567"/>
      <c r="AL126" s="567"/>
      <c r="AM126" s="567"/>
      <c r="AN126" s="567"/>
    </row>
    <row r="127" spans="1:40" s="1244" customFormat="1" ht="33" customHeight="1">
      <c r="A127" s="1245">
        <v>110</v>
      </c>
      <c r="B127" s="1246">
        <v>27</v>
      </c>
      <c r="C127" s="1247" t="str">
        <f>'Chấm công KT'!C121</f>
        <v>03613</v>
      </c>
      <c r="D127" s="1247" t="str">
        <f>TONGHOPCONGDOI!C122</f>
        <v>N. Lỷ</v>
      </c>
      <c r="E127" s="1247" t="s">
        <v>26</v>
      </c>
      <c r="F127" s="1248"/>
      <c r="G127" s="227">
        <f t="shared" si="22"/>
        <v>0</v>
      </c>
      <c r="H127" s="227">
        <f>VLOOKUP(D127,TONGHOPCONGDOI!C122:AD160,16,0)</f>
        <v>5145</v>
      </c>
      <c r="I127" s="227">
        <f>VLOOKUP(D127,TONGHOPCONGDOI!C122:AD160,18,0)</f>
        <v>0</v>
      </c>
      <c r="J127" s="227"/>
      <c r="K127" s="561">
        <f t="shared" si="23"/>
        <v>2250.5534665754744</v>
      </c>
      <c r="L127" s="931">
        <f>'SẢN LƯỢNG'!AP125</f>
        <v>186.87104317908432</v>
      </c>
      <c r="M127" s="931">
        <f>'SẢN LƯỢNG'!AQ125</f>
        <v>2437.424509754559</v>
      </c>
      <c r="N127" s="562" t="str">
        <f>VLOOKUP(D127,'SẢN LƯỢNG'!$D$98:$AR$160,41,0)</f>
        <v>A</v>
      </c>
      <c r="O127" s="1231">
        <f t="shared" si="26"/>
        <v>9084525</v>
      </c>
      <c r="P127" s="564">
        <f>VLOOKUP(D127,TONGHOPCONGDOI!$C$96:$AD$153,20,0)</f>
        <v>27</v>
      </c>
      <c r="Q127" s="564">
        <f>VLOOKUP(D127,TONGHOPCONGDOI!$C$96:$AD$153,21,0)</f>
        <v>1</v>
      </c>
      <c r="R127" s="564">
        <f>VLOOKUP(D127,TONGHOPCONGDOI!$C$96:$AD$153,22,0)</f>
        <v>0</v>
      </c>
      <c r="S127" s="564">
        <f>VLOOKUP(D127,TONGHOPCONGDOI!$C$96:$AD$153,23,0)</f>
        <v>3</v>
      </c>
      <c r="T127" s="564">
        <f>VLOOKUP(D127,TONGHOPCONGDOI!$C$96:$AD$153,24,0)</f>
        <v>0</v>
      </c>
      <c r="U127" s="564">
        <f>VLOOKUP(D127,TONGHOPCONGDOI!$C$96:$AD$153,25,0)</f>
        <v>0</v>
      </c>
      <c r="V127" s="564"/>
      <c r="W127" s="1229">
        <f t="shared" si="27"/>
        <v>3</v>
      </c>
      <c r="X127" s="1232"/>
      <c r="Y127" s="1232"/>
      <c r="Z127" s="564">
        <f t="shared" si="28"/>
        <v>1476709</v>
      </c>
      <c r="AA127" s="564">
        <f t="shared" si="24"/>
        <v>10561234</v>
      </c>
      <c r="AB127" s="568"/>
      <c r="AC127" s="566">
        <f t="shared" si="25"/>
        <v>10561234</v>
      </c>
      <c r="AD127" s="227"/>
      <c r="AE127" s="1249">
        <v>27</v>
      </c>
      <c r="AF127" s="1233"/>
      <c r="AG127" s="1234"/>
      <c r="AH127" s="1223"/>
      <c r="AI127" s="567"/>
      <c r="AJ127" s="567"/>
      <c r="AK127" s="567"/>
      <c r="AL127" s="567"/>
      <c r="AM127" s="567"/>
      <c r="AN127" s="567"/>
    </row>
    <row r="128" spans="1:40" s="1244" customFormat="1" ht="33" customHeight="1">
      <c r="A128" s="1245">
        <v>111</v>
      </c>
      <c r="B128" s="1247">
        <v>28</v>
      </c>
      <c r="C128" s="1247" t="str">
        <f>'Chấm công KT'!C122</f>
        <v>04077</v>
      </c>
      <c r="D128" s="1247" t="str">
        <f>TONGHOPCONGDOI!C123</f>
        <v>N. Quen</v>
      </c>
      <c r="E128" s="1247" t="s">
        <v>26</v>
      </c>
      <c r="F128" s="1248"/>
      <c r="G128" s="227">
        <f t="shared" si="22"/>
        <v>0</v>
      </c>
      <c r="H128" s="227">
        <f>VLOOKUP(D128,TONGHOPCONGDOI!C123:AD160,16,0)</f>
        <v>4697</v>
      </c>
      <c r="I128" s="227">
        <f>VLOOKUP(D128,TONGHOPCONGDOI!C123:AD160,18,0)</f>
        <v>0</v>
      </c>
      <c r="J128" s="227"/>
      <c r="K128" s="561">
        <f t="shared" si="23"/>
        <v>2054.5869062206034</v>
      </c>
      <c r="L128" s="931">
        <f>'SẢN LƯỢNG'!AP126</f>
        <v>147.40991529059454</v>
      </c>
      <c r="M128" s="931">
        <f>'SẢN LƯỢNG'!AQ126</f>
        <v>2201.9968215111985</v>
      </c>
      <c r="N128" s="562" t="str">
        <f>VLOOKUP(D128,'SẢN LƯỢNG'!$D$98:$AR$160,41,0)</f>
        <v>A</v>
      </c>
      <c r="O128" s="1231">
        <f t="shared" si="26"/>
        <v>8207062</v>
      </c>
      <c r="P128" s="564">
        <f>VLOOKUP(D128,TONGHOPCONGDOI!$C$96:$AD$153,20,0)</f>
        <v>27</v>
      </c>
      <c r="Q128" s="564">
        <f>VLOOKUP(D128,TONGHOPCONGDOI!$C$96:$AD$153,21,0)</f>
        <v>2</v>
      </c>
      <c r="R128" s="564">
        <f>VLOOKUP(D128,TONGHOPCONGDOI!$C$96:$AD$153,22,0)</f>
        <v>0</v>
      </c>
      <c r="S128" s="564">
        <f>VLOOKUP(D128,TONGHOPCONGDOI!$C$96:$AD$153,23,0)</f>
        <v>2</v>
      </c>
      <c r="T128" s="564">
        <f>VLOOKUP(D128,TONGHOPCONGDOI!$C$96:$AD$153,24,0)</f>
        <v>0</v>
      </c>
      <c r="U128" s="564">
        <f>VLOOKUP(D128,TONGHOPCONGDOI!$C$96:$AD$153,25,0)</f>
        <v>0</v>
      </c>
      <c r="V128" s="564"/>
      <c r="W128" s="1229">
        <f t="shared" si="27"/>
        <v>2</v>
      </c>
      <c r="X128" s="1232"/>
      <c r="Y128" s="1232"/>
      <c r="Z128" s="564">
        <f t="shared" si="28"/>
        <v>1325958</v>
      </c>
      <c r="AA128" s="564">
        <f t="shared" si="24"/>
        <v>9533020</v>
      </c>
      <c r="AB128" s="568"/>
      <c r="AC128" s="566">
        <f t="shared" si="25"/>
        <v>9533020</v>
      </c>
      <c r="AD128" s="227"/>
      <c r="AE128" s="1249">
        <v>28</v>
      </c>
      <c r="AF128" s="1233"/>
      <c r="AG128" s="1234"/>
      <c r="AH128" s="1223"/>
      <c r="AI128" s="567"/>
      <c r="AJ128" s="567"/>
      <c r="AK128" s="567"/>
      <c r="AL128" s="567"/>
      <c r="AM128" s="567"/>
      <c r="AN128" s="567"/>
    </row>
    <row r="129" spans="1:40" s="1244" customFormat="1" ht="33" customHeight="1">
      <c r="A129" s="1245">
        <v>112</v>
      </c>
      <c r="B129" s="1246">
        <v>29</v>
      </c>
      <c r="C129" s="1247" t="str">
        <f>'Chấm công KT'!C123</f>
        <v>03615</v>
      </c>
      <c r="D129" s="1247" t="str">
        <f>TONGHOPCONGDOI!C124</f>
        <v>T. Xi Nuôn</v>
      </c>
      <c r="E129" s="1247" t="s">
        <v>26</v>
      </c>
      <c r="F129" s="1248"/>
      <c r="G129" s="227">
        <f t="shared" si="22"/>
        <v>0</v>
      </c>
      <c r="H129" s="227">
        <f>VLOOKUP(D129,TONGHOPCONGDOI!C124:AD160,16,0)</f>
        <v>3585</v>
      </c>
      <c r="I129" s="227">
        <f>VLOOKUP(D129,TONGHOPCONGDOI!C124:AD160,18,0)</f>
        <v>0</v>
      </c>
      <c r="J129" s="227"/>
      <c r="K129" s="561">
        <f t="shared" si="23"/>
        <v>1568.169908196905</v>
      </c>
      <c r="L129" s="931">
        <f>'SẢN LƯỢNG'!AP127</f>
        <v>127.22050102206487</v>
      </c>
      <c r="M129" s="931">
        <f>'SẢN LƯỢNG'!AQ127</f>
        <v>1695.3904092189703</v>
      </c>
      <c r="N129" s="562" t="str">
        <f>VLOOKUP(D129,'SẢN LƯỢNG'!$D$98:$AR$160,41,0)</f>
        <v>A</v>
      </c>
      <c r="O129" s="1231">
        <f t="shared" si="26"/>
        <v>6318890</v>
      </c>
      <c r="P129" s="564">
        <f>VLOOKUP(D129,TONGHOPCONGDOI!$C$96:$AD$153,20,0)</f>
        <v>27</v>
      </c>
      <c r="Q129" s="564">
        <f>VLOOKUP(D129,TONGHOPCONGDOI!$C$96:$AD$153,21,0)</f>
        <v>1</v>
      </c>
      <c r="R129" s="564">
        <f>VLOOKUP(D129,TONGHOPCONGDOI!$C$96:$AD$153,22,0)</f>
        <v>0</v>
      </c>
      <c r="S129" s="564">
        <f>VLOOKUP(D129,TONGHOPCONGDOI!$C$96:$AD$153,23,0)</f>
        <v>3</v>
      </c>
      <c r="T129" s="564">
        <f>VLOOKUP(D129,TONGHOPCONGDOI!$C$96:$AD$153,24,0)</f>
        <v>0</v>
      </c>
      <c r="U129" s="564">
        <f>VLOOKUP(D129,TONGHOPCONGDOI!$C$96:$AD$153,25,0)</f>
        <v>0</v>
      </c>
      <c r="V129" s="564"/>
      <c r="W129" s="1229">
        <f t="shared" si="27"/>
        <v>3</v>
      </c>
      <c r="X129" s="1232"/>
      <c r="Y129" s="1232"/>
      <c r="Z129" s="564">
        <f t="shared" si="28"/>
        <v>1476709</v>
      </c>
      <c r="AA129" s="564">
        <f t="shared" si="24"/>
        <v>7795599</v>
      </c>
      <c r="AB129" s="568"/>
      <c r="AC129" s="566">
        <f t="shared" si="25"/>
        <v>7795599</v>
      </c>
      <c r="AD129" s="227"/>
      <c r="AE129" s="1249">
        <v>29</v>
      </c>
      <c r="AF129" s="1233"/>
      <c r="AG129" s="1234"/>
      <c r="AH129" s="1223"/>
      <c r="AI129" s="567"/>
      <c r="AJ129" s="567"/>
      <c r="AK129" s="567"/>
      <c r="AL129" s="567"/>
      <c r="AM129" s="567"/>
      <c r="AN129" s="567"/>
    </row>
    <row r="130" spans="1:40" s="1244" customFormat="1" ht="33" customHeight="1">
      <c r="A130" s="1245">
        <v>113</v>
      </c>
      <c r="B130" s="1247">
        <v>30</v>
      </c>
      <c r="C130" s="1247" t="str">
        <f>'Chấm công KT'!C124</f>
        <v>03616</v>
      </c>
      <c r="D130" s="1247" t="str">
        <f>TONGHOPCONGDOI!C125</f>
        <v>N. Ốc</v>
      </c>
      <c r="E130" s="1247" t="s">
        <v>26</v>
      </c>
      <c r="F130" s="1248"/>
      <c r="G130" s="227">
        <f t="shared" si="22"/>
        <v>0</v>
      </c>
      <c r="H130" s="227">
        <f>VLOOKUP(D130,TONGHOPCONGDOI!C125:AD160,16,0)</f>
        <v>4983</v>
      </c>
      <c r="I130" s="227">
        <f>VLOOKUP(D130,TONGHOPCONGDOI!C125:AD160,18,0)</f>
        <v>0</v>
      </c>
      <c r="J130" s="227"/>
      <c r="K130" s="561">
        <f t="shared" si="23"/>
        <v>2179.6905585900076</v>
      </c>
      <c r="L130" s="931">
        <f>'SẢN LƯỢNG'!AP128</f>
        <v>187.61879926310394</v>
      </c>
      <c r="M130" s="931">
        <f>'SẢN LƯỢNG'!AQ128</f>
        <v>2367.309357853112</v>
      </c>
      <c r="N130" s="562" t="str">
        <f>VLOOKUP(D130,'SẢN LƯỢNG'!$D$98:$AR$160,41,0)</f>
        <v>A</v>
      </c>
      <c r="O130" s="1231">
        <f t="shared" si="26"/>
        <v>8823199</v>
      </c>
      <c r="P130" s="564">
        <f>VLOOKUP(D130,TONGHOPCONGDOI!$C$96:$AD$153,20,0)</f>
        <v>27</v>
      </c>
      <c r="Q130" s="564">
        <f>VLOOKUP(D130,TONGHOPCONGDOI!$C$96:$AD$153,21,0)</f>
        <v>1</v>
      </c>
      <c r="R130" s="564">
        <f>VLOOKUP(D130,TONGHOPCONGDOI!$C$96:$AD$153,22,0)</f>
        <v>0</v>
      </c>
      <c r="S130" s="564">
        <f>VLOOKUP(D130,TONGHOPCONGDOI!$C$96:$AD$153,23,0)</f>
        <v>3</v>
      </c>
      <c r="T130" s="564">
        <f>VLOOKUP(D130,TONGHOPCONGDOI!$C$96:$AD$153,24,0)</f>
        <v>0</v>
      </c>
      <c r="U130" s="564">
        <f>VLOOKUP(D130,TONGHOPCONGDOI!$C$96:$AD$153,25,0)</f>
        <v>0</v>
      </c>
      <c r="V130" s="564"/>
      <c r="W130" s="1229">
        <f t="shared" si="27"/>
        <v>3</v>
      </c>
      <c r="X130" s="1232"/>
      <c r="Y130" s="1232"/>
      <c r="Z130" s="564">
        <f t="shared" si="28"/>
        <v>1476709</v>
      </c>
      <c r="AA130" s="564">
        <f t="shared" si="24"/>
        <v>10299908</v>
      </c>
      <c r="AB130" s="568"/>
      <c r="AC130" s="566">
        <f t="shared" si="25"/>
        <v>10299908</v>
      </c>
      <c r="AD130" s="227"/>
      <c r="AE130" s="1249">
        <v>30</v>
      </c>
      <c r="AF130" s="1233"/>
      <c r="AG130" s="1234"/>
      <c r="AH130" s="1223"/>
      <c r="AI130" s="567"/>
      <c r="AJ130" s="567"/>
      <c r="AK130" s="567"/>
      <c r="AL130" s="567"/>
      <c r="AM130" s="567"/>
      <c r="AN130" s="567"/>
    </row>
    <row r="131" spans="1:40" s="1244" customFormat="1" ht="33" customHeight="1">
      <c r="A131" s="1245">
        <v>114</v>
      </c>
      <c r="B131" s="1246">
        <v>31</v>
      </c>
      <c r="C131" s="1247" t="str">
        <f>'Chấm công KT'!C125</f>
        <v>03617</v>
      </c>
      <c r="D131" s="1247" t="str">
        <f>TONGHOPCONGDOI!C126</f>
        <v>T. Văn Nô</v>
      </c>
      <c r="E131" s="1247" t="s">
        <v>26</v>
      </c>
      <c r="F131" s="1248"/>
      <c r="G131" s="227">
        <f t="shared" si="22"/>
        <v>0</v>
      </c>
      <c r="H131" s="227">
        <f>VLOOKUP(D131,TONGHOPCONGDOI!C126:AD160,16,0)</f>
        <v>4530</v>
      </c>
      <c r="I131" s="227">
        <f>VLOOKUP(D131,TONGHOPCONGDOI!C126:AD160,18,0)</f>
        <v>0</v>
      </c>
      <c r="J131" s="227"/>
      <c r="K131" s="561">
        <f t="shared" si="23"/>
        <v>1981.5368714454617</v>
      </c>
      <c r="L131" s="931">
        <f>'SẢN LƯỢNG'!AP129</f>
        <v>158.72822328961874</v>
      </c>
      <c r="M131" s="931">
        <f>'SẢN LƯỢNG'!AQ129</f>
        <v>2140.2650947350808</v>
      </c>
      <c r="N131" s="562" t="str">
        <f>VLOOKUP(D131,'SẢN LƯỢNG'!$D$98:$AR$160,41,0)</f>
        <v>A</v>
      </c>
      <c r="O131" s="1231">
        <f t="shared" si="26"/>
        <v>7976982</v>
      </c>
      <c r="P131" s="564">
        <f>VLOOKUP(D131,TONGHOPCONGDOI!$C$96:$AD$153,20,0)</f>
        <v>27</v>
      </c>
      <c r="Q131" s="564">
        <f>VLOOKUP(D131,TONGHOPCONGDOI!$C$96:$AD$153,21,0)</f>
        <v>1</v>
      </c>
      <c r="R131" s="564">
        <f>VLOOKUP(D131,TONGHOPCONGDOI!$C$96:$AD$153,22,0)</f>
        <v>0</v>
      </c>
      <c r="S131" s="564">
        <f>VLOOKUP(D131,TONGHOPCONGDOI!$C$96:$AD$153,23,0)</f>
        <v>3</v>
      </c>
      <c r="T131" s="564">
        <f>VLOOKUP(D131,TONGHOPCONGDOI!$C$96:$AD$153,24,0)</f>
        <v>0</v>
      </c>
      <c r="U131" s="564">
        <f>VLOOKUP(D131,TONGHOPCONGDOI!$C$96:$AD$153,25,0)</f>
        <v>0</v>
      </c>
      <c r="V131" s="564"/>
      <c r="W131" s="1229">
        <f t="shared" si="27"/>
        <v>3</v>
      </c>
      <c r="X131" s="1232"/>
      <c r="Y131" s="1232"/>
      <c r="Z131" s="564">
        <f t="shared" si="28"/>
        <v>1476709</v>
      </c>
      <c r="AA131" s="564">
        <f t="shared" si="24"/>
        <v>9453691</v>
      </c>
      <c r="AB131" s="568"/>
      <c r="AC131" s="566">
        <f t="shared" si="25"/>
        <v>9453691</v>
      </c>
      <c r="AD131" s="227"/>
      <c r="AE131" s="1249">
        <v>31</v>
      </c>
      <c r="AF131" s="1233"/>
      <c r="AG131" s="1234"/>
      <c r="AH131" s="1223"/>
      <c r="AI131" s="567"/>
      <c r="AJ131" s="567"/>
      <c r="AK131" s="567"/>
      <c r="AL131" s="567"/>
      <c r="AM131" s="567"/>
      <c r="AN131" s="567"/>
    </row>
    <row r="132" spans="1:40" s="1244" customFormat="1" ht="33" customHeight="1">
      <c r="A132" s="1245">
        <v>115</v>
      </c>
      <c r="B132" s="1247">
        <v>32</v>
      </c>
      <c r="C132" s="1247" t="str">
        <f>'Chấm công KT'!C126</f>
        <v>03618</v>
      </c>
      <c r="D132" s="1247" t="str">
        <f>TONGHOPCONGDOI!C127</f>
        <v>N. Văn Ta</v>
      </c>
      <c r="E132" s="1247" t="s">
        <v>26</v>
      </c>
      <c r="F132" s="1248"/>
      <c r="G132" s="227">
        <f t="shared" si="22"/>
        <v>0</v>
      </c>
      <c r="H132" s="227">
        <f>VLOOKUP(D132,TONGHOPCONGDOI!C127:AD160,16,0)</f>
        <v>3958</v>
      </c>
      <c r="I132" s="227">
        <f>VLOOKUP(D132,TONGHOPCONGDOI!C127:AD160,18,0)</f>
        <v>0</v>
      </c>
      <c r="J132" s="227"/>
      <c r="K132" s="561">
        <f t="shared" si="23"/>
        <v>1731.3295667066527</v>
      </c>
      <c r="L132" s="931">
        <f>'SẢN LƯỢNG'!AP130</f>
        <v>167.02151803965452</v>
      </c>
      <c r="M132" s="931">
        <f>'SẢN LƯỢNG'!AQ130</f>
        <v>1898.3510847463074</v>
      </c>
      <c r="N132" s="562" t="str">
        <f>VLOOKUP(D132,'SẢN LƯỢNG'!$D$98:$AR$160,41,0)</f>
        <v>A</v>
      </c>
      <c r="O132" s="1231">
        <f t="shared" si="26"/>
        <v>7075344</v>
      </c>
      <c r="P132" s="564">
        <f>VLOOKUP(D132,TONGHOPCONGDOI!$C$96:$AD$153,20,0)</f>
        <v>25</v>
      </c>
      <c r="Q132" s="564">
        <f>VLOOKUP(D132,TONGHOPCONGDOI!$C$96:$AD$153,21,0)</f>
        <v>2</v>
      </c>
      <c r="R132" s="564">
        <f>VLOOKUP(D132,TONGHOPCONGDOI!$C$96:$AD$153,22,0)</f>
        <v>0</v>
      </c>
      <c r="S132" s="564">
        <f>VLOOKUP(D132,TONGHOPCONGDOI!$C$96:$AD$153,23,0)</f>
        <v>2</v>
      </c>
      <c r="T132" s="564">
        <f>VLOOKUP(D132,TONGHOPCONGDOI!$C$96:$AD$153,24,0)</f>
        <v>0</v>
      </c>
      <c r="U132" s="564">
        <f>VLOOKUP(D132,TONGHOPCONGDOI!$C$96:$AD$153,25,0)</f>
        <v>0</v>
      </c>
      <c r="V132" s="564"/>
      <c r="W132" s="1229">
        <f t="shared" si="27"/>
        <v>2</v>
      </c>
      <c r="X132" s="1232"/>
      <c r="Y132" s="1232"/>
      <c r="Z132" s="564">
        <f t="shared" si="28"/>
        <v>1265109</v>
      </c>
      <c r="AA132" s="564">
        <f t="shared" si="24"/>
        <v>8340453</v>
      </c>
      <c r="AB132" s="568"/>
      <c r="AC132" s="566">
        <f t="shared" si="25"/>
        <v>8340453</v>
      </c>
      <c r="AD132" s="227"/>
      <c r="AE132" s="1249">
        <v>32</v>
      </c>
      <c r="AF132" s="1233"/>
      <c r="AG132" s="1234"/>
      <c r="AH132" s="1223"/>
      <c r="AI132" s="567"/>
      <c r="AJ132" s="567"/>
      <c r="AK132" s="567"/>
      <c r="AL132" s="567"/>
      <c r="AM132" s="567"/>
      <c r="AN132" s="567"/>
    </row>
    <row r="133" spans="1:40" s="1244" customFormat="1" ht="33" customHeight="1">
      <c r="A133" s="1245">
        <v>116</v>
      </c>
      <c r="B133" s="1246">
        <v>33</v>
      </c>
      <c r="C133" s="1247" t="str">
        <f>'Chấm công KT'!C127</f>
        <v>03619</v>
      </c>
      <c r="D133" s="1247" t="str">
        <f>TONGHOPCONGDOI!C128</f>
        <v>T. Thon</v>
      </c>
      <c r="E133" s="1247" t="s">
        <v>26</v>
      </c>
      <c r="F133" s="1248"/>
      <c r="G133" s="227">
        <f t="shared" si="22"/>
        <v>0</v>
      </c>
      <c r="H133" s="227">
        <f>VLOOKUP(D133,TONGHOPCONGDOI!C128:AD160,16,0)</f>
        <v>3969</v>
      </c>
      <c r="I133" s="227">
        <f>VLOOKUP(D133,TONGHOPCONGDOI!C128:AD160,18,0)</f>
        <v>0</v>
      </c>
      <c r="J133" s="227"/>
      <c r="K133" s="561">
        <f t="shared" ref="K133:K162" si="29">$AL$8/$AL$7*H133+I133*$AL$9+J133*$AL$10</f>
        <v>1736.1412456439375</v>
      </c>
      <c r="L133" s="931">
        <f>'SẢN LƯỢNG'!AP131</f>
        <v>122.69997560503718</v>
      </c>
      <c r="M133" s="931">
        <f>'SẢN LƯỢNG'!AQ131</f>
        <v>1858.841221248975</v>
      </c>
      <c r="N133" s="562" t="str">
        <f>VLOOKUP(D133,'SẢN LƯỢNG'!$D$98:$AR$160,41,0)</f>
        <v>A</v>
      </c>
      <c r="O133" s="1231">
        <f t="shared" si="26"/>
        <v>6928087</v>
      </c>
      <c r="P133" s="564">
        <f>VLOOKUP(D133,TONGHOPCONGDOI!$C$96:$AD$153,20,0)</f>
        <v>26</v>
      </c>
      <c r="Q133" s="564">
        <f>VLOOKUP(D133,TONGHOPCONGDOI!$C$96:$AD$153,21,0)</f>
        <v>1</v>
      </c>
      <c r="R133" s="564">
        <f>VLOOKUP(D133,TONGHOPCONGDOI!$C$96:$AD$153,22,0)</f>
        <v>0</v>
      </c>
      <c r="S133" s="564">
        <f>VLOOKUP(D133,TONGHOPCONGDOI!$C$96:$AD$153,23,0)</f>
        <v>3</v>
      </c>
      <c r="T133" s="564">
        <f>VLOOKUP(D133,TONGHOPCONGDOI!$C$96:$AD$153,24,0)</f>
        <v>0</v>
      </c>
      <c r="U133" s="564">
        <f>VLOOKUP(D133,TONGHOPCONGDOI!$C$96:$AD$153,25,0)</f>
        <v>0</v>
      </c>
      <c r="V133" s="564"/>
      <c r="W133" s="1229">
        <f t="shared" si="27"/>
        <v>3</v>
      </c>
      <c r="X133" s="1232"/>
      <c r="Y133" s="1232"/>
      <c r="Z133" s="564">
        <f t="shared" si="28"/>
        <v>1446285</v>
      </c>
      <c r="AA133" s="564">
        <f t="shared" ref="AA133:AA164" si="30">G133+O133+Z133</f>
        <v>8374372</v>
      </c>
      <c r="AB133" s="568"/>
      <c r="AC133" s="566">
        <f t="shared" si="25"/>
        <v>8374372</v>
      </c>
      <c r="AD133" s="227"/>
      <c r="AE133" s="1249">
        <v>33</v>
      </c>
      <c r="AF133" s="1233"/>
      <c r="AG133" s="1234"/>
      <c r="AH133" s="1223"/>
      <c r="AI133" s="567"/>
      <c r="AJ133" s="567"/>
      <c r="AK133" s="567"/>
      <c r="AL133" s="567"/>
      <c r="AM133" s="567"/>
      <c r="AN133" s="567"/>
    </row>
    <row r="134" spans="1:40" s="1244" customFormat="1" ht="33" customHeight="1">
      <c r="A134" s="1245">
        <v>117</v>
      </c>
      <c r="B134" s="1247">
        <v>34</v>
      </c>
      <c r="C134" s="1247" t="str">
        <f>'Chấm công KT'!C128</f>
        <v>03620</v>
      </c>
      <c r="D134" s="1247" t="str">
        <f>TONGHOPCONGDOI!C129</f>
        <v>Bun Thon</v>
      </c>
      <c r="E134" s="1247" t="s">
        <v>26</v>
      </c>
      <c r="F134" s="1248"/>
      <c r="G134" s="227">
        <f t="shared" si="22"/>
        <v>0</v>
      </c>
      <c r="H134" s="227">
        <f>VLOOKUP(D134,TONGHOPCONGDOI!C129:AD160,16,0)</f>
        <v>2800</v>
      </c>
      <c r="I134" s="227">
        <f>VLOOKUP(D134,TONGHOPCONGDOI!C129:AD160,18,0)</f>
        <v>0</v>
      </c>
      <c r="J134" s="227"/>
      <c r="K134" s="561">
        <f t="shared" si="29"/>
        <v>1224.7910022179453</v>
      </c>
      <c r="L134" s="931">
        <f>'SẢN LƯỢNG'!AP132</f>
        <v>127.05055645751496</v>
      </c>
      <c r="M134" s="931">
        <f>'SẢN LƯỢNG'!AQ132</f>
        <v>1351.8415586754604</v>
      </c>
      <c r="N134" s="562" t="str">
        <f>VLOOKUP(D134,'SẢN LƯỢNG'!$D$98:$AR$160,41,0)</f>
        <v>A</v>
      </c>
      <c r="O134" s="1231">
        <f t="shared" si="26"/>
        <v>5038449</v>
      </c>
      <c r="P134" s="564">
        <f>VLOOKUP(D134,TONGHOPCONGDOI!$C$96:$AD$153,20,0)</f>
        <v>23</v>
      </c>
      <c r="Q134" s="564">
        <f>VLOOKUP(D134,TONGHOPCONGDOI!$C$96:$AD$153,21,0)</f>
        <v>1</v>
      </c>
      <c r="R134" s="564">
        <f>VLOOKUP(D134,TONGHOPCONGDOI!$C$96:$AD$153,22,0)</f>
        <v>0</v>
      </c>
      <c r="S134" s="564">
        <f>VLOOKUP(D134,TONGHOPCONGDOI!$C$96:$AD$153,23,0)</f>
        <v>3</v>
      </c>
      <c r="T134" s="564">
        <f>VLOOKUP(D134,TONGHOPCONGDOI!$C$96:$AD$153,24,0)</f>
        <v>0</v>
      </c>
      <c r="U134" s="564">
        <f>VLOOKUP(D134,TONGHOPCONGDOI!$C$96:$AD$153,25,0)</f>
        <v>0</v>
      </c>
      <c r="V134" s="564"/>
      <c r="W134" s="1229">
        <f t="shared" si="27"/>
        <v>3</v>
      </c>
      <c r="X134" s="1232"/>
      <c r="Y134" s="1232"/>
      <c r="Z134" s="564">
        <f t="shared" si="28"/>
        <v>1355012</v>
      </c>
      <c r="AA134" s="564">
        <f t="shared" si="30"/>
        <v>6393461</v>
      </c>
      <c r="AB134" s="568"/>
      <c r="AC134" s="566">
        <f t="shared" si="25"/>
        <v>6393461</v>
      </c>
      <c r="AD134" s="227"/>
      <c r="AE134" s="1249">
        <v>34</v>
      </c>
      <c r="AF134" s="1233"/>
      <c r="AG134" s="1234"/>
      <c r="AH134" s="1223"/>
      <c r="AI134" s="567"/>
      <c r="AJ134" s="567"/>
      <c r="AK134" s="567"/>
      <c r="AL134" s="567"/>
      <c r="AM134" s="567"/>
      <c r="AN134" s="567"/>
    </row>
    <row r="135" spans="1:40" s="1244" customFormat="1" ht="33" customHeight="1">
      <c r="A135" s="1245">
        <v>118</v>
      </c>
      <c r="B135" s="1246">
        <v>35</v>
      </c>
      <c r="C135" s="1247" t="str">
        <f>'Chấm công KT'!C129</f>
        <v>04078</v>
      </c>
      <c r="D135" s="1247" t="str">
        <f>TONGHOPCONGDOI!C130</f>
        <v>Lăm Thong</v>
      </c>
      <c r="E135" s="1247" t="s">
        <v>26</v>
      </c>
      <c r="F135" s="1248"/>
      <c r="G135" s="227">
        <f t="shared" si="22"/>
        <v>0</v>
      </c>
      <c r="H135" s="227">
        <f>VLOOKUP(D135,TONGHOPCONGDOI!C130:AD160,16,0)</f>
        <v>3870</v>
      </c>
      <c r="I135" s="227">
        <f>VLOOKUP(D135,TONGHOPCONGDOI!C130:AD160,18,0)</f>
        <v>0</v>
      </c>
      <c r="J135" s="227"/>
      <c r="K135" s="561">
        <f t="shared" si="29"/>
        <v>1692.8361352083746</v>
      </c>
      <c r="L135" s="931">
        <f>'SẢN LƯỢNG'!AP133</f>
        <v>129.83764731613354</v>
      </c>
      <c r="M135" s="931">
        <f>'SẢN LƯỢNG'!AQ133</f>
        <v>1822.6737825245084</v>
      </c>
      <c r="N135" s="562" t="str">
        <f>VLOOKUP(D135,'SẢN LƯỢNG'!$D$98:$AR$160,41,0)</f>
        <v>A</v>
      </c>
      <c r="O135" s="1231">
        <f t="shared" si="26"/>
        <v>6793287</v>
      </c>
      <c r="P135" s="564">
        <f>VLOOKUP(D135,TONGHOPCONGDOI!$C$96:$AD$153,20,0)</f>
        <v>24</v>
      </c>
      <c r="Q135" s="564">
        <f>VLOOKUP(D135,TONGHOPCONGDOI!$C$96:$AD$153,21,0)</f>
        <v>1</v>
      </c>
      <c r="R135" s="564">
        <f>VLOOKUP(D135,TONGHOPCONGDOI!$C$96:$AD$153,22,0)</f>
        <v>0</v>
      </c>
      <c r="S135" s="564">
        <f>VLOOKUP(D135,TONGHOPCONGDOI!$C$96:$AD$153,23,0)</f>
        <v>3</v>
      </c>
      <c r="T135" s="564">
        <f>VLOOKUP(D135,TONGHOPCONGDOI!$C$96:$AD$153,24,0)</f>
        <v>0</v>
      </c>
      <c r="U135" s="564">
        <f>VLOOKUP(D135,TONGHOPCONGDOI!$C$96:$AD$153,25,0)</f>
        <v>0</v>
      </c>
      <c r="V135" s="564"/>
      <c r="W135" s="1229">
        <f t="shared" si="27"/>
        <v>3</v>
      </c>
      <c r="X135" s="1232"/>
      <c r="Y135" s="1232"/>
      <c r="Z135" s="564">
        <f t="shared" si="28"/>
        <v>1385436</v>
      </c>
      <c r="AA135" s="564">
        <f t="shared" si="30"/>
        <v>8178723</v>
      </c>
      <c r="AB135" s="568"/>
      <c r="AC135" s="566">
        <f t="shared" si="25"/>
        <v>8178723</v>
      </c>
      <c r="AD135" s="227"/>
      <c r="AE135" s="1249">
        <v>35</v>
      </c>
      <c r="AF135" s="1233"/>
      <c r="AG135" s="1234"/>
      <c r="AH135" s="1223"/>
      <c r="AI135" s="567"/>
      <c r="AJ135" s="567"/>
      <c r="AK135" s="567"/>
      <c r="AL135" s="567"/>
      <c r="AM135" s="567"/>
      <c r="AN135" s="567"/>
    </row>
    <row r="136" spans="1:40" s="1244" customFormat="1" ht="33" customHeight="1">
      <c r="A136" s="1245">
        <v>119</v>
      </c>
      <c r="B136" s="1247">
        <v>36</v>
      </c>
      <c r="C136" s="1247" t="str">
        <f>'Chấm công KT'!C130</f>
        <v>03622</v>
      </c>
      <c r="D136" s="1247" t="str">
        <f>TONGHOPCONGDOI!C131</f>
        <v>N. Xeo Khăm</v>
      </c>
      <c r="E136" s="1247" t="s">
        <v>26</v>
      </c>
      <c r="F136" s="1248"/>
      <c r="G136" s="227">
        <f t="shared" si="22"/>
        <v>0</v>
      </c>
      <c r="H136" s="227">
        <f>VLOOKUP(D136,TONGHOPCONGDOI!C131:AD160,16,0)</f>
        <v>5094</v>
      </c>
      <c r="I136" s="227">
        <f>VLOOKUP(D136,TONGHOPCONGDOI!C131:AD160,18,0)</f>
        <v>0</v>
      </c>
      <c r="J136" s="227"/>
      <c r="K136" s="561">
        <f t="shared" si="29"/>
        <v>2228.2447733207905</v>
      </c>
      <c r="L136" s="931">
        <f>'SẢN LƯỢNG'!AP134</f>
        <v>162.12711458061699</v>
      </c>
      <c r="M136" s="931">
        <f>'SẢN LƯỢNG'!AQ134</f>
        <v>2390.3718879014077</v>
      </c>
      <c r="N136" s="562" t="str">
        <f>VLOOKUP(D136,'SẢN LƯỢNG'!$D$98:$AR$160,41,0)</f>
        <v>A</v>
      </c>
      <c r="O136" s="1231">
        <f t="shared" si="26"/>
        <v>8909155</v>
      </c>
      <c r="P136" s="564">
        <f>VLOOKUP(D136,TONGHOPCONGDOI!$C$96:$AD$153,20,0)</f>
        <v>27</v>
      </c>
      <c r="Q136" s="564">
        <f>VLOOKUP(D136,TONGHOPCONGDOI!$C$96:$AD$153,21,0)</f>
        <v>1</v>
      </c>
      <c r="R136" s="564">
        <f>VLOOKUP(D136,TONGHOPCONGDOI!$C$96:$AD$153,22,0)</f>
        <v>0</v>
      </c>
      <c r="S136" s="564">
        <f>VLOOKUP(D136,TONGHOPCONGDOI!$C$96:$AD$153,23,0)</f>
        <v>3</v>
      </c>
      <c r="T136" s="564">
        <f>VLOOKUP(D136,TONGHOPCONGDOI!$C$96:$AD$153,24,0)</f>
        <v>0</v>
      </c>
      <c r="U136" s="564">
        <f>VLOOKUP(D136,TONGHOPCONGDOI!$C$96:$AD$153,25,0)</f>
        <v>0</v>
      </c>
      <c r="V136" s="564"/>
      <c r="W136" s="1229">
        <f t="shared" si="27"/>
        <v>3</v>
      </c>
      <c r="X136" s="1232"/>
      <c r="Y136" s="1232"/>
      <c r="Z136" s="564">
        <f t="shared" si="28"/>
        <v>1476709</v>
      </c>
      <c r="AA136" s="564">
        <f t="shared" si="30"/>
        <v>10385864</v>
      </c>
      <c r="AB136" s="568"/>
      <c r="AC136" s="566">
        <f t="shared" si="25"/>
        <v>10385864</v>
      </c>
      <c r="AD136" s="227"/>
      <c r="AE136" s="1249">
        <v>36</v>
      </c>
      <c r="AF136" s="1233"/>
      <c r="AG136" s="1234"/>
      <c r="AH136" s="1223"/>
      <c r="AI136" s="567"/>
      <c r="AJ136" s="567"/>
      <c r="AK136" s="567"/>
      <c r="AL136" s="567"/>
      <c r="AM136" s="567"/>
      <c r="AN136" s="567"/>
    </row>
    <row r="137" spans="1:40" s="1244" customFormat="1" ht="33" customHeight="1">
      <c r="A137" s="1245">
        <v>120</v>
      </c>
      <c r="B137" s="1246">
        <v>37</v>
      </c>
      <c r="C137" s="1247" t="str">
        <f>'Chấm công KT'!C131</f>
        <v>03623</v>
      </c>
      <c r="D137" s="1247" t="str">
        <f>TONGHOPCONGDOI!C132</f>
        <v>T. Khăm...</v>
      </c>
      <c r="E137" s="1247" t="s">
        <v>26</v>
      </c>
      <c r="F137" s="1248"/>
      <c r="G137" s="227">
        <f t="shared" si="22"/>
        <v>0</v>
      </c>
      <c r="H137" s="227">
        <f>VLOOKUP(D137,TONGHOPCONGDOI!C132:AD160,16,0)</f>
        <v>4669</v>
      </c>
      <c r="I137" s="227">
        <f>VLOOKUP(D137,TONGHOPCONGDOI!C132:AD160,18,0)</f>
        <v>0</v>
      </c>
      <c r="J137" s="227"/>
      <c r="K137" s="561">
        <f t="shared" si="29"/>
        <v>2042.338996198424</v>
      </c>
      <c r="L137" s="931">
        <f>'SẢN LƯỢNG'!AP135</f>
        <v>168.07517433986396</v>
      </c>
      <c r="M137" s="931">
        <f>'SẢN LƯỢNG'!AQ135</f>
        <v>2210.4141705382881</v>
      </c>
      <c r="N137" s="562" t="str">
        <f>VLOOKUP(D137,'SẢN LƯỢNG'!$D$98:$AR$160,41,0)</f>
        <v>A</v>
      </c>
      <c r="O137" s="1231">
        <f t="shared" si="26"/>
        <v>8238435</v>
      </c>
      <c r="P137" s="564">
        <f>VLOOKUP(D137,TONGHOPCONGDOI!$C$96:$AD$153,20,0)</f>
        <v>26</v>
      </c>
      <c r="Q137" s="564">
        <f>VLOOKUP(D137,TONGHOPCONGDOI!$C$96:$AD$153,21,0)</f>
        <v>1</v>
      </c>
      <c r="R137" s="564">
        <f>VLOOKUP(D137,TONGHOPCONGDOI!$C$96:$AD$153,22,0)</f>
        <v>0</v>
      </c>
      <c r="S137" s="564">
        <f>VLOOKUP(D137,TONGHOPCONGDOI!$C$96:$AD$153,23,0)</f>
        <v>2</v>
      </c>
      <c r="T137" s="564">
        <f>VLOOKUP(D137,TONGHOPCONGDOI!$C$96:$AD$153,24,0)</f>
        <v>0</v>
      </c>
      <c r="U137" s="564">
        <f>VLOOKUP(D137,TONGHOPCONGDOI!$C$96:$AD$153,25,0)</f>
        <v>0</v>
      </c>
      <c r="V137" s="564"/>
      <c r="W137" s="1229">
        <f t="shared" si="27"/>
        <v>2</v>
      </c>
      <c r="X137" s="1232"/>
      <c r="Y137" s="1232"/>
      <c r="Z137" s="564">
        <f t="shared" si="28"/>
        <v>1244783</v>
      </c>
      <c r="AA137" s="564">
        <f t="shared" si="30"/>
        <v>9483218</v>
      </c>
      <c r="AB137" s="568"/>
      <c r="AC137" s="566">
        <f t="shared" si="25"/>
        <v>9483218</v>
      </c>
      <c r="AD137" s="227"/>
      <c r="AE137" s="1249">
        <v>37</v>
      </c>
      <c r="AF137" s="1233"/>
      <c r="AG137" s="1234"/>
      <c r="AH137" s="1223"/>
      <c r="AI137" s="567"/>
      <c r="AJ137" s="567"/>
      <c r="AK137" s="567"/>
      <c r="AL137" s="567"/>
      <c r="AM137" s="567"/>
      <c r="AN137" s="567"/>
    </row>
    <row r="138" spans="1:40" s="1244" customFormat="1" ht="33" customHeight="1">
      <c r="A138" s="1245">
        <v>121</v>
      </c>
      <c r="B138" s="1247">
        <v>38</v>
      </c>
      <c r="C138" s="1247" t="str">
        <f>'Chấm công KT'!C132</f>
        <v>03532</v>
      </c>
      <c r="D138" s="1247" t="str">
        <f>TONGHOPCONGDOI!C133</f>
        <v>N. Túc</v>
      </c>
      <c r="E138" s="1247" t="s">
        <v>26</v>
      </c>
      <c r="F138" s="1248"/>
      <c r="G138" s="227">
        <f t="shared" si="22"/>
        <v>0</v>
      </c>
      <c r="H138" s="227">
        <f>VLOOKUP(D138,TONGHOPCONGDOI!C133:AD160,16,0)</f>
        <v>4316</v>
      </c>
      <c r="I138" s="227">
        <f>VLOOKUP(D138,TONGHOPCONGDOI!C133:AD160,18,0)</f>
        <v>0</v>
      </c>
      <c r="J138" s="227"/>
      <c r="K138" s="561">
        <f t="shared" si="29"/>
        <v>1887.9278448473758</v>
      </c>
      <c r="L138" s="931">
        <f>'SẢN LƯỢNG'!AP136</f>
        <v>149.89110593302325</v>
      </c>
      <c r="M138" s="931">
        <f>'SẢN LƯỢNG'!AQ136</f>
        <v>2037.8189507803993</v>
      </c>
      <c r="N138" s="562" t="str">
        <f>VLOOKUP(D138,'SẢN LƯỢNG'!$D$98:$AR$160,41,0)</f>
        <v>A</v>
      </c>
      <c r="O138" s="1231">
        <f t="shared" si="26"/>
        <v>7595155</v>
      </c>
      <c r="P138" s="564">
        <f>VLOOKUP(D138,TONGHOPCONGDOI!$C$96:$AD$153,20,0)</f>
        <v>27</v>
      </c>
      <c r="Q138" s="564">
        <f>VLOOKUP(D138,TONGHOPCONGDOI!$C$96:$AD$153,21,0)</f>
        <v>1</v>
      </c>
      <c r="R138" s="564">
        <f>VLOOKUP(D138,TONGHOPCONGDOI!$C$96:$AD$153,22,0)</f>
        <v>0</v>
      </c>
      <c r="S138" s="564">
        <f>VLOOKUP(D138,TONGHOPCONGDOI!$C$96:$AD$153,23,0)</f>
        <v>3</v>
      </c>
      <c r="T138" s="564">
        <f>VLOOKUP(D138,TONGHOPCONGDOI!$C$96:$AD$153,24,0)</f>
        <v>0</v>
      </c>
      <c r="U138" s="564">
        <f>VLOOKUP(D138,TONGHOPCONGDOI!$C$96:$AD$153,25,0)</f>
        <v>0</v>
      </c>
      <c r="V138" s="564"/>
      <c r="W138" s="1229">
        <f t="shared" si="27"/>
        <v>3</v>
      </c>
      <c r="X138" s="1232"/>
      <c r="Y138" s="1232"/>
      <c r="Z138" s="564">
        <f t="shared" si="28"/>
        <v>1476709</v>
      </c>
      <c r="AA138" s="564">
        <f t="shared" si="30"/>
        <v>9071864</v>
      </c>
      <c r="AB138" s="568"/>
      <c r="AC138" s="566">
        <f t="shared" si="25"/>
        <v>9071864</v>
      </c>
      <c r="AD138" s="227"/>
      <c r="AE138" s="1249">
        <v>38</v>
      </c>
      <c r="AF138" s="1233"/>
      <c r="AG138" s="1234"/>
      <c r="AH138" s="1223"/>
      <c r="AI138" s="567"/>
      <c r="AJ138" s="567"/>
      <c r="AK138" s="567"/>
      <c r="AL138" s="567"/>
      <c r="AM138" s="567"/>
      <c r="AN138" s="567"/>
    </row>
    <row r="139" spans="1:40" s="1244" customFormat="1" ht="33" customHeight="1">
      <c r="A139" s="1245">
        <v>122</v>
      </c>
      <c r="B139" s="1246">
        <v>39</v>
      </c>
      <c r="C139" s="1247" t="str">
        <f>'Chấm công KT'!C133</f>
        <v>03625</v>
      </c>
      <c r="D139" s="1247" t="str">
        <f>TONGHOPCONGDOI!C134</f>
        <v>N. Pheng</v>
      </c>
      <c r="E139" s="1247" t="s">
        <v>26</v>
      </c>
      <c r="F139" s="1248"/>
      <c r="G139" s="227">
        <f t="shared" si="22"/>
        <v>0</v>
      </c>
      <c r="H139" s="227">
        <f>VLOOKUP(D139,TONGHOPCONGDOI!C134:AD160,16,0)</f>
        <v>5368</v>
      </c>
      <c r="I139" s="227">
        <f>VLOOKUP(D139,TONGHOPCONGDOI!C134:AD160,18,0)</f>
        <v>0</v>
      </c>
      <c r="J139" s="227"/>
      <c r="K139" s="561">
        <f t="shared" si="29"/>
        <v>2348.0993213949755</v>
      </c>
      <c r="L139" s="931">
        <f>'SẢN LƯỢNG'!AP137</f>
        <v>170.3184425919228</v>
      </c>
      <c r="M139" s="931">
        <f>'SẢN LƯỢNG'!AQ137</f>
        <v>2518.4177639868985</v>
      </c>
      <c r="N139" s="562" t="str">
        <f>VLOOKUP(D139,'SẢN LƯỢNG'!$D$98:$AR$160,41,0)</f>
        <v>A</v>
      </c>
      <c r="O139" s="1231">
        <f t="shared" si="26"/>
        <v>9386395</v>
      </c>
      <c r="P139" s="564">
        <f>VLOOKUP(D139,TONGHOPCONGDOI!$C$96:$AD$153,20,0)</f>
        <v>27</v>
      </c>
      <c r="Q139" s="564">
        <f>VLOOKUP(D139,TONGHOPCONGDOI!$C$96:$AD$153,21,0)</f>
        <v>1</v>
      </c>
      <c r="R139" s="564">
        <f>VLOOKUP(D139,TONGHOPCONGDOI!$C$96:$AD$153,22,0)</f>
        <v>0</v>
      </c>
      <c r="S139" s="564">
        <f>VLOOKUP(D139,TONGHOPCONGDOI!$C$96:$AD$153,23,0)</f>
        <v>3</v>
      </c>
      <c r="T139" s="564">
        <f>VLOOKUP(D139,TONGHOPCONGDOI!$C$96:$AD$153,24,0)</f>
        <v>0</v>
      </c>
      <c r="U139" s="564">
        <f>VLOOKUP(D139,TONGHOPCONGDOI!$C$96:$AD$153,25,0)</f>
        <v>0</v>
      </c>
      <c r="V139" s="564"/>
      <c r="W139" s="1229">
        <f t="shared" si="27"/>
        <v>3</v>
      </c>
      <c r="X139" s="1232"/>
      <c r="Y139" s="1232"/>
      <c r="Z139" s="564">
        <f t="shared" si="28"/>
        <v>1476709</v>
      </c>
      <c r="AA139" s="564">
        <f t="shared" si="30"/>
        <v>10863104</v>
      </c>
      <c r="AB139" s="568"/>
      <c r="AC139" s="566">
        <f t="shared" si="25"/>
        <v>10863104</v>
      </c>
      <c r="AD139" s="227"/>
      <c r="AE139" s="1249">
        <v>39</v>
      </c>
      <c r="AF139" s="1233"/>
      <c r="AG139" s="1234"/>
      <c r="AH139" s="1223"/>
      <c r="AI139" s="567"/>
      <c r="AJ139" s="567"/>
      <c r="AK139" s="567"/>
      <c r="AL139" s="567"/>
      <c r="AM139" s="567"/>
      <c r="AN139" s="567"/>
    </row>
    <row r="140" spans="1:40" s="1244" customFormat="1" ht="33" customHeight="1">
      <c r="A140" s="1245">
        <v>123</v>
      </c>
      <c r="B140" s="1247">
        <v>40</v>
      </c>
      <c r="C140" s="1247" t="str">
        <f>'Chấm công KT'!C134</f>
        <v>03587</v>
      </c>
      <c r="D140" s="1247" t="str">
        <f>TONGHOPCONGDOI!C135</f>
        <v>N. Mom</v>
      </c>
      <c r="E140" s="1247" t="s">
        <v>26</v>
      </c>
      <c r="F140" s="1248"/>
      <c r="G140" s="227">
        <f t="shared" si="22"/>
        <v>0</v>
      </c>
      <c r="H140" s="227">
        <f>VLOOKUP(D140,TONGHOPCONGDOI!C135:AD160,16,0)</f>
        <v>4471</v>
      </c>
      <c r="I140" s="227">
        <f>VLOOKUP(D140,TONGHOPCONGDOI!C135:AD160,18,0)</f>
        <v>0</v>
      </c>
      <c r="J140" s="227"/>
      <c r="K140" s="561">
        <f t="shared" si="29"/>
        <v>1955.7287753272979</v>
      </c>
      <c r="L140" s="931">
        <f>'SẢN LƯỢNG'!AP138</f>
        <v>156.82484416665972</v>
      </c>
      <c r="M140" s="931">
        <f>'SẢN LƯỢNG'!AQ138</f>
        <v>2112.5536194939582</v>
      </c>
      <c r="N140" s="562" t="str">
        <f>VLOOKUP(D140,'SẢN LƯỢNG'!$D$98:$AR$160,41,0)</f>
        <v>A</v>
      </c>
      <c r="O140" s="1231">
        <f t="shared" si="26"/>
        <v>7873699</v>
      </c>
      <c r="P140" s="564">
        <f>VLOOKUP(D140,TONGHOPCONGDOI!$C$96:$AD$153,20,0)</f>
        <v>27</v>
      </c>
      <c r="Q140" s="564">
        <f>VLOOKUP(D140,TONGHOPCONGDOI!$C$96:$AD$153,21,0)</f>
        <v>1</v>
      </c>
      <c r="R140" s="564">
        <f>VLOOKUP(D140,TONGHOPCONGDOI!$C$96:$AD$153,22,0)</f>
        <v>0</v>
      </c>
      <c r="S140" s="564">
        <f>VLOOKUP(D140,TONGHOPCONGDOI!$C$96:$AD$153,23,0)</f>
        <v>3</v>
      </c>
      <c r="T140" s="564">
        <f>VLOOKUP(D140,TONGHOPCONGDOI!$C$96:$AD$153,24,0)</f>
        <v>0</v>
      </c>
      <c r="U140" s="564">
        <f>VLOOKUP(D140,TONGHOPCONGDOI!$C$96:$AD$153,25,0)</f>
        <v>0</v>
      </c>
      <c r="V140" s="564"/>
      <c r="W140" s="1229">
        <f t="shared" si="27"/>
        <v>3</v>
      </c>
      <c r="X140" s="1232"/>
      <c r="Y140" s="1232"/>
      <c r="Z140" s="564">
        <f t="shared" si="28"/>
        <v>1476709</v>
      </c>
      <c r="AA140" s="564">
        <f t="shared" si="30"/>
        <v>9350408</v>
      </c>
      <c r="AB140" s="568"/>
      <c r="AC140" s="566">
        <f t="shared" si="25"/>
        <v>9350408</v>
      </c>
      <c r="AD140" s="227"/>
      <c r="AE140" s="1249">
        <v>40</v>
      </c>
      <c r="AF140" s="1233"/>
      <c r="AG140" s="1234"/>
      <c r="AH140" s="1223"/>
      <c r="AI140" s="567"/>
      <c r="AJ140" s="567"/>
      <c r="AK140" s="567"/>
      <c r="AL140" s="567"/>
      <c r="AM140" s="567"/>
      <c r="AN140" s="567"/>
    </row>
    <row r="141" spans="1:40" s="1244" customFormat="1" ht="33" customHeight="1">
      <c r="A141" s="1245">
        <v>124</v>
      </c>
      <c r="B141" s="1246">
        <v>41</v>
      </c>
      <c r="C141" s="1247" t="str">
        <f>'Chấm công KT'!C135</f>
        <v>04079</v>
      </c>
      <c r="D141" s="1247" t="str">
        <f>TONGHOPCONGDOI!C136</f>
        <v>T. Môn</v>
      </c>
      <c r="E141" s="1247" t="s">
        <v>26</v>
      </c>
      <c r="F141" s="1248"/>
      <c r="G141" s="227">
        <f t="shared" si="22"/>
        <v>0</v>
      </c>
      <c r="H141" s="227">
        <f>VLOOKUP(D141,TONGHOPCONGDOI!C136:AD160,16,0)</f>
        <v>2898</v>
      </c>
      <c r="I141" s="227">
        <f>VLOOKUP(D141,TONGHOPCONGDOI!C136:AD160,18,0)</f>
        <v>0</v>
      </c>
      <c r="J141" s="227"/>
      <c r="K141" s="561">
        <f t="shared" si="29"/>
        <v>1267.6586872955734</v>
      </c>
      <c r="L141" s="931">
        <f>'SẢN LƯỢNG'!AP139</f>
        <v>109.51227739596393</v>
      </c>
      <c r="M141" s="931">
        <f>'SẢN LƯỢNG'!AQ139</f>
        <v>1377.1709646915376</v>
      </c>
      <c r="N141" s="562" t="str">
        <f>VLOOKUP(D141,'SẢN LƯỢNG'!$D$98:$AR$160,41,0)</f>
        <v>B</v>
      </c>
      <c r="O141" s="1231">
        <f t="shared" si="26"/>
        <v>4880418</v>
      </c>
      <c r="P141" s="564">
        <f>VLOOKUP(D141,TONGHOPCONGDOI!$C$96:$AD$153,20,0)</f>
        <v>27</v>
      </c>
      <c r="Q141" s="564">
        <f>VLOOKUP(D141,TONGHOPCONGDOI!$C$96:$AD$153,21,0)</f>
        <v>1</v>
      </c>
      <c r="R141" s="564">
        <f>VLOOKUP(D141,TONGHOPCONGDOI!$C$96:$AD$153,22,0)</f>
        <v>0</v>
      </c>
      <c r="S141" s="564">
        <f>VLOOKUP(D141,TONGHOPCONGDOI!$C$96:$AD$153,23,0)</f>
        <v>3</v>
      </c>
      <c r="T141" s="564">
        <f>VLOOKUP(D141,TONGHOPCONGDOI!$C$96:$AD$153,24,0)</f>
        <v>0</v>
      </c>
      <c r="U141" s="564">
        <f>VLOOKUP(D141,TONGHOPCONGDOI!$C$96:$AD$153,25,0)</f>
        <v>0</v>
      </c>
      <c r="V141" s="564"/>
      <c r="W141" s="1229">
        <f t="shared" si="27"/>
        <v>3</v>
      </c>
      <c r="X141" s="1232"/>
      <c r="Y141" s="1232"/>
      <c r="Z141" s="564">
        <f t="shared" si="28"/>
        <v>1476709</v>
      </c>
      <c r="AA141" s="564">
        <f t="shared" si="30"/>
        <v>6357127</v>
      </c>
      <c r="AB141" s="568"/>
      <c r="AC141" s="566">
        <f t="shared" si="25"/>
        <v>6357127</v>
      </c>
      <c r="AD141" s="227"/>
      <c r="AE141" s="1249">
        <v>41</v>
      </c>
      <c r="AF141" s="1233"/>
      <c r="AG141" s="1234"/>
      <c r="AH141" s="1223"/>
      <c r="AI141" s="567"/>
      <c r="AJ141" s="567"/>
      <c r="AK141" s="567"/>
      <c r="AL141" s="567"/>
      <c r="AM141" s="567"/>
      <c r="AN141" s="567"/>
    </row>
    <row r="142" spans="1:40" s="1244" customFormat="1" ht="33" customHeight="1">
      <c r="A142" s="1245">
        <v>125</v>
      </c>
      <c r="B142" s="1247">
        <v>42</v>
      </c>
      <c r="C142" s="1247" t="str">
        <f>'Chấm công KT'!C136</f>
        <v>03628</v>
      </c>
      <c r="D142" s="1247" t="str">
        <f>TONGHOPCONGDOI!C137</f>
        <v>Khăn Hạ</v>
      </c>
      <c r="E142" s="1247" t="s">
        <v>26</v>
      </c>
      <c r="F142" s="1248"/>
      <c r="G142" s="227">
        <f t="shared" si="22"/>
        <v>0</v>
      </c>
      <c r="H142" s="227">
        <f>VLOOKUP(D142,TONGHOPCONGDOI!C137:AD160,16,0)</f>
        <v>2976</v>
      </c>
      <c r="I142" s="227">
        <f>VLOOKUP(D142,TONGHOPCONGDOI!C137:AD160,18,0)</f>
        <v>0</v>
      </c>
      <c r="J142" s="227"/>
      <c r="K142" s="561">
        <f t="shared" si="29"/>
        <v>1301.7778652145021</v>
      </c>
      <c r="L142" s="931">
        <f>'SẢN LƯỢNG'!AP140</f>
        <v>131.50310404872269</v>
      </c>
      <c r="M142" s="931">
        <f>'SẢN LƯỢNG'!AQ140</f>
        <v>1433.280969263225</v>
      </c>
      <c r="N142" s="562" t="str">
        <f>VLOOKUP(D142,'SẢN LƯỢNG'!$D$98:$AR$160,41,0)</f>
        <v>B</v>
      </c>
      <c r="O142" s="1231">
        <f t="shared" si="26"/>
        <v>5079261</v>
      </c>
      <c r="P142" s="564">
        <f>VLOOKUP(D142,TONGHOPCONGDOI!$C$96:$AD$153,20,0)</f>
        <v>24</v>
      </c>
      <c r="Q142" s="564">
        <f>VLOOKUP(D142,TONGHOPCONGDOI!$C$96:$AD$153,21,0)</f>
        <v>1</v>
      </c>
      <c r="R142" s="564">
        <f>VLOOKUP(D142,TONGHOPCONGDOI!$C$96:$AD$153,22,0)</f>
        <v>0</v>
      </c>
      <c r="S142" s="564">
        <f>VLOOKUP(D142,TONGHOPCONGDOI!$C$96:$AD$153,23,0)</f>
        <v>2</v>
      </c>
      <c r="T142" s="564">
        <f>VLOOKUP(D142,TONGHOPCONGDOI!$C$96:$AD$153,24,0)</f>
        <v>0</v>
      </c>
      <c r="U142" s="564">
        <f>VLOOKUP(D142,TONGHOPCONGDOI!$C$96:$AD$153,25,0)</f>
        <v>0</v>
      </c>
      <c r="V142" s="564"/>
      <c r="W142" s="1229">
        <f t="shared" si="27"/>
        <v>2</v>
      </c>
      <c r="X142" s="1232"/>
      <c r="Y142" s="1232"/>
      <c r="Z142" s="564">
        <f t="shared" si="28"/>
        <v>1183934</v>
      </c>
      <c r="AA142" s="564">
        <f t="shared" si="30"/>
        <v>6263195</v>
      </c>
      <c r="AB142" s="568"/>
      <c r="AC142" s="566">
        <f t="shared" si="25"/>
        <v>6263195</v>
      </c>
      <c r="AD142" s="227"/>
      <c r="AE142" s="1249">
        <v>42</v>
      </c>
      <c r="AF142" s="1233"/>
      <c r="AG142" s="1234"/>
      <c r="AH142" s="1223"/>
      <c r="AI142" s="567"/>
      <c r="AJ142" s="567"/>
      <c r="AK142" s="567"/>
      <c r="AL142" s="567"/>
      <c r="AM142" s="567"/>
      <c r="AN142" s="567"/>
    </row>
    <row r="143" spans="1:40" s="1244" customFormat="1" ht="33" customHeight="1">
      <c r="A143" s="1245">
        <v>126</v>
      </c>
      <c r="B143" s="1246">
        <v>43</v>
      </c>
      <c r="C143" s="1247" t="str">
        <f>'Chấm công KT'!C137</f>
        <v>03629</v>
      </c>
      <c r="D143" s="1247" t="str">
        <f>TONGHOPCONGDOI!C138</f>
        <v>T. Chăn La .</v>
      </c>
      <c r="E143" s="1247" t="s">
        <v>26</v>
      </c>
      <c r="F143" s="1248"/>
      <c r="G143" s="227">
        <f t="shared" si="22"/>
        <v>0</v>
      </c>
      <c r="H143" s="227">
        <f>VLOOKUP(D143,TONGHOPCONGDOI!C138:AD160,16,0)</f>
        <v>3647</v>
      </c>
      <c r="I143" s="227">
        <f>VLOOKUP(D143,TONGHOPCONGDOI!C138:AD160,18,0)</f>
        <v>0</v>
      </c>
      <c r="J143" s="227"/>
      <c r="K143" s="561">
        <f t="shared" si="29"/>
        <v>1595.290280388874</v>
      </c>
      <c r="L143" s="931">
        <f>'SẢN LƯỢNG'!AP141</f>
        <v>106.45327523406552</v>
      </c>
      <c r="M143" s="931">
        <f>'SẢN LƯỢNG'!AQ141</f>
        <v>1701.7435556229398</v>
      </c>
      <c r="N143" s="562" t="str">
        <f>VLOOKUP(D143,'SẢN LƯỢNG'!$D$98:$AR$160,41,0)</f>
        <v>A</v>
      </c>
      <c r="O143" s="1231">
        <f t="shared" si="26"/>
        <v>6342568</v>
      </c>
      <c r="P143" s="564">
        <f>VLOOKUP(D143,TONGHOPCONGDOI!$C$96:$AD$153,20,0)</f>
        <v>26</v>
      </c>
      <c r="Q143" s="564">
        <f>VLOOKUP(D143,TONGHOPCONGDOI!$C$96:$AD$153,21,0)</f>
        <v>1</v>
      </c>
      <c r="R143" s="564">
        <f>VLOOKUP(D143,TONGHOPCONGDOI!$C$96:$AD$153,22,0)</f>
        <v>0</v>
      </c>
      <c r="S143" s="564">
        <f>VLOOKUP(D143,TONGHOPCONGDOI!$C$96:$AD$153,23,0)</f>
        <v>3</v>
      </c>
      <c r="T143" s="564">
        <f>VLOOKUP(D143,TONGHOPCONGDOI!$C$96:$AD$153,24,0)</f>
        <v>0</v>
      </c>
      <c r="U143" s="564">
        <f>VLOOKUP(D143,TONGHOPCONGDOI!$C$96:$AD$153,25,0)</f>
        <v>0</v>
      </c>
      <c r="V143" s="564"/>
      <c r="W143" s="1229">
        <f t="shared" si="27"/>
        <v>3</v>
      </c>
      <c r="X143" s="1232"/>
      <c r="Y143" s="1232"/>
      <c r="Z143" s="564">
        <f t="shared" si="28"/>
        <v>1446285</v>
      </c>
      <c r="AA143" s="564">
        <f t="shared" si="30"/>
        <v>7788853</v>
      </c>
      <c r="AB143" s="568"/>
      <c r="AC143" s="566">
        <f t="shared" si="25"/>
        <v>7788853</v>
      </c>
      <c r="AD143" s="227"/>
      <c r="AE143" s="1249">
        <v>43</v>
      </c>
      <c r="AF143" s="1233"/>
      <c r="AG143" s="1234"/>
      <c r="AH143" s="1223"/>
      <c r="AI143" s="567"/>
      <c r="AJ143" s="567"/>
      <c r="AK143" s="567"/>
      <c r="AL143" s="567"/>
      <c r="AM143" s="567"/>
      <c r="AN143" s="567"/>
    </row>
    <row r="144" spans="1:40" s="1244" customFormat="1" ht="33" customHeight="1">
      <c r="A144" s="1245">
        <v>127</v>
      </c>
      <c r="B144" s="1247">
        <v>44</v>
      </c>
      <c r="C144" s="1247" t="str">
        <f>'Chấm công KT'!C138</f>
        <v>03630</v>
      </c>
      <c r="D144" s="1247" t="str">
        <f>TONGHOPCONGDOI!C139</f>
        <v>T. Nú</v>
      </c>
      <c r="E144" s="1247" t="s">
        <v>26</v>
      </c>
      <c r="F144" s="1248"/>
      <c r="G144" s="227">
        <f t="shared" si="22"/>
        <v>0</v>
      </c>
      <c r="H144" s="227">
        <f>VLOOKUP(D144,TONGHOPCONGDOI!C139:AD160,16,0)</f>
        <v>2844</v>
      </c>
      <c r="I144" s="227">
        <f>VLOOKUP(D144,TONGHOPCONGDOI!C139:AD160,18,0)</f>
        <v>0</v>
      </c>
      <c r="J144" s="227"/>
      <c r="K144" s="561">
        <f t="shared" si="29"/>
        <v>1244.0377179670845</v>
      </c>
      <c r="L144" s="931">
        <f>'SẢN LƯỢNG'!AP142</f>
        <v>130.10955861941341</v>
      </c>
      <c r="M144" s="931">
        <f>'SẢN LƯỢNG'!AQ142</f>
        <v>1374.1472765864983</v>
      </c>
      <c r="N144" s="562" t="str">
        <f>VLOOKUP(D144,'SẢN LƯỢNG'!$D$98:$AR$160,41,0)</f>
        <v>B</v>
      </c>
      <c r="O144" s="1231">
        <f t="shared" si="26"/>
        <v>4869703</v>
      </c>
      <c r="P144" s="564">
        <f>VLOOKUP(D144,TONGHOPCONGDOI!$C$96:$AD$153,20,0)</f>
        <v>25</v>
      </c>
      <c r="Q144" s="564">
        <f>VLOOKUP(D144,TONGHOPCONGDOI!$C$96:$AD$153,21,0)</f>
        <v>1</v>
      </c>
      <c r="R144" s="564">
        <f>VLOOKUP(D144,TONGHOPCONGDOI!$C$96:$AD$153,22,0)</f>
        <v>0</v>
      </c>
      <c r="S144" s="564">
        <f>VLOOKUP(D144,TONGHOPCONGDOI!$C$96:$AD$153,23,0)</f>
        <v>2</v>
      </c>
      <c r="T144" s="564">
        <f>VLOOKUP(D144,TONGHOPCONGDOI!$C$96:$AD$153,24,0)</f>
        <v>0</v>
      </c>
      <c r="U144" s="564">
        <f>VLOOKUP(D144,TONGHOPCONGDOI!$C$96:$AD$153,25,0)</f>
        <v>0</v>
      </c>
      <c r="V144" s="564"/>
      <c r="W144" s="1229">
        <f t="shared" si="27"/>
        <v>2</v>
      </c>
      <c r="X144" s="1232"/>
      <c r="Y144" s="1232"/>
      <c r="Z144" s="564">
        <f t="shared" si="28"/>
        <v>1214359</v>
      </c>
      <c r="AA144" s="564">
        <f t="shared" si="30"/>
        <v>6084062</v>
      </c>
      <c r="AB144" s="568"/>
      <c r="AC144" s="566">
        <f t="shared" si="25"/>
        <v>6084062</v>
      </c>
      <c r="AD144" s="227"/>
      <c r="AE144" s="1249">
        <v>44</v>
      </c>
      <c r="AF144" s="1233"/>
      <c r="AG144" s="1234"/>
      <c r="AH144" s="1223"/>
      <c r="AI144" s="567"/>
      <c r="AJ144" s="567"/>
      <c r="AK144" s="567"/>
      <c r="AL144" s="567"/>
      <c r="AM144" s="567"/>
      <c r="AN144" s="567"/>
    </row>
    <row r="145" spans="1:40" s="1244" customFormat="1" ht="33" customHeight="1">
      <c r="A145" s="1245">
        <v>128</v>
      </c>
      <c r="B145" s="1246">
        <v>45</v>
      </c>
      <c r="C145" s="1247" t="str">
        <f>'Chấm công KT'!C139</f>
        <v>03631</v>
      </c>
      <c r="D145" s="1247" t="str">
        <f>TONGHOPCONGDOI!C140</f>
        <v>T. Xan Nha</v>
      </c>
      <c r="E145" s="1247" t="s">
        <v>26</v>
      </c>
      <c r="F145" s="1248"/>
      <c r="G145" s="227">
        <f t="shared" si="22"/>
        <v>0</v>
      </c>
      <c r="H145" s="227">
        <f>VLOOKUP(D145,TONGHOPCONGDOI!C140:AD160,16,0)</f>
        <v>3967</v>
      </c>
      <c r="I145" s="227">
        <f>VLOOKUP(D145,TONGHOPCONGDOI!C140:AD160,18,0)</f>
        <v>0</v>
      </c>
      <c r="J145" s="227"/>
      <c r="K145" s="561">
        <f t="shared" si="29"/>
        <v>1735.2663949280677</v>
      </c>
      <c r="L145" s="931">
        <f>'SẢN LƯỢNG'!AP143</f>
        <v>122.42806430175733</v>
      </c>
      <c r="M145" s="931">
        <f>'SẢN LƯỢNG'!AQ143</f>
        <v>1857.6944592298253</v>
      </c>
      <c r="N145" s="562" t="str">
        <f>VLOOKUP(D145,'SẢN LƯỢNG'!$D$98:$AR$160,41,0)</f>
        <v>B</v>
      </c>
      <c r="O145" s="1231">
        <f t="shared" si="26"/>
        <v>6583298</v>
      </c>
      <c r="P145" s="564">
        <f>VLOOKUP(D145,TONGHOPCONGDOI!$C$96:$AD$153,20,0)</f>
        <v>26</v>
      </c>
      <c r="Q145" s="564">
        <f>VLOOKUP(D145,TONGHOPCONGDOI!$C$96:$AD$153,21,0)</f>
        <v>1</v>
      </c>
      <c r="R145" s="564">
        <f>VLOOKUP(D145,TONGHOPCONGDOI!$C$96:$AD$153,22,0)</f>
        <v>0</v>
      </c>
      <c r="S145" s="564">
        <f>VLOOKUP(D145,TONGHOPCONGDOI!$C$96:$AD$153,23,0)</f>
        <v>3</v>
      </c>
      <c r="T145" s="564">
        <f>VLOOKUP(D145,TONGHOPCONGDOI!$C$96:$AD$153,24,0)</f>
        <v>0</v>
      </c>
      <c r="U145" s="564">
        <f>VLOOKUP(D145,TONGHOPCONGDOI!$C$96:$AD$153,25,0)</f>
        <v>0</v>
      </c>
      <c r="V145" s="564"/>
      <c r="W145" s="1229">
        <f t="shared" si="27"/>
        <v>3</v>
      </c>
      <c r="X145" s="1232"/>
      <c r="Y145" s="1232"/>
      <c r="Z145" s="564">
        <f t="shared" si="28"/>
        <v>1446285</v>
      </c>
      <c r="AA145" s="564">
        <f t="shared" si="30"/>
        <v>8029583</v>
      </c>
      <c r="AB145" s="568"/>
      <c r="AC145" s="566">
        <f t="shared" si="25"/>
        <v>8029583</v>
      </c>
      <c r="AD145" s="227"/>
      <c r="AE145" s="1249">
        <v>45</v>
      </c>
      <c r="AF145" s="1233"/>
      <c r="AG145" s="1234"/>
      <c r="AH145" s="1223"/>
      <c r="AI145" s="567"/>
      <c r="AJ145" s="567"/>
      <c r="AK145" s="567"/>
      <c r="AL145" s="567"/>
      <c r="AM145" s="567"/>
      <c r="AN145" s="567"/>
    </row>
    <row r="146" spans="1:40" s="1244" customFormat="1" ht="33" customHeight="1">
      <c r="A146" s="1245">
        <v>129</v>
      </c>
      <c r="B146" s="1247">
        <v>46</v>
      </c>
      <c r="C146" s="1247" t="str">
        <f>'Chấm công KT'!C140</f>
        <v>03632</v>
      </c>
      <c r="D146" s="1247" t="str">
        <f>TONGHOPCONGDOI!C141</f>
        <v>T. A lem</v>
      </c>
      <c r="E146" s="1247" t="s">
        <v>26</v>
      </c>
      <c r="F146" s="1248"/>
      <c r="G146" s="227">
        <f t="shared" si="22"/>
        <v>0</v>
      </c>
      <c r="H146" s="227">
        <f>VLOOKUP(D146,TONGHOPCONGDOI!C141:AD160,16,0)</f>
        <v>4607</v>
      </c>
      <c r="I146" s="227">
        <f>VLOOKUP(D146,TONGHOPCONGDOI!C141:AD160,18,0)</f>
        <v>0</v>
      </c>
      <c r="J146" s="227"/>
      <c r="K146" s="561">
        <f t="shared" si="29"/>
        <v>2015.2186240064552</v>
      </c>
      <c r="L146" s="931">
        <f>'SẢN LƯỢNG'!AP144</f>
        <v>123.10784255995696</v>
      </c>
      <c r="M146" s="931">
        <f>'SẢN LƯỢNG'!AQ144</f>
        <v>2138.3264665664124</v>
      </c>
      <c r="N146" s="562" t="str">
        <f>VLOOKUP(D146,'SẢN LƯỢNG'!$D$98:$AR$160,41,0)</f>
        <v>A</v>
      </c>
      <c r="O146" s="1231">
        <f t="shared" si="26"/>
        <v>7969757</v>
      </c>
      <c r="P146" s="564">
        <f>VLOOKUP(D146,TONGHOPCONGDOI!$C$96:$AD$153,20,0)</f>
        <v>25</v>
      </c>
      <c r="Q146" s="564">
        <f>VLOOKUP(D146,TONGHOPCONGDOI!$C$96:$AD$153,21,0)</f>
        <v>1</v>
      </c>
      <c r="R146" s="564">
        <f>VLOOKUP(D146,TONGHOPCONGDOI!$C$96:$AD$153,22,0)</f>
        <v>0</v>
      </c>
      <c r="S146" s="564">
        <f>VLOOKUP(D146,TONGHOPCONGDOI!$C$96:$AD$153,23,0)</f>
        <v>3</v>
      </c>
      <c r="T146" s="564">
        <f>VLOOKUP(D146,TONGHOPCONGDOI!$C$96:$AD$153,24,0)</f>
        <v>0</v>
      </c>
      <c r="U146" s="564">
        <f>VLOOKUP(D146,TONGHOPCONGDOI!$C$96:$AD$153,25,0)</f>
        <v>0</v>
      </c>
      <c r="V146" s="564"/>
      <c r="W146" s="1229">
        <f t="shared" si="27"/>
        <v>3</v>
      </c>
      <c r="X146" s="1232"/>
      <c r="Y146" s="1232"/>
      <c r="Z146" s="564">
        <f t="shared" si="28"/>
        <v>1415860</v>
      </c>
      <c r="AA146" s="564">
        <f t="shared" si="30"/>
        <v>9385617</v>
      </c>
      <c r="AB146" s="568"/>
      <c r="AC146" s="566">
        <f t="shared" si="25"/>
        <v>9385617</v>
      </c>
      <c r="AD146" s="227"/>
      <c r="AE146" s="1249">
        <v>46</v>
      </c>
      <c r="AF146" s="1233"/>
      <c r="AG146" s="1234"/>
      <c r="AH146" s="1223"/>
      <c r="AI146" s="567"/>
      <c r="AJ146" s="567"/>
      <c r="AK146" s="567"/>
      <c r="AL146" s="567"/>
      <c r="AM146" s="567"/>
      <c r="AN146" s="567"/>
    </row>
    <row r="147" spans="1:40" s="1244" customFormat="1" ht="33" customHeight="1">
      <c r="A147" s="1245">
        <v>130</v>
      </c>
      <c r="B147" s="1246">
        <v>47</v>
      </c>
      <c r="C147" s="1247" t="str">
        <f>'Chấm công KT'!C141</f>
        <v>04080</v>
      </c>
      <c r="D147" s="1247" t="str">
        <f>TONGHOPCONGDOI!C142</f>
        <v>T. Phan</v>
      </c>
      <c r="E147" s="1247" t="s">
        <v>26</v>
      </c>
      <c r="F147" s="1248"/>
      <c r="G147" s="227">
        <f t="shared" si="22"/>
        <v>0</v>
      </c>
      <c r="H147" s="227">
        <f>VLOOKUP(D147,TONGHOPCONGDOI!C142:AD160,16,0)</f>
        <v>3963</v>
      </c>
      <c r="I147" s="227">
        <f>VLOOKUP(D147,TONGHOPCONGDOI!C142:AD160,18,0)</f>
        <v>0</v>
      </c>
      <c r="J147" s="227"/>
      <c r="K147" s="561">
        <f t="shared" si="29"/>
        <v>1733.5166934963277</v>
      </c>
      <c r="L147" s="931">
        <f>'SẢN LƯỢNG'!AP145</f>
        <v>142.0056781379073</v>
      </c>
      <c r="M147" s="931">
        <f>'SẢN LƯỢNG'!AQ145</f>
        <v>1875.5223716342355</v>
      </c>
      <c r="N147" s="562" t="str">
        <f>VLOOKUP(D147,'SẢN LƯỢNG'!$D$98:$AR$160,41,0)</f>
        <v>B</v>
      </c>
      <c r="O147" s="1231">
        <f t="shared" si="26"/>
        <v>6646476</v>
      </c>
      <c r="P147" s="564">
        <f>VLOOKUP(D147,TONGHOPCONGDOI!$C$96:$AD$153,20,0)</f>
        <v>27</v>
      </c>
      <c r="Q147" s="564">
        <f>VLOOKUP(D147,TONGHOPCONGDOI!$C$96:$AD$153,21,0)</f>
        <v>1</v>
      </c>
      <c r="R147" s="564">
        <f>VLOOKUP(D147,TONGHOPCONGDOI!$C$96:$AD$153,22,0)</f>
        <v>0</v>
      </c>
      <c r="S147" s="564">
        <f>VLOOKUP(D147,TONGHOPCONGDOI!$C$96:$AD$153,23,0)</f>
        <v>3</v>
      </c>
      <c r="T147" s="564">
        <f>VLOOKUP(D147,TONGHOPCONGDOI!$C$96:$AD$153,24,0)</f>
        <v>0</v>
      </c>
      <c r="U147" s="564">
        <f>VLOOKUP(D147,TONGHOPCONGDOI!$C$96:$AD$153,25,0)</f>
        <v>0</v>
      </c>
      <c r="V147" s="564"/>
      <c r="W147" s="1229">
        <f t="shared" si="27"/>
        <v>3</v>
      </c>
      <c r="X147" s="1232"/>
      <c r="Y147" s="1232"/>
      <c r="Z147" s="564">
        <f t="shared" si="28"/>
        <v>1476709</v>
      </c>
      <c r="AA147" s="564">
        <f t="shared" si="30"/>
        <v>8123185</v>
      </c>
      <c r="AB147" s="568"/>
      <c r="AC147" s="566">
        <f t="shared" si="25"/>
        <v>8123185</v>
      </c>
      <c r="AD147" s="227"/>
      <c r="AE147" s="1249">
        <v>47</v>
      </c>
      <c r="AF147" s="1233"/>
      <c r="AG147" s="1234"/>
      <c r="AH147" s="1223"/>
      <c r="AI147" s="567"/>
      <c r="AJ147" s="567"/>
      <c r="AK147" s="567"/>
      <c r="AL147" s="567"/>
      <c r="AM147" s="567"/>
      <c r="AN147" s="567"/>
    </row>
    <row r="148" spans="1:40" s="1244" customFormat="1" ht="33" customHeight="1">
      <c r="A148" s="1245">
        <v>131</v>
      </c>
      <c r="B148" s="1247">
        <v>48</v>
      </c>
      <c r="C148" s="1247" t="str">
        <f>'Chấm công KT'!C142</f>
        <v>03634</v>
      </c>
      <c r="D148" s="1247" t="str">
        <f>TONGHOPCONGDOI!C143</f>
        <v>T . Cổ</v>
      </c>
      <c r="E148" s="1247" t="s">
        <v>26</v>
      </c>
      <c r="F148" s="1248"/>
      <c r="G148" s="227">
        <f t="shared" si="22"/>
        <v>0</v>
      </c>
      <c r="H148" s="227">
        <f>VLOOKUP(D148,TONGHOPCONGDOI!C143:AD160,16,0)</f>
        <v>5724</v>
      </c>
      <c r="I148" s="227">
        <f>VLOOKUP(D148,TONGHOPCONGDOI!C143:AD160,18,0)</f>
        <v>0</v>
      </c>
      <c r="J148" s="227"/>
      <c r="K148" s="561">
        <f t="shared" si="29"/>
        <v>2503.8227488198286</v>
      </c>
      <c r="L148" s="931">
        <f>'SẢN LƯỢNG'!AP146</f>
        <v>179.15555994851829</v>
      </c>
      <c r="M148" s="931">
        <f>'SẢN LƯỢNG'!AQ146</f>
        <v>2682.9783087683472</v>
      </c>
      <c r="N148" s="562" t="str">
        <f>VLOOKUP(D148,'SẢN LƯỢNG'!$D$98:$AR$160,41,0)</f>
        <v>B</v>
      </c>
      <c r="O148" s="1231">
        <f t="shared" si="26"/>
        <v>9507939</v>
      </c>
      <c r="P148" s="564">
        <f>VLOOKUP(D148,TONGHOPCONGDOI!$C$96:$AD$153,20,0)</f>
        <v>27</v>
      </c>
      <c r="Q148" s="564">
        <f>VLOOKUP(D148,TONGHOPCONGDOI!$C$96:$AD$153,21,0)</f>
        <v>1</v>
      </c>
      <c r="R148" s="564">
        <f>VLOOKUP(D148,TONGHOPCONGDOI!$C$96:$AD$153,22,0)</f>
        <v>0</v>
      </c>
      <c r="S148" s="564">
        <f>VLOOKUP(D148,TONGHOPCONGDOI!$C$96:$AD$153,23,0)</f>
        <v>3</v>
      </c>
      <c r="T148" s="564">
        <f>VLOOKUP(D148,TONGHOPCONGDOI!$C$96:$AD$153,24,0)</f>
        <v>0</v>
      </c>
      <c r="U148" s="564">
        <f>VLOOKUP(D148,TONGHOPCONGDOI!$C$96:$AD$153,25,0)</f>
        <v>0</v>
      </c>
      <c r="V148" s="564"/>
      <c r="W148" s="1229">
        <f t="shared" si="27"/>
        <v>3</v>
      </c>
      <c r="X148" s="1232"/>
      <c r="Y148" s="1232"/>
      <c r="Z148" s="564">
        <f t="shared" si="28"/>
        <v>1476709</v>
      </c>
      <c r="AA148" s="564">
        <f t="shared" si="30"/>
        <v>10984648</v>
      </c>
      <c r="AB148" s="568"/>
      <c r="AC148" s="566">
        <f t="shared" si="25"/>
        <v>10984648</v>
      </c>
      <c r="AD148" s="227"/>
      <c r="AE148" s="1249">
        <v>48</v>
      </c>
      <c r="AF148" s="1233"/>
      <c r="AG148" s="1234"/>
      <c r="AH148" s="1223"/>
      <c r="AI148" s="567"/>
      <c r="AJ148" s="567"/>
      <c r="AK148" s="567"/>
      <c r="AL148" s="567"/>
      <c r="AM148" s="567"/>
      <c r="AN148" s="567"/>
    </row>
    <row r="149" spans="1:40" s="1244" customFormat="1" ht="33" customHeight="1">
      <c r="A149" s="1245">
        <v>132</v>
      </c>
      <c r="B149" s="1246">
        <v>49</v>
      </c>
      <c r="C149" s="1247" t="str">
        <f>'Chấm công KT'!C143</f>
        <v>03635</v>
      </c>
      <c r="D149" s="1247" t="str">
        <f>TONGHOPCONGDOI!C144</f>
        <v>N. Phim Pha</v>
      </c>
      <c r="E149" s="1247" t="s">
        <v>26</v>
      </c>
      <c r="F149" s="1248"/>
      <c r="G149" s="227">
        <f t="shared" si="22"/>
        <v>0</v>
      </c>
      <c r="H149" s="227">
        <f>VLOOKUP(D149,TONGHOPCONGDOI!C144:AD160,16,0)</f>
        <v>3887</v>
      </c>
      <c r="I149" s="227">
        <f>VLOOKUP(D149,TONGHOPCONGDOI!C144:AD162,18,0)</f>
        <v>0</v>
      </c>
      <c r="J149" s="227"/>
      <c r="K149" s="561">
        <f t="shared" si="29"/>
        <v>1700.2723662932692</v>
      </c>
      <c r="L149" s="931">
        <f>'SẢN LƯỢNG'!AP147</f>
        <v>121.40839691445784</v>
      </c>
      <c r="M149" s="931">
        <f>'SẢN LƯỢNG'!AQ147</f>
        <v>1821.6807632077273</v>
      </c>
      <c r="N149" s="562" t="str">
        <f>VLOOKUP(D149,'SẢN LƯỢNG'!$D$98:$AR$160,41,0)</f>
        <v>B</v>
      </c>
      <c r="O149" s="1231">
        <f t="shared" si="26"/>
        <v>6455672</v>
      </c>
      <c r="P149" s="564">
        <f>VLOOKUP(D149,TONGHOPCONGDOI!$C$96:$AD$153,20,0)</f>
        <v>24</v>
      </c>
      <c r="Q149" s="564">
        <f>VLOOKUP(D149,TONGHOPCONGDOI!$C$96:$AD$153,21,0)</f>
        <v>1</v>
      </c>
      <c r="R149" s="564">
        <f>VLOOKUP(D149,TONGHOPCONGDOI!$C$96:$AD$153,22,0)</f>
        <v>0</v>
      </c>
      <c r="S149" s="564">
        <f>VLOOKUP(D149,TONGHOPCONGDOI!$C$96:$AD$153,23,0)</f>
        <v>3</v>
      </c>
      <c r="T149" s="564">
        <f>VLOOKUP(D149,TONGHOPCONGDOI!$C$96:$AD$153,24,0)</f>
        <v>0</v>
      </c>
      <c r="U149" s="564">
        <f>VLOOKUP(D149,TONGHOPCONGDOI!$C$96:$AD$153,25,0)</f>
        <v>0</v>
      </c>
      <c r="V149" s="564"/>
      <c r="W149" s="1229">
        <f t="shared" si="27"/>
        <v>3</v>
      </c>
      <c r="X149" s="1232"/>
      <c r="Y149" s="1232"/>
      <c r="Z149" s="564">
        <f t="shared" si="28"/>
        <v>1385436</v>
      </c>
      <c r="AA149" s="564">
        <f t="shared" si="30"/>
        <v>7841108</v>
      </c>
      <c r="AB149" s="568"/>
      <c r="AC149" s="566">
        <f t="shared" si="25"/>
        <v>7841108</v>
      </c>
      <c r="AD149" s="227"/>
      <c r="AE149" s="1249">
        <v>49</v>
      </c>
      <c r="AF149" s="1233"/>
      <c r="AG149" s="1234"/>
      <c r="AH149" s="1223"/>
      <c r="AI149" s="567"/>
      <c r="AJ149" s="567"/>
      <c r="AK149" s="567"/>
      <c r="AL149" s="567"/>
      <c r="AM149" s="567"/>
      <c r="AN149" s="567"/>
    </row>
    <row r="150" spans="1:40" s="1244" customFormat="1" ht="33" customHeight="1">
      <c r="A150" s="1245">
        <v>133</v>
      </c>
      <c r="B150" s="1247">
        <v>50</v>
      </c>
      <c r="C150" s="1247" t="str">
        <f>'Chấm công KT'!C144</f>
        <v>03636</v>
      </c>
      <c r="D150" s="1247" t="str">
        <f>TONGHOPCONGDOI!C145</f>
        <v xml:space="preserve">T. Xeng </v>
      </c>
      <c r="E150" s="1247" t="s">
        <v>26</v>
      </c>
      <c r="F150" s="1248"/>
      <c r="G150" s="227">
        <f t="shared" si="22"/>
        <v>0</v>
      </c>
      <c r="H150" s="227">
        <f>VLOOKUP(D150,TONGHOPCONGDOI!C145:AD160,16,0)</f>
        <v>4571</v>
      </c>
      <c r="I150" s="227">
        <f>VLOOKUP(D150,TONGHOPCONGDOI!C145:AD163,18,0)</f>
        <v>0</v>
      </c>
      <c r="J150" s="227"/>
      <c r="K150" s="561">
        <f t="shared" si="29"/>
        <v>1999.4713111207959</v>
      </c>
      <c r="L150" s="931">
        <f>'SẢN LƯỢNG'!AP148</f>
        <v>146.05035877419522</v>
      </c>
      <c r="M150" s="931">
        <f>'SẢN LƯỢNG'!AQ148</f>
        <v>2145.5216698949916</v>
      </c>
      <c r="N150" s="562" t="str">
        <f>VLOOKUP(D150,'SẢN LƯỢNG'!$D$98:$AR$160,41,0)</f>
        <v>B</v>
      </c>
      <c r="O150" s="1231">
        <f t="shared" si="26"/>
        <v>7603300</v>
      </c>
      <c r="P150" s="564">
        <f>VLOOKUP(D150,TONGHOPCONGDOI!$C$96:$AD$153,20,0)</f>
        <v>27</v>
      </c>
      <c r="Q150" s="564">
        <f>VLOOKUP(D150,TONGHOPCONGDOI!$C$96:$AD$153,21,0)</f>
        <v>1</v>
      </c>
      <c r="R150" s="564">
        <f>VLOOKUP(D150,TONGHOPCONGDOI!$C$96:$AD$153,22,0)</f>
        <v>0</v>
      </c>
      <c r="S150" s="564">
        <f>VLOOKUP(D150,TONGHOPCONGDOI!$C$96:$AD$153,23,0)</f>
        <v>3</v>
      </c>
      <c r="T150" s="564">
        <f>VLOOKUP(D150,TONGHOPCONGDOI!$C$96:$AD$153,24,0)</f>
        <v>0</v>
      </c>
      <c r="U150" s="564">
        <f>VLOOKUP(D150,TONGHOPCONGDOI!$C$96:$AD$153,25,0)</f>
        <v>0</v>
      </c>
      <c r="V150" s="564"/>
      <c r="W150" s="1229">
        <f t="shared" si="27"/>
        <v>3</v>
      </c>
      <c r="X150" s="1232"/>
      <c r="Y150" s="1232"/>
      <c r="Z150" s="564">
        <f t="shared" si="28"/>
        <v>1476709</v>
      </c>
      <c r="AA150" s="564">
        <f t="shared" si="30"/>
        <v>9080009</v>
      </c>
      <c r="AB150" s="568"/>
      <c r="AC150" s="566">
        <f t="shared" si="25"/>
        <v>9080009</v>
      </c>
      <c r="AD150" s="227"/>
      <c r="AE150" s="1249">
        <v>50</v>
      </c>
      <c r="AF150" s="1233"/>
      <c r="AG150" s="1234"/>
      <c r="AH150" s="1223"/>
      <c r="AI150" s="567"/>
      <c r="AJ150" s="567"/>
      <c r="AK150" s="567"/>
      <c r="AL150" s="567"/>
      <c r="AM150" s="567"/>
      <c r="AN150" s="567"/>
    </row>
    <row r="151" spans="1:40" s="1244" customFormat="1" ht="33" customHeight="1">
      <c r="A151" s="1245">
        <v>134</v>
      </c>
      <c r="B151" s="1246">
        <v>51</v>
      </c>
      <c r="C151" s="1247" t="str">
        <f>'Chấm công KT'!C145</f>
        <v>03637</v>
      </c>
      <c r="D151" s="1247" t="str">
        <f>TONGHOPCONGDOI!C146</f>
        <v>T. Vạt</v>
      </c>
      <c r="E151" s="1247" t="s">
        <v>26</v>
      </c>
      <c r="F151" s="1248"/>
      <c r="G151" s="227">
        <f t="shared" si="22"/>
        <v>0</v>
      </c>
      <c r="H151" s="227">
        <f>VLOOKUP(D151,TONGHOPCONGDOI!C146:AD160,16,0)</f>
        <v>4735</v>
      </c>
      <c r="I151" s="227">
        <f>VLOOKUP(D151,TONGHOPCONGDOI!C146:AD164,18,0)</f>
        <v>0</v>
      </c>
      <c r="J151" s="227"/>
      <c r="K151" s="561">
        <f t="shared" si="29"/>
        <v>2071.2090698221327</v>
      </c>
      <c r="L151" s="931">
        <f>'SẢN LƯỢNG'!AP149</f>
        <v>155.15938743407057</v>
      </c>
      <c r="M151" s="931">
        <f>'SẢN LƯỢNG'!AQ149</f>
        <v>2226.3684572562033</v>
      </c>
      <c r="N151" s="562" t="str">
        <f>VLOOKUP(D151,'SẢN LƯỢNG'!$D$98:$AR$160,41,0)</f>
        <v>B</v>
      </c>
      <c r="O151" s="1231">
        <f t="shared" si="26"/>
        <v>7889805</v>
      </c>
      <c r="P151" s="564">
        <f>VLOOKUP(D151,TONGHOPCONGDOI!$C$96:$AD$153,20,0)</f>
        <v>26</v>
      </c>
      <c r="Q151" s="564">
        <f>VLOOKUP(D151,TONGHOPCONGDOI!$C$96:$AD$153,21,0)</f>
        <v>1</v>
      </c>
      <c r="R151" s="564">
        <f>VLOOKUP(D151,TONGHOPCONGDOI!$C$96:$AD$153,22,0)</f>
        <v>0</v>
      </c>
      <c r="S151" s="564">
        <f>VLOOKUP(D151,TONGHOPCONGDOI!$C$96:$AD$153,23,0)</f>
        <v>3</v>
      </c>
      <c r="T151" s="564">
        <f>VLOOKUP(D151,TONGHOPCONGDOI!$C$96:$AD$153,24,0)</f>
        <v>0</v>
      </c>
      <c r="U151" s="564">
        <f>VLOOKUP(D151,TONGHOPCONGDOI!$C$96:$AD$153,25,0)</f>
        <v>0</v>
      </c>
      <c r="V151" s="564"/>
      <c r="W151" s="1229">
        <f t="shared" si="27"/>
        <v>3</v>
      </c>
      <c r="X151" s="1232"/>
      <c r="Y151" s="1232"/>
      <c r="Z151" s="564">
        <f t="shared" si="28"/>
        <v>1446285</v>
      </c>
      <c r="AA151" s="564">
        <f t="shared" si="30"/>
        <v>9336090</v>
      </c>
      <c r="AB151" s="568"/>
      <c r="AC151" s="566">
        <f t="shared" si="25"/>
        <v>9336090</v>
      </c>
      <c r="AD151" s="227"/>
      <c r="AE151" s="1249">
        <v>51</v>
      </c>
      <c r="AF151" s="1233"/>
      <c r="AG151" s="1234"/>
      <c r="AH151" s="1223"/>
      <c r="AI151" s="567"/>
      <c r="AJ151" s="567"/>
      <c r="AK151" s="567"/>
      <c r="AL151" s="567"/>
      <c r="AM151" s="567"/>
      <c r="AN151" s="567"/>
    </row>
    <row r="152" spans="1:40" s="1244" customFormat="1" ht="33" customHeight="1">
      <c r="A152" s="1245">
        <v>135</v>
      </c>
      <c r="B152" s="1247">
        <v>52</v>
      </c>
      <c r="C152" s="1247" t="str">
        <f>'Chấm công KT'!C146</f>
        <v>03638</v>
      </c>
      <c r="D152" s="1247" t="str">
        <f>TONGHOPCONGDOI!C147</f>
        <v>T. Lay</v>
      </c>
      <c r="E152" s="1247" t="s">
        <v>26</v>
      </c>
      <c r="F152" s="1248"/>
      <c r="G152" s="227">
        <f t="shared" si="22"/>
        <v>0</v>
      </c>
      <c r="H152" s="227">
        <f>VLOOKUP(D152,TONGHOPCONGDOI!C147:AD160,16,0)</f>
        <v>3929</v>
      </c>
      <c r="I152" s="227">
        <f>VLOOKUP(D152,TONGHOPCONGDOI!C147:AD165,18,0)</f>
        <v>0</v>
      </c>
      <c r="J152" s="227"/>
      <c r="K152" s="561">
        <f t="shared" si="29"/>
        <v>1718.6442313265384</v>
      </c>
      <c r="L152" s="931">
        <f>'SẢN LƯỢNG'!AP150</f>
        <v>145.09866921271572</v>
      </c>
      <c r="M152" s="931">
        <f>'SẢN LƯỢNG'!AQ150</f>
        <v>1863.7429005392546</v>
      </c>
      <c r="N152" s="562" t="str">
        <f>VLOOKUP(D152,'SẢN LƯỢNG'!$D$98:$AR$160,41,0)</f>
        <v>A</v>
      </c>
      <c r="O152" s="1231">
        <f t="shared" si="26"/>
        <v>6946356</v>
      </c>
      <c r="P152" s="564">
        <f>VLOOKUP(D152,TONGHOPCONGDOI!$C$96:$AD$153,20,0)</f>
        <v>25</v>
      </c>
      <c r="Q152" s="564">
        <f>VLOOKUP(D152,TONGHOPCONGDOI!$C$96:$AD$153,21,0)</f>
        <v>1</v>
      </c>
      <c r="R152" s="564">
        <f>VLOOKUP(D152,TONGHOPCONGDOI!$C$96:$AD$153,22,0)</f>
        <v>0</v>
      </c>
      <c r="S152" s="564">
        <f>VLOOKUP(D152,TONGHOPCONGDOI!$C$96:$AD$153,23,0)</f>
        <v>3</v>
      </c>
      <c r="T152" s="564">
        <f>VLOOKUP(D152,TONGHOPCONGDOI!$C$96:$AD$153,24,0)</f>
        <v>0</v>
      </c>
      <c r="U152" s="564">
        <f>VLOOKUP(D152,TONGHOPCONGDOI!$C$96:$AD$153,25,0)</f>
        <v>0</v>
      </c>
      <c r="V152" s="564"/>
      <c r="W152" s="1229">
        <f t="shared" si="27"/>
        <v>3</v>
      </c>
      <c r="X152" s="1232"/>
      <c r="Y152" s="1232"/>
      <c r="Z152" s="564">
        <f t="shared" si="28"/>
        <v>1415860</v>
      </c>
      <c r="AA152" s="564">
        <f t="shared" si="30"/>
        <v>8362216</v>
      </c>
      <c r="AB152" s="568"/>
      <c r="AC152" s="566">
        <f t="shared" si="25"/>
        <v>8362216</v>
      </c>
      <c r="AD152" s="227"/>
      <c r="AE152" s="1249">
        <v>52</v>
      </c>
      <c r="AF152" s="1233"/>
      <c r="AG152" s="1234"/>
      <c r="AH152" s="1223"/>
      <c r="AI152" s="567"/>
      <c r="AJ152" s="567"/>
      <c r="AK152" s="567"/>
      <c r="AL152" s="567"/>
      <c r="AM152" s="567"/>
      <c r="AN152" s="567"/>
    </row>
    <row r="153" spans="1:40" s="1244" customFormat="1" ht="33" customHeight="1">
      <c r="A153" s="1245">
        <v>136</v>
      </c>
      <c r="B153" s="1246">
        <v>53</v>
      </c>
      <c r="C153" s="1247" t="str">
        <f>'Chấm công KT'!C147</f>
        <v>04081</v>
      </c>
      <c r="D153" s="1247" t="str">
        <f>TONGHOPCONGDOI!C148</f>
        <v>N. Nọi</v>
      </c>
      <c r="E153" s="1247" t="s">
        <v>26</v>
      </c>
      <c r="F153" s="1248"/>
      <c r="G153" s="227">
        <f t="shared" si="22"/>
        <v>0</v>
      </c>
      <c r="H153" s="227">
        <f>VLOOKUP(D153,TONGHOPCONGDOI!C148:AD160,16,0)</f>
        <v>3979</v>
      </c>
      <c r="I153" s="227">
        <f>VLOOKUP(D153,TONGHOPCONGDOI!C148:AD166,18,0)</f>
        <v>0</v>
      </c>
      <c r="J153" s="227"/>
      <c r="K153" s="561">
        <f t="shared" si="29"/>
        <v>1740.5154992232874</v>
      </c>
      <c r="L153" s="931">
        <f>'SẢN LƯỢNG'!AP151</f>
        <v>148.05570463588421</v>
      </c>
      <c r="M153" s="931">
        <f>'SẢN LƯỢNG'!AQ151</f>
        <v>1888.5712038591719</v>
      </c>
      <c r="N153" s="562" t="str">
        <f>VLOOKUP(D153,'SẢN LƯỢNG'!$D$98:$AR$160,41,0)</f>
        <v>A</v>
      </c>
      <c r="O153" s="1231">
        <f t="shared" si="26"/>
        <v>7038894</v>
      </c>
      <c r="P153" s="564">
        <f>VLOOKUP(D153,TONGHOPCONGDOI!$C$96:$AD$153,20,0)</f>
        <v>25</v>
      </c>
      <c r="Q153" s="564">
        <f>VLOOKUP(D153,TONGHOPCONGDOI!$C$96:$AD$153,21,0)</f>
        <v>1</v>
      </c>
      <c r="R153" s="564">
        <f>VLOOKUP(D153,TONGHOPCONGDOI!$C$96:$AD$153,22,0)</f>
        <v>0</v>
      </c>
      <c r="S153" s="564">
        <f>VLOOKUP(D153,TONGHOPCONGDOI!$C$96:$AD$153,23,0)</f>
        <v>3</v>
      </c>
      <c r="T153" s="564">
        <f>VLOOKUP(D153,TONGHOPCONGDOI!$C$96:$AD$153,24,0)</f>
        <v>0</v>
      </c>
      <c r="U153" s="564">
        <f>VLOOKUP(D153,TONGHOPCONGDOI!$C$96:$AD$153,25,0)</f>
        <v>0</v>
      </c>
      <c r="V153" s="564"/>
      <c r="W153" s="1229">
        <f t="shared" si="27"/>
        <v>3</v>
      </c>
      <c r="X153" s="1232"/>
      <c r="Y153" s="1232"/>
      <c r="Z153" s="564">
        <f t="shared" si="28"/>
        <v>1415860</v>
      </c>
      <c r="AA153" s="564">
        <f t="shared" si="30"/>
        <v>8454754</v>
      </c>
      <c r="AB153" s="568"/>
      <c r="AC153" s="566">
        <f t="shared" si="25"/>
        <v>8454754</v>
      </c>
      <c r="AD153" s="227"/>
      <c r="AE153" s="1249">
        <v>53</v>
      </c>
      <c r="AF153" s="1233"/>
      <c r="AG153" s="1234"/>
      <c r="AH153" s="1223"/>
      <c r="AI153" s="567"/>
      <c r="AJ153" s="567"/>
      <c r="AK153" s="567"/>
      <c r="AL153" s="567"/>
      <c r="AM153" s="567"/>
      <c r="AN153" s="567"/>
    </row>
    <row r="154" spans="1:40" s="1244" customFormat="1" ht="33" customHeight="1">
      <c r="A154" s="1245">
        <v>137</v>
      </c>
      <c r="B154" s="1247">
        <v>54</v>
      </c>
      <c r="C154" s="1247" t="str">
        <f>'Chấm công KT'!C148</f>
        <v>04082</v>
      </c>
      <c r="D154" s="1247" t="str">
        <f>TONGHOPCONGDOI!C149</f>
        <v>T Bun Xi</v>
      </c>
      <c r="E154" s="1247" t="s">
        <v>26</v>
      </c>
      <c r="F154" s="1248"/>
      <c r="G154" s="227">
        <f t="shared" si="22"/>
        <v>0</v>
      </c>
      <c r="H154" s="227">
        <f>VLOOKUP(D154,TONGHOPCONGDOI!C149:AD160,16,0)</f>
        <v>4182</v>
      </c>
      <c r="I154" s="227">
        <f>VLOOKUP(D154,TONGHOPCONGDOI!C149:AD167,18,0)</f>
        <v>0</v>
      </c>
      <c r="J154" s="227"/>
      <c r="K154" s="561">
        <f t="shared" si="29"/>
        <v>1829.3128468840885</v>
      </c>
      <c r="L154" s="931">
        <f>'SẢN LƯỢNG'!AP152</f>
        <v>138.43684228235915</v>
      </c>
      <c r="M154" s="931">
        <f>'SẢN LƯỢNG'!AQ152</f>
        <v>1967.7496891664478</v>
      </c>
      <c r="N154" s="562" t="str">
        <f>VLOOKUP(D154,'SẢN LƯỢNG'!$D$98:$AR$160,41,0)</f>
        <v>A</v>
      </c>
      <c r="O154" s="1231">
        <f t="shared" si="26"/>
        <v>7334000</v>
      </c>
      <c r="P154" s="564">
        <f>VLOOKUP(D154,TONGHOPCONGDOI!$C$96:$AD$153,20,0)</f>
        <v>24</v>
      </c>
      <c r="Q154" s="564">
        <f>VLOOKUP(D154,TONGHOPCONGDOI!$C$96:$AD$153,21,0)</f>
        <v>1</v>
      </c>
      <c r="R154" s="564">
        <f>VLOOKUP(D154,TONGHOPCONGDOI!$C$96:$AD$153,22,0)</f>
        <v>0</v>
      </c>
      <c r="S154" s="564">
        <f>VLOOKUP(D154,TONGHOPCONGDOI!$C$96:$AD$153,23,0)</f>
        <v>3</v>
      </c>
      <c r="T154" s="564">
        <f>VLOOKUP(D154,TONGHOPCONGDOI!$C$96:$AD$153,24,0)</f>
        <v>0</v>
      </c>
      <c r="U154" s="564">
        <f>VLOOKUP(D154,TONGHOPCONGDOI!$C$96:$AD$153,25,0)</f>
        <v>0</v>
      </c>
      <c r="V154" s="564"/>
      <c r="W154" s="1229">
        <f t="shared" si="27"/>
        <v>3</v>
      </c>
      <c r="X154" s="1232"/>
      <c r="Y154" s="1232"/>
      <c r="Z154" s="564">
        <f t="shared" si="28"/>
        <v>1385436</v>
      </c>
      <c r="AA154" s="564">
        <f t="shared" si="30"/>
        <v>8719436</v>
      </c>
      <c r="AB154" s="568"/>
      <c r="AC154" s="566">
        <f t="shared" si="25"/>
        <v>8719436</v>
      </c>
      <c r="AD154" s="227"/>
      <c r="AE154" s="1249">
        <v>54</v>
      </c>
      <c r="AF154" s="1233"/>
      <c r="AG154" s="1234"/>
      <c r="AH154" s="1223"/>
      <c r="AI154" s="567"/>
      <c r="AJ154" s="567"/>
      <c r="AK154" s="567"/>
      <c r="AL154" s="567"/>
      <c r="AM154" s="567"/>
      <c r="AN154" s="567"/>
    </row>
    <row r="155" spans="1:40" s="1244" customFormat="1" ht="33" customHeight="1">
      <c r="A155" s="1245">
        <v>138</v>
      </c>
      <c r="B155" s="1246">
        <v>55</v>
      </c>
      <c r="C155" s="1247" t="str">
        <f>'Chấm công KT'!C149</f>
        <v>04083</v>
      </c>
      <c r="D155" s="1247" t="str">
        <f>TONGHOPCONGDOI!C150</f>
        <v>N. Bù</v>
      </c>
      <c r="E155" s="1247" t="s">
        <v>26</v>
      </c>
      <c r="F155" s="1248"/>
      <c r="G155" s="227">
        <f t="shared" si="22"/>
        <v>0</v>
      </c>
      <c r="H155" s="227">
        <f>VLOOKUP(D155,TONGHOPCONGDOI!C150:AD160,16,0)</f>
        <v>3805</v>
      </c>
      <c r="I155" s="227">
        <f>VLOOKUP(D155,TONGHOPCONGDOI!C150:AD168,18,0)</f>
        <v>0</v>
      </c>
      <c r="J155" s="227"/>
      <c r="K155" s="561">
        <f t="shared" si="29"/>
        <v>1664.4034869426007</v>
      </c>
      <c r="L155" s="931">
        <f>'SẢN LƯỢNG'!AP153</f>
        <v>128.03623493190446</v>
      </c>
      <c r="M155" s="931">
        <f>'SẢN LƯỢNG'!AQ153</f>
        <v>1792.4397218745057</v>
      </c>
      <c r="N155" s="562" t="str">
        <f>VLOOKUP(D155,'SẢN LƯỢNG'!$D$98:$AR$160,41,0)</f>
        <v>A</v>
      </c>
      <c r="O155" s="1231">
        <f t="shared" si="26"/>
        <v>6680602</v>
      </c>
      <c r="P155" s="564">
        <f>VLOOKUP(D155,TONGHOPCONGDOI!$C$96:$AD$153,20,0)</f>
        <v>24</v>
      </c>
      <c r="Q155" s="564">
        <f>VLOOKUP(D155,TONGHOPCONGDOI!$C$96:$AD$153,21,0)</f>
        <v>1</v>
      </c>
      <c r="R155" s="564">
        <f>VLOOKUP(D155,TONGHOPCONGDOI!$C$96:$AD$153,22,0)</f>
        <v>0</v>
      </c>
      <c r="S155" s="564">
        <f>VLOOKUP(D155,TONGHOPCONGDOI!$C$96:$AD$153,23,0)</f>
        <v>3</v>
      </c>
      <c r="T155" s="564">
        <f>VLOOKUP(D155,TONGHOPCONGDOI!$C$96:$AD$153,24,0)</f>
        <v>0</v>
      </c>
      <c r="U155" s="564">
        <f>VLOOKUP(D155,TONGHOPCONGDOI!$C$96:$AD$153,25,0)</f>
        <v>0</v>
      </c>
      <c r="V155" s="564"/>
      <c r="W155" s="1229">
        <f t="shared" si="27"/>
        <v>3</v>
      </c>
      <c r="X155" s="1232"/>
      <c r="Y155" s="1232"/>
      <c r="Z155" s="564">
        <f t="shared" si="28"/>
        <v>1385436</v>
      </c>
      <c r="AA155" s="564">
        <f t="shared" si="30"/>
        <v>8066038</v>
      </c>
      <c r="AB155" s="568"/>
      <c r="AC155" s="566">
        <f t="shared" si="25"/>
        <v>8066038</v>
      </c>
      <c r="AD155" s="227"/>
      <c r="AE155" s="1249">
        <v>55</v>
      </c>
      <c r="AF155" s="1233"/>
      <c r="AG155" s="1234"/>
      <c r="AH155" s="1223"/>
      <c r="AI155" s="567"/>
      <c r="AJ155" s="567"/>
      <c r="AK155" s="567"/>
      <c r="AL155" s="567"/>
      <c r="AM155" s="567"/>
      <c r="AN155" s="567"/>
    </row>
    <row r="156" spans="1:40" s="1244" customFormat="1" ht="33" customHeight="1">
      <c r="A156" s="1245">
        <v>139</v>
      </c>
      <c r="B156" s="1247">
        <v>56</v>
      </c>
      <c r="C156" s="1247" t="str">
        <f>'Chấm công KT'!C150</f>
        <v>03642</v>
      </c>
      <c r="D156" s="1247" t="str">
        <f>TONGHOPCONGDOI!C151</f>
        <v>T. Xơn</v>
      </c>
      <c r="E156" s="1247" t="s">
        <v>26</v>
      </c>
      <c r="F156" s="1248"/>
      <c r="G156" s="227">
        <f t="shared" si="22"/>
        <v>0</v>
      </c>
      <c r="H156" s="227">
        <f>VLOOKUP(D156,TONGHOPCONGDOI!C151:AD160,16,0)</f>
        <v>4142</v>
      </c>
      <c r="I156" s="227">
        <f>VLOOKUP(D156,TONGHOPCONGDOI!C151:AD169,18,0)</f>
        <v>0</v>
      </c>
      <c r="J156" s="227"/>
      <c r="K156" s="561">
        <f t="shared" si="29"/>
        <v>1811.8158325666893</v>
      </c>
      <c r="L156" s="931">
        <f>'SẢN LƯỢNG'!AP154</f>
        <v>134.01828360406139</v>
      </c>
      <c r="M156" s="931">
        <f>'SẢN LƯỢNG'!AQ154</f>
        <v>1945.834116170751</v>
      </c>
      <c r="N156" s="562" t="str">
        <f>VLOOKUP(D156,'SẢN LƯỢNG'!$D$98:$AR$160,41,0)</f>
        <v>B</v>
      </c>
      <c r="O156" s="1231">
        <f t="shared" si="26"/>
        <v>6895647</v>
      </c>
      <c r="P156" s="564">
        <f>VLOOKUP(D156,TONGHOPCONGDOI!$C$96:$AD$153,20,0)</f>
        <v>25</v>
      </c>
      <c r="Q156" s="564">
        <f>VLOOKUP(D156,TONGHOPCONGDOI!$C$96:$AD$153,21,0)</f>
        <v>1</v>
      </c>
      <c r="R156" s="564">
        <f>VLOOKUP(D156,TONGHOPCONGDOI!$C$96:$AD$153,22,0)</f>
        <v>0</v>
      </c>
      <c r="S156" s="564">
        <f>VLOOKUP(D156,TONGHOPCONGDOI!$C$96:$AD$153,23,0)</f>
        <v>3</v>
      </c>
      <c r="T156" s="564">
        <f>VLOOKUP(D156,TONGHOPCONGDOI!$C$96:$AD$153,24,0)</f>
        <v>0</v>
      </c>
      <c r="U156" s="564">
        <f>VLOOKUP(D156,TONGHOPCONGDOI!$C$96:$AD$153,25,0)</f>
        <v>0</v>
      </c>
      <c r="V156" s="564"/>
      <c r="W156" s="1229">
        <f t="shared" si="27"/>
        <v>3</v>
      </c>
      <c r="X156" s="1232"/>
      <c r="Y156" s="1232"/>
      <c r="Z156" s="564">
        <f t="shared" si="28"/>
        <v>1415860</v>
      </c>
      <c r="AA156" s="564">
        <f t="shared" si="30"/>
        <v>8311507</v>
      </c>
      <c r="AB156" s="568"/>
      <c r="AC156" s="566">
        <f t="shared" si="25"/>
        <v>8311507</v>
      </c>
      <c r="AD156" s="227"/>
      <c r="AE156" s="1249">
        <v>56</v>
      </c>
      <c r="AF156" s="1233"/>
      <c r="AG156" s="1234"/>
      <c r="AH156" s="1223"/>
      <c r="AI156" s="567"/>
      <c r="AJ156" s="567"/>
      <c r="AK156" s="567"/>
      <c r="AL156" s="567"/>
      <c r="AM156" s="567"/>
      <c r="AN156" s="567"/>
    </row>
    <row r="157" spans="1:40" s="1244" customFormat="1" ht="33" customHeight="1">
      <c r="A157" s="1245">
        <v>140</v>
      </c>
      <c r="B157" s="1246">
        <v>57</v>
      </c>
      <c r="C157" s="1247" t="str">
        <f>'Chấm công KT'!C151</f>
        <v>04084</v>
      </c>
      <c r="D157" s="1247" t="str">
        <f>TONGHOPCONGDOI!C152</f>
        <v>T. Thi</v>
      </c>
      <c r="E157" s="1247" t="s">
        <v>26</v>
      </c>
      <c r="F157" s="1248"/>
      <c r="G157" s="227">
        <f t="shared" si="22"/>
        <v>0</v>
      </c>
      <c r="H157" s="227">
        <f>VLOOKUP(D157,TONGHOPCONGDOI!C152:AD160,16,0)</f>
        <v>4774</v>
      </c>
      <c r="I157" s="227">
        <f>VLOOKUP(D157,TONGHOPCONGDOI!C152:AD170,18,0)</f>
        <v>0</v>
      </c>
      <c r="J157" s="227"/>
      <c r="K157" s="561">
        <f t="shared" si="29"/>
        <v>2088.268658781597</v>
      </c>
      <c r="L157" s="931">
        <f>'SẢN LƯỢNG'!AP155</f>
        <v>87.793362046485058</v>
      </c>
      <c r="M157" s="931">
        <f>'SẢN LƯỢNG'!AQ155</f>
        <v>2176.0620208280825</v>
      </c>
      <c r="N157" s="562" t="str">
        <f>VLOOKUP(D157,'SẢN LƯỢNG'!$D$98:$AR$160,41,0)</f>
        <v>A</v>
      </c>
      <c r="O157" s="1231">
        <f t="shared" si="26"/>
        <v>8110401</v>
      </c>
      <c r="P157" s="564">
        <f>VLOOKUP(D157,TONGHOPCONGDOI!$C$96:$AD$153,20,0)</f>
        <v>25</v>
      </c>
      <c r="Q157" s="564">
        <f>VLOOKUP(D157,TONGHOPCONGDOI!$C$96:$AD$153,21,0)</f>
        <v>1</v>
      </c>
      <c r="R157" s="564">
        <f>VLOOKUP(D157,TONGHOPCONGDOI!$C$96:$AD$153,22,0)</f>
        <v>0</v>
      </c>
      <c r="S157" s="564">
        <f>VLOOKUP(D157,TONGHOPCONGDOI!$C$96:$AD$153,23,0)</f>
        <v>3</v>
      </c>
      <c r="T157" s="564">
        <f>VLOOKUP(D157,TONGHOPCONGDOI!$C$96:$AD$153,24,0)</f>
        <v>0</v>
      </c>
      <c r="U157" s="564">
        <f>VLOOKUP(D157,TONGHOPCONGDOI!$C$96:$AD$153,25,0)</f>
        <v>0</v>
      </c>
      <c r="V157" s="564"/>
      <c r="W157" s="1229">
        <f t="shared" si="27"/>
        <v>3</v>
      </c>
      <c r="X157" s="1232"/>
      <c r="Y157" s="1232"/>
      <c r="Z157" s="564">
        <f t="shared" si="28"/>
        <v>1415860</v>
      </c>
      <c r="AA157" s="564">
        <f t="shared" si="30"/>
        <v>9526261</v>
      </c>
      <c r="AB157" s="568"/>
      <c r="AC157" s="566">
        <f t="shared" si="25"/>
        <v>9526261</v>
      </c>
      <c r="AD157" s="227"/>
      <c r="AE157" s="1249">
        <v>57</v>
      </c>
      <c r="AF157" s="1233"/>
      <c r="AG157" s="1234"/>
      <c r="AH157" s="1223"/>
      <c r="AI157" s="567"/>
      <c r="AJ157" s="567"/>
      <c r="AK157" s="567"/>
      <c r="AL157" s="567"/>
      <c r="AM157" s="567"/>
      <c r="AN157" s="567"/>
    </row>
    <row r="158" spans="1:40" s="1244" customFormat="1" ht="33" customHeight="1">
      <c r="A158" s="1245">
        <v>141</v>
      </c>
      <c r="B158" s="1247">
        <v>58</v>
      </c>
      <c r="C158" s="1247" t="str">
        <f>'Chấm công KT'!C152</f>
        <v>04085</v>
      </c>
      <c r="D158" s="1247" t="str">
        <f>TONGHOPCONGDOI!C153</f>
        <v>On chay</v>
      </c>
      <c r="E158" s="1247" t="s">
        <v>26</v>
      </c>
      <c r="F158" s="1248"/>
      <c r="G158" s="227">
        <f t="shared" si="22"/>
        <v>0</v>
      </c>
      <c r="H158" s="227">
        <f>VLOOKUP(D158,TONGHOPCONGDOI!C153:AD162,16,0)</f>
        <v>2991</v>
      </c>
      <c r="I158" s="227">
        <f>VLOOKUP(D158,TONGHOPCONGDOI!C153:AD171,18,0)</f>
        <v>0</v>
      </c>
      <c r="J158" s="227"/>
      <c r="K158" s="561">
        <f t="shared" si="29"/>
        <v>1308.3392455835267</v>
      </c>
      <c r="L158" s="931">
        <f>'SẢN LƯỢNG'!AP156</f>
        <v>103.90410676581682</v>
      </c>
      <c r="M158" s="931">
        <f>'SẢN LƯỢNG'!AQ156</f>
        <v>1412.2433523493437</v>
      </c>
      <c r="N158" s="562" t="str">
        <f>VLOOKUP(D158,'SẢN LƯỢNG'!$D$98:$AR$160,41,0)</f>
        <v>A</v>
      </c>
      <c r="O158" s="1231">
        <f t="shared" si="26"/>
        <v>5263572</v>
      </c>
      <c r="P158" s="564">
        <f>VLOOKUP(D158,TONGHOPCONGDOI!$C$96:$AD$153,20,0)</f>
        <v>25</v>
      </c>
      <c r="Q158" s="564">
        <f>VLOOKUP(D158,TONGHOPCONGDOI!$C$96:$AD$153,21,0)</f>
        <v>1</v>
      </c>
      <c r="R158" s="564">
        <f>VLOOKUP(D158,TONGHOPCONGDOI!$C$96:$AD$158,22,0)</f>
        <v>0</v>
      </c>
      <c r="S158" s="564">
        <f>VLOOKUP(D158,TONGHOPCONGDOI!$C$96:$AD$153,23,0)</f>
        <v>3</v>
      </c>
      <c r="T158" s="564">
        <f>VLOOKUP(D158,TONGHOPCONGDOI!$C$96:$AD$153,24,0)</f>
        <v>0</v>
      </c>
      <c r="U158" s="564">
        <f>VLOOKUP(D158,TONGHOPCONGDOI!$C$96:$AD$153,25,0)</f>
        <v>0</v>
      </c>
      <c r="V158" s="564"/>
      <c r="W158" s="1229">
        <f t="shared" si="27"/>
        <v>3</v>
      </c>
      <c r="X158" s="1232"/>
      <c r="Y158" s="1232"/>
      <c r="Z158" s="564">
        <f t="shared" si="28"/>
        <v>1415860</v>
      </c>
      <c r="AA158" s="564">
        <f t="shared" si="30"/>
        <v>6679432</v>
      </c>
      <c r="AB158" s="568"/>
      <c r="AC158" s="566">
        <f t="shared" si="25"/>
        <v>6679432</v>
      </c>
      <c r="AD158" s="227"/>
      <c r="AE158" s="1249">
        <v>58</v>
      </c>
      <c r="AF158" s="1233"/>
      <c r="AG158" s="1234"/>
      <c r="AH158" s="1223"/>
      <c r="AI158" s="567"/>
      <c r="AJ158" s="567"/>
      <c r="AK158" s="567"/>
      <c r="AL158" s="567"/>
      <c r="AM158" s="567"/>
      <c r="AN158" s="567"/>
    </row>
    <row r="159" spans="1:40" s="1244" customFormat="1" ht="33" customHeight="1">
      <c r="A159" s="1245">
        <v>142</v>
      </c>
      <c r="B159" s="1246">
        <v>59</v>
      </c>
      <c r="C159" s="1247">
        <f>'Chấm công KT'!C153</f>
        <v>0</v>
      </c>
      <c r="D159" s="1247" t="str">
        <f>TONGHOPCONGDOI!C154</f>
        <v>T. Thong</v>
      </c>
      <c r="E159" s="1247" t="s">
        <v>26</v>
      </c>
      <c r="F159" s="1248">
        <f>VLOOKUP(D159,TONGHOPCONGDOI!C154:Q160,15,0)</f>
        <v>0</v>
      </c>
      <c r="G159" s="227">
        <f t="shared" si="22"/>
        <v>0</v>
      </c>
      <c r="H159" s="227">
        <f>VLOOKUP(D159,TONGHOPCONGDOI!C154:AD163,16,0)</f>
        <v>1544</v>
      </c>
      <c r="I159" s="227">
        <f>VLOOKUP(D159,TONGHOPCONGDOI!C154:AD172,18,0)</f>
        <v>0</v>
      </c>
      <c r="J159" s="227"/>
      <c r="K159" s="561">
        <f t="shared" si="29"/>
        <v>675.38475265160992</v>
      </c>
      <c r="L159" s="931">
        <f>'SẢN LƯỢNG'!AP157</f>
        <v>53.260626529942741</v>
      </c>
      <c r="M159" s="931">
        <f>'SẢN LƯỢNG'!AQ157</f>
        <v>728.64537918155281</v>
      </c>
      <c r="N159" s="562" t="str">
        <f>VLOOKUP(D159,'SẢN LƯỢNG'!$D$98:$AR$160,41,0)</f>
        <v>C.</v>
      </c>
      <c r="O159" s="1231">
        <f t="shared" si="26"/>
        <v>2448613</v>
      </c>
      <c r="P159" s="564">
        <f>VLOOKUP(D159,TONGHOPCONGDOI!$C$96:$AD$160,20,0)</f>
        <v>22</v>
      </c>
      <c r="Q159" s="564">
        <f>VLOOKUP(D159,TONGHOPCONGDOI!$C$96:$AD$160,21,0)</f>
        <v>1</v>
      </c>
      <c r="R159" s="564">
        <f>VLOOKUP(D159,TONGHOPCONGDOI!$C$96:$AD$158,22,0)</f>
        <v>0</v>
      </c>
      <c r="S159" s="564">
        <f>VLOOKUP(D159,TONGHOPCONGDOI!$C$96:$AD$160,23,0)</f>
        <v>3</v>
      </c>
      <c r="T159" s="564">
        <f>VLOOKUP(D159,TONGHOPCONGDOI!$C$96:$AD$160,24,0)</f>
        <v>0</v>
      </c>
      <c r="U159" s="564">
        <f>VLOOKUP(D159,TONGHOPCONGDOI!$C$96:$AD$160,25,0)</f>
        <v>0</v>
      </c>
      <c r="V159" s="564">
        <f>VLOOKUP(D159,TONGHOPCONGDOI!$C$96:$AD$159,24,0)</f>
        <v>0</v>
      </c>
      <c r="W159" s="1229">
        <f t="shared" si="27"/>
        <v>3</v>
      </c>
      <c r="X159" s="1232"/>
      <c r="Y159" s="1232"/>
      <c r="Z159" s="564">
        <f t="shared" si="28"/>
        <v>1324588</v>
      </c>
      <c r="AA159" s="564">
        <f t="shared" si="30"/>
        <v>3773201</v>
      </c>
      <c r="AB159" s="568"/>
      <c r="AC159" s="566">
        <f t="shared" si="25"/>
        <v>3773201</v>
      </c>
      <c r="AD159" s="227"/>
      <c r="AE159" s="1249">
        <v>59</v>
      </c>
      <c r="AF159" s="1233"/>
      <c r="AG159" s="1234"/>
      <c r="AH159" s="1223"/>
      <c r="AI159" s="567"/>
      <c r="AJ159" s="567"/>
      <c r="AK159" s="567"/>
      <c r="AL159" s="567"/>
      <c r="AM159" s="567"/>
      <c r="AN159" s="567"/>
    </row>
    <row r="160" spans="1:40" s="1244" customFormat="1" ht="33" customHeight="1">
      <c r="A160" s="1245">
        <v>143</v>
      </c>
      <c r="B160" s="1247">
        <v>60</v>
      </c>
      <c r="C160" s="1247">
        <f>'Chấm công KT'!C154</f>
        <v>0</v>
      </c>
      <c r="D160" s="1247" t="str">
        <f>TONGHOPCONGDOI!C155</f>
        <v>T. Khách</v>
      </c>
      <c r="E160" s="1247" t="s">
        <v>26</v>
      </c>
      <c r="F160" s="1248">
        <f>VLOOKUP(D160,TONGHOPCONGDOI!C155:Q160,15,0)</f>
        <v>0</v>
      </c>
      <c r="G160" s="227">
        <f t="shared" si="22"/>
        <v>0</v>
      </c>
      <c r="H160" s="227">
        <f>VLOOKUP(D160,TONGHOPCONGDOI!C155:AD164,16,0)</f>
        <v>1024</v>
      </c>
      <c r="I160" s="227">
        <f>VLOOKUP(D160,TONGHOPCONGDOI!C155:AD173,18,0)</f>
        <v>0</v>
      </c>
      <c r="J160" s="227"/>
      <c r="K160" s="561">
        <f>$AL$8/$AL$7*H160+I160*$AL$9+J160*$AL$10</f>
        <v>447.92356652542003</v>
      </c>
      <c r="L160" s="931">
        <f>'SẢN LƯỢNG'!AP158</f>
        <v>34.770657906912199</v>
      </c>
      <c r="M160" s="931">
        <f>'SẢN LƯỢNG'!AQ158</f>
        <v>482.69422443233231</v>
      </c>
      <c r="N160" s="562" t="str">
        <f>VLOOKUP(D160,'SẢN LƯỢNG'!$D$98:$AR$160,41,0)</f>
        <v>C.</v>
      </c>
      <c r="O160" s="1231">
        <f t="shared" si="26"/>
        <v>1622094</v>
      </c>
      <c r="P160" s="564">
        <f>VLOOKUP(D160,TONGHOPCONGDOI!$C$96:$AD$160,20,0)</f>
        <v>16</v>
      </c>
      <c r="Q160" s="564">
        <f>VLOOKUP(D160,TONGHOPCONGDOI!$C$96:$AD$160,21,0)</f>
        <v>1</v>
      </c>
      <c r="R160" s="564">
        <f>VLOOKUP(D160,TONGHOPCONGDOI!$C$96:$AD$158,22,0)</f>
        <v>0</v>
      </c>
      <c r="S160" s="564">
        <f>VLOOKUP(D160,TONGHOPCONGDOI!$C$96:$AD$160,23,0)</f>
        <v>3</v>
      </c>
      <c r="T160" s="564">
        <f>VLOOKUP(D160,TONGHOPCONGDOI!$C$96:$AD$160,24,0)</f>
        <v>0</v>
      </c>
      <c r="U160" s="564">
        <f>VLOOKUP(D160,TONGHOPCONGDOI!$C$96:$AD$160,25,0)</f>
        <v>0</v>
      </c>
      <c r="V160" s="564">
        <f>VLOOKUP(D160,TONGHOPCONGDOI!$C$96:$AD$159,24,0)</f>
        <v>0</v>
      </c>
      <c r="W160" s="1229">
        <f t="shared" si="27"/>
        <v>3</v>
      </c>
      <c r="X160" s="1232"/>
      <c r="Y160" s="1232"/>
      <c r="Z160" s="564">
        <f t="shared" si="28"/>
        <v>1142043</v>
      </c>
      <c r="AA160" s="564">
        <f t="shared" si="30"/>
        <v>2764137</v>
      </c>
      <c r="AB160" s="568"/>
      <c r="AC160" s="566">
        <f t="shared" si="25"/>
        <v>2764137</v>
      </c>
      <c r="AD160" s="227"/>
      <c r="AE160" s="1249">
        <v>60</v>
      </c>
      <c r="AF160" s="1233"/>
      <c r="AG160" s="1234"/>
      <c r="AH160" s="1223"/>
      <c r="AI160" s="567"/>
      <c r="AJ160" s="567"/>
      <c r="AK160" s="567"/>
      <c r="AL160" s="567"/>
      <c r="AM160" s="567"/>
      <c r="AN160" s="567"/>
    </row>
    <row r="161" spans="1:40" s="1244" customFormat="1" ht="33" customHeight="1">
      <c r="A161" s="1245">
        <v>144</v>
      </c>
      <c r="B161" s="1246">
        <v>61</v>
      </c>
      <c r="C161" s="1247">
        <f>'Chấm công KT'!C155</f>
        <v>0</v>
      </c>
      <c r="D161" s="1247" t="str">
        <f>TONGHOPCONGDOI!C156</f>
        <v>Nang On Xi</v>
      </c>
      <c r="E161" s="1247" t="s">
        <v>26</v>
      </c>
      <c r="F161" s="1248">
        <f>VLOOKUP(D161,TONGHOPCONGDOI!C156:Q160,15,0)</f>
        <v>0</v>
      </c>
      <c r="G161" s="227">
        <f t="shared" si="22"/>
        <v>0</v>
      </c>
      <c r="H161" s="227">
        <f>VLOOKUP(D161,TONGHOPCONGDOI!C156:AD165,16,0)</f>
        <v>429</v>
      </c>
      <c r="I161" s="227">
        <f>VLOOKUP(D161,TONGHOPCONGDOI!C156:AD174,18,0)</f>
        <v>0</v>
      </c>
      <c r="J161" s="227"/>
      <c r="K161" s="561">
        <f t="shared" si="29"/>
        <v>187.65547855410662</v>
      </c>
      <c r="L161" s="931">
        <f>'SẢN LƯỢNG'!AP159</f>
        <v>17.572267974461003</v>
      </c>
      <c r="M161" s="931">
        <f>'SẢN LƯỢNG'!AQ159</f>
        <v>205.22774652856768</v>
      </c>
      <c r="N161" s="562" t="str">
        <f>VLOOKUP(D161,'SẢN LƯỢNG'!$D$98:$AR$160,41,0)</f>
        <v>C.</v>
      </c>
      <c r="O161" s="1231">
        <f t="shared" si="26"/>
        <v>689668</v>
      </c>
      <c r="P161" s="564">
        <f>VLOOKUP(D161,TONGHOPCONGDOI!$C$96:$AD$160,20,0)</f>
        <v>13</v>
      </c>
      <c r="Q161" s="564">
        <f>VLOOKUP(D161,TONGHOPCONGDOI!$C$96:$AD$160,21,0)</f>
        <v>1</v>
      </c>
      <c r="R161" s="564">
        <f>VLOOKUP(D161,TONGHOPCONGDOI!$C$96:$AD$158,22,0)</f>
        <v>0</v>
      </c>
      <c r="S161" s="564">
        <f>VLOOKUP(D161,TONGHOPCONGDOI!$C$96:$AD$160,23,0)</f>
        <v>2</v>
      </c>
      <c r="T161" s="564">
        <f>VLOOKUP(D161,TONGHOPCONGDOI!$C$96:$AD$160,24,0)</f>
        <v>0</v>
      </c>
      <c r="U161" s="564">
        <f>VLOOKUP(D161,TONGHOPCONGDOI!$C$96:$AD$160,25,0)</f>
        <v>0</v>
      </c>
      <c r="V161" s="564">
        <f>VLOOKUP(D161,TONGHOPCONGDOI!$C$96:$AD$159,24,0)</f>
        <v>0</v>
      </c>
      <c r="W161" s="1229">
        <f t="shared" si="27"/>
        <v>2</v>
      </c>
      <c r="X161" s="1232"/>
      <c r="Y161" s="1232"/>
      <c r="Z161" s="564">
        <f t="shared" si="28"/>
        <v>849269</v>
      </c>
      <c r="AA161" s="564">
        <f t="shared" si="30"/>
        <v>1538937</v>
      </c>
      <c r="AB161" s="568"/>
      <c r="AC161" s="566">
        <f t="shared" si="25"/>
        <v>1538937</v>
      </c>
      <c r="AD161" s="227"/>
      <c r="AE161" s="1249">
        <v>61</v>
      </c>
      <c r="AF161" s="1233"/>
      <c r="AG161" s="1234"/>
      <c r="AH161" s="1223"/>
      <c r="AI161" s="567"/>
      <c r="AJ161" s="567"/>
      <c r="AK161" s="567"/>
      <c r="AL161" s="567"/>
      <c r="AM161" s="567"/>
      <c r="AN161" s="567"/>
    </row>
    <row r="162" spans="1:40" s="1244" customFormat="1" ht="33" customHeight="1">
      <c r="A162" s="1245">
        <v>145</v>
      </c>
      <c r="B162" s="1247">
        <v>62</v>
      </c>
      <c r="C162" s="1247">
        <f>'Chấm công KT'!C156</f>
        <v>0</v>
      </c>
      <c r="D162" s="1247" t="str">
        <f>TONGHOPCONGDOI!C157</f>
        <v>Thảo Túc</v>
      </c>
      <c r="E162" s="1247" t="s">
        <v>26</v>
      </c>
      <c r="F162" s="1248">
        <f>VLOOKUP(D162,TONGHOPCONGDOI!C157:Q160,15,0)</f>
        <v>0</v>
      </c>
      <c r="G162" s="227">
        <f t="shared" si="22"/>
        <v>0</v>
      </c>
      <c r="H162" s="227">
        <f>VLOOKUP(D162,TONGHOPCONGDOI!C157:AD166,16,0)</f>
        <v>344</v>
      </c>
      <c r="I162" s="227">
        <f>VLOOKUP(D162,TONGHOPCONGDOI!C157:AD175,18,0)</f>
        <v>0</v>
      </c>
      <c r="J162" s="227"/>
      <c r="K162" s="561">
        <f t="shared" si="29"/>
        <v>150.47432312963329</v>
      </c>
      <c r="L162" s="931">
        <f>'SẢN LƯỢNG'!AP160</f>
        <v>10.128696047174815</v>
      </c>
      <c r="M162" s="931">
        <f>'SẢN LƯỢNG'!AQ160</f>
        <v>160.60301917680815</v>
      </c>
      <c r="N162" s="562" t="str">
        <f>VLOOKUP(D162,'SẢN LƯỢNG'!$D$98:$AR$160,41,0)</f>
        <v>C.</v>
      </c>
      <c r="O162" s="1231">
        <f>ROUND((IF(N162="A",(M162*6.1),IF(N162="B",(M162*5.8),IF(N162="C",(M162*5.5),IF(N162="C.",(M162*5.5),IF(N162="D",(M162*5.2),0)))))*$F$10),0)</f>
        <v>539706</v>
      </c>
      <c r="P162" s="564">
        <f>VLOOKUP(D162,TONGHOPCONGDOI!$C$96:$AD$160,20,0)</f>
        <v>11</v>
      </c>
      <c r="Q162" s="564">
        <f>VLOOKUP(D162,TONGHOPCONGDOI!$C$96:$AD$160,21,0)</f>
        <v>0</v>
      </c>
      <c r="R162" s="564">
        <f>VLOOKUP(D162,TONGHOPCONGDOI!$C$96:$AD$158,22,0)</f>
        <v>0</v>
      </c>
      <c r="S162" s="564">
        <f>VLOOKUP(D162,TONGHOPCONGDOI!$C$96:$AD$160,23,0)</f>
        <v>2</v>
      </c>
      <c r="T162" s="564">
        <f>VLOOKUP(D162,TONGHOPCONGDOI!$C$96:$AD$160,24,0)</f>
        <v>0</v>
      </c>
      <c r="U162" s="564">
        <f>VLOOKUP(D162,TONGHOPCONGDOI!$C$96:$AD$160,25,0)</f>
        <v>0</v>
      </c>
      <c r="V162" s="564">
        <f>VLOOKUP(D162,TONGHOPCONGDOI!$C$96:$AD$159,24,0)</f>
        <v>0</v>
      </c>
      <c r="W162" s="1229">
        <f t="shared" si="27"/>
        <v>2</v>
      </c>
      <c r="X162" s="1232"/>
      <c r="Y162" s="1232"/>
      <c r="Z162" s="564">
        <f>ROUND(((P162*46.1)+(Q162*76.9)+(R162*92.2)+(S162*153.8)+(T162*92.2)+(U162*153.8))*$F$11+(V162*25000)+(W162*100000),0)</f>
        <v>737669</v>
      </c>
      <c r="AA162" s="564">
        <f t="shared" si="30"/>
        <v>1277375</v>
      </c>
      <c r="AB162" s="568"/>
      <c r="AC162" s="566">
        <f t="shared" ref="AC162:AC165" si="31">AA162-AB162</f>
        <v>1277375</v>
      </c>
      <c r="AD162" s="227"/>
      <c r="AE162" s="1249">
        <v>62</v>
      </c>
      <c r="AF162" s="1233"/>
      <c r="AG162" s="1234"/>
      <c r="AH162" s="1223"/>
      <c r="AI162" s="567"/>
      <c r="AJ162" s="567"/>
      <c r="AK162" s="567"/>
      <c r="AL162" s="567"/>
      <c r="AM162" s="567"/>
      <c r="AN162" s="567"/>
    </row>
    <row r="163" spans="1:40" s="1244" customFormat="1" ht="33" customHeight="1">
      <c r="A163" s="1245">
        <v>146</v>
      </c>
      <c r="B163" s="1246">
        <v>63</v>
      </c>
      <c r="C163" s="1247">
        <f>'Chấm công KT'!C157</f>
        <v>0</v>
      </c>
      <c r="D163" s="1247" t="str">
        <f>TONGHOPCONGDOI!C158</f>
        <v>Mủ Xi Rum 2</v>
      </c>
      <c r="E163" s="1247" t="s">
        <v>26</v>
      </c>
      <c r="F163" s="1248">
        <f>VLOOKUP(D163,TONGHOPCONGDOI!C158:Q160,15,0)</f>
        <v>0</v>
      </c>
      <c r="G163" s="227">
        <f t="shared" ref="G163" si="32">F163*25000</f>
        <v>0</v>
      </c>
      <c r="H163" s="227"/>
      <c r="I163" s="227"/>
      <c r="J163" s="227">
        <f>'Trạm 2'!I79</f>
        <v>485</v>
      </c>
      <c r="K163" s="931">
        <f>'Trạm 2'!J79</f>
        <v>259.18200000000013</v>
      </c>
      <c r="L163" s="931"/>
      <c r="M163" s="931">
        <f>K163</f>
        <v>259.18200000000013</v>
      </c>
      <c r="N163" s="562"/>
      <c r="O163" s="1347">
        <f>ROUND((K163*6.1*F10),0)</f>
        <v>965997</v>
      </c>
      <c r="P163" s="564"/>
      <c r="Q163" s="564"/>
      <c r="R163" s="564"/>
      <c r="S163" s="564"/>
      <c r="T163" s="564"/>
      <c r="U163" s="564"/>
      <c r="V163" s="564"/>
      <c r="W163" s="1229">
        <f t="shared" ref="W163:W164" si="33">R163</f>
        <v>0</v>
      </c>
      <c r="X163" s="1232"/>
      <c r="Y163" s="1232"/>
      <c r="Z163" s="564">
        <f t="shared" ref="Z163:Z166" si="34">ROUND(((P163*46.1)+(Q163*76.9)+(R163*92.2)+(S163*153.8)+(T163*92.2)+(U163*153.8))*$F$11+(V163*25000)+(W163*100000),0)</f>
        <v>0</v>
      </c>
      <c r="AA163" s="564">
        <f t="shared" si="30"/>
        <v>965997</v>
      </c>
      <c r="AB163" s="568"/>
      <c r="AC163" s="566">
        <f t="shared" ref="AC163" si="35">AA163-AB163</f>
        <v>965997</v>
      </c>
      <c r="AD163" s="227"/>
      <c r="AE163" s="1249">
        <v>63</v>
      </c>
      <c r="AF163" s="1233"/>
      <c r="AG163" s="1234"/>
      <c r="AH163" s="1223"/>
      <c r="AI163" s="567"/>
      <c r="AJ163" s="567"/>
      <c r="AK163" s="567"/>
      <c r="AL163" s="567"/>
      <c r="AM163" s="567"/>
      <c r="AN163" s="567"/>
    </row>
    <row r="164" spans="1:40" s="1243" customFormat="1" ht="33" customHeight="1">
      <c r="A164" s="1245">
        <v>147</v>
      </c>
      <c r="B164" s="1247">
        <v>64</v>
      </c>
      <c r="C164" s="1250"/>
      <c r="D164" s="1250" t="str">
        <f>TONGHOPCONGDOI!C159</f>
        <v>Mon (3)</v>
      </c>
      <c r="E164" s="1250" t="s">
        <v>26</v>
      </c>
      <c r="F164" s="1251"/>
      <c r="G164" s="860">
        <f t="shared" si="22"/>
        <v>0</v>
      </c>
      <c r="H164" s="860"/>
      <c r="I164" s="860"/>
      <c r="J164" s="860"/>
      <c r="K164" s="861"/>
      <c r="L164" s="861"/>
      <c r="M164" s="861"/>
      <c r="N164" s="862"/>
      <c r="O164" s="863"/>
      <c r="P164" s="864"/>
      <c r="Q164" s="864"/>
      <c r="R164" s="864"/>
      <c r="S164" s="864"/>
      <c r="T164" s="864"/>
      <c r="U164" s="864"/>
      <c r="V164" s="864"/>
      <c r="W164" s="1229">
        <f t="shared" si="33"/>
        <v>0</v>
      </c>
      <c r="X164" s="1238"/>
      <c r="Y164" s="1238"/>
      <c r="Z164" s="564">
        <f t="shared" si="34"/>
        <v>0</v>
      </c>
      <c r="AA164" s="864">
        <f t="shared" si="30"/>
        <v>0</v>
      </c>
      <c r="AB164" s="865"/>
      <c r="AC164" s="866">
        <f t="shared" si="31"/>
        <v>0</v>
      </c>
      <c r="AD164" s="860"/>
      <c r="AE164" s="867"/>
      <c r="AF164" s="1239"/>
      <c r="AG164" s="1234"/>
      <c r="AH164" s="1223"/>
      <c r="AI164" s="1242"/>
      <c r="AJ164" s="1242"/>
      <c r="AK164" s="1242"/>
      <c r="AL164" s="1242"/>
      <c r="AM164" s="1242"/>
      <c r="AN164" s="1242"/>
    </row>
    <row r="165" spans="1:40" s="1243" customFormat="1" ht="33" customHeight="1">
      <c r="A165" s="1245">
        <v>148</v>
      </c>
      <c r="B165" s="1246">
        <v>65</v>
      </c>
      <c r="C165" s="1250"/>
      <c r="D165" s="1250" t="str">
        <f>TONGHOPCONGDOI!C160</f>
        <v>T. Huân</v>
      </c>
      <c r="E165" s="1250" t="s">
        <v>26</v>
      </c>
      <c r="F165" s="1251"/>
      <c r="G165" s="860">
        <f t="shared" si="22"/>
        <v>0</v>
      </c>
      <c r="H165" s="860"/>
      <c r="I165" s="860"/>
      <c r="J165" s="860"/>
      <c r="K165" s="861"/>
      <c r="L165" s="861"/>
      <c r="M165" s="861"/>
      <c r="N165" s="862"/>
      <c r="O165" s="863"/>
      <c r="P165" s="864"/>
      <c r="Q165" s="864"/>
      <c r="R165" s="864"/>
      <c r="S165" s="864"/>
      <c r="T165" s="864"/>
      <c r="U165" s="864"/>
      <c r="V165" s="864"/>
      <c r="W165" s="1238">
        <f t="shared" ref="W165" si="36">SUM(P165:V165)</f>
        <v>0</v>
      </c>
      <c r="X165" s="1238"/>
      <c r="Y165" s="1238"/>
      <c r="Z165" s="564">
        <f t="shared" si="34"/>
        <v>0</v>
      </c>
      <c r="AA165" s="864">
        <f t="shared" ref="AA165" si="37">G165+O165+Z165</f>
        <v>0</v>
      </c>
      <c r="AB165" s="865"/>
      <c r="AC165" s="866">
        <f t="shared" si="31"/>
        <v>0</v>
      </c>
      <c r="AD165" s="860"/>
      <c r="AE165" s="867"/>
      <c r="AF165" s="1239"/>
      <c r="AG165" s="1234"/>
      <c r="AH165" s="1223"/>
      <c r="AI165" s="1242"/>
      <c r="AJ165" s="1242"/>
      <c r="AK165" s="1242"/>
      <c r="AL165" s="1242"/>
      <c r="AM165" s="1242"/>
      <c r="AN165" s="1242"/>
    </row>
    <row r="166" spans="1:40" s="1243" customFormat="1" ht="33" hidden="1" customHeight="1">
      <c r="A166" s="1245">
        <v>149</v>
      </c>
      <c r="B166" s="1247">
        <v>66</v>
      </c>
      <c r="C166" s="1250"/>
      <c r="D166" s="1250" t="str">
        <f>TONGHOPCONGDOI!C161</f>
        <v>Chuyển 2</v>
      </c>
      <c r="E166" s="1250" t="s">
        <v>26</v>
      </c>
      <c r="F166" s="1251">
        <f>VLOOKUP(D166,TONGHOPCONGDOI!C161:Q161,15,0)</f>
        <v>0</v>
      </c>
      <c r="G166" s="860">
        <f t="shared" ref="G166" si="38">F166*25000</f>
        <v>0</v>
      </c>
      <c r="H166" s="860"/>
      <c r="I166" s="860"/>
      <c r="J166" s="860"/>
      <c r="K166" s="861"/>
      <c r="L166" s="861"/>
      <c r="M166" s="861"/>
      <c r="N166" s="862"/>
      <c r="O166" s="863"/>
      <c r="P166" s="864"/>
      <c r="Q166" s="864"/>
      <c r="R166" s="864"/>
      <c r="S166" s="864"/>
      <c r="T166" s="864"/>
      <c r="U166" s="864"/>
      <c r="V166" s="864"/>
      <c r="W166" s="1238">
        <f t="shared" ref="W166" si="39">SUM(P166:V166)</f>
        <v>0</v>
      </c>
      <c r="X166" s="1238"/>
      <c r="Y166" s="1238"/>
      <c r="Z166" s="564">
        <f t="shared" si="34"/>
        <v>0</v>
      </c>
      <c r="AA166" s="864">
        <f t="shared" ref="AA166" si="40">G166+O166+Z166</f>
        <v>0</v>
      </c>
      <c r="AB166" s="865"/>
      <c r="AC166" s="866">
        <f t="shared" ref="AC166" si="41">AA166-AB166</f>
        <v>0</v>
      </c>
      <c r="AD166" s="860"/>
      <c r="AE166" s="867"/>
      <c r="AF166" s="1239"/>
      <c r="AG166" s="1234"/>
      <c r="AH166" s="1223"/>
      <c r="AI166" s="1242"/>
      <c r="AJ166" s="1242"/>
      <c r="AK166" s="1242"/>
      <c r="AL166" s="1242"/>
      <c r="AM166" s="1242"/>
      <c r="AN166" s="1242"/>
    </row>
    <row r="167" spans="1:40" s="1244" customFormat="1" ht="33" customHeight="1">
      <c r="A167" s="1530" t="s">
        <v>331</v>
      </c>
      <c r="B167" s="1530"/>
      <c r="C167" s="1530"/>
      <c r="D167" s="1530"/>
      <c r="E167" s="1530"/>
      <c r="F167" s="569">
        <f t="shared" ref="F167:M167" si="42">F15+F100</f>
        <v>0</v>
      </c>
      <c r="G167" s="560">
        <f t="shared" si="42"/>
        <v>0</v>
      </c>
      <c r="H167" s="560">
        <f t="shared" si="42"/>
        <v>524282</v>
      </c>
      <c r="I167" s="560">
        <f t="shared" si="42"/>
        <v>0</v>
      </c>
      <c r="J167" s="560">
        <f t="shared" si="42"/>
        <v>785</v>
      </c>
      <c r="K167" s="560">
        <f t="shared" si="42"/>
        <v>230931.95999999996</v>
      </c>
      <c r="L167" s="560">
        <f t="shared" si="42"/>
        <v>18261.000000000004</v>
      </c>
      <c r="M167" s="560">
        <f t="shared" si="42"/>
        <v>249192.96000000005</v>
      </c>
      <c r="N167" s="560"/>
      <c r="O167" s="560">
        <f t="shared" ref="O167:AC167" si="43">O15+O100</f>
        <v>914581401</v>
      </c>
      <c r="P167" s="560">
        <f t="shared" si="43"/>
        <v>3531</v>
      </c>
      <c r="Q167" s="560">
        <f t="shared" si="43"/>
        <v>355</v>
      </c>
      <c r="R167" s="560">
        <f t="shared" si="43"/>
        <v>0</v>
      </c>
      <c r="S167" s="560">
        <f t="shared" si="43"/>
        <v>171</v>
      </c>
      <c r="T167" s="560">
        <f t="shared" si="43"/>
        <v>0</v>
      </c>
      <c r="U167" s="560">
        <f t="shared" si="43"/>
        <v>0</v>
      </c>
      <c r="V167" s="560">
        <f t="shared" si="43"/>
        <v>0</v>
      </c>
      <c r="W167" s="560">
        <f t="shared" si="43"/>
        <v>171</v>
      </c>
      <c r="X167" s="560">
        <f t="shared" si="43"/>
        <v>0</v>
      </c>
      <c r="Y167" s="560">
        <f t="shared" si="43"/>
        <v>0</v>
      </c>
      <c r="Z167" s="560">
        <f t="shared" si="43"/>
        <v>159901109</v>
      </c>
      <c r="AA167" s="560">
        <f t="shared" si="43"/>
        <v>1074482510</v>
      </c>
      <c r="AB167" s="569">
        <f t="shared" si="43"/>
        <v>0</v>
      </c>
      <c r="AC167" s="560">
        <f t="shared" si="43"/>
        <v>1074482510</v>
      </c>
      <c r="AD167" s="569" t="e">
        <f>AD15+#REF!+AD100+#REF!</f>
        <v>#REF!</v>
      </c>
      <c r="AE167" s="570"/>
      <c r="AF167" s="1252"/>
      <c r="AG167" s="1253">
        <f>'Trạm 1'!AB100+'Trạm 2'!AB83</f>
        <v>1074482510</v>
      </c>
      <c r="AH167" s="567"/>
      <c r="AI167" s="567"/>
      <c r="AJ167" s="567"/>
      <c r="AK167" s="567"/>
      <c r="AL167" s="567"/>
      <c r="AM167" s="567"/>
      <c r="AN167" s="567"/>
    </row>
    <row r="168" spans="1:40" s="1254" customFormat="1" ht="35.450000000000003" customHeight="1">
      <c r="A168" s="1527" t="s">
        <v>865</v>
      </c>
      <c r="B168" s="1527"/>
      <c r="C168" s="1527"/>
      <c r="D168" s="1527"/>
      <c r="E168" s="1527"/>
      <c r="F168" s="1527"/>
      <c r="G168" s="1527"/>
      <c r="H168" s="1527"/>
      <c r="I168" s="1527"/>
      <c r="J168" s="1527"/>
      <c r="K168" s="1527"/>
      <c r="L168" s="1527"/>
      <c r="M168" s="1527"/>
      <c r="N168" s="1527"/>
      <c r="O168" s="1527"/>
      <c r="P168" s="1527"/>
      <c r="Q168" s="1527"/>
      <c r="R168" s="1527"/>
      <c r="S168" s="1527"/>
      <c r="T168" s="1527"/>
      <c r="U168" s="1527"/>
      <c r="V168" s="1527"/>
      <c r="W168" s="1527"/>
      <c r="X168" s="1527"/>
      <c r="Y168" s="1527"/>
      <c r="Z168" s="1527"/>
      <c r="AA168" s="1527"/>
      <c r="AB168" s="1527"/>
      <c r="AC168" s="1527"/>
      <c r="AD168" s="1527"/>
      <c r="AE168" s="1527"/>
      <c r="AG168" s="464"/>
      <c r="AH168" s="464"/>
      <c r="AI168" s="464"/>
      <c r="AJ168" s="464"/>
      <c r="AK168" s="464"/>
      <c r="AL168" s="464"/>
      <c r="AM168" s="464"/>
      <c r="AN168" s="464"/>
    </row>
    <row r="169" spans="1:40" s="1254" customFormat="1" ht="10.15" customHeight="1">
      <c r="A169" s="1255"/>
      <c r="B169" s="1255"/>
      <c r="C169" s="1255"/>
      <c r="D169" s="1255"/>
      <c r="E169" s="1255"/>
      <c r="F169" s="1255"/>
      <c r="G169" s="1255"/>
      <c r="H169" s="1255"/>
      <c r="I169" s="1255"/>
      <c r="J169" s="1255"/>
      <c r="K169" s="1255"/>
      <c r="L169" s="1255"/>
      <c r="M169" s="1255"/>
      <c r="N169" s="1255"/>
      <c r="O169" s="1255"/>
      <c r="P169" s="1255"/>
      <c r="Q169" s="1255"/>
      <c r="R169" s="1255"/>
      <c r="S169" s="1255"/>
      <c r="T169" s="1255"/>
      <c r="U169" s="1255"/>
      <c r="V169" s="1255"/>
      <c r="W169" s="1255"/>
      <c r="X169" s="1255"/>
      <c r="Y169" s="1255"/>
      <c r="Z169" s="1255"/>
      <c r="AA169" s="1255"/>
      <c r="AB169" s="1255"/>
      <c r="AC169" s="1255"/>
      <c r="AD169" s="1255"/>
      <c r="AE169" s="1255"/>
      <c r="AG169" s="464"/>
      <c r="AH169" s="464"/>
      <c r="AI169" s="464"/>
      <c r="AJ169" s="464"/>
      <c r="AK169" s="464"/>
      <c r="AL169" s="464"/>
      <c r="AM169" s="464"/>
      <c r="AN169" s="464"/>
    </row>
    <row r="170" spans="1:40" s="1254" customFormat="1" ht="23.25" customHeight="1">
      <c r="B170" s="1256"/>
      <c r="C170" s="1257"/>
      <c r="D170" s="1257"/>
      <c r="E170" s="1257"/>
      <c r="F170" s="571"/>
      <c r="G170" s="572"/>
      <c r="H170" s="572"/>
      <c r="I170" s="572"/>
      <c r="J170" s="572"/>
      <c r="K170" s="573"/>
      <c r="L170" s="573"/>
      <c r="M170" s="573"/>
      <c r="N170" s="574"/>
      <c r="O170" s="572"/>
      <c r="P170" s="572"/>
      <c r="Q170" s="572"/>
      <c r="R170" s="571"/>
      <c r="S170" s="571"/>
      <c r="T170" s="571"/>
      <c r="U170" s="571"/>
      <c r="V170" s="571"/>
      <c r="W170" s="1519" t="s">
        <v>810</v>
      </c>
      <c r="X170" s="1519"/>
      <c r="Y170" s="1519"/>
      <c r="Z170" s="1519"/>
      <c r="AA170" s="1519"/>
      <c r="AB170" s="1519"/>
      <c r="AC170" s="1519"/>
      <c r="AD170" s="1519"/>
      <c r="AE170" s="1519"/>
      <c r="AF170" s="1258"/>
      <c r="AG170" s="1259"/>
      <c r="AH170" s="464"/>
      <c r="AI170" s="464"/>
      <c r="AJ170" s="464"/>
      <c r="AK170" s="464"/>
      <c r="AL170" s="464"/>
      <c r="AM170" s="464"/>
      <c r="AN170" s="464"/>
    </row>
    <row r="171" spans="1:40" ht="15.75" customHeight="1">
      <c r="E171" s="575"/>
      <c r="F171" s="576"/>
      <c r="V171" s="1260"/>
      <c r="AB171" s="37"/>
      <c r="AC171" s="37"/>
      <c r="AD171" s="37"/>
    </row>
    <row r="172" spans="1:40" s="1205" customFormat="1" ht="31.9" customHeight="1">
      <c r="B172" s="1520" t="s">
        <v>864</v>
      </c>
      <c r="C172" s="1520"/>
      <c r="D172" s="1520"/>
      <c r="E172" s="1520"/>
      <c r="F172" s="1520"/>
      <c r="G172" s="1520"/>
      <c r="H172" s="1520"/>
      <c r="I172" s="1520"/>
      <c r="J172" s="1520"/>
      <c r="K172" s="1520"/>
      <c r="L172" s="1520"/>
      <c r="M172" s="1520"/>
      <c r="N172" s="1520"/>
      <c r="O172" s="1520"/>
      <c r="P172" s="1520"/>
      <c r="Q172" s="1520"/>
      <c r="R172" s="1520"/>
      <c r="S172" s="1520"/>
      <c r="T172" s="1520"/>
      <c r="U172" s="1520"/>
      <c r="V172" s="1520"/>
      <c r="W172" s="1520"/>
      <c r="X172" s="1520"/>
      <c r="Y172" s="1520"/>
      <c r="Z172" s="1520"/>
      <c r="AA172" s="1520"/>
      <c r="AB172" s="1520"/>
      <c r="AC172" s="1520"/>
      <c r="AD172" s="1520"/>
      <c r="AE172" s="1520"/>
      <c r="AF172" s="1220"/>
      <c r="AG172" s="1508">
        <f>AG170-AG167</f>
        <v>-1074482510</v>
      </c>
      <c r="AH172" s="536"/>
      <c r="AI172" s="536"/>
      <c r="AJ172" s="536"/>
      <c r="AK172" s="536"/>
      <c r="AL172" s="536"/>
      <c r="AM172" s="536"/>
      <c r="AN172" s="536"/>
    </row>
    <row r="173" spans="1:40" s="1205" customFormat="1" ht="15.75" customHeight="1">
      <c r="B173" s="1262"/>
      <c r="C173" s="1262"/>
      <c r="D173" s="1226"/>
      <c r="E173" s="1226"/>
      <c r="F173" s="1226"/>
      <c r="G173" s="1226"/>
      <c r="H173" s="1226"/>
      <c r="I173" s="1226"/>
      <c r="J173" s="1226"/>
      <c r="K173" s="1263"/>
      <c r="L173" s="1263"/>
      <c r="M173" s="1263"/>
      <c r="N173" s="1226"/>
      <c r="O173" s="577"/>
      <c r="P173" s="577"/>
      <c r="Q173" s="577"/>
      <c r="R173" s="577"/>
      <c r="S173" s="577"/>
      <c r="T173" s="577"/>
      <c r="U173" s="577"/>
      <c r="V173" s="577"/>
      <c r="W173" s="577"/>
      <c r="X173" s="577"/>
      <c r="Y173" s="577"/>
      <c r="Z173" s="1264"/>
      <c r="AA173" s="1226"/>
      <c r="AB173" s="1226"/>
      <c r="AC173" s="1226"/>
      <c r="AD173" s="1226"/>
      <c r="AE173" s="577"/>
      <c r="AG173" s="1508"/>
      <c r="AH173" s="536"/>
      <c r="AI173" s="536"/>
      <c r="AJ173" s="536"/>
      <c r="AK173" s="536"/>
      <c r="AL173" s="536"/>
      <c r="AM173" s="536"/>
      <c r="AN173" s="536"/>
    </row>
    <row r="174" spans="1:40" s="1205" customFormat="1" ht="15.75" customHeight="1">
      <c r="B174" s="1262"/>
      <c r="C174" s="1262"/>
      <c r="D174" s="1226"/>
      <c r="E174" s="1226"/>
      <c r="F174" s="1226"/>
      <c r="G174" s="1226"/>
      <c r="H174" s="1226"/>
      <c r="I174" s="1226"/>
      <c r="J174" s="1226"/>
      <c r="K174" s="1263"/>
      <c r="L174" s="1263"/>
      <c r="M174" s="1263"/>
      <c r="N174" s="1226"/>
      <c r="O174" s="577"/>
      <c r="P174" s="577"/>
      <c r="Q174" s="577"/>
      <c r="R174" s="577"/>
      <c r="S174" s="577"/>
      <c r="T174" s="577"/>
      <c r="U174" s="577"/>
      <c r="V174" s="577"/>
      <c r="W174" s="577"/>
      <c r="X174" s="577"/>
      <c r="Y174" s="577"/>
      <c r="Z174" s="1264"/>
      <c r="AA174" s="1226"/>
      <c r="AB174" s="1226"/>
      <c r="AC174" s="1226"/>
      <c r="AD174" s="1226"/>
      <c r="AE174" s="577"/>
      <c r="AG174" s="536"/>
      <c r="AH174" s="536"/>
      <c r="AI174" s="536"/>
      <c r="AJ174" s="536"/>
      <c r="AK174" s="536"/>
      <c r="AL174" s="536"/>
      <c r="AM174" s="536"/>
      <c r="AN174" s="536"/>
    </row>
    <row r="175" spans="1:40" s="1205" customFormat="1" ht="15.75" customHeight="1">
      <c r="C175" s="216"/>
      <c r="D175" s="216"/>
      <c r="E175" s="216"/>
      <c r="F175" s="216"/>
      <c r="G175" s="216"/>
      <c r="H175" s="216"/>
      <c r="J175" s="216"/>
      <c r="K175" s="216"/>
      <c r="L175" s="216"/>
      <c r="M175" s="216"/>
      <c r="N175" s="216"/>
      <c r="O175" s="216"/>
      <c r="P175" s="216"/>
      <c r="AG175" s="536"/>
      <c r="AH175" s="536"/>
      <c r="AI175" s="536"/>
      <c r="AJ175" s="536"/>
      <c r="AK175" s="536"/>
      <c r="AL175" s="536"/>
      <c r="AM175" s="536"/>
      <c r="AN175" s="536"/>
    </row>
    <row r="176" spans="1:40" s="1205" customFormat="1" ht="15.75" customHeight="1">
      <c r="B176" s="1262"/>
      <c r="C176" s="1262"/>
      <c r="D176" s="1226"/>
      <c r="E176" s="1226"/>
      <c r="F176" s="1226"/>
      <c r="G176" s="1226"/>
      <c r="H176" s="1226"/>
      <c r="I176" s="1226"/>
      <c r="J176" s="1226"/>
      <c r="K176" s="1263"/>
      <c r="L176" s="1263"/>
      <c r="M176" s="1263"/>
      <c r="N176" s="1226"/>
      <c r="O176" s="577"/>
      <c r="P176" s="577"/>
      <c r="Q176" s="577"/>
      <c r="R176" s="577"/>
      <c r="S176" s="577"/>
      <c r="T176" s="577"/>
      <c r="U176" s="577"/>
      <c r="V176" s="577"/>
      <c r="W176" s="577"/>
      <c r="X176" s="577"/>
      <c r="Y176" s="577"/>
      <c r="Z176" s="1264"/>
      <c r="AA176" s="1226"/>
      <c r="AB176" s="1226"/>
      <c r="AC176" s="1226"/>
      <c r="AD176" s="1226"/>
      <c r="AE176" s="577"/>
      <c r="AG176" s="1265">
        <f>Z167/25000</f>
        <v>6396.0443599999999</v>
      </c>
      <c r="AH176" s="536"/>
      <c r="AI176" s="536"/>
      <c r="AJ176" s="536"/>
      <c r="AK176" s="536"/>
      <c r="AL176" s="536"/>
      <c r="AM176" s="536"/>
      <c r="AN176" s="536"/>
    </row>
    <row r="177" spans="2:40" s="1205" customFormat="1" ht="15.75" customHeight="1">
      <c r="B177" s="1266"/>
      <c r="D177" s="1220"/>
      <c r="E177" s="1220"/>
      <c r="F177" s="1220"/>
      <c r="G177" s="1220"/>
      <c r="H177" s="1220"/>
      <c r="I177" s="1220"/>
      <c r="J177" s="1220"/>
      <c r="K177" s="1267"/>
      <c r="L177" s="1267"/>
      <c r="M177" s="1267"/>
      <c r="N177" s="1220"/>
      <c r="R177" s="1268"/>
      <c r="S177" s="1268"/>
      <c r="T177" s="1268"/>
      <c r="U177" s="1268"/>
      <c r="Z177" s="1268"/>
      <c r="AA177" s="1220"/>
      <c r="AB177" s="1220"/>
      <c r="AC177" s="1220"/>
      <c r="AD177" s="1220"/>
      <c r="AG177" s="536"/>
      <c r="AH177" s="536"/>
      <c r="AI177" s="536"/>
      <c r="AJ177" s="536"/>
      <c r="AK177" s="536"/>
      <c r="AL177" s="536"/>
      <c r="AM177" s="536"/>
      <c r="AN177" s="536"/>
    </row>
    <row r="178" spans="2:40" s="1205" customFormat="1" ht="15.75" customHeight="1">
      <c r="B178" s="1266"/>
      <c r="D178" s="1220"/>
      <c r="E178" s="1220"/>
      <c r="F178" s="1220"/>
      <c r="G178" s="1220"/>
      <c r="H178" s="1220"/>
      <c r="I178" s="1220"/>
      <c r="J178" s="1220"/>
      <c r="K178" s="1267"/>
      <c r="L178" s="1267"/>
      <c r="M178" s="1267"/>
      <c r="N178" s="1220"/>
      <c r="O178" s="1268"/>
      <c r="AA178" s="1220"/>
      <c r="AB178" s="1220"/>
      <c r="AC178" s="1220"/>
      <c r="AD178" s="1220"/>
      <c r="AG178" s="536">
        <f>G167/25000</f>
        <v>0</v>
      </c>
      <c r="AH178" s="536"/>
      <c r="AI178" s="536"/>
      <c r="AJ178" s="536"/>
      <c r="AK178" s="536"/>
      <c r="AL178" s="536"/>
      <c r="AM178" s="536"/>
      <c r="AN178" s="536"/>
    </row>
    <row r="179" spans="2:40" s="1205" customFormat="1" ht="15.75" customHeight="1">
      <c r="B179" s="1266"/>
      <c r="D179" s="1220"/>
      <c r="E179" s="1220"/>
      <c r="F179" s="1269"/>
      <c r="G179" s="1220"/>
      <c r="H179" s="1220"/>
      <c r="I179" s="1220"/>
      <c r="J179" s="1220"/>
      <c r="K179" s="1267"/>
      <c r="L179" s="1267"/>
      <c r="M179" s="1267"/>
      <c r="N179" s="1220"/>
      <c r="Z179" s="1268"/>
      <c r="AA179" s="1220"/>
      <c r="AB179" s="1220"/>
      <c r="AC179" s="1220"/>
      <c r="AD179" s="1220"/>
      <c r="AG179" s="536"/>
      <c r="AH179" s="536"/>
      <c r="AI179" s="536"/>
      <c r="AJ179" s="536"/>
      <c r="AK179" s="536"/>
      <c r="AL179" s="536"/>
      <c r="AM179" s="536"/>
      <c r="AN179" s="536"/>
    </row>
    <row r="180" spans="2:40" s="1205" customFormat="1" ht="18.75" customHeight="1">
      <c r="B180" s="1266"/>
      <c r="D180" s="1220"/>
      <c r="E180" s="1270"/>
      <c r="F180" s="1271"/>
      <c r="G180" s="1220"/>
      <c r="H180" s="1220"/>
      <c r="I180" s="1220"/>
      <c r="J180" s="1220"/>
      <c r="K180" s="1267"/>
      <c r="L180" s="1267"/>
      <c r="M180" s="1267"/>
      <c r="N180" s="1220"/>
      <c r="Z180" s="1268"/>
      <c r="AA180" s="1220"/>
      <c r="AB180" s="1220"/>
      <c r="AC180" s="1220"/>
      <c r="AD180" s="1220"/>
      <c r="AG180" s="536"/>
      <c r="AH180" s="536"/>
      <c r="AI180" s="536"/>
      <c r="AJ180" s="536"/>
      <c r="AK180" s="536"/>
      <c r="AL180" s="536"/>
      <c r="AM180" s="536"/>
      <c r="AN180" s="536"/>
    </row>
    <row r="181" spans="2:40" s="1205" customFormat="1" ht="28.5" customHeight="1">
      <c r="B181" s="1266"/>
      <c r="D181" s="1252"/>
      <c r="E181" s="1252"/>
      <c r="F181" s="1252"/>
      <c r="G181" s="1272"/>
      <c r="H181" s="1252"/>
      <c r="I181" s="1252"/>
      <c r="J181" s="1252"/>
      <c r="K181" s="1252"/>
      <c r="L181" s="1252"/>
      <c r="M181" s="1252"/>
      <c r="N181" s="1252"/>
      <c r="O181" s="1252"/>
      <c r="P181" s="1252"/>
      <c r="Q181" s="1252"/>
      <c r="R181" s="1252"/>
      <c r="S181" s="1252"/>
      <c r="T181" s="1252"/>
      <c r="U181" s="1252"/>
      <c r="V181" s="1252"/>
      <c r="W181" s="1252"/>
      <c r="X181" s="1272"/>
      <c r="Y181" s="1272"/>
      <c r="Z181" s="1252"/>
      <c r="AA181" s="1252"/>
      <c r="AB181" s="1252"/>
      <c r="AC181" s="1252"/>
      <c r="AG181" s="536"/>
      <c r="AH181" s="536"/>
      <c r="AI181" s="536"/>
      <c r="AJ181" s="536"/>
      <c r="AK181" s="536"/>
      <c r="AL181" s="536"/>
      <c r="AM181" s="536"/>
      <c r="AN181" s="536"/>
    </row>
    <row r="182" spans="2:40" s="1205" customFormat="1" ht="18.75" customHeight="1">
      <c r="B182" s="1266"/>
      <c r="D182" s="1220"/>
      <c r="E182" s="1220"/>
      <c r="F182" s="1268"/>
      <c r="G182" s="1220"/>
      <c r="H182" s="1220"/>
      <c r="I182" s="1220"/>
      <c r="J182" s="1220"/>
      <c r="K182" s="1267"/>
      <c r="L182" s="1267"/>
      <c r="M182" s="1267"/>
      <c r="N182" s="1219"/>
      <c r="Z182" s="1268"/>
      <c r="AA182" s="1270"/>
      <c r="AB182" s="1220"/>
      <c r="AC182" s="1220"/>
      <c r="AD182" s="1220"/>
      <c r="AG182" s="536"/>
      <c r="AH182" s="536"/>
      <c r="AI182" s="536"/>
      <c r="AJ182" s="536"/>
      <c r="AK182" s="536"/>
      <c r="AL182" s="536"/>
      <c r="AM182" s="536"/>
      <c r="AN182" s="536"/>
    </row>
    <row r="183" spans="2:40" s="1205" customFormat="1" ht="18.75" customHeight="1">
      <c r="B183" s="1266"/>
      <c r="D183" s="1220"/>
      <c r="E183" s="1270"/>
      <c r="F183" s="1268"/>
      <c r="G183" s="1273"/>
      <c r="H183" s="1273"/>
      <c r="I183" s="1273"/>
      <c r="J183" s="1273"/>
      <c r="K183" s="1267"/>
      <c r="L183" s="1267"/>
      <c r="M183" s="1267"/>
      <c r="N183" s="1219"/>
      <c r="O183" s="1268"/>
      <c r="Z183" s="548"/>
      <c r="AA183" s="1264"/>
      <c r="AB183" s="577"/>
      <c r="AC183" s="577"/>
      <c r="AD183" s="577"/>
      <c r="AG183" s="536"/>
      <c r="AH183" s="536"/>
      <c r="AI183" s="536"/>
      <c r="AJ183" s="536"/>
      <c r="AK183" s="536"/>
      <c r="AL183" s="536"/>
      <c r="AM183" s="536"/>
      <c r="AN183" s="536"/>
    </row>
    <row r="184" spans="2:40" ht="24.75" customHeight="1">
      <c r="C184" s="548"/>
      <c r="D184" s="548"/>
      <c r="E184" s="1260"/>
      <c r="F184" s="1260"/>
      <c r="N184" s="1194"/>
      <c r="O184" s="548"/>
      <c r="AF184" s="1201"/>
      <c r="AG184" s="1201" t="s">
        <v>858</v>
      </c>
      <c r="AH184" s="1201" t="s">
        <v>859</v>
      </c>
      <c r="AI184" s="1201" t="s">
        <v>860</v>
      </c>
    </row>
    <row r="185" spans="2:40" ht="24.75" customHeight="1">
      <c r="C185" s="548"/>
      <c r="D185" s="1274" t="e">
        <f>#REF!+#REF!+#REF!+#REF!</f>
        <v>#REF!</v>
      </c>
      <c r="E185" s="1275"/>
      <c r="F185" s="1260" t="s">
        <v>332</v>
      </c>
      <c r="G185" s="1260"/>
      <c r="H185" s="1260"/>
      <c r="I185" s="1260"/>
      <c r="J185" s="1260"/>
      <c r="K185" s="1525">
        <f>SUMIF($N$16:$N$165,"A",$M$16:$M$165)</f>
        <v>171857.68655334561</v>
      </c>
      <c r="L185" s="1525"/>
      <c r="M185" s="1525"/>
      <c r="N185" s="1525"/>
      <c r="O185" s="578">
        <f>(K185*6.1)*$F$10</f>
        <v>640530783.55297446</v>
      </c>
      <c r="P185" s="578"/>
      <c r="Q185" s="578"/>
      <c r="R185" s="1276"/>
      <c r="S185" s="1276"/>
      <c r="T185" s="1276"/>
      <c r="U185" s="1276"/>
      <c r="W185" s="548">
        <f>7.2+0.6+21+5+70</f>
        <v>103.8</v>
      </c>
      <c r="AF185" s="1201" t="s">
        <v>861</v>
      </c>
      <c r="AG185" s="1201">
        <v>648574571</v>
      </c>
      <c r="AH185" s="1201">
        <f>'Trạm 1'!Z100</f>
        <v>585445993</v>
      </c>
      <c r="AI185" s="1201">
        <f>AG185-AH185</f>
        <v>63128578</v>
      </c>
    </row>
    <row r="186" spans="2:40" ht="24.75" customHeight="1">
      <c r="C186" s="548"/>
      <c r="D186" s="548"/>
      <c r="F186" s="1260" t="s">
        <v>333</v>
      </c>
      <c r="G186" s="1260"/>
      <c r="H186" s="1260"/>
      <c r="I186" s="1260"/>
      <c r="J186" s="1260"/>
      <c r="K186" s="1525">
        <f>SUMIF($N$16:$N$165,"B",$M$16:$M$165)</f>
        <v>71769.280212162528</v>
      </c>
      <c r="L186" s="1525"/>
      <c r="M186" s="1525"/>
      <c r="N186" s="1525"/>
      <c r="O186" s="578">
        <f>(K186*5.8)*$F$10</f>
        <v>254335975.21586156</v>
      </c>
      <c r="P186" s="578"/>
      <c r="Q186" s="578"/>
      <c r="R186" s="1260"/>
      <c r="S186" s="1260"/>
      <c r="T186" s="1260"/>
      <c r="U186" s="1260"/>
      <c r="AF186" s="1201" t="s">
        <v>862</v>
      </c>
      <c r="AG186" s="1201">
        <v>529705439</v>
      </c>
      <c r="AH186" s="1201">
        <f>'Trạm 2'!AB83</f>
        <v>489036517</v>
      </c>
      <c r="AI186" s="1201">
        <f>AG186-AH186</f>
        <v>40668922</v>
      </c>
    </row>
    <row r="187" spans="2:40" ht="24.75" customHeight="1">
      <c r="C187" s="548"/>
      <c r="D187" s="548"/>
      <c r="F187" s="1260" t="s">
        <v>334</v>
      </c>
      <c r="G187" s="1260"/>
      <c r="H187" s="1260"/>
      <c r="I187" s="1260"/>
      <c r="J187" s="1260"/>
      <c r="K187" s="1525">
        <f>SUMIF($N$16:$N$165,"C",$M$16:$M$165)+SUMIF($N$16:$N$165,"C.",$M$16:$M$165)</f>
        <v>5141.8412344917651</v>
      </c>
      <c r="L187" s="1525"/>
      <c r="M187" s="1525"/>
      <c r="N187" s="1525"/>
      <c r="O187" s="578">
        <f>(K187*5.5)*$F$10</f>
        <v>17279157.468509577</v>
      </c>
      <c r="P187" s="578"/>
      <c r="Q187" s="578"/>
      <c r="V187" s="1276"/>
      <c r="W187" s="1276"/>
      <c r="X187" s="1276"/>
      <c r="Y187" s="1276"/>
      <c r="Z187" s="1276"/>
      <c r="AA187" s="1276"/>
      <c r="AB187" s="1276"/>
      <c r="AC187" s="1260"/>
      <c r="AF187" s="1201" t="s">
        <v>14</v>
      </c>
      <c r="AG187" s="1277">
        <f>AG185+AG186</f>
        <v>1178280010</v>
      </c>
      <c r="AH187" s="1277">
        <f>AH185+AH186</f>
        <v>1074482510</v>
      </c>
      <c r="AI187" s="1277">
        <f>AI185+AI186</f>
        <v>103797500</v>
      </c>
    </row>
    <row r="188" spans="2:40" ht="24.75" customHeight="1">
      <c r="C188" s="548"/>
      <c r="D188" s="548"/>
      <c r="F188" s="1260" t="s">
        <v>335</v>
      </c>
      <c r="G188" s="1260"/>
      <c r="H188" s="1260"/>
      <c r="I188" s="1260"/>
      <c r="J188" s="1260"/>
      <c r="K188" s="1525">
        <f>SUMIF($N$16:$N$165,"D",$M$16:$M$165)+SUMIF($N$16:$N$165,"D.",$M$16:$M$165)</f>
        <v>0</v>
      </c>
      <c r="L188" s="1525"/>
      <c r="M188" s="1525"/>
      <c r="N188" s="1525"/>
      <c r="O188" s="578"/>
      <c r="P188" s="578"/>
      <c r="Q188" s="578"/>
      <c r="V188" s="1278"/>
      <c r="W188" s="1278"/>
      <c r="X188" s="1278"/>
      <c r="Y188" s="1278"/>
      <c r="Z188" s="1278"/>
      <c r="AA188" s="1278"/>
      <c r="AB188" s="1278"/>
      <c r="AC188" s="1260"/>
      <c r="AF188" s="1536" t="s">
        <v>863</v>
      </c>
      <c r="AG188" s="1536"/>
    </row>
    <row r="189" spans="2:40" ht="24.75" customHeight="1">
      <c r="C189" s="548"/>
      <c r="D189" s="548"/>
      <c r="F189" s="1260" t="s">
        <v>443</v>
      </c>
      <c r="G189" s="1260"/>
      <c r="H189" s="1260"/>
      <c r="I189" s="1260"/>
      <c r="J189" s="1260"/>
      <c r="K189" s="1525">
        <f>'MỦ SERUM'!AJ20</f>
        <v>424.15200000000004</v>
      </c>
      <c r="L189" s="1525"/>
      <c r="M189" s="1525"/>
      <c r="N189" s="1525"/>
      <c r="O189" s="578">
        <f>(K189*6.1)*$F$10</f>
        <v>1580856.9192000001</v>
      </c>
      <c r="P189" s="578"/>
      <c r="Q189" s="578"/>
      <c r="V189" s="1278"/>
      <c r="W189" s="1278"/>
      <c r="X189" s="1278"/>
      <c r="Y189" s="1278"/>
      <c r="Z189" s="1278"/>
      <c r="AA189" s="1278"/>
      <c r="AB189" s="1278"/>
      <c r="AC189" s="1260"/>
    </row>
    <row r="190" spans="2:40" ht="24.75" customHeight="1">
      <c r="C190" s="548"/>
      <c r="D190" s="548"/>
      <c r="F190" s="548"/>
      <c r="K190" s="1525">
        <f>SUM(K185:N189)</f>
        <v>249192.9599999999</v>
      </c>
      <c r="L190" s="1525"/>
      <c r="M190" s="1525"/>
      <c r="N190" s="1525"/>
      <c r="O190" s="578">
        <f>SUM(O185:O189)</f>
        <v>913726773.15654552</v>
      </c>
      <c r="P190" s="578"/>
      <c r="Q190" s="578"/>
      <c r="R190" s="1517">
        <f>O190+O201+O202</f>
        <v>1073658286.1765456</v>
      </c>
      <c r="S190" s="1517"/>
      <c r="T190" s="1517"/>
      <c r="U190" s="1517"/>
      <c r="V190" s="1517"/>
      <c r="W190" s="1517"/>
      <c r="X190" s="1194"/>
      <c r="Y190" s="1194"/>
      <c r="Z190" s="1194"/>
      <c r="AB190" s="548" t="e">
        <f>R190-#REF!</f>
        <v>#REF!</v>
      </c>
    </row>
    <row r="191" spans="2:40" ht="24.75" customHeight="1">
      <c r="C191" s="548"/>
      <c r="D191" s="548"/>
      <c r="F191" s="548"/>
      <c r="K191" s="548"/>
      <c r="L191" s="548"/>
      <c r="M191" s="548"/>
      <c r="N191" s="548"/>
      <c r="O191" s="680"/>
      <c r="P191" s="680"/>
      <c r="Q191" s="680"/>
    </row>
    <row r="192" spans="2:40" ht="24.75" customHeight="1">
      <c r="C192" s="548"/>
      <c r="D192" s="548"/>
      <c r="F192" s="548" t="s">
        <v>336</v>
      </c>
      <c r="K192" s="548"/>
      <c r="L192" s="548"/>
      <c r="M192" s="548"/>
      <c r="N192" s="548">
        <v>3532</v>
      </c>
      <c r="O192" s="579">
        <f>(N192*46.1)*$F$11</f>
        <v>107458118.99200001</v>
      </c>
      <c r="P192" s="579"/>
      <c r="Q192" s="1171">
        <f>O192/25000</f>
        <v>4298.3247596800002</v>
      </c>
    </row>
    <row r="193" spans="2:30" ht="24.75" customHeight="1">
      <c r="C193" s="548"/>
      <c r="D193" s="548"/>
      <c r="F193" s="548" t="s">
        <v>337</v>
      </c>
      <c r="K193" s="548"/>
      <c r="L193" s="548"/>
      <c r="M193" s="548"/>
      <c r="N193" s="548">
        <v>355</v>
      </c>
      <c r="O193" s="712">
        <f>(N193*76.9)*$F$11</f>
        <v>18016578.020000003</v>
      </c>
      <c r="P193" s="579"/>
      <c r="Q193" s="1171">
        <f t="shared" ref="Q193:Q196" si="44">O193/25000</f>
        <v>720.66312080000012</v>
      </c>
    </row>
    <row r="194" spans="2:30" ht="24.75" customHeight="1">
      <c r="B194" s="548"/>
      <c r="F194" s="548" t="s">
        <v>752</v>
      </c>
      <c r="K194" s="548"/>
      <c r="L194" s="548"/>
      <c r="M194" s="548"/>
      <c r="N194" s="548"/>
      <c r="O194" s="579">
        <f>(N194*92.2)*$F$11</f>
        <v>0</v>
      </c>
      <c r="P194" s="579"/>
      <c r="Q194" s="1171">
        <f t="shared" si="44"/>
        <v>0</v>
      </c>
      <c r="R194" s="551"/>
      <c r="S194" s="551"/>
      <c r="T194" s="551"/>
      <c r="U194" s="551"/>
    </row>
    <row r="195" spans="2:30" ht="24.75" customHeight="1">
      <c r="B195" s="548"/>
      <c r="F195" s="548" t="s">
        <v>753</v>
      </c>
      <c r="K195" s="548"/>
      <c r="L195" s="548"/>
      <c r="M195" s="548"/>
      <c r="N195" s="548">
        <v>171</v>
      </c>
      <c r="O195" s="934">
        <f>(N195*153.8)*$F$11</f>
        <v>17356816.008000001</v>
      </c>
      <c r="P195" s="579"/>
      <c r="Q195" s="1171">
        <f t="shared" si="44"/>
        <v>694.27264032000005</v>
      </c>
      <c r="R195" s="551"/>
      <c r="S195" s="551"/>
      <c r="T195" s="551"/>
      <c r="U195" s="551"/>
    </row>
    <row r="196" spans="2:30" ht="24.75" customHeight="1">
      <c r="B196" s="548"/>
      <c r="F196" s="548" t="s">
        <v>754</v>
      </c>
      <c r="K196" s="548"/>
      <c r="L196" s="548"/>
      <c r="M196" s="548"/>
      <c r="N196" s="548">
        <f>N194+N195</f>
        <v>171</v>
      </c>
      <c r="O196" s="579">
        <f>N196*100000</f>
        <v>17100000</v>
      </c>
      <c r="P196" s="579"/>
      <c r="Q196" s="1171">
        <f t="shared" si="44"/>
        <v>684</v>
      </c>
      <c r="R196" s="551"/>
      <c r="S196" s="551"/>
      <c r="T196" s="551"/>
      <c r="U196" s="551"/>
    </row>
    <row r="197" spans="2:30" ht="24.75" customHeight="1">
      <c r="B197" s="548"/>
      <c r="F197" s="1521" t="s">
        <v>471</v>
      </c>
      <c r="G197" s="1522"/>
      <c r="K197" s="548"/>
      <c r="L197" s="548"/>
      <c r="M197" s="548"/>
      <c r="N197" s="548"/>
      <c r="O197" s="579">
        <f>N197*25000</f>
        <v>0</v>
      </c>
      <c r="P197" s="579"/>
      <c r="Q197" s="579"/>
      <c r="R197" s="551"/>
      <c r="S197" s="551"/>
      <c r="T197" s="551"/>
      <c r="U197" s="551"/>
    </row>
    <row r="198" spans="2:30" ht="24.75" customHeight="1">
      <c r="B198" s="548"/>
      <c r="F198" s="1521" t="s">
        <v>453</v>
      </c>
      <c r="G198" s="1522"/>
      <c r="K198" s="548"/>
      <c r="L198" s="548"/>
      <c r="M198" s="548"/>
      <c r="N198" s="548"/>
      <c r="O198" s="579">
        <f>N198*20000</f>
        <v>0</v>
      </c>
      <c r="P198" s="579"/>
      <c r="Q198" s="579"/>
      <c r="R198" s="551"/>
      <c r="S198" s="551"/>
      <c r="T198" s="551"/>
      <c r="U198" s="551"/>
    </row>
    <row r="199" spans="2:30" ht="24.75" customHeight="1">
      <c r="B199" s="548"/>
      <c r="F199" s="1521" t="s">
        <v>452</v>
      </c>
      <c r="G199" s="1522"/>
      <c r="K199" s="548"/>
      <c r="L199" s="548"/>
      <c r="M199" s="548"/>
      <c r="N199" s="548"/>
      <c r="O199" s="579">
        <f>N199*10000</f>
        <v>0</v>
      </c>
      <c r="P199" s="579"/>
      <c r="Q199" s="579"/>
      <c r="R199" s="551"/>
      <c r="S199" s="551"/>
      <c r="T199" s="551"/>
      <c r="U199" s="551"/>
    </row>
    <row r="200" spans="2:30" ht="24.75" customHeight="1">
      <c r="B200" s="548"/>
      <c r="F200" s="548" t="s">
        <v>338</v>
      </c>
      <c r="K200" s="548"/>
      <c r="L200" s="548"/>
      <c r="M200" s="548"/>
      <c r="N200" s="548"/>
      <c r="O200" s="579">
        <f>N200*10000</f>
        <v>0</v>
      </c>
      <c r="P200" s="579"/>
      <c r="Q200" s="1518">
        <f>W167*25000</f>
        <v>4275000</v>
      </c>
      <c r="R200" s="1518"/>
      <c r="S200" s="551"/>
      <c r="T200" s="551"/>
      <c r="U200" s="551"/>
      <c r="AC200" s="1194"/>
      <c r="AD200" s="1194"/>
    </row>
    <row r="201" spans="2:30" ht="24.75" customHeight="1">
      <c r="B201" s="548"/>
      <c r="C201" s="1279"/>
      <c r="F201" s="548"/>
      <c r="K201" s="1517"/>
      <c r="L201" s="1517"/>
      <c r="M201" s="1517"/>
      <c r="N201" s="1517"/>
      <c r="O201" s="1526">
        <f>SUM(O192:O200)</f>
        <v>159931513.02000004</v>
      </c>
      <c r="P201" s="1526"/>
      <c r="Q201" s="680"/>
      <c r="R201" s="551"/>
      <c r="S201" s="551">
        <f>Z167-O201</f>
        <v>-30404.020000040531</v>
      </c>
      <c r="T201" s="551"/>
      <c r="U201" s="551"/>
      <c r="AA201" s="1517"/>
      <c r="AB201" s="1517"/>
    </row>
    <row r="202" spans="2:30" ht="24.75" customHeight="1">
      <c r="B202" s="548"/>
      <c r="C202" s="1280"/>
      <c r="F202" s="548" t="s">
        <v>339</v>
      </c>
      <c r="K202" s="1523">
        <f>F100+F15</f>
        <v>0</v>
      </c>
      <c r="L202" s="1523"/>
      <c r="M202" s="1523"/>
      <c r="N202" s="1523"/>
      <c r="O202" s="579">
        <f>K202*25000</f>
        <v>0</v>
      </c>
      <c r="P202" s="579"/>
      <c r="Q202" s="579"/>
      <c r="R202" s="551"/>
      <c r="S202" s="551"/>
      <c r="T202" s="551"/>
      <c r="U202" s="551"/>
      <c r="AA202" s="1517">
        <f>O202+O201+O190</f>
        <v>1073658286.1765456</v>
      </c>
      <c r="AB202" s="1517"/>
      <c r="AC202" s="1517"/>
    </row>
    <row r="203" spans="2:30" ht="24.75" customHeight="1">
      <c r="F203" s="548"/>
      <c r="K203" s="548"/>
      <c r="L203" s="548"/>
      <c r="M203" s="548"/>
      <c r="N203" s="548"/>
      <c r="O203" s="550"/>
      <c r="P203" s="681"/>
      <c r="Q203" s="681"/>
      <c r="R203" s="551"/>
      <c r="S203" s="551"/>
      <c r="T203" s="551"/>
      <c r="U203" s="551"/>
      <c r="AC203" s="548">
        <f>O204-AA202</f>
        <v>824223.82345438004</v>
      </c>
    </row>
    <row r="204" spans="2:30" ht="24.75" customHeight="1">
      <c r="B204" s="548"/>
      <c r="F204" s="548"/>
      <c r="K204" s="548"/>
      <c r="L204" s="548"/>
      <c r="M204" s="548"/>
      <c r="N204" s="548"/>
      <c r="O204" s="1524">
        <f>AC100+AC15</f>
        <v>1074482510</v>
      </c>
      <c r="P204" s="1524"/>
      <c r="Q204" s="679"/>
      <c r="R204" s="551"/>
      <c r="S204" s="551"/>
      <c r="T204" s="551"/>
      <c r="U204" s="551"/>
    </row>
    <row r="205" spans="2:30" ht="24.75" customHeight="1">
      <c r="F205" s="548"/>
      <c r="K205" s="548"/>
      <c r="L205" s="548"/>
      <c r="M205" s="548"/>
      <c r="N205" s="548"/>
      <c r="O205" s="550"/>
      <c r="P205" s="681"/>
      <c r="Q205" s="681"/>
      <c r="R205" s="551"/>
      <c r="S205" s="551"/>
      <c r="T205" s="551"/>
      <c r="U205" s="551"/>
    </row>
    <row r="206" spans="2:30" ht="24.75" customHeight="1">
      <c r="B206" s="548"/>
      <c r="G206" s="1260"/>
      <c r="H206" s="1260"/>
      <c r="I206" s="1260"/>
      <c r="J206" s="1260"/>
      <c r="K206" s="579"/>
      <c r="L206" s="579"/>
      <c r="M206" s="579"/>
    </row>
    <row r="207" spans="2:30" ht="24.75" customHeight="1">
      <c r="B207" s="548"/>
      <c r="P207" s="1260"/>
      <c r="Q207" s="1260"/>
    </row>
    <row r="208" spans="2:30" ht="24.75" customHeight="1"/>
    <row r="209" spans="2:26" ht="24.75" customHeight="1"/>
    <row r="210" spans="2:26" ht="24.75" customHeight="1"/>
    <row r="211" spans="2:26" ht="24.75" customHeight="1">
      <c r="B211" s="548"/>
      <c r="G211" s="1260">
        <v>2551.8899999999994</v>
      </c>
      <c r="H211" s="1260"/>
      <c r="I211" s="1260"/>
      <c r="J211" s="1260"/>
    </row>
    <row r="212" spans="2:26" ht="48" customHeight="1">
      <c r="B212" s="548"/>
      <c r="C212" s="548"/>
      <c r="D212" s="548"/>
      <c r="F212" s="548"/>
      <c r="G212" s="1260">
        <f>+G202-G211</f>
        <v>-2551.8899999999994</v>
      </c>
      <c r="H212" s="1260"/>
      <c r="I212" s="1260"/>
      <c r="J212" s="1260"/>
    </row>
    <row r="218" spans="2:26" ht="48" customHeight="1">
      <c r="B218" s="548"/>
      <c r="C218" s="548"/>
      <c r="D218" s="548"/>
      <c r="F218" s="548"/>
      <c r="N218" s="681">
        <v>1678</v>
      </c>
      <c r="O218" s="551">
        <v>1573</v>
      </c>
      <c r="P218" s="548">
        <v>1187</v>
      </c>
      <c r="R218" s="548">
        <v>1183</v>
      </c>
      <c r="Z218" s="548">
        <f>SUM(N218:R218)</f>
        <v>5621</v>
      </c>
    </row>
    <row r="219" spans="2:26" ht="48" customHeight="1">
      <c r="B219" s="548"/>
      <c r="C219" s="548"/>
      <c r="D219" s="548"/>
      <c r="F219" s="548"/>
      <c r="N219" s="681">
        <v>257</v>
      </c>
      <c r="O219" s="551">
        <v>244</v>
      </c>
      <c r="P219" s="548">
        <v>183</v>
      </c>
      <c r="R219" s="548">
        <v>182</v>
      </c>
      <c r="Z219" s="548">
        <f>SUM(N219:R219)</f>
        <v>866</v>
      </c>
    </row>
    <row r="220" spans="2:26" ht="48" customHeight="1">
      <c r="B220" s="548"/>
      <c r="C220" s="548"/>
      <c r="D220" s="548"/>
      <c r="F220" s="548"/>
      <c r="N220" s="681">
        <v>1935</v>
      </c>
      <c r="O220" s="551">
        <v>1817</v>
      </c>
      <c r="P220" s="548">
        <v>1370</v>
      </c>
      <c r="R220" s="548">
        <v>1365</v>
      </c>
      <c r="Z220" s="548">
        <f>SUM(N220:R220)</f>
        <v>6487</v>
      </c>
    </row>
  </sheetData>
  <mergeCells count="50">
    <mergeCell ref="AF188:AG188"/>
    <mergeCell ref="AA202:AC202"/>
    <mergeCell ref="AG2:AH2"/>
    <mergeCell ref="B3:AE3"/>
    <mergeCell ref="B4:AE4"/>
    <mergeCell ref="B5:AE5"/>
    <mergeCell ref="B6:H6"/>
    <mergeCell ref="AG6:AH6"/>
    <mergeCell ref="AG172:AG173"/>
    <mergeCell ref="F198:G198"/>
    <mergeCell ref="F197:G197"/>
    <mergeCell ref="F12:Z12"/>
    <mergeCell ref="AC12:AC14"/>
    <mergeCell ref="AE12:AE14"/>
    <mergeCell ref="F13:G13"/>
    <mergeCell ref="H13:O13"/>
    <mergeCell ref="AM6:AN6"/>
    <mergeCell ref="B7:H7"/>
    <mergeCell ref="B9:AE9"/>
    <mergeCell ref="D11:E11"/>
    <mergeCell ref="AA11:AB11"/>
    <mergeCell ref="AI6:AJ6"/>
    <mergeCell ref="AK6:AL6"/>
    <mergeCell ref="A168:AE168"/>
    <mergeCell ref="A12:B14"/>
    <mergeCell ref="A15:E15"/>
    <mergeCell ref="C12:C14"/>
    <mergeCell ref="D12:D14"/>
    <mergeCell ref="E12:E14"/>
    <mergeCell ref="A100:E100"/>
    <mergeCell ref="A167:E167"/>
    <mergeCell ref="P13:Z13"/>
    <mergeCell ref="AA12:AA14"/>
    <mergeCell ref="AB12:AB14"/>
    <mergeCell ref="K202:N202"/>
    <mergeCell ref="O204:P204"/>
    <mergeCell ref="K185:N185"/>
    <mergeCell ref="K186:N186"/>
    <mergeCell ref="K187:N187"/>
    <mergeCell ref="K188:N188"/>
    <mergeCell ref="O201:P201"/>
    <mergeCell ref="K189:N189"/>
    <mergeCell ref="K201:N201"/>
    <mergeCell ref="K190:N190"/>
    <mergeCell ref="AA201:AB201"/>
    <mergeCell ref="R190:W190"/>
    <mergeCell ref="Q200:R200"/>
    <mergeCell ref="W170:AE170"/>
    <mergeCell ref="B172:AE172"/>
    <mergeCell ref="F199:G199"/>
  </mergeCells>
  <printOptions horizontalCentered="1"/>
  <pageMargins left="0.37" right="0.17" top="0.25" bottom="0.21" header="0.17" footer="0.196850393700787"/>
  <pageSetup paperSize="9" scale="46" fitToHeight="0" orientation="landscape" r:id="rId1"/>
  <headerFooter>
    <oddFooter>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G42"/>
  <sheetViews>
    <sheetView topLeftCell="A7" zoomScale="55" zoomScaleNormal="55" workbookViewId="0">
      <selection activeCell="H13" sqref="H13"/>
    </sheetView>
  </sheetViews>
  <sheetFormatPr defaultColWidth="9.140625" defaultRowHeight="12.75"/>
  <cols>
    <col min="1" max="1" width="5.28515625" style="229" customWidth="1"/>
    <col min="2" max="2" width="24.42578125" style="229" customWidth="1"/>
    <col min="3" max="3" width="19.28515625" style="229" customWidth="1"/>
    <col min="4" max="4" width="10.5703125" style="229" customWidth="1"/>
    <col min="5" max="6" width="10" style="229" customWidth="1"/>
    <col min="7" max="7" width="15.28515625" style="229" customWidth="1"/>
    <col min="8" max="8" width="20" style="238" customWidth="1"/>
    <col min="9" max="9" width="22.42578125" style="238" customWidth="1"/>
    <col min="10" max="10" width="14" style="238" customWidth="1"/>
    <col min="11" max="11" width="16.28515625" style="238" customWidth="1"/>
    <col min="12" max="13" width="15.28515625" style="238" customWidth="1"/>
    <col min="14" max="14" width="16.140625" style="229" customWidth="1"/>
    <col min="15" max="15" width="14.28515625" style="229" customWidth="1"/>
    <col min="16" max="17" width="21.85546875" style="229" customWidth="1"/>
    <col min="18" max="18" width="21.42578125" style="238" bestFit="1" customWidth="1"/>
    <col min="19" max="19" width="18.7109375" style="238" customWidth="1"/>
    <col min="20" max="20" width="9.28515625" style="246" bestFit="1" customWidth="1"/>
    <col min="21" max="21" width="19.7109375" style="229" customWidth="1"/>
    <col min="22" max="22" width="12.5703125" style="229" customWidth="1"/>
    <col min="23" max="25" width="9.140625" style="229"/>
    <col min="26" max="26" width="9.140625" style="232"/>
    <col min="27" max="16384" width="9.140625" style="229"/>
  </cols>
  <sheetData>
    <row r="1" spans="1:267" ht="18.75">
      <c r="A1" s="1546" t="s">
        <v>51</v>
      </c>
      <c r="B1" s="1546"/>
      <c r="C1" s="1546"/>
      <c r="D1" s="1546"/>
      <c r="E1" s="1546"/>
      <c r="F1" s="1546"/>
      <c r="G1" s="1546"/>
      <c r="H1" s="1546"/>
      <c r="I1" s="1546"/>
      <c r="J1" s="1546"/>
      <c r="K1" s="1546"/>
      <c r="L1" s="1546"/>
      <c r="M1" s="1546"/>
      <c r="N1" s="1546"/>
      <c r="O1" s="1546"/>
      <c r="P1" s="1546"/>
      <c r="Q1" s="1546"/>
      <c r="R1" s="1546"/>
      <c r="S1" s="1546"/>
      <c r="T1" s="247"/>
      <c r="U1" s="247"/>
      <c r="V1" s="247"/>
      <c r="W1" s="247"/>
      <c r="X1" s="247"/>
      <c r="Y1" s="247"/>
      <c r="Z1" s="247"/>
      <c r="AA1" s="247"/>
    </row>
    <row r="2" spans="1:267" ht="18.75">
      <c r="A2" s="1546" t="s">
        <v>0</v>
      </c>
      <c r="B2" s="1546"/>
      <c r="C2" s="1546"/>
      <c r="D2" s="1546"/>
      <c r="E2" s="1546"/>
      <c r="F2" s="1546"/>
      <c r="G2" s="1546"/>
      <c r="H2" s="1546"/>
      <c r="I2" s="1546"/>
      <c r="J2" s="1546"/>
      <c r="K2" s="1546"/>
      <c r="L2" s="1546"/>
      <c r="M2" s="1546"/>
      <c r="N2" s="1546"/>
      <c r="O2" s="1546"/>
      <c r="P2" s="1546"/>
      <c r="Q2" s="1546"/>
      <c r="R2" s="1546"/>
      <c r="S2" s="1546"/>
      <c r="T2" s="131"/>
      <c r="U2" s="131"/>
      <c r="V2" s="131"/>
      <c r="W2" s="131"/>
      <c r="X2" s="131"/>
      <c r="Y2" s="131"/>
      <c r="Z2" s="131"/>
      <c r="AA2" s="131"/>
    </row>
    <row r="3" spans="1:267" ht="18.75">
      <c r="A3" s="1547" t="s">
        <v>244</v>
      </c>
      <c r="B3" s="1547"/>
      <c r="C3" s="1547"/>
      <c r="D3" s="1547"/>
      <c r="E3" s="1547"/>
      <c r="F3" s="1547"/>
      <c r="G3" s="1547"/>
      <c r="H3" s="1547"/>
      <c r="I3" s="1547"/>
      <c r="J3" s="1547"/>
      <c r="K3" s="1547"/>
      <c r="L3" s="1547"/>
      <c r="M3" s="1547"/>
      <c r="N3" s="1547"/>
      <c r="O3" s="1547"/>
      <c r="P3" s="1547"/>
      <c r="Q3" s="1547"/>
      <c r="R3" s="1547"/>
      <c r="S3" s="1547"/>
      <c r="T3" s="235"/>
    </row>
    <row r="4" spans="1:267" ht="18.75">
      <c r="A4" s="1548" t="s">
        <v>688</v>
      </c>
      <c r="B4" s="1548"/>
      <c r="C4" s="1548"/>
      <c r="D4" s="1548"/>
      <c r="E4" s="1548"/>
      <c r="F4" s="1548"/>
      <c r="G4" s="1548"/>
      <c r="H4" s="236"/>
      <c r="I4" s="236"/>
      <c r="J4" s="236"/>
      <c r="K4" s="236"/>
      <c r="L4" s="236"/>
      <c r="M4" s="236"/>
      <c r="N4" s="471"/>
      <c r="O4" s="471"/>
      <c r="P4" s="471"/>
      <c r="Q4" s="471"/>
      <c r="R4" s="236"/>
      <c r="S4" s="236"/>
      <c r="T4" s="230"/>
      <c r="U4" s="231"/>
      <c r="V4" s="231"/>
      <c r="W4" s="231"/>
      <c r="X4" s="231"/>
    </row>
    <row r="5" spans="1:267" ht="18.75">
      <c r="A5" s="1546" t="s">
        <v>500</v>
      </c>
      <c r="B5" s="1546"/>
      <c r="C5" s="1546"/>
      <c r="D5" s="1546"/>
      <c r="E5" s="1546"/>
      <c r="F5" s="1546"/>
      <c r="G5" s="1546"/>
      <c r="H5" s="261"/>
      <c r="I5" s="261"/>
      <c r="J5" s="261"/>
      <c r="K5" s="261"/>
      <c r="L5" s="261"/>
      <c r="M5" s="261"/>
      <c r="N5" s="470"/>
      <c r="O5" s="470"/>
      <c r="P5" s="470"/>
      <c r="Q5" s="470"/>
      <c r="R5" s="261"/>
      <c r="S5" s="261"/>
      <c r="T5" s="233"/>
      <c r="U5" s="469"/>
      <c r="V5" s="469"/>
      <c r="W5" s="469"/>
      <c r="X5" s="469"/>
    </row>
    <row r="6" spans="1:267" ht="18.75">
      <c r="A6" s="236"/>
      <c r="B6" s="236"/>
      <c r="C6" s="236"/>
      <c r="D6" s="236"/>
      <c r="E6" s="236"/>
      <c r="F6" s="236"/>
      <c r="G6" s="236"/>
      <c r="H6" s="237"/>
      <c r="I6" s="237"/>
      <c r="J6" s="237"/>
      <c r="K6" s="237"/>
      <c r="L6" s="237"/>
      <c r="M6" s="237"/>
      <c r="N6" s="236"/>
      <c r="O6" s="236"/>
      <c r="P6" s="236"/>
      <c r="Q6" s="236"/>
      <c r="R6" s="237"/>
      <c r="S6" s="237"/>
      <c r="T6" s="235"/>
    </row>
    <row r="7" spans="1:267">
      <c r="H7" s="234"/>
      <c r="I7" s="234"/>
      <c r="J7" s="234"/>
      <c r="K7" s="234"/>
      <c r="L7" s="234"/>
      <c r="M7" s="234"/>
      <c r="R7" s="234"/>
      <c r="S7" s="234"/>
      <c r="T7" s="235"/>
    </row>
    <row r="8" spans="1:267" ht="22.5">
      <c r="A8" s="1545" t="s">
        <v>814</v>
      </c>
      <c r="B8" s="1545"/>
      <c r="C8" s="1545"/>
      <c r="D8" s="1545"/>
      <c r="E8" s="1545"/>
      <c r="F8" s="1545"/>
      <c r="G8" s="1545"/>
      <c r="H8" s="1545"/>
      <c r="I8" s="1545"/>
      <c r="J8" s="1545"/>
      <c r="K8" s="1545"/>
      <c r="L8" s="1545"/>
      <c r="M8" s="1545"/>
      <c r="N8" s="1545"/>
      <c r="O8" s="1545"/>
      <c r="P8" s="1545"/>
      <c r="Q8" s="1545"/>
      <c r="R8" s="1545"/>
      <c r="S8" s="1545"/>
      <c r="T8" s="248"/>
      <c r="U8" s="248"/>
      <c r="V8" s="248"/>
      <c r="W8" s="248"/>
      <c r="X8" s="248"/>
      <c r="Y8" s="248"/>
      <c r="Z8" s="248"/>
      <c r="AA8" s="248"/>
    </row>
    <row r="9" spans="1:267" ht="20.25">
      <c r="A9" s="1542"/>
      <c r="B9" s="1542"/>
      <c r="C9" s="1542"/>
      <c r="D9" s="1542"/>
      <c r="E9" s="1542"/>
      <c r="F9" s="1542"/>
      <c r="G9" s="1542"/>
      <c r="H9" s="1542"/>
      <c r="I9" s="1542"/>
      <c r="J9" s="1542"/>
      <c r="K9" s="1542"/>
      <c r="L9" s="1542"/>
      <c r="M9" s="1542"/>
      <c r="N9" s="1542"/>
      <c r="O9" s="1542"/>
      <c r="P9" s="1542"/>
      <c r="Q9" s="1542"/>
      <c r="R9" s="1542"/>
      <c r="S9" s="1542"/>
      <c r="T9" s="248"/>
      <c r="U9" s="248"/>
      <c r="V9" s="248"/>
      <c r="W9" s="248"/>
      <c r="X9" s="248"/>
      <c r="Y9" s="248"/>
      <c r="Z9" s="248"/>
      <c r="AA9" s="248"/>
    </row>
    <row r="10" spans="1:267" ht="102.75" customHeight="1">
      <c r="A10" s="351" t="s">
        <v>4</v>
      </c>
      <c r="B10" s="351" t="s">
        <v>13</v>
      </c>
      <c r="C10" s="351" t="s">
        <v>6</v>
      </c>
      <c r="D10" s="351" t="s">
        <v>689</v>
      </c>
      <c r="E10" s="351" t="s">
        <v>1</v>
      </c>
      <c r="F10" s="773" t="s">
        <v>687</v>
      </c>
      <c r="G10" s="352" t="s">
        <v>250</v>
      </c>
      <c r="H10" s="353" t="s">
        <v>251</v>
      </c>
      <c r="I10" s="354" t="s">
        <v>268</v>
      </c>
      <c r="J10" s="1343" t="s">
        <v>866</v>
      </c>
      <c r="K10" s="1343" t="s">
        <v>867</v>
      </c>
      <c r="L10" s="1343" t="s">
        <v>868</v>
      </c>
      <c r="M10" s="1343" t="s">
        <v>869</v>
      </c>
      <c r="N10" s="773" t="s">
        <v>690</v>
      </c>
      <c r="O10" s="352" t="s">
        <v>15</v>
      </c>
      <c r="P10" s="773" t="s">
        <v>691</v>
      </c>
      <c r="Q10" s="1343" t="s">
        <v>870</v>
      </c>
      <c r="R10" s="354" t="s">
        <v>260</v>
      </c>
      <c r="S10" s="355" t="s">
        <v>62</v>
      </c>
      <c r="T10" s="250"/>
      <c r="U10" s="250">
        <f>5000000*4</f>
        <v>20000000</v>
      </c>
      <c r="V10" s="250"/>
      <c r="W10" s="250"/>
      <c r="X10" s="250"/>
      <c r="Y10" s="250"/>
      <c r="Z10" s="250"/>
      <c r="AA10" s="250"/>
      <c r="AB10" s="251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43"/>
      <c r="CK10" s="143"/>
      <c r="CL10" s="143"/>
      <c r="CM10" s="143"/>
      <c r="CN10" s="143"/>
      <c r="CO10" s="143"/>
      <c r="CP10" s="143"/>
      <c r="CQ10" s="143"/>
      <c r="CR10" s="143"/>
      <c r="CS10" s="143"/>
      <c r="CT10" s="143"/>
      <c r="CU10" s="143"/>
      <c r="CV10" s="143"/>
      <c r="CW10" s="143"/>
      <c r="CX10" s="143"/>
      <c r="CY10" s="143"/>
      <c r="CZ10" s="143"/>
      <c r="DA10" s="143"/>
      <c r="DB10" s="143"/>
      <c r="DC10" s="143"/>
      <c r="DD10" s="143"/>
      <c r="DE10" s="143"/>
      <c r="DF10" s="143"/>
      <c r="DG10" s="143"/>
      <c r="DH10" s="143"/>
      <c r="DI10" s="143"/>
      <c r="DJ10" s="143"/>
      <c r="DK10" s="143"/>
      <c r="DL10" s="143"/>
      <c r="DM10" s="143"/>
      <c r="DN10" s="143"/>
      <c r="DO10" s="143"/>
      <c r="DP10" s="143"/>
      <c r="DQ10" s="143"/>
      <c r="DR10" s="143"/>
      <c r="DS10" s="143"/>
      <c r="DT10" s="143"/>
      <c r="DU10" s="143"/>
      <c r="DV10" s="143"/>
      <c r="DW10" s="143"/>
      <c r="DX10" s="143"/>
      <c r="DY10" s="143"/>
      <c r="DZ10" s="143"/>
      <c r="EA10" s="143"/>
      <c r="EB10" s="143"/>
      <c r="EC10" s="143"/>
      <c r="ED10" s="143"/>
      <c r="EE10" s="143"/>
      <c r="EF10" s="143"/>
      <c r="EG10" s="143"/>
      <c r="EH10" s="143"/>
      <c r="EI10" s="143"/>
      <c r="EJ10" s="143"/>
      <c r="EK10" s="143"/>
      <c r="EL10" s="143"/>
      <c r="EM10" s="143"/>
      <c r="EN10" s="143"/>
      <c r="EO10" s="143"/>
      <c r="EP10" s="143"/>
      <c r="EQ10" s="143"/>
      <c r="ER10" s="143"/>
      <c r="ES10" s="143"/>
      <c r="ET10" s="143"/>
      <c r="EU10" s="143"/>
      <c r="EV10" s="143"/>
      <c r="EW10" s="143"/>
      <c r="EX10" s="143"/>
      <c r="EY10" s="143"/>
      <c r="EZ10" s="143"/>
      <c r="FA10" s="143"/>
      <c r="FB10" s="143"/>
      <c r="FC10" s="143"/>
      <c r="FD10" s="143"/>
      <c r="FE10" s="143"/>
      <c r="FF10" s="143"/>
      <c r="FG10" s="143"/>
      <c r="FH10" s="143"/>
      <c r="FI10" s="143"/>
      <c r="FJ10" s="143"/>
      <c r="FK10" s="143"/>
      <c r="FL10" s="143"/>
      <c r="FM10" s="143"/>
      <c r="FN10" s="143"/>
      <c r="FO10" s="143"/>
      <c r="FP10" s="143"/>
      <c r="FQ10" s="143"/>
      <c r="FR10" s="143"/>
      <c r="FS10" s="143"/>
      <c r="FT10" s="143"/>
      <c r="FU10" s="143"/>
      <c r="FV10" s="143"/>
      <c r="FW10" s="143"/>
      <c r="FX10" s="143"/>
      <c r="FY10" s="143"/>
      <c r="FZ10" s="143"/>
      <c r="GA10" s="143"/>
      <c r="GB10" s="143"/>
      <c r="GC10" s="143"/>
      <c r="GD10" s="143"/>
      <c r="GE10" s="143"/>
      <c r="GF10" s="143"/>
      <c r="GG10" s="143"/>
      <c r="GH10" s="143"/>
      <c r="GI10" s="143"/>
      <c r="GJ10" s="143"/>
      <c r="GK10" s="143"/>
      <c r="GL10" s="143"/>
      <c r="GM10" s="143"/>
      <c r="GN10" s="143"/>
      <c r="GO10" s="143"/>
      <c r="GP10" s="143"/>
      <c r="GQ10" s="143"/>
      <c r="GR10" s="143"/>
      <c r="GS10" s="143"/>
      <c r="GT10" s="143"/>
      <c r="GU10" s="143"/>
      <c r="GV10" s="143"/>
      <c r="GW10" s="143"/>
      <c r="GX10" s="143"/>
      <c r="GY10" s="143"/>
      <c r="GZ10" s="143"/>
      <c r="HA10" s="143"/>
      <c r="HB10" s="143"/>
      <c r="HC10" s="143"/>
      <c r="HD10" s="143"/>
      <c r="HE10" s="143"/>
      <c r="HF10" s="143"/>
      <c r="HG10" s="143"/>
      <c r="HH10" s="143"/>
      <c r="HI10" s="143"/>
      <c r="HJ10" s="143"/>
      <c r="HK10" s="143"/>
      <c r="HL10" s="143"/>
      <c r="HM10" s="143"/>
      <c r="HN10" s="143"/>
      <c r="HO10" s="143"/>
      <c r="HP10" s="143"/>
      <c r="HQ10" s="143"/>
      <c r="HR10" s="143"/>
      <c r="HS10" s="143"/>
      <c r="HT10" s="143"/>
      <c r="HU10" s="143"/>
      <c r="HV10" s="143"/>
      <c r="HW10" s="143"/>
      <c r="HX10" s="143"/>
      <c r="HY10" s="143"/>
      <c r="HZ10" s="143"/>
      <c r="IA10" s="143"/>
      <c r="IB10" s="143"/>
      <c r="IC10" s="143"/>
      <c r="ID10" s="143"/>
      <c r="IE10" s="143"/>
      <c r="IF10" s="143"/>
      <c r="IG10" s="143"/>
      <c r="IH10" s="143"/>
      <c r="II10" s="143"/>
      <c r="IJ10" s="143"/>
      <c r="IK10" s="143"/>
      <c r="IL10" s="143"/>
      <c r="IM10" s="143"/>
      <c r="IN10" s="143"/>
      <c r="IO10" s="143"/>
      <c r="IP10" s="143"/>
      <c r="IQ10" s="143"/>
      <c r="IR10" s="143"/>
      <c r="IS10" s="143"/>
      <c r="IT10" s="143"/>
      <c r="IU10" s="143"/>
      <c r="IV10" s="143"/>
      <c r="IW10" s="143"/>
      <c r="IX10" s="143"/>
      <c r="IY10" s="143"/>
      <c r="IZ10" s="143"/>
      <c r="JA10" s="143"/>
      <c r="JB10" s="143"/>
      <c r="JC10" s="143"/>
      <c r="JD10" s="143"/>
      <c r="JE10" s="143"/>
      <c r="JF10" s="143"/>
      <c r="JG10" s="143"/>
    </row>
    <row r="11" spans="1:267" ht="39" customHeight="1">
      <c r="A11" s="351"/>
      <c r="B11" s="351"/>
      <c r="C11" s="351"/>
      <c r="D11" s="351"/>
      <c r="E11" s="351"/>
      <c r="F11" s="351"/>
      <c r="G11" s="356" t="s">
        <v>245</v>
      </c>
      <c r="H11" s="356" t="s">
        <v>246</v>
      </c>
      <c r="I11" s="356" t="s">
        <v>276</v>
      </c>
      <c r="J11" s="356"/>
      <c r="K11" s="356"/>
      <c r="L11" s="356"/>
      <c r="M11" s="356"/>
      <c r="N11" s="356" t="s">
        <v>247</v>
      </c>
      <c r="O11" s="356" t="s">
        <v>248</v>
      </c>
      <c r="P11" s="356" t="s">
        <v>249</v>
      </c>
      <c r="Q11" s="356"/>
      <c r="R11" s="532" t="s">
        <v>389</v>
      </c>
      <c r="S11" s="355"/>
      <c r="T11" s="250"/>
      <c r="U11" s="250"/>
      <c r="V11" s="250"/>
      <c r="W11" s="250"/>
      <c r="X11" s="250"/>
      <c r="Y11" s="250"/>
      <c r="Z11" s="250"/>
      <c r="AA11" s="250"/>
      <c r="AB11" s="251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143"/>
      <c r="BN11" s="143"/>
      <c r="BO11" s="143"/>
      <c r="BP11" s="143"/>
      <c r="BQ11" s="143"/>
      <c r="BR11" s="143"/>
      <c r="BS11" s="143"/>
      <c r="BT11" s="143"/>
      <c r="BU11" s="143"/>
      <c r="BV11" s="143"/>
      <c r="BW11" s="143"/>
      <c r="BX11" s="143"/>
      <c r="BY11" s="143"/>
      <c r="BZ11" s="143"/>
      <c r="CA11" s="143"/>
      <c r="CB11" s="143"/>
      <c r="CC11" s="143"/>
      <c r="CD11" s="143"/>
      <c r="CE11" s="143"/>
      <c r="CF11" s="143"/>
      <c r="CG11" s="143"/>
      <c r="CH11" s="143"/>
      <c r="CI11" s="143"/>
      <c r="CJ11" s="143"/>
      <c r="CK11" s="143"/>
      <c r="CL11" s="143"/>
      <c r="CM11" s="143"/>
      <c r="CN11" s="143"/>
      <c r="CO11" s="143"/>
      <c r="CP11" s="143"/>
      <c r="CQ11" s="143"/>
      <c r="CR11" s="143"/>
      <c r="CS11" s="143"/>
      <c r="CT11" s="143"/>
      <c r="CU11" s="143"/>
      <c r="CV11" s="143"/>
      <c r="CW11" s="143"/>
      <c r="CX11" s="143"/>
      <c r="CY11" s="143"/>
      <c r="CZ11" s="143"/>
      <c r="DA11" s="143"/>
      <c r="DB11" s="143"/>
      <c r="DC11" s="143"/>
      <c r="DD11" s="143"/>
      <c r="DE11" s="143"/>
      <c r="DF11" s="143"/>
      <c r="DG11" s="143"/>
      <c r="DH11" s="143"/>
      <c r="DI11" s="143"/>
      <c r="DJ11" s="143"/>
      <c r="DK11" s="143"/>
      <c r="DL11" s="143"/>
      <c r="DM11" s="143"/>
      <c r="DN11" s="143"/>
      <c r="DO11" s="143"/>
      <c r="DP11" s="143"/>
      <c r="DQ11" s="143"/>
      <c r="DR11" s="143"/>
      <c r="DS11" s="143"/>
      <c r="DT11" s="143"/>
      <c r="DU11" s="143"/>
      <c r="DV11" s="143"/>
      <c r="DW11" s="143"/>
      <c r="DX11" s="143"/>
      <c r="DY11" s="143"/>
      <c r="DZ11" s="143"/>
      <c r="EA11" s="143"/>
      <c r="EB11" s="143"/>
      <c r="EC11" s="143"/>
      <c r="ED11" s="143"/>
      <c r="EE11" s="143"/>
      <c r="EF11" s="143"/>
      <c r="EG11" s="143"/>
      <c r="EH11" s="143"/>
      <c r="EI11" s="143"/>
      <c r="EJ11" s="143"/>
      <c r="EK11" s="143"/>
      <c r="EL11" s="143"/>
      <c r="EM11" s="143"/>
      <c r="EN11" s="143"/>
      <c r="EO11" s="143"/>
      <c r="EP11" s="143"/>
      <c r="EQ11" s="143"/>
      <c r="ER11" s="143"/>
      <c r="ES11" s="143"/>
      <c r="ET11" s="143"/>
      <c r="EU11" s="143"/>
      <c r="EV11" s="143"/>
      <c r="EW11" s="143"/>
      <c r="EX11" s="143"/>
      <c r="EY11" s="143"/>
      <c r="EZ11" s="143"/>
      <c r="FA11" s="143"/>
      <c r="FB11" s="143"/>
      <c r="FC11" s="143"/>
      <c r="FD11" s="143"/>
      <c r="FE11" s="143"/>
      <c r="FF11" s="143"/>
      <c r="FG11" s="143"/>
      <c r="FH11" s="143"/>
      <c r="FI11" s="143"/>
      <c r="FJ11" s="143"/>
      <c r="FK11" s="143"/>
      <c r="FL11" s="143"/>
      <c r="FM11" s="143"/>
      <c r="FN11" s="143"/>
      <c r="FO11" s="143"/>
      <c r="FP11" s="143"/>
      <c r="FQ11" s="143"/>
      <c r="FR11" s="143"/>
      <c r="FS11" s="143"/>
      <c r="FT11" s="143"/>
      <c r="FU11" s="143"/>
      <c r="FV11" s="143"/>
      <c r="FW11" s="143"/>
      <c r="FX11" s="143"/>
      <c r="FY11" s="143"/>
      <c r="FZ11" s="143"/>
      <c r="GA11" s="143"/>
      <c r="GB11" s="143"/>
      <c r="GC11" s="143"/>
      <c r="GD11" s="143"/>
      <c r="GE11" s="143"/>
      <c r="GF11" s="143"/>
      <c r="GG11" s="143"/>
      <c r="GH11" s="143"/>
      <c r="GI11" s="143"/>
      <c r="GJ11" s="143"/>
      <c r="GK11" s="143"/>
      <c r="GL11" s="143"/>
      <c r="GM11" s="143"/>
      <c r="GN11" s="143"/>
      <c r="GO11" s="143"/>
      <c r="GP11" s="143"/>
      <c r="GQ11" s="143"/>
      <c r="GR11" s="143"/>
      <c r="GS11" s="143"/>
      <c r="GT11" s="143"/>
      <c r="GU11" s="143"/>
      <c r="GV11" s="143"/>
      <c r="GW11" s="143"/>
      <c r="GX11" s="143"/>
      <c r="GY11" s="143"/>
      <c r="GZ11" s="143"/>
      <c r="HA11" s="143"/>
      <c r="HB11" s="143"/>
      <c r="HC11" s="143"/>
      <c r="HD11" s="143"/>
      <c r="HE11" s="143"/>
      <c r="HF11" s="143"/>
      <c r="HG11" s="143"/>
      <c r="HH11" s="143"/>
      <c r="HI11" s="143"/>
      <c r="HJ11" s="143"/>
      <c r="HK11" s="143"/>
      <c r="HL11" s="143"/>
      <c r="HM11" s="143"/>
      <c r="HN11" s="143"/>
      <c r="HO11" s="143"/>
      <c r="HP11" s="143"/>
      <c r="HQ11" s="143"/>
      <c r="HR11" s="143"/>
      <c r="HS11" s="143"/>
      <c r="HT11" s="143"/>
      <c r="HU11" s="143"/>
      <c r="HV11" s="143"/>
      <c r="HW11" s="143"/>
      <c r="HX11" s="143"/>
      <c r="HY11" s="143"/>
      <c r="HZ11" s="143"/>
      <c r="IA11" s="143"/>
      <c r="IB11" s="143"/>
      <c r="IC11" s="143"/>
      <c r="ID11" s="143"/>
      <c r="IE11" s="143"/>
      <c r="IF11" s="143"/>
      <c r="IG11" s="143"/>
      <c r="IH11" s="143"/>
      <c r="II11" s="143"/>
      <c r="IJ11" s="143"/>
      <c r="IK11" s="143"/>
      <c r="IL11" s="143"/>
      <c r="IM11" s="143"/>
      <c r="IN11" s="143"/>
      <c r="IO11" s="143"/>
      <c r="IP11" s="143"/>
      <c r="IQ11" s="143"/>
      <c r="IR11" s="143"/>
      <c r="IS11" s="143"/>
      <c r="IT11" s="143"/>
      <c r="IU11" s="143"/>
      <c r="IV11" s="143"/>
      <c r="IW11" s="143"/>
      <c r="IX11" s="143"/>
      <c r="IY11" s="143"/>
      <c r="IZ11" s="143"/>
      <c r="JA11" s="143"/>
      <c r="JB11" s="143"/>
      <c r="JC11" s="143"/>
      <c r="JD11" s="143"/>
      <c r="JE11" s="143"/>
      <c r="JF11" s="143"/>
      <c r="JG11" s="143"/>
    </row>
    <row r="12" spans="1:267" ht="22.5" customHeight="1">
      <c r="A12" s="798" t="s">
        <v>107</v>
      </c>
      <c r="B12" s="798"/>
      <c r="C12" s="798"/>
      <c r="D12" s="351"/>
      <c r="E12" s="351"/>
      <c r="F12" s="351"/>
      <c r="G12" s="524"/>
      <c r="H12" s="531"/>
      <c r="I12" s="533"/>
      <c r="J12" s="533"/>
      <c r="K12" s="533"/>
      <c r="L12" s="533"/>
      <c r="M12" s="533"/>
      <c r="N12" s="524">
        <f>SUM(N13:N20)</f>
        <v>2730</v>
      </c>
      <c r="O12" s="524">
        <f>SUM(O13:O20)</f>
        <v>150</v>
      </c>
      <c r="P12" s="530">
        <f>SUM(P13:P20)</f>
        <v>3036.3595600749672</v>
      </c>
      <c r="Q12" s="530">
        <f>SUM(Q13:Q20)</f>
        <v>296.69283685624765</v>
      </c>
      <c r="R12" s="530">
        <f>SUM(R13:R20)</f>
        <v>5343.0523969312162</v>
      </c>
      <c r="S12" s="355"/>
      <c r="T12" s="250"/>
      <c r="U12" s="250"/>
      <c r="V12" s="250"/>
      <c r="W12" s="250"/>
      <c r="X12" s="250"/>
      <c r="Y12" s="250"/>
      <c r="Z12" s="250"/>
      <c r="AA12" s="250"/>
      <c r="AB12" s="251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  <c r="BD12" s="143"/>
      <c r="BE12" s="143"/>
      <c r="BF12" s="143"/>
      <c r="BG12" s="143"/>
      <c r="BH12" s="143"/>
      <c r="BI12" s="143"/>
      <c r="BJ12" s="143"/>
      <c r="BK12" s="143"/>
      <c r="BL12" s="143"/>
      <c r="BM12" s="143"/>
      <c r="BN12" s="143"/>
      <c r="BO12" s="143"/>
      <c r="BP12" s="143"/>
      <c r="BQ12" s="143"/>
      <c r="BR12" s="143"/>
      <c r="BS12" s="143"/>
      <c r="BT12" s="143"/>
      <c r="BU12" s="143"/>
      <c r="BV12" s="143"/>
      <c r="BW12" s="143"/>
      <c r="BX12" s="143"/>
      <c r="BY12" s="143"/>
      <c r="BZ12" s="143"/>
      <c r="CA12" s="143"/>
      <c r="CB12" s="143"/>
      <c r="CC12" s="143"/>
      <c r="CD12" s="143"/>
      <c r="CE12" s="143"/>
      <c r="CF12" s="143"/>
      <c r="CG12" s="143"/>
      <c r="CH12" s="143"/>
      <c r="CI12" s="143"/>
      <c r="CJ12" s="143"/>
      <c r="CK12" s="143"/>
      <c r="CL12" s="143"/>
      <c r="CM12" s="143"/>
      <c r="CN12" s="143"/>
      <c r="CO12" s="143"/>
      <c r="CP12" s="143"/>
      <c r="CQ12" s="143"/>
      <c r="CR12" s="143"/>
      <c r="CS12" s="143"/>
      <c r="CT12" s="143"/>
      <c r="CU12" s="143"/>
      <c r="CV12" s="143"/>
      <c r="CW12" s="143"/>
      <c r="CX12" s="143"/>
      <c r="CY12" s="143"/>
      <c r="CZ12" s="143"/>
      <c r="DA12" s="143"/>
      <c r="DB12" s="143"/>
      <c r="DC12" s="143"/>
      <c r="DD12" s="143"/>
      <c r="DE12" s="143"/>
      <c r="DF12" s="143"/>
      <c r="DG12" s="143"/>
      <c r="DH12" s="143"/>
      <c r="DI12" s="143"/>
      <c r="DJ12" s="143"/>
      <c r="DK12" s="143"/>
      <c r="DL12" s="143"/>
      <c r="DM12" s="143"/>
      <c r="DN12" s="143"/>
      <c r="DO12" s="143"/>
      <c r="DP12" s="143"/>
      <c r="DQ12" s="143"/>
      <c r="DR12" s="143"/>
      <c r="DS12" s="143"/>
      <c r="DT12" s="143"/>
      <c r="DU12" s="143"/>
      <c r="DV12" s="143"/>
      <c r="DW12" s="143"/>
      <c r="DX12" s="143"/>
      <c r="DY12" s="143"/>
      <c r="DZ12" s="143"/>
      <c r="EA12" s="143"/>
      <c r="EB12" s="143"/>
      <c r="EC12" s="143"/>
      <c r="ED12" s="143"/>
      <c r="EE12" s="143"/>
      <c r="EF12" s="143"/>
      <c r="EG12" s="143"/>
      <c r="EH12" s="143"/>
      <c r="EI12" s="143"/>
      <c r="EJ12" s="143"/>
      <c r="EK12" s="143"/>
      <c r="EL12" s="143"/>
      <c r="EM12" s="143"/>
      <c r="EN12" s="143"/>
      <c r="EO12" s="143"/>
      <c r="EP12" s="143"/>
      <c r="EQ12" s="143"/>
      <c r="ER12" s="143"/>
      <c r="ES12" s="143"/>
      <c r="ET12" s="143"/>
      <c r="EU12" s="143"/>
      <c r="EV12" s="143"/>
      <c r="EW12" s="143"/>
      <c r="EX12" s="143"/>
      <c r="EY12" s="143"/>
      <c r="EZ12" s="143"/>
      <c r="FA12" s="143"/>
      <c r="FB12" s="143"/>
      <c r="FC12" s="143"/>
      <c r="FD12" s="143"/>
      <c r="FE12" s="143"/>
      <c r="FF12" s="143"/>
      <c r="FG12" s="143"/>
      <c r="FH12" s="143"/>
      <c r="FI12" s="143"/>
      <c r="FJ12" s="143"/>
      <c r="FK12" s="143"/>
      <c r="FL12" s="143"/>
      <c r="FM12" s="143"/>
      <c r="FN12" s="143"/>
      <c r="FO12" s="143"/>
      <c r="FP12" s="143"/>
      <c r="FQ12" s="143"/>
      <c r="FR12" s="143"/>
      <c r="FS12" s="143"/>
      <c r="FT12" s="143"/>
      <c r="FU12" s="143"/>
      <c r="FV12" s="143"/>
      <c r="FW12" s="143"/>
      <c r="FX12" s="143"/>
      <c r="FY12" s="143"/>
      <c r="FZ12" s="143"/>
      <c r="GA12" s="143"/>
      <c r="GB12" s="143"/>
      <c r="GC12" s="143"/>
      <c r="GD12" s="143"/>
      <c r="GE12" s="143"/>
      <c r="GF12" s="143"/>
      <c r="GG12" s="143"/>
      <c r="GH12" s="143"/>
      <c r="GI12" s="143"/>
      <c r="GJ12" s="143"/>
      <c r="GK12" s="143"/>
      <c r="GL12" s="143"/>
      <c r="GM12" s="143"/>
      <c r="GN12" s="143"/>
      <c r="GO12" s="143"/>
      <c r="GP12" s="143"/>
      <c r="GQ12" s="143"/>
      <c r="GR12" s="143"/>
      <c r="GS12" s="143"/>
      <c r="GT12" s="143"/>
      <c r="GU12" s="143"/>
      <c r="GV12" s="143"/>
      <c r="GW12" s="143"/>
      <c r="GX12" s="143"/>
      <c r="GY12" s="143"/>
      <c r="GZ12" s="143"/>
      <c r="HA12" s="143"/>
      <c r="HB12" s="143"/>
      <c r="HC12" s="143"/>
      <c r="HD12" s="143"/>
      <c r="HE12" s="143"/>
      <c r="HF12" s="143"/>
      <c r="HG12" s="143"/>
      <c r="HH12" s="143"/>
      <c r="HI12" s="143"/>
      <c r="HJ12" s="143"/>
      <c r="HK12" s="143"/>
      <c r="HL12" s="143"/>
      <c r="HM12" s="143"/>
      <c r="HN12" s="143"/>
      <c r="HO12" s="143"/>
      <c r="HP12" s="143"/>
      <c r="HQ12" s="143"/>
      <c r="HR12" s="143"/>
      <c r="HS12" s="143"/>
      <c r="HT12" s="143"/>
      <c r="HU12" s="143"/>
      <c r="HV12" s="143"/>
      <c r="HW12" s="143"/>
      <c r="HX12" s="143"/>
      <c r="HY12" s="143"/>
      <c r="HZ12" s="143"/>
      <c r="IA12" s="143"/>
      <c r="IB12" s="143"/>
      <c r="IC12" s="143"/>
      <c r="ID12" s="143"/>
      <c r="IE12" s="143"/>
      <c r="IF12" s="143"/>
      <c r="IG12" s="143"/>
      <c r="IH12" s="143"/>
      <c r="II12" s="143"/>
      <c r="IJ12" s="143"/>
      <c r="IK12" s="143"/>
      <c r="IL12" s="143"/>
      <c r="IM12" s="143"/>
      <c r="IN12" s="143"/>
      <c r="IO12" s="143"/>
      <c r="IP12" s="143"/>
      <c r="IQ12" s="143"/>
      <c r="IR12" s="143"/>
      <c r="IS12" s="143"/>
      <c r="IT12" s="143"/>
      <c r="IU12" s="143"/>
      <c r="IV12" s="143"/>
      <c r="IW12" s="143"/>
      <c r="IX12" s="143"/>
      <c r="IY12" s="143"/>
      <c r="IZ12" s="143"/>
      <c r="JA12" s="143"/>
      <c r="JB12" s="143"/>
      <c r="JC12" s="143"/>
      <c r="JD12" s="143"/>
      <c r="JE12" s="143"/>
      <c r="JF12" s="143"/>
      <c r="JG12" s="143"/>
    </row>
    <row r="13" spans="1:267" ht="22.5" customHeight="1">
      <c r="A13" s="824">
        <v>1</v>
      </c>
      <c r="B13" s="825" t="s">
        <v>715</v>
      </c>
      <c r="C13" s="825" t="s">
        <v>716</v>
      </c>
      <c r="D13" s="351"/>
      <c r="E13" s="825" t="s">
        <v>151</v>
      </c>
      <c r="F13" s="351"/>
      <c r="G13" s="857">
        <v>427</v>
      </c>
      <c r="H13" s="826">
        <f>230.932+200.826</f>
        <v>431.75799999999998</v>
      </c>
      <c r="I13" s="823">
        <f>H13/G13*100%</f>
        <v>1.0111428571428571</v>
      </c>
      <c r="J13" s="823"/>
      <c r="K13" s="359">
        <v>328</v>
      </c>
      <c r="L13" s="830">
        <v>33.628999999999998</v>
      </c>
      <c r="M13" s="1344">
        <f>L13/K13</f>
        <v>0.10252743902439024</v>
      </c>
      <c r="N13" s="827">
        <v>820</v>
      </c>
      <c r="O13" s="730">
        <v>50</v>
      </c>
      <c r="P13" s="828">
        <f>(N13+O13)*I13</f>
        <v>879.69428571428568</v>
      </c>
      <c r="Q13" s="830">
        <f>(N13+O13)*M13</f>
        <v>89.198871951219502</v>
      </c>
      <c r="R13" s="828">
        <f>P13+Q13</f>
        <v>968.89315766550521</v>
      </c>
      <c r="S13" s="355"/>
      <c r="T13" s="250"/>
      <c r="U13" s="250"/>
      <c r="V13" s="250"/>
      <c r="W13" s="250"/>
      <c r="X13" s="250"/>
      <c r="Y13" s="250"/>
      <c r="Z13" s="250"/>
      <c r="AA13" s="250"/>
      <c r="AB13" s="251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3"/>
      <c r="BE13" s="143"/>
      <c r="BF13" s="143"/>
      <c r="BG13" s="143"/>
      <c r="BH13" s="143"/>
      <c r="BI13" s="143"/>
      <c r="BJ13" s="143"/>
      <c r="BK13" s="143"/>
      <c r="BL13" s="143"/>
      <c r="BM13" s="143"/>
      <c r="BN13" s="143"/>
      <c r="BO13" s="143"/>
      <c r="BP13" s="143"/>
      <c r="BQ13" s="143"/>
      <c r="BR13" s="143"/>
      <c r="BS13" s="143"/>
      <c r="BT13" s="143"/>
      <c r="BU13" s="143"/>
      <c r="BV13" s="143"/>
      <c r="BW13" s="143"/>
      <c r="BX13" s="143"/>
      <c r="BY13" s="143"/>
      <c r="BZ13" s="143"/>
      <c r="CA13" s="143"/>
      <c r="CB13" s="143"/>
      <c r="CC13" s="143"/>
      <c r="CD13" s="143"/>
      <c r="CE13" s="143"/>
      <c r="CF13" s="143"/>
      <c r="CG13" s="143"/>
      <c r="CH13" s="143"/>
      <c r="CI13" s="143"/>
      <c r="CJ13" s="143"/>
      <c r="CK13" s="143"/>
      <c r="CL13" s="143"/>
      <c r="CM13" s="143"/>
      <c r="CN13" s="143"/>
      <c r="CO13" s="143"/>
      <c r="CP13" s="143"/>
      <c r="CQ13" s="143"/>
      <c r="CR13" s="143"/>
      <c r="CS13" s="143"/>
      <c r="CT13" s="143"/>
      <c r="CU13" s="143"/>
      <c r="CV13" s="143"/>
      <c r="CW13" s="143"/>
      <c r="CX13" s="143"/>
      <c r="CY13" s="143"/>
      <c r="CZ13" s="143"/>
      <c r="DA13" s="143"/>
      <c r="DB13" s="143"/>
      <c r="DC13" s="143"/>
      <c r="DD13" s="143"/>
      <c r="DE13" s="143"/>
      <c r="DF13" s="143"/>
      <c r="DG13" s="143"/>
      <c r="DH13" s="143"/>
      <c r="DI13" s="143"/>
      <c r="DJ13" s="143"/>
      <c r="DK13" s="143"/>
      <c r="DL13" s="143"/>
      <c r="DM13" s="143"/>
      <c r="DN13" s="143"/>
      <c r="DO13" s="143"/>
      <c r="DP13" s="143"/>
      <c r="DQ13" s="143"/>
      <c r="DR13" s="143"/>
      <c r="DS13" s="143"/>
      <c r="DT13" s="143"/>
      <c r="DU13" s="143"/>
      <c r="DV13" s="143"/>
      <c r="DW13" s="143"/>
      <c r="DX13" s="143"/>
      <c r="DY13" s="143"/>
      <c r="DZ13" s="143"/>
      <c r="EA13" s="143"/>
      <c r="EB13" s="143"/>
      <c r="EC13" s="143"/>
      <c r="ED13" s="143"/>
      <c r="EE13" s="143"/>
      <c r="EF13" s="143"/>
      <c r="EG13" s="143"/>
      <c r="EH13" s="143"/>
      <c r="EI13" s="143"/>
      <c r="EJ13" s="143"/>
      <c r="EK13" s="143"/>
      <c r="EL13" s="143"/>
      <c r="EM13" s="143"/>
      <c r="EN13" s="143"/>
      <c r="EO13" s="143"/>
      <c r="EP13" s="143"/>
      <c r="EQ13" s="143"/>
      <c r="ER13" s="143"/>
      <c r="ES13" s="143"/>
      <c r="ET13" s="143"/>
      <c r="EU13" s="143"/>
      <c r="EV13" s="143"/>
      <c r="EW13" s="143"/>
      <c r="EX13" s="143"/>
      <c r="EY13" s="143"/>
      <c r="EZ13" s="143"/>
      <c r="FA13" s="143"/>
      <c r="FB13" s="143"/>
      <c r="FC13" s="143"/>
      <c r="FD13" s="143"/>
      <c r="FE13" s="143"/>
      <c r="FF13" s="143"/>
      <c r="FG13" s="143"/>
      <c r="FH13" s="143"/>
      <c r="FI13" s="143"/>
      <c r="FJ13" s="143"/>
      <c r="FK13" s="143"/>
      <c r="FL13" s="143"/>
      <c r="FM13" s="143"/>
      <c r="FN13" s="143"/>
      <c r="FO13" s="143"/>
      <c r="FP13" s="143"/>
      <c r="FQ13" s="143"/>
      <c r="FR13" s="143"/>
      <c r="FS13" s="143"/>
      <c r="FT13" s="143"/>
      <c r="FU13" s="143"/>
      <c r="FV13" s="143"/>
      <c r="FW13" s="143"/>
      <c r="FX13" s="143"/>
      <c r="FY13" s="143"/>
      <c r="FZ13" s="143"/>
      <c r="GA13" s="143"/>
      <c r="GB13" s="143"/>
      <c r="GC13" s="143"/>
      <c r="GD13" s="143"/>
      <c r="GE13" s="143"/>
      <c r="GF13" s="143"/>
      <c r="GG13" s="143"/>
      <c r="GH13" s="143"/>
      <c r="GI13" s="143"/>
      <c r="GJ13" s="143"/>
      <c r="GK13" s="143"/>
      <c r="GL13" s="143"/>
      <c r="GM13" s="143"/>
      <c r="GN13" s="143"/>
      <c r="GO13" s="143"/>
      <c r="GP13" s="143"/>
      <c r="GQ13" s="143"/>
      <c r="GR13" s="143"/>
      <c r="GS13" s="143"/>
      <c r="GT13" s="143"/>
      <c r="GU13" s="143"/>
      <c r="GV13" s="143"/>
      <c r="GW13" s="143"/>
      <c r="GX13" s="143"/>
      <c r="GY13" s="143"/>
      <c r="GZ13" s="143"/>
      <c r="HA13" s="143"/>
      <c r="HB13" s="143"/>
      <c r="HC13" s="143"/>
      <c r="HD13" s="143"/>
      <c r="HE13" s="143"/>
      <c r="HF13" s="143"/>
      <c r="HG13" s="143"/>
      <c r="HH13" s="143"/>
      <c r="HI13" s="143"/>
      <c r="HJ13" s="143"/>
      <c r="HK13" s="143"/>
      <c r="HL13" s="143"/>
      <c r="HM13" s="143"/>
      <c r="HN13" s="143"/>
      <c r="HO13" s="143"/>
      <c r="HP13" s="143"/>
      <c r="HQ13" s="143"/>
      <c r="HR13" s="143"/>
      <c r="HS13" s="143"/>
      <c r="HT13" s="143"/>
      <c r="HU13" s="143"/>
      <c r="HV13" s="143"/>
      <c r="HW13" s="143"/>
      <c r="HX13" s="143"/>
      <c r="HY13" s="143"/>
      <c r="HZ13" s="143"/>
      <c r="IA13" s="143"/>
      <c r="IB13" s="143"/>
      <c r="IC13" s="143"/>
      <c r="ID13" s="143"/>
      <c r="IE13" s="143"/>
      <c r="IF13" s="143"/>
      <c r="IG13" s="143"/>
      <c r="IH13" s="143"/>
      <c r="II13" s="143"/>
      <c r="IJ13" s="143"/>
      <c r="IK13" s="143"/>
      <c r="IL13" s="143"/>
      <c r="IM13" s="143"/>
      <c r="IN13" s="143"/>
      <c r="IO13" s="143"/>
      <c r="IP13" s="143"/>
      <c r="IQ13" s="143"/>
      <c r="IR13" s="143"/>
      <c r="IS13" s="143"/>
      <c r="IT13" s="143"/>
      <c r="IU13" s="143"/>
      <c r="IV13" s="143"/>
      <c r="IW13" s="143"/>
      <c r="IX13" s="143"/>
      <c r="IY13" s="143"/>
      <c r="IZ13" s="143"/>
      <c r="JA13" s="143"/>
      <c r="JB13" s="143"/>
      <c r="JC13" s="143"/>
      <c r="JD13" s="143"/>
      <c r="JE13" s="143"/>
      <c r="JF13" s="143"/>
      <c r="JG13" s="143"/>
    </row>
    <row r="14" spans="1:267" ht="22.5" customHeight="1">
      <c r="A14" s="824">
        <v>2</v>
      </c>
      <c r="B14" s="824" t="str">
        <f>'Bảng CC - NV'!B12</f>
        <v>Nguyễn Minh Thành</v>
      </c>
      <c r="C14" s="829" t="s">
        <v>164</v>
      </c>
      <c r="D14" s="855" t="s">
        <v>94</v>
      </c>
      <c r="E14" s="825" t="s">
        <v>151</v>
      </c>
      <c r="F14" s="824">
        <v>1.2</v>
      </c>
      <c r="G14" s="857">
        <f>G16+G17</f>
        <v>228</v>
      </c>
      <c r="H14" s="826">
        <f>H16+H17</f>
        <v>230.93195999999995</v>
      </c>
      <c r="I14" s="774">
        <f>H14/G14*100%</f>
        <v>1.0128594736842103</v>
      </c>
      <c r="J14" s="824">
        <v>1</v>
      </c>
      <c r="K14" s="1345">
        <f>K17+K16</f>
        <v>177</v>
      </c>
      <c r="L14" s="1346">
        <f>L17+L16</f>
        <v>18.260999999999999</v>
      </c>
      <c r="M14" s="1344">
        <f>L14/K14</f>
        <v>0.10316949152542372</v>
      </c>
      <c r="N14" s="827">
        <v>360</v>
      </c>
      <c r="O14" s="730">
        <v>100</v>
      </c>
      <c r="P14" s="830">
        <f>300*I14*F14</f>
        <v>364.62941052631572</v>
      </c>
      <c r="Q14" s="830">
        <f>300*M14*J14</f>
        <v>30.950847457627116</v>
      </c>
      <c r="R14" s="828">
        <f>N14+P14+O14+Q14</f>
        <v>855.58025798394283</v>
      </c>
      <c r="S14" s="355"/>
      <c r="T14" s="250"/>
      <c r="U14" s="250"/>
      <c r="V14" s="250"/>
      <c r="W14" s="250"/>
      <c r="X14" s="250"/>
      <c r="Y14" s="250"/>
      <c r="Z14" s="250"/>
      <c r="AA14" s="250"/>
      <c r="AB14" s="251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  <c r="BF14" s="143"/>
      <c r="BG14" s="143"/>
      <c r="BH14" s="143"/>
      <c r="BI14" s="143"/>
      <c r="BJ14" s="143"/>
      <c r="BK14" s="143"/>
      <c r="BL14" s="143"/>
      <c r="BM14" s="143"/>
      <c r="BN14" s="143"/>
      <c r="BO14" s="143"/>
      <c r="BP14" s="143"/>
      <c r="BQ14" s="143"/>
      <c r="BR14" s="143"/>
      <c r="BS14" s="143"/>
      <c r="BT14" s="143"/>
      <c r="BU14" s="143"/>
      <c r="BV14" s="143"/>
      <c r="BW14" s="143"/>
      <c r="BX14" s="143"/>
      <c r="BY14" s="143"/>
      <c r="BZ14" s="143"/>
      <c r="CA14" s="143"/>
      <c r="CB14" s="143"/>
      <c r="CC14" s="143"/>
      <c r="CD14" s="143"/>
      <c r="CE14" s="143"/>
      <c r="CF14" s="143"/>
      <c r="CG14" s="143"/>
      <c r="CH14" s="143"/>
      <c r="CI14" s="143"/>
      <c r="CJ14" s="143"/>
      <c r="CK14" s="143"/>
      <c r="CL14" s="143"/>
      <c r="CM14" s="143"/>
      <c r="CN14" s="143"/>
      <c r="CO14" s="143"/>
      <c r="CP14" s="143"/>
      <c r="CQ14" s="143"/>
      <c r="CR14" s="143"/>
      <c r="CS14" s="143"/>
      <c r="CT14" s="143"/>
      <c r="CU14" s="143"/>
      <c r="CV14" s="143"/>
      <c r="CW14" s="143"/>
      <c r="CX14" s="143"/>
      <c r="CY14" s="143"/>
      <c r="CZ14" s="143"/>
      <c r="DA14" s="143"/>
      <c r="DB14" s="143"/>
      <c r="DC14" s="143"/>
      <c r="DD14" s="143"/>
      <c r="DE14" s="143"/>
      <c r="DF14" s="143"/>
      <c r="DG14" s="143"/>
      <c r="DH14" s="143"/>
      <c r="DI14" s="143"/>
      <c r="DJ14" s="143"/>
      <c r="DK14" s="143"/>
      <c r="DL14" s="143"/>
      <c r="DM14" s="143"/>
      <c r="DN14" s="143"/>
      <c r="DO14" s="143"/>
      <c r="DP14" s="143"/>
      <c r="DQ14" s="143"/>
      <c r="DR14" s="143"/>
      <c r="DS14" s="143"/>
      <c r="DT14" s="143"/>
      <c r="DU14" s="143"/>
      <c r="DV14" s="143"/>
      <c r="DW14" s="143"/>
      <c r="DX14" s="143"/>
      <c r="DY14" s="143"/>
      <c r="DZ14" s="143"/>
      <c r="EA14" s="143"/>
      <c r="EB14" s="143"/>
      <c r="EC14" s="143"/>
      <c r="ED14" s="143"/>
      <c r="EE14" s="143"/>
      <c r="EF14" s="143"/>
      <c r="EG14" s="143"/>
      <c r="EH14" s="143"/>
      <c r="EI14" s="143"/>
      <c r="EJ14" s="143"/>
      <c r="EK14" s="143"/>
      <c r="EL14" s="143"/>
      <c r="EM14" s="143"/>
      <c r="EN14" s="143"/>
      <c r="EO14" s="143"/>
      <c r="EP14" s="143"/>
      <c r="EQ14" s="143"/>
      <c r="ER14" s="143"/>
      <c r="ES14" s="143"/>
      <c r="ET14" s="143"/>
      <c r="EU14" s="143"/>
      <c r="EV14" s="143"/>
      <c r="EW14" s="143"/>
      <c r="EX14" s="143"/>
      <c r="EY14" s="143"/>
      <c r="EZ14" s="143"/>
      <c r="FA14" s="143"/>
      <c r="FB14" s="143"/>
      <c r="FC14" s="143"/>
      <c r="FD14" s="143"/>
      <c r="FE14" s="143"/>
      <c r="FF14" s="143"/>
      <c r="FG14" s="143"/>
      <c r="FH14" s="143"/>
      <c r="FI14" s="143"/>
      <c r="FJ14" s="143"/>
      <c r="FK14" s="143"/>
      <c r="FL14" s="143"/>
      <c r="FM14" s="143"/>
      <c r="FN14" s="143"/>
      <c r="FO14" s="143"/>
      <c r="FP14" s="143"/>
      <c r="FQ14" s="143"/>
      <c r="FR14" s="143"/>
      <c r="FS14" s="143"/>
      <c r="FT14" s="143"/>
      <c r="FU14" s="143"/>
      <c r="FV14" s="143"/>
      <c r="FW14" s="143"/>
      <c r="FX14" s="143"/>
      <c r="FY14" s="143"/>
      <c r="FZ14" s="143"/>
      <c r="GA14" s="143"/>
      <c r="GB14" s="143"/>
      <c r="GC14" s="143"/>
      <c r="GD14" s="143"/>
      <c r="GE14" s="143"/>
      <c r="GF14" s="143"/>
      <c r="GG14" s="143"/>
      <c r="GH14" s="143"/>
      <c r="GI14" s="143"/>
      <c r="GJ14" s="143"/>
      <c r="GK14" s="143"/>
      <c r="GL14" s="143"/>
      <c r="GM14" s="143"/>
      <c r="GN14" s="143"/>
      <c r="GO14" s="143"/>
      <c r="GP14" s="143"/>
      <c r="GQ14" s="143"/>
      <c r="GR14" s="143"/>
      <c r="GS14" s="143"/>
      <c r="GT14" s="143"/>
      <c r="GU14" s="143"/>
      <c r="GV14" s="143"/>
      <c r="GW14" s="143"/>
      <c r="GX14" s="143"/>
      <c r="GY14" s="143"/>
      <c r="GZ14" s="143"/>
      <c r="HA14" s="143"/>
      <c r="HB14" s="143"/>
      <c r="HC14" s="143"/>
      <c r="HD14" s="143"/>
      <c r="HE14" s="143"/>
      <c r="HF14" s="143"/>
      <c r="HG14" s="143"/>
      <c r="HH14" s="143"/>
      <c r="HI14" s="143"/>
      <c r="HJ14" s="143"/>
      <c r="HK14" s="143"/>
      <c r="HL14" s="143"/>
      <c r="HM14" s="143"/>
      <c r="HN14" s="143"/>
      <c r="HO14" s="143"/>
      <c r="HP14" s="143"/>
      <c r="HQ14" s="143"/>
      <c r="HR14" s="143"/>
      <c r="HS14" s="143"/>
      <c r="HT14" s="143"/>
      <c r="HU14" s="143"/>
      <c r="HV14" s="143"/>
      <c r="HW14" s="143"/>
      <c r="HX14" s="143"/>
      <c r="HY14" s="143"/>
      <c r="HZ14" s="143"/>
      <c r="IA14" s="143"/>
      <c r="IB14" s="143"/>
      <c r="IC14" s="143"/>
      <c r="ID14" s="143"/>
      <c r="IE14" s="143"/>
      <c r="IF14" s="143"/>
      <c r="IG14" s="143"/>
      <c r="IH14" s="143"/>
      <c r="II14" s="143"/>
      <c r="IJ14" s="143"/>
      <c r="IK14" s="143"/>
      <c r="IL14" s="143"/>
      <c r="IM14" s="143"/>
      <c r="IN14" s="143"/>
      <c r="IO14" s="143"/>
      <c r="IP14" s="143"/>
      <c r="IQ14" s="143"/>
      <c r="IR14" s="143"/>
      <c r="IS14" s="143"/>
      <c r="IT14" s="143"/>
      <c r="IU14" s="143"/>
      <c r="IV14" s="143"/>
      <c r="IW14" s="143"/>
      <c r="IX14" s="143"/>
      <c r="IY14" s="143"/>
      <c r="IZ14" s="143"/>
      <c r="JA14" s="143"/>
      <c r="JB14" s="143"/>
      <c r="JC14" s="143"/>
      <c r="JD14" s="143"/>
      <c r="JE14" s="143"/>
      <c r="JF14" s="143"/>
      <c r="JG14" s="143"/>
    </row>
    <row r="15" spans="1:267" ht="22.5" customHeight="1">
      <c r="A15" s="824">
        <v>3</v>
      </c>
      <c r="B15" s="829" t="str">
        <f>'Bảng CC - NV'!B13</f>
        <v>Trần Viết Hùng</v>
      </c>
      <c r="C15" s="829" t="s">
        <v>520</v>
      </c>
      <c r="D15" s="855" t="s">
        <v>94</v>
      </c>
      <c r="E15" s="825" t="s">
        <v>151</v>
      </c>
      <c r="F15" s="824"/>
      <c r="G15" s="856">
        <f>G14</f>
        <v>228</v>
      </c>
      <c r="H15" s="907">
        <f>H14</f>
        <v>230.93195999999995</v>
      </c>
      <c r="I15" s="774">
        <f t="shared" ref="I15" si="0">H15/G15*100%</f>
        <v>1.0128594736842103</v>
      </c>
      <c r="J15" s="824"/>
      <c r="K15" s="1345">
        <f>K14</f>
        <v>177</v>
      </c>
      <c r="L15" s="1346">
        <f>L14</f>
        <v>18.260999999999999</v>
      </c>
      <c r="M15" s="1344">
        <f t="shared" ref="M15:M23" si="1">L15/K15</f>
        <v>0.10316949152542372</v>
      </c>
      <c r="N15" s="825">
        <v>280</v>
      </c>
      <c r="O15" s="825"/>
      <c r="P15" s="830">
        <f>280*I15</f>
        <v>283.6006526315789</v>
      </c>
      <c r="Q15" s="830">
        <f>280*M15</f>
        <v>28.887457627118643</v>
      </c>
      <c r="R15" s="828">
        <f>N15+P15+O15+Q15</f>
        <v>592.48811025869759</v>
      </c>
      <c r="S15" s="355"/>
      <c r="T15" s="250"/>
      <c r="U15" s="250"/>
      <c r="V15" s="250"/>
      <c r="W15" s="250"/>
      <c r="X15" s="250"/>
      <c r="Y15" s="250"/>
      <c r="Z15" s="250"/>
      <c r="AA15" s="250"/>
      <c r="AB15" s="251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  <c r="BT15" s="143"/>
      <c r="BU15" s="143"/>
      <c r="BV15" s="143"/>
      <c r="BW15" s="143"/>
      <c r="BX15" s="143"/>
      <c r="BY15" s="143"/>
      <c r="BZ15" s="143"/>
      <c r="CA15" s="143"/>
      <c r="CB15" s="143"/>
      <c r="CC15" s="143"/>
      <c r="CD15" s="143"/>
      <c r="CE15" s="143"/>
      <c r="CF15" s="143"/>
      <c r="CG15" s="143"/>
      <c r="CH15" s="143"/>
      <c r="CI15" s="143"/>
      <c r="CJ15" s="143"/>
      <c r="CK15" s="143"/>
      <c r="CL15" s="143"/>
      <c r="CM15" s="143"/>
      <c r="CN15" s="143"/>
      <c r="CO15" s="143"/>
      <c r="CP15" s="143"/>
      <c r="CQ15" s="143"/>
      <c r="CR15" s="143"/>
      <c r="CS15" s="143"/>
      <c r="CT15" s="143"/>
      <c r="CU15" s="143"/>
      <c r="CV15" s="143"/>
      <c r="CW15" s="143"/>
      <c r="CX15" s="143"/>
      <c r="CY15" s="143"/>
      <c r="CZ15" s="143"/>
      <c r="DA15" s="143"/>
      <c r="DB15" s="143"/>
      <c r="DC15" s="143"/>
      <c r="DD15" s="143"/>
      <c r="DE15" s="143"/>
      <c r="DF15" s="143"/>
      <c r="DG15" s="143"/>
      <c r="DH15" s="143"/>
      <c r="DI15" s="143"/>
      <c r="DJ15" s="143"/>
      <c r="DK15" s="143"/>
      <c r="DL15" s="143"/>
      <c r="DM15" s="143"/>
      <c r="DN15" s="143"/>
      <c r="DO15" s="143"/>
      <c r="DP15" s="143"/>
      <c r="DQ15" s="143"/>
      <c r="DR15" s="143"/>
      <c r="DS15" s="143"/>
      <c r="DT15" s="143"/>
      <c r="DU15" s="143"/>
      <c r="DV15" s="143"/>
      <c r="DW15" s="143"/>
      <c r="DX15" s="143"/>
      <c r="DY15" s="143"/>
      <c r="DZ15" s="143"/>
      <c r="EA15" s="143"/>
      <c r="EB15" s="143"/>
      <c r="EC15" s="143"/>
      <c r="ED15" s="143"/>
      <c r="EE15" s="143"/>
      <c r="EF15" s="143"/>
      <c r="EG15" s="143"/>
      <c r="EH15" s="143"/>
      <c r="EI15" s="143"/>
      <c r="EJ15" s="143"/>
      <c r="EK15" s="143"/>
      <c r="EL15" s="143"/>
      <c r="EM15" s="143"/>
      <c r="EN15" s="143"/>
      <c r="EO15" s="143"/>
      <c r="EP15" s="143"/>
      <c r="EQ15" s="143"/>
      <c r="ER15" s="143"/>
      <c r="ES15" s="143"/>
      <c r="ET15" s="143"/>
      <c r="EU15" s="143"/>
      <c r="EV15" s="143"/>
      <c r="EW15" s="143"/>
      <c r="EX15" s="143"/>
      <c r="EY15" s="143"/>
      <c r="EZ15" s="143"/>
      <c r="FA15" s="143"/>
      <c r="FB15" s="143"/>
      <c r="FC15" s="143"/>
      <c r="FD15" s="143"/>
      <c r="FE15" s="143"/>
      <c r="FF15" s="143"/>
      <c r="FG15" s="143"/>
      <c r="FH15" s="143"/>
      <c r="FI15" s="143"/>
      <c r="FJ15" s="143"/>
      <c r="FK15" s="143"/>
      <c r="FL15" s="143"/>
      <c r="FM15" s="143"/>
      <c r="FN15" s="143"/>
      <c r="FO15" s="143"/>
      <c r="FP15" s="143"/>
      <c r="FQ15" s="143"/>
      <c r="FR15" s="143"/>
      <c r="FS15" s="143"/>
      <c r="FT15" s="143"/>
      <c r="FU15" s="143"/>
      <c r="FV15" s="143"/>
      <c r="FW15" s="143"/>
      <c r="FX15" s="143"/>
      <c r="FY15" s="143"/>
      <c r="FZ15" s="143"/>
      <c r="GA15" s="143"/>
      <c r="GB15" s="143"/>
      <c r="GC15" s="143"/>
      <c r="GD15" s="143"/>
      <c r="GE15" s="143"/>
      <c r="GF15" s="143"/>
      <c r="GG15" s="143"/>
      <c r="GH15" s="143"/>
      <c r="GI15" s="143"/>
      <c r="GJ15" s="143"/>
      <c r="GK15" s="143"/>
      <c r="GL15" s="143"/>
      <c r="GM15" s="143"/>
      <c r="GN15" s="143"/>
      <c r="GO15" s="143"/>
      <c r="GP15" s="143"/>
      <c r="GQ15" s="143"/>
      <c r="GR15" s="143"/>
      <c r="GS15" s="143"/>
      <c r="GT15" s="143"/>
      <c r="GU15" s="143"/>
      <c r="GV15" s="143"/>
      <c r="GW15" s="143"/>
      <c r="GX15" s="143"/>
      <c r="GY15" s="143"/>
      <c r="GZ15" s="143"/>
      <c r="HA15" s="143"/>
      <c r="HB15" s="143"/>
      <c r="HC15" s="143"/>
      <c r="HD15" s="143"/>
      <c r="HE15" s="143"/>
      <c r="HF15" s="143"/>
      <c r="HG15" s="143"/>
      <c r="HH15" s="143"/>
      <c r="HI15" s="143"/>
      <c r="HJ15" s="143"/>
      <c r="HK15" s="143"/>
      <c r="HL15" s="143"/>
      <c r="HM15" s="143"/>
      <c r="HN15" s="143"/>
      <c r="HO15" s="143"/>
      <c r="HP15" s="143"/>
      <c r="HQ15" s="143"/>
      <c r="HR15" s="143"/>
      <c r="HS15" s="143"/>
      <c r="HT15" s="143"/>
      <c r="HU15" s="143"/>
      <c r="HV15" s="143"/>
      <c r="HW15" s="143"/>
      <c r="HX15" s="143"/>
      <c r="HY15" s="143"/>
      <c r="HZ15" s="143"/>
      <c r="IA15" s="143"/>
      <c r="IB15" s="143"/>
      <c r="IC15" s="143"/>
      <c r="ID15" s="143"/>
      <c r="IE15" s="143"/>
      <c r="IF15" s="143"/>
      <c r="IG15" s="143"/>
      <c r="IH15" s="143"/>
      <c r="II15" s="143"/>
      <c r="IJ15" s="143"/>
      <c r="IK15" s="143"/>
      <c r="IL15" s="143"/>
      <c r="IM15" s="143"/>
      <c r="IN15" s="143"/>
      <c r="IO15" s="143"/>
      <c r="IP15" s="143"/>
      <c r="IQ15" s="143"/>
      <c r="IR15" s="143"/>
      <c r="IS15" s="143"/>
      <c r="IT15" s="143"/>
      <c r="IU15" s="143"/>
      <c r="IV15" s="143"/>
      <c r="IW15" s="143"/>
      <c r="IX15" s="143"/>
      <c r="IY15" s="143"/>
      <c r="IZ15" s="143"/>
      <c r="JA15" s="143"/>
      <c r="JB15" s="143"/>
      <c r="JC15" s="143"/>
      <c r="JD15" s="143"/>
      <c r="JE15" s="143"/>
      <c r="JF15" s="143"/>
      <c r="JG15" s="143"/>
    </row>
    <row r="16" spans="1:267" ht="22.5" customHeight="1">
      <c r="A16" s="824">
        <v>4</v>
      </c>
      <c r="B16" s="829" t="s">
        <v>102</v>
      </c>
      <c r="C16" s="829" t="s">
        <v>193</v>
      </c>
      <c r="D16" s="825" t="s">
        <v>498</v>
      </c>
      <c r="E16" s="825" t="s">
        <v>151</v>
      </c>
      <c r="F16" s="824">
        <v>1.2</v>
      </c>
      <c r="G16" s="858">
        <v>123</v>
      </c>
      <c r="H16" s="907">
        <f>'Trạm 1'!J100/1000</f>
        <v>129.30120099999996</v>
      </c>
      <c r="I16" s="774">
        <f>H16/G16*100%</f>
        <v>1.051229276422764</v>
      </c>
      <c r="J16" s="824">
        <v>1</v>
      </c>
      <c r="K16" s="359">
        <v>95</v>
      </c>
      <c r="L16" s="830">
        <v>10.18</v>
      </c>
      <c r="M16" s="1344">
        <f t="shared" si="1"/>
        <v>0.1071578947368421</v>
      </c>
      <c r="N16" s="825">
        <v>310</v>
      </c>
      <c r="O16" s="825"/>
      <c r="P16" s="830">
        <f>280*I16*F16</f>
        <v>353.21303687804868</v>
      </c>
      <c r="Q16" s="830">
        <f>280*M16*J16</f>
        <v>30.004210526315788</v>
      </c>
      <c r="R16" s="828">
        <f t="shared" ref="R16:R20" si="2">N16+P16+O16+Q16</f>
        <v>693.21724740436446</v>
      </c>
      <c r="S16" s="358"/>
      <c r="T16" s="271" t="e">
        <f>#REF!/#REF!</f>
        <v>#REF!</v>
      </c>
      <c r="U16" s="272" t="e">
        <f>P16*T16</f>
        <v>#REF!</v>
      </c>
      <c r="V16" s="270" t="e">
        <f>N16+U16</f>
        <v>#REF!</v>
      </c>
    </row>
    <row r="17" spans="1:267" ht="22.5" customHeight="1">
      <c r="A17" s="824">
        <v>5</v>
      </c>
      <c r="B17" s="829" t="s">
        <v>42</v>
      </c>
      <c r="C17" s="829" t="s">
        <v>193</v>
      </c>
      <c r="D17" s="825" t="s">
        <v>499</v>
      </c>
      <c r="E17" s="825" t="s">
        <v>151</v>
      </c>
      <c r="F17" s="824">
        <v>1.2</v>
      </c>
      <c r="G17" s="858">
        <v>105</v>
      </c>
      <c r="H17" s="907">
        <f>'Trạm 2'!J83/1000</f>
        <v>101.630759</v>
      </c>
      <c r="I17" s="774">
        <f>H17/G17*100%</f>
        <v>0.96791199047619048</v>
      </c>
      <c r="J17" s="824">
        <v>1.2</v>
      </c>
      <c r="K17" s="359">
        <v>82</v>
      </c>
      <c r="L17" s="830">
        <f>8081/1000</f>
        <v>8.0809999999999995</v>
      </c>
      <c r="M17" s="1344">
        <f t="shared" si="1"/>
        <v>9.8548780487804868E-2</v>
      </c>
      <c r="N17" s="825">
        <v>310</v>
      </c>
      <c r="O17" s="825"/>
      <c r="P17" s="830">
        <f>280*I17*F17</f>
        <v>325.21842879999997</v>
      </c>
      <c r="Q17" s="830">
        <f>280*M17*J17</f>
        <v>33.112390243902432</v>
      </c>
      <c r="R17" s="828">
        <f t="shared" si="2"/>
        <v>668.33081904390235</v>
      </c>
      <c r="S17" s="358"/>
      <c r="T17" s="271" t="e">
        <f>#REF!/#REF!</f>
        <v>#REF!</v>
      </c>
      <c r="U17" s="272" t="e">
        <f>P17*T17</f>
        <v>#REF!</v>
      </c>
      <c r="V17" s="270" t="e">
        <f>N17+U17</f>
        <v>#REF!</v>
      </c>
    </row>
    <row r="18" spans="1:267" ht="22.5" customHeight="1">
      <c r="A18" s="824">
        <v>6</v>
      </c>
      <c r="B18" s="829" t="str">
        <f>'Bảng CC - NV'!B14</f>
        <v>Trần Thị Kim Ngân</v>
      </c>
      <c r="C18" s="829" t="s">
        <v>511</v>
      </c>
      <c r="D18" s="825" t="s">
        <v>499</v>
      </c>
      <c r="E18" s="825" t="s">
        <v>151</v>
      </c>
      <c r="F18" s="824">
        <f>F17</f>
        <v>1.2</v>
      </c>
      <c r="G18" s="856">
        <f>G17</f>
        <v>105</v>
      </c>
      <c r="H18" s="907">
        <f>H17</f>
        <v>101.630759</v>
      </c>
      <c r="I18" s="774">
        <f t="shared" ref="I18:I20" si="3">H18/G18*100%</f>
        <v>0.96791199047619048</v>
      </c>
      <c r="J18" s="824">
        <f>J17</f>
        <v>1.2</v>
      </c>
      <c r="K18" s="1345">
        <f>K17</f>
        <v>82</v>
      </c>
      <c r="L18" s="1346">
        <f>L17</f>
        <v>8.0809999999999995</v>
      </c>
      <c r="M18" s="1344">
        <f t="shared" si="1"/>
        <v>9.8548780487804868E-2</v>
      </c>
      <c r="N18" s="825">
        <v>230</v>
      </c>
      <c r="O18" s="825"/>
      <c r="P18" s="830">
        <f>280*I18*F18</f>
        <v>325.21842879999997</v>
      </c>
      <c r="Q18" s="830">
        <f>280*M18*J18</f>
        <v>33.112390243902432</v>
      </c>
      <c r="R18" s="828">
        <f t="shared" si="2"/>
        <v>588.33081904390235</v>
      </c>
      <c r="S18" s="358"/>
      <c r="T18" s="271"/>
      <c r="U18" s="272" t="e">
        <f>R18-#REF!</f>
        <v>#REF!</v>
      </c>
      <c r="V18" s="270"/>
    </row>
    <row r="19" spans="1:267" ht="22.5" customHeight="1">
      <c r="A19" s="824">
        <v>7</v>
      </c>
      <c r="B19" s="829" t="str">
        <f>'Bảng CC - NV'!B16</f>
        <v>Lê Minh Trí</v>
      </c>
      <c r="C19" s="829" t="s">
        <v>110</v>
      </c>
      <c r="D19" s="825" t="s">
        <v>498</v>
      </c>
      <c r="E19" s="825" t="s">
        <v>151</v>
      </c>
      <c r="F19" s="351"/>
      <c r="G19" s="856">
        <f>G16</f>
        <v>123</v>
      </c>
      <c r="H19" s="907">
        <f>H16</f>
        <v>129.30120099999996</v>
      </c>
      <c r="I19" s="774">
        <f>H19/G19*100%</f>
        <v>1.051229276422764</v>
      </c>
      <c r="J19" s="351"/>
      <c r="K19" s="1345">
        <f>K16</f>
        <v>95</v>
      </c>
      <c r="L19" s="1346">
        <f>L16</f>
        <v>10.18</v>
      </c>
      <c r="M19" s="1344">
        <f t="shared" si="1"/>
        <v>0.1071578947368421</v>
      </c>
      <c r="N19" s="825">
        <v>210</v>
      </c>
      <c r="O19" s="825"/>
      <c r="P19" s="830">
        <f>250*I19</f>
        <v>262.80731910569102</v>
      </c>
      <c r="Q19" s="830">
        <f>250*M19</f>
        <v>26.789473684210527</v>
      </c>
      <c r="R19" s="828">
        <f t="shared" si="2"/>
        <v>499.59679278990154</v>
      </c>
      <c r="S19" s="358"/>
      <c r="T19" s="271"/>
      <c r="U19" s="272"/>
      <c r="V19" s="270"/>
    </row>
    <row r="20" spans="1:267" ht="22.5" customHeight="1">
      <c r="A20" s="824">
        <v>8</v>
      </c>
      <c r="B20" s="829" t="str">
        <f>'Bảng CC - NV'!B17</f>
        <v>Nguyễn Văn Cương</v>
      </c>
      <c r="C20" s="829" t="s">
        <v>110</v>
      </c>
      <c r="D20" s="825" t="s">
        <v>499</v>
      </c>
      <c r="E20" s="825" t="s">
        <v>151</v>
      </c>
      <c r="F20" s="351"/>
      <c r="G20" s="856">
        <f>G17</f>
        <v>105</v>
      </c>
      <c r="H20" s="907">
        <f>H17</f>
        <v>101.630759</v>
      </c>
      <c r="I20" s="774">
        <f t="shared" si="3"/>
        <v>0.96791199047619048</v>
      </c>
      <c r="J20" s="351"/>
      <c r="K20" s="1345">
        <f>K17</f>
        <v>82</v>
      </c>
      <c r="L20" s="1346">
        <f>L17</f>
        <v>8.0809999999999995</v>
      </c>
      <c r="M20" s="1344">
        <f t="shared" si="1"/>
        <v>9.8548780487804868E-2</v>
      </c>
      <c r="N20" s="825">
        <v>210</v>
      </c>
      <c r="O20" s="825"/>
      <c r="P20" s="830">
        <f>250*I20</f>
        <v>241.97799761904761</v>
      </c>
      <c r="Q20" s="830">
        <f>250*M20</f>
        <v>24.637195121951216</v>
      </c>
      <c r="R20" s="828">
        <f t="shared" si="2"/>
        <v>476.61519274099885</v>
      </c>
      <c r="S20" s="358"/>
      <c r="T20" s="271"/>
      <c r="U20" s="1175">
        <v>18.260999999999999</v>
      </c>
      <c r="V20" s="1176">
        <f>U20+U21</f>
        <v>33.628999999999998</v>
      </c>
    </row>
    <row r="21" spans="1:267" ht="28.5" customHeight="1">
      <c r="A21" s="798" t="s">
        <v>261</v>
      </c>
      <c r="B21" s="798"/>
      <c r="C21" s="798"/>
      <c r="D21" s="825"/>
      <c r="E21" s="825"/>
      <c r="F21" s="825"/>
      <c r="G21" s="524"/>
      <c r="H21" s="530"/>
      <c r="I21" s="859"/>
      <c r="J21" s="825"/>
      <c r="K21" s="859"/>
      <c r="L21" s="859"/>
      <c r="M21" s="859"/>
      <c r="N21" s="524">
        <f t="shared" ref="N21" si="4">SUM(N22:N23)</f>
        <v>6000000</v>
      </c>
      <c r="O21" s="524"/>
      <c r="P21" s="524">
        <f>SUM(P22:P23)</f>
        <v>7268908.5608362351</v>
      </c>
      <c r="Q21" s="524">
        <f>SUM(Q22:Q23)</f>
        <v>676249.29396662372</v>
      </c>
      <c r="R21" s="524">
        <f>SUM(R22:R23)</f>
        <v>13945158</v>
      </c>
      <c r="S21" s="358"/>
      <c r="T21" s="235"/>
      <c r="U21" s="229">
        <v>15.368</v>
      </c>
    </row>
    <row r="22" spans="1:267" ht="26.25" customHeight="1">
      <c r="A22" s="824">
        <v>1</v>
      </c>
      <c r="B22" s="825" t="s">
        <v>2</v>
      </c>
      <c r="C22" s="829" t="s">
        <v>511</v>
      </c>
      <c r="D22" s="825" t="s">
        <v>498</v>
      </c>
      <c r="E22" s="825" t="s">
        <v>87</v>
      </c>
      <c r="F22" s="824">
        <f t="shared" ref="F22:G23" si="5">F16</f>
        <v>1.2</v>
      </c>
      <c r="G22" s="357">
        <f t="shared" si="5"/>
        <v>123</v>
      </c>
      <c r="H22" s="908">
        <f>H16</f>
        <v>129.30120099999996</v>
      </c>
      <c r="I22" s="774">
        <f>H22/G22*100%</f>
        <v>1.051229276422764</v>
      </c>
      <c r="J22" s="824">
        <f t="shared" ref="J22:J23" si="6">J16</f>
        <v>1</v>
      </c>
      <c r="K22" s="1345">
        <f>K16</f>
        <v>95</v>
      </c>
      <c r="L22" s="1346">
        <f>L16</f>
        <v>10.18</v>
      </c>
      <c r="M22" s="1344">
        <f t="shared" si="1"/>
        <v>0.1071578947368421</v>
      </c>
      <c r="N22" s="831">
        <v>3000000</v>
      </c>
      <c r="O22" s="831"/>
      <c r="P22" s="832">
        <f>3000000*I22*F22</f>
        <v>3784425.3951219502</v>
      </c>
      <c r="Q22" s="832">
        <f>3000000*M22*J22</f>
        <v>321473.68421052629</v>
      </c>
      <c r="R22" s="357">
        <f>ROUND((N22+P22+Q22),0)</f>
        <v>7105899</v>
      </c>
      <c r="S22" s="358"/>
      <c r="T22" s="271" t="e">
        <f>#REF!/#REF!</f>
        <v>#REF!</v>
      </c>
      <c r="U22" s="273" t="e">
        <f>P22*T22</f>
        <v>#REF!</v>
      </c>
      <c r="V22" s="274" t="e">
        <f>N22+U22</f>
        <v>#REF!</v>
      </c>
    </row>
    <row r="23" spans="1:267" ht="26.25" customHeight="1">
      <c r="A23" s="824">
        <v>2</v>
      </c>
      <c r="B23" s="829" t="s">
        <v>133</v>
      </c>
      <c r="C23" s="829" t="s">
        <v>511</v>
      </c>
      <c r="D23" s="825" t="s">
        <v>499</v>
      </c>
      <c r="E23" s="825" t="s">
        <v>87</v>
      </c>
      <c r="F23" s="824">
        <f t="shared" si="5"/>
        <v>1.2</v>
      </c>
      <c r="G23" s="357">
        <f t="shared" si="5"/>
        <v>105</v>
      </c>
      <c r="H23" s="908">
        <f>H17</f>
        <v>101.630759</v>
      </c>
      <c r="I23" s="774">
        <f>H23/G23*100%</f>
        <v>0.96791199047619048</v>
      </c>
      <c r="J23" s="824">
        <f t="shared" si="6"/>
        <v>1.2</v>
      </c>
      <c r="K23" s="1345">
        <f>K17</f>
        <v>82</v>
      </c>
      <c r="L23" s="1346">
        <f>L17</f>
        <v>8.0809999999999995</v>
      </c>
      <c r="M23" s="1344">
        <f t="shared" si="1"/>
        <v>9.8548780487804868E-2</v>
      </c>
      <c r="N23" s="831">
        <v>3000000</v>
      </c>
      <c r="O23" s="831"/>
      <c r="P23" s="832">
        <f>3000000*I23*F23</f>
        <v>3484483.1657142853</v>
      </c>
      <c r="Q23" s="832">
        <f>3000000*M23*J23</f>
        <v>354775.60975609749</v>
      </c>
      <c r="R23" s="357">
        <f>ROUND((N23+P23+Q23),0)</f>
        <v>6839259</v>
      </c>
      <c r="S23" s="359"/>
      <c r="T23" s="271" t="e">
        <f>#REF!/#REF!</f>
        <v>#REF!</v>
      </c>
      <c r="U23" s="273" t="e">
        <f>P23*T23</f>
        <v>#REF!</v>
      </c>
      <c r="V23" s="274" t="e">
        <f>N23+U23</f>
        <v>#REF!</v>
      </c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1"/>
      <c r="BH23" s="131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  <c r="BV23" s="131"/>
      <c r="BW23" s="131"/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1"/>
      <c r="CW23" s="131"/>
      <c r="CX23" s="131"/>
      <c r="CY23" s="131"/>
      <c r="CZ23" s="131"/>
      <c r="DA23" s="131"/>
      <c r="DB23" s="131"/>
      <c r="DC23" s="131"/>
      <c r="DD23" s="131"/>
      <c r="DE23" s="131"/>
      <c r="DF23" s="131"/>
      <c r="DG23" s="131"/>
      <c r="DH23" s="131"/>
      <c r="DI23" s="131"/>
      <c r="DJ23" s="131"/>
      <c r="DK23" s="131"/>
      <c r="DL23" s="131"/>
      <c r="DM23" s="131"/>
      <c r="DN23" s="131"/>
      <c r="DO23" s="131"/>
      <c r="DP23" s="131"/>
      <c r="DQ23" s="131"/>
      <c r="DR23" s="131"/>
      <c r="DS23" s="131"/>
      <c r="DT23" s="131"/>
      <c r="DU23" s="131"/>
      <c r="DV23" s="131"/>
      <c r="DW23" s="131"/>
      <c r="DX23" s="131"/>
      <c r="DY23" s="131"/>
      <c r="DZ23" s="131"/>
      <c r="EA23" s="131"/>
      <c r="EB23" s="131"/>
      <c r="EC23" s="131"/>
      <c r="ED23" s="131"/>
      <c r="EE23" s="131"/>
      <c r="EF23" s="131"/>
      <c r="EG23" s="131"/>
      <c r="EH23" s="131"/>
      <c r="EI23" s="131"/>
      <c r="EJ23" s="131"/>
      <c r="EK23" s="131"/>
      <c r="EL23" s="131"/>
      <c r="EM23" s="131"/>
      <c r="EN23" s="131"/>
      <c r="EO23" s="131"/>
      <c r="EP23" s="131"/>
      <c r="EQ23" s="131"/>
      <c r="ER23" s="131"/>
      <c r="ES23" s="131"/>
      <c r="ET23" s="131"/>
      <c r="EU23" s="131"/>
      <c r="EV23" s="131"/>
      <c r="EW23" s="131"/>
      <c r="EX23" s="131"/>
      <c r="EY23" s="131"/>
      <c r="EZ23" s="131"/>
      <c r="FA23" s="131"/>
      <c r="FB23" s="131"/>
      <c r="FC23" s="131"/>
      <c r="FD23" s="131"/>
      <c r="FE23" s="131"/>
      <c r="FF23" s="131"/>
      <c r="FG23" s="131"/>
      <c r="FH23" s="131"/>
      <c r="FI23" s="131"/>
      <c r="FJ23" s="131"/>
      <c r="FK23" s="131"/>
      <c r="FL23" s="131"/>
      <c r="FM23" s="131"/>
      <c r="FN23" s="131"/>
      <c r="FO23" s="131"/>
      <c r="FP23" s="131"/>
      <c r="FQ23" s="131"/>
      <c r="FR23" s="131"/>
      <c r="FS23" s="131"/>
      <c r="FT23" s="131"/>
      <c r="FU23" s="131"/>
      <c r="FV23" s="131"/>
      <c r="FW23" s="131"/>
      <c r="FX23" s="131"/>
      <c r="FY23" s="131"/>
      <c r="FZ23" s="131"/>
      <c r="GA23" s="131"/>
      <c r="GB23" s="131"/>
      <c r="GC23" s="131"/>
      <c r="GD23" s="131"/>
      <c r="GE23" s="131"/>
      <c r="GF23" s="131"/>
      <c r="GG23" s="131"/>
      <c r="GH23" s="131"/>
      <c r="GI23" s="131"/>
      <c r="GJ23" s="131"/>
      <c r="GK23" s="131"/>
      <c r="GL23" s="131"/>
      <c r="GM23" s="131"/>
      <c r="GN23" s="131"/>
      <c r="GO23" s="131"/>
      <c r="GP23" s="131"/>
      <c r="GQ23" s="131"/>
      <c r="GR23" s="131"/>
      <c r="GS23" s="131"/>
      <c r="GT23" s="131"/>
      <c r="GU23" s="131"/>
      <c r="GV23" s="131"/>
      <c r="GW23" s="131"/>
      <c r="GX23" s="131"/>
      <c r="GY23" s="131"/>
      <c r="GZ23" s="131"/>
      <c r="HA23" s="131"/>
      <c r="HB23" s="131"/>
      <c r="HC23" s="131"/>
      <c r="HD23" s="131"/>
      <c r="HE23" s="131"/>
      <c r="HF23" s="131"/>
      <c r="HG23" s="131"/>
      <c r="HH23" s="131"/>
      <c r="HI23" s="131"/>
      <c r="HJ23" s="131"/>
      <c r="HK23" s="131"/>
      <c r="HL23" s="131"/>
      <c r="HM23" s="131"/>
      <c r="HN23" s="131"/>
      <c r="HO23" s="131"/>
      <c r="HP23" s="131"/>
      <c r="HQ23" s="131"/>
      <c r="HR23" s="131"/>
      <c r="HS23" s="131"/>
      <c r="HT23" s="131"/>
      <c r="HU23" s="131"/>
      <c r="HV23" s="131"/>
      <c r="HW23" s="131"/>
      <c r="HX23" s="131"/>
      <c r="HY23" s="131"/>
      <c r="HZ23" s="131"/>
      <c r="IA23" s="131"/>
      <c r="IB23" s="131"/>
      <c r="IC23" s="131"/>
      <c r="ID23" s="131"/>
      <c r="IE23" s="131"/>
      <c r="IF23" s="131"/>
      <c r="IG23" s="131"/>
      <c r="IH23" s="131"/>
      <c r="II23" s="131"/>
      <c r="IJ23" s="131"/>
      <c r="IK23" s="131"/>
      <c r="IL23" s="131"/>
      <c r="IM23" s="131"/>
      <c r="IN23" s="131"/>
      <c r="IO23" s="131"/>
      <c r="IP23" s="131"/>
      <c r="IQ23" s="131"/>
      <c r="IR23" s="131"/>
      <c r="IS23" s="131"/>
      <c r="IT23" s="131"/>
      <c r="IU23" s="131"/>
      <c r="IV23" s="131"/>
      <c r="IW23" s="131"/>
      <c r="IX23" s="131"/>
      <c r="IY23" s="131"/>
      <c r="IZ23" s="131"/>
      <c r="JA23" s="131"/>
      <c r="JB23" s="131"/>
      <c r="JC23" s="131"/>
      <c r="JD23" s="131"/>
      <c r="JE23" s="131"/>
      <c r="JF23" s="131"/>
      <c r="JG23" s="131"/>
    </row>
    <row r="24" spans="1:267" ht="29.25" customHeight="1">
      <c r="A24" s="349"/>
      <c r="B24" s="349"/>
      <c r="C24" s="349"/>
      <c r="D24" s="1543" t="s">
        <v>815</v>
      </c>
      <c r="E24" s="1543"/>
      <c r="F24" s="1543"/>
      <c r="G24" s="1543"/>
      <c r="H24" s="1543"/>
      <c r="I24" s="1543"/>
      <c r="J24" s="1543"/>
      <c r="K24" s="1543"/>
      <c r="L24" s="1543"/>
      <c r="M24" s="1543"/>
      <c r="N24" s="1543"/>
      <c r="O24" s="1543"/>
      <c r="P24" s="1543"/>
      <c r="Q24" s="1543"/>
      <c r="R24" s="1543"/>
      <c r="S24" s="1543"/>
      <c r="T24" s="252"/>
      <c r="U24" s="130"/>
      <c r="V24" s="257"/>
      <c r="W24" s="130"/>
      <c r="X24" s="130"/>
      <c r="Y24" s="130"/>
      <c r="Z24" s="253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  <c r="CK24" s="130"/>
      <c r="CL24" s="130"/>
      <c r="CM24" s="130"/>
      <c r="CN24" s="130"/>
      <c r="CO24" s="130"/>
      <c r="CP24" s="130"/>
      <c r="CQ24" s="130"/>
      <c r="CR24" s="130"/>
      <c r="CS24" s="130"/>
      <c r="CT24" s="130"/>
      <c r="CU24" s="130"/>
      <c r="CV24" s="130"/>
      <c r="CW24" s="130"/>
      <c r="CX24" s="130"/>
      <c r="CY24" s="130"/>
      <c r="CZ24" s="130"/>
      <c r="DA24" s="130"/>
      <c r="DB24" s="130"/>
      <c r="DC24" s="130"/>
      <c r="DD24" s="130"/>
      <c r="DE24" s="130"/>
      <c r="DF24" s="130"/>
      <c r="DG24" s="130"/>
      <c r="DH24" s="130"/>
      <c r="DI24" s="130"/>
      <c r="DJ24" s="130"/>
      <c r="DK24" s="130"/>
      <c r="DL24" s="130"/>
      <c r="DM24" s="130"/>
      <c r="DN24" s="130"/>
      <c r="DO24" s="130"/>
      <c r="DP24" s="130"/>
      <c r="DQ24" s="130"/>
      <c r="DR24" s="130"/>
      <c r="DS24" s="130"/>
      <c r="DT24" s="130"/>
      <c r="DU24" s="130"/>
      <c r="DV24" s="130"/>
      <c r="DW24" s="130"/>
      <c r="DX24" s="130"/>
      <c r="DY24" s="130"/>
      <c r="DZ24" s="130"/>
      <c r="EA24" s="130"/>
      <c r="EB24" s="130"/>
      <c r="EC24" s="130"/>
      <c r="ED24" s="130"/>
      <c r="EE24" s="130"/>
      <c r="EF24" s="130"/>
      <c r="EG24" s="130"/>
      <c r="EH24" s="130"/>
      <c r="EI24" s="130"/>
      <c r="EJ24" s="130"/>
      <c r="EK24" s="130"/>
      <c r="EL24" s="130"/>
      <c r="EM24" s="130"/>
      <c r="EN24" s="130"/>
      <c r="EO24" s="130"/>
      <c r="EP24" s="130"/>
      <c r="EQ24" s="130"/>
      <c r="ER24" s="130"/>
      <c r="ES24" s="130"/>
      <c r="ET24" s="130"/>
      <c r="EU24" s="130"/>
      <c r="EV24" s="130"/>
      <c r="EW24" s="130"/>
      <c r="EX24" s="130"/>
      <c r="EY24" s="130"/>
      <c r="EZ24" s="130"/>
      <c r="FA24" s="130"/>
      <c r="FB24" s="130"/>
      <c r="FC24" s="130"/>
      <c r="FD24" s="130"/>
      <c r="FE24" s="130"/>
      <c r="FF24" s="130"/>
      <c r="FG24" s="130"/>
      <c r="FH24" s="130"/>
      <c r="FI24" s="130"/>
      <c r="FJ24" s="130"/>
      <c r="FK24" s="130"/>
      <c r="FL24" s="130"/>
      <c r="FM24" s="130"/>
      <c r="FN24" s="130"/>
      <c r="FO24" s="130"/>
      <c r="FP24" s="130"/>
      <c r="FQ24" s="130"/>
      <c r="FR24" s="130"/>
      <c r="FS24" s="130"/>
      <c r="FT24" s="130"/>
      <c r="FU24" s="130"/>
      <c r="FV24" s="130"/>
      <c r="FW24" s="130"/>
      <c r="FX24" s="130"/>
      <c r="FY24" s="130"/>
      <c r="FZ24" s="130"/>
      <c r="GA24" s="130"/>
      <c r="GB24" s="130"/>
      <c r="GC24" s="130"/>
      <c r="GD24" s="130"/>
      <c r="GE24" s="130"/>
      <c r="GF24" s="130"/>
      <c r="GG24" s="130"/>
      <c r="GH24" s="130"/>
      <c r="GI24" s="130"/>
      <c r="GJ24" s="130"/>
      <c r="GK24" s="130"/>
      <c r="GL24" s="130"/>
      <c r="GM24" s="130"/>
      <c r="GN24" s="130"/>
      <c r="GO24" s="130"/>
      <c r="GP24" s="130"/>
      <c r="GQ24" s="130"/>
      <c r="GR24" s="130"/>
      <c r="GS24" s="130"/>
      <c r="GT24" s="130"/>
      <c r="GU24" s="130"/>
      <c r="GV24" s="130"/>
      <c r="GW24" s="130"/>
      <c r="GX24" s="130"/>
      <c r="GY24" s="130"/>
      <c r="GZ24" s="130"/>
      <c r="HA24" s="130"/>
      <c r="HB24" s="130"/>
      <c r="HC24" s="130"/>
      <c r="HD24" s="130"/>
      <c r="HE24" s="130"/>
      <c r="HF24" s="130"/>
      <c r="HG24" s="130"/>
      <c r="HH24" s="130"/>
      <c r="HI24" s="130"/>
      <c r="HJ24" s="130"/>
      <c r="HK24" s="130"/>
      <c r="HL24" s="130"/>
      <c r="HM24" s="130"/>
      <c r="HN24" s="130"/>
      <c r="HO24" s="130"/>
      <c r="HP24" s="130"/>
      <c r="HQ24" s="130"/>
      <c r="HR24" s="130"/>
      <c r="HS24" s="130"/>
      <c r="HT24" s="130"/>
      <c r="HU24" s="130"/>
      <c r="HV24" s="130"/>
      <c r="HW24" s="130"/>
      <c r="HX24" s="130"/>
      <c r="HY24" s="130"/>
      <c r="HZ24" s="130"/>
      <c r="IA24" s="130"/>
      <c r="IB24" s="130"/>
      <c r="IC24" s="130"/>
      <c r="ID24" s="130"/>
      <c r="IE24" s="130"/>
      <c r="IF24" s="130"/>
      <c r="IG24" s="130"/>
      <c r="IH24" s="130"/>
      <c r="II24" s="130"/>
      <c r="IJ24" s="130"/>
      <c r="IK24" s="130"/>
      <c r="IL24" s="130"/>
      <c r="IM24" s="130"/>
      <c r="IN24" s="130"/>
      <c r="IO24" s="130"/>
      <c r="IP24" s="130"/>
      <c r="IQ24" s="130"/>
      <c r="IR24" s="130"/>
      <c r="IS24" s="130"/>
      <c r="IT24" s="130"/>
      <c r="IU24" s="130"/>
      <c r="IV24" s="130"/>
      <c r="IW24" s="130"/>
      <c r="IX24" s="130"/>
      <c r="IY24" s="130"/>
      <c r="IZ24" s="130"/>
      <c r="JA24" s="130"/>
      <c r="JB24" s="130"/>
      <c r="JC24" s="130"/>
      <c r="JD24" s="130"/>
      <c r="JE24" s="130"/>
      <c r="JF24" s="130"/>
      <c r="JG24" s="130"/>
    </row>
    <row r="25" spans="1:267" ht="12" customHeight="1">
      <c r="A25" s="236"/>
      <c r="B25" s="236"/>
      <c r="C25" s="236"/>
      <c r="D25" s="236"/>
      <c r="E25" s="236"/>
      <c r="F25" s="236"/>
      <c r="G25" s="236"/>
      <c r="H25" s="237"/>
      <c r="I25" s="237"/>
      <c r="J25" s="237"/>
      <c r="K25" s="237"/>
      <c r="L25" s="237"/>
      <c r="M25" s="237"/>
      <c r="N25" s="236"/>
      <c r="O25" s="236"/>
      <c r="P25" s="236"/>
      <c r="Q25" s="236"/>
      <c r="R25" s="237"/>
      <c r="S25" s="237"/>
      <c r="T25" s="252"/>
      <c r="U25" s="130"/>
      <c r="V25" s="130"/>
      <c r="W25" s="130" t="s">
        <v>252</v>
      </c>
      <c r="X25" s="130"/>
      <c r="Y25" s="130"/>
      <c r="Z25" s="258"/>
      <c r="AA25" s="254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  <c r="CK25" s="130"/>
      <c r="CL25" s="130"/>
      <c r="CM25" s="130"/>
      <c r="CN25" s="130"/>
      <c r="CO25" s="130"/>
      <c r="CP25" s="130"/>
      <c r="CQ25" s="130"/>
      <c r="CR25" s="130"/>
      <c r="CS25" s="130"/>
      <c r="CT25" s="130"/>
      <c r="CU25" s="130"/>
      <c r="CV25" s="130"/>
      <c r="CW25" s="130"/>
      <c r="CX25" s="130"/>
      <c r="CY25" s="130"/>
      <c r="CZ25" s="130"/>
      <c r="DA25" s="130"/>
      <c r="DB25" s="130"/>
      <c r="DC25" s="130"/>
      <c r="DD25" s="130"/>
      <c r="DE25" s="130"/>
      <c r="DF25" s="130"/>
      <c r="DG25" s="130"/>
      <c r="DH25" s="130"/>
      <c r="DI25" s="130"/>
      <c r="DJ25" s="130"/>
      <c r="DK25" s="130"/>
      <c r="DL25" s="130"/>
      <c r="DM25" s="130"/>
      <c r="DN25" s="130"/>
      <c r="DO25" s="130"/>
      <c r="DP25" s="130"/>
      <c r="DQ25" s="130"/>
      <c r="DR25" s="130"/>
      <c r="DS25" s="130"/>
      <c r="DT25" s="130"/>
      <c r="DU25" s="130"/>
      <c r="DV25" s="130"/>
      <c r="DW25" s="130"/>
      <c r="DX25" s="130"/>
      <c r="DY25" s="130"/>
      <c r="DZ25" s="130"/>
      <c r="EA25" s="130"/>
      <c r="EB25" s="130"/>
      <c r="EC25" s="130"/>
      <c r="ED25" s="130"/>
      <c r="EE25" s="130"/>
      <c r="EF25" s="130"/>
      <c r="EG25" s="130"/>
      <c r="EH25" s="130"/>
      <c r="EI25" s="130"/>
      <c r="EJ25" s="130"/>
      <c r="EK25" s="130"/>
      <c r="EL25" s="130"/>
      <c r="EM25" s="130"/>
      <c r="EN25" s="130"/>
      <c r="EO25" s="130"/>
      <c r="EP25" s="130"/>
      <c r="EQ25" s="130"/>
      <c r="ER25" s="130"/>
      <c r="ES25" s="130"/>
      <c r="ET25" s="130"/>
      <c r="EU25" s="130"/>
      <c r="EV25" s="130"/>
      <c r="EW25" s="130"/>
      <c r="EX25" s="130"/>
      <c r="EY25" s="130"/>
      <c r="EZ25" s="130"/>
      <c r="FA25" s="130"/>
      <c r="FB25" s="130"/>
      <c r="FC25" s="130"/>
      <c r="FD25" s="130"/>
      <c r="FE25" s="130"/>
      <c r="FF25" s="130"/>
      <c r="FG25" s="130"/>
      <c r="FH25" s="130"/>
      <c r="FI25" s="130"/>
      <c r="FJ25" s="130"/>
      <c r="FK25" s="130"/>
      <c r="FL25" s="130"/>
      <c r="FM25" s="130"/>
      <c r="FN25" s="130"/>
      <c r="FO25" s="130"/>
      <c r="FP25" s="130"/>
      <c r="FQ25" s="130"/>
      <c r="FR25" s="130"/>
      <c r="FS25" s="130"/>
      <c r="FT25" s="130"/>
      <c r="FU25" s="130"/>
      <c r="FV25" s="130"/>
      <c r="FW25" s="130"/>
      <c r="FX25" s="130"/>
      <c r="FY25" s="130"/>
      <c r="FZ25" s="130"/>
      <c r="GA25" s="130"/>
      <c r="GB25" s="130"/>
      <c r="GC25" s="130"/>
      <c r="GD25" s="130"/>
      <c r="GE25" s="130"/>
      <c r="GF25" s="130"/>
      <c r="GG25" s="130"/>
      <c r="GH25" s="130"/>
      <c r="GI25" s="130"/>
      <c r="GJ25" s="130"/>
      <c r="GK25" s="130"/>
      <c r="GL25" s="130"/>
      <c r="GM25" s="130"/>
      <c r="GN25" s="130"/>
      <c r="GO25" s="130"/>
      <c r="GP25" s="130"/>
      <c r="GQ25" s="130"/>
      <c r="GR25" s="130"/>
      <c r="GS25" s="130"/>
      <c r="GT25" s="130"/>
      <c r="GU25" s="130"/>
      <c r="GV25" s="130"/>
      <c r="GW25" s="130"/>
      <c r="GX25" s="130"/>
      <c r="GY25" s="130"/>
      <c r="GZ25" s="130"/>
      <c r="HA25" s="130"/>
      <c r="HB25" s="130"/>
      <c r="HC25" s="130"/>
      <c r="HD25" s="130"/>
      <c r="HE25" s="130"/>
      <c r="HF25" s="130"/>
      <c r="HG25" s="130"/>
      <c r="HH25" s="130"/>
      <c r="HI25" s="130"/>
      <c r="HJ25" s="130"/>
      <c r="HK25" s="130"/>
      <c r="HL25" s="130"/>
      <c r="HM25" s="130"/>
      <c r="HN25" s="130"/>
      <c r="HO25" s="130"/>
      <c r="HP25" s="130"/>
      <c r="HQ25" s="130"/>
      <c r="HR25" s="130"/>
      <c r="HS25" s="130"/>
      <c r="HT25" s="130"/>
      <c r="HU25" s="130"/>
      <c r="HV25" s="130"/>
      <c r="HW25" s="130"/>
      <c r="HX25" s="130"/>
      <c r="HY25" s="130"/>
      <c r="HZ25" s="130"/>
      <c r="IA25" s="130"/>
      <c r="IB25" s="130"/>
      <c r="IC25" s="130"/>
      <c r="ID25" s="130"/>
      <c r="IE25" s="130"/>
      <c r="IF25" s="130"/>
      <c r="IG25" s="130"/>
      <c r="IH25" s="130"/>
      <c r="II25" s="130"/>
      <c r="IJ25" s="130"/>
      <c r="IK25" s="130"/>
      <c r="IL25" s="130"/>
      <c r="IM25" s="130"/>
      <c r="IN25" s="130"/>
      <c r="IO25" s="130"/>
      <c r="IP25" s="130"/>
      <c r="IQ25" s="130"/>
      <c r="IR25" s="130"/>
      <c r="IS25" s="130"/>
      <c r="IT25" s="130"/>
      <c r="IU25" s="130"/>
      <c r="IV25" s="130"/>
      <c r="IW25" s="130"/>
      <c r="IX25" s="130"/>
      <c r="IY25" s="130"/>
      <c r="IZ25" s="130"/>
      <c r="JA25" s="130"/>
      <c r="JB25" s="130"/>
      <c r="JC25" s="130"/>
      <c r="JD25" s="130"/>
      <c r="JE25" s="130"/>
      <c r="JF25" s="130"/>
      <c r="JG25" s="130"/>
    </row>
    <row r="26" spans="1:267" ht="19.5">
      <c r="A26" s="1541" t="s">
        <v>726</v>
      </c>
      <c r="B26" s="1541"/>
      <c r="C26" s="1541"/>
      <c r="D26" s="1541"/>
      <c r="E26" s="1541"/>
      <c r="F26" s="1541"/>
      <c r="G26" s="1541"/>
      <c r="H26" s="1541"/>
      <c r="I26" s="1541"/>
      <c r="J26" s="1541"/>
      <c r="K26" s="1541"/>
      <c r="L26" s="1541"/>
      <c r="M26" s="1541"/>
      <c r="N26" s="1541"/>
      <c r="O26" s="1541"/>
      <c r="P26" s="1541"/>
      <c r="Q26" s="1541"/>
      <c r="R26" s="1541"/>
      <c r="S26" s="1541"/>
      <c r="T26" s="255"/>
      <c r="U26" s="369">
        <f>SUM(H16:H17)</f>
        <v>230.93195999999995</v>
      </c>
      <c r="V26" s="259"/>
      <c r="W26" s="131"/>
      <c r="X26" s="131"/>
      <c r="Y26" s="131"/>
      <c r="Z26" s="256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1"/>
      <c r="CW26" s="131"/>
      <c r="CX26" s="131"/>
      <c r="CY26" s="131"/>
      <c r="CZ26" s="131"/>
      <c r="DA26" s="131"/>
      <c r="DB26" s="131"/>
      <c r="DC26" s="131"/>
      <c r="DD26" s="131"/>
      <c r="DE26" s="131"/>
      <c r="DF26" s="131"/>
      <c r="DG26" s="131"/>
      <c r="DH26" s="131"/>
      <c r="DI26" s="131"/>
      <c r="DJ26" s="131"/>
      <c r="DK26" s="131"/>
      <c r="DL26" s="131"/>
      <c r="DM26" s="131"/>
      <c r="DN26" s="131"/>
      <c r="DO26" s="131"/>
      <c r="DP26" s="131"/>
      <c r="DQ26" s="131"/>
      <c r="DR26" s="131"/>
      <c r="DS26" s="131"/>
      <c r="DT26" s="131"/>
      <c r="DU26" s="131"/>
      <c r="DV26" s="131"/>
      <c r="DW26" s="131"/>
      <c r="DX26" s="131"/>
      <c r="DY26" s="131"/>
      <c r="DZ26" s="131"/>
      <c r="EA26" s="131"/>
      <c r="EB26" s="131"/>
      <c r="EC26" s="131"/>
      <c r="ED26" s="131"/>
      <c r="EE26" s="131"/>
      <c r="EF26" s="131"/>
      <c r="EG26" s="131"/>
      <c r="EH26" s="131"/>
      <c r="EI26" s="131"/>
      <c r="EJ26" s="131"/>
      <c r="EK26" s="131"/>
      <c r="EL26" s="131"/>
      <c r="EM26" s="131"/>
      <c r="EN26" s="131"/>
      <c r="EO26" s="131"/>
      <c r="EP26" s="131"/>
      <c r="EQ26" s="131"/>
      <c r="ER26" s="131"/>
      <c r="ES26" s="131"/>
      <c r="ET26" s="131"/>
      <c r="EU26" s="131"/>
      <c r="EV26" s="131"/>
      <c r="EW26" s="131"/>
      <c r="EX26" s="131"/>
      <c r="EY26" s="131"/>
      <c r="EZ26" s="131"/>
      <c r="FA26" s="131"/>
      <c r="FB26" s="131"/>
      <c r="FC26" s="131"/>
      <c r="FD26" s="131"/>
      <c r="FE26" s="131"/>
      <c r="FF26" s="131"/>
      <c r="FG26" s="131"/>
      <c r="FH26" s="131"/>
      <c r="FI26" s="131"/>
      <c r="FJ26" s="131"/>
      <c r="FK26" s="131"/>
      <c r="FL26" s="131"/>
      <c r="FM26" s="131"/>
      <c r="FN26" s="131"/>
      <c r="FO26" s="131"/>
      <c r="FP26" s="131"/>
      <c r="FQ26" s="131"/>
      <c r="FR26" s="131"/>
      <c r="FS26" s="131"/>
      <c r="FT26" s="131"/>
      <c r="FU26" s="131"/>
      <c r="FV26" s="131"/>
      <c r="FW26" s="131"/>
      <c r="FX26" s="131"/>
      <c r="FY26" s="131"/>
      <c r="FZ26" s="131"/>
      <c r="GA26" s="131"/>
      <c r="GB26" s="131"/>
      <c r="GC26" s="131"/>
      <c r="GD26" s="131"/>
      <c r="GE26" s="131"/>
      <c r="GF26" s="131"/>
      <c r="GG26" s="131"/>
      <c r="GH26" s="131"/>
      <c r="GI26" s="131"/>
      <c r="GJ26" s="131"/>
      <c r="GK26" s="131"/>
      <c r="GL26" s="131"/>
      <c r="GM26" s="131"/>
      <c r="GN26" s="131"/>
      <c r="GO26" s="131"/>
      <c r="GP26" s="131"/>
      <c r="GQ26" s="131"/>
      <c r="GR26" s="131"/>
      <c r="GS26" s="131"/>
      <c r="GT26" s="131"/>
      <c r="GU26" s="131"/>
      <c r="GV26" s="131"/>
      <c r="GW26" s="131"/>
      <c r="GX26" s="131"/>
      <c r="GY26" s="131"/>
      <c r="GZ26" s="131"/>
      <c r="HA26" s="131"/>
      <c r="HB26" s="131"/>
      <c r="HC26" s="131"/>
      <c r="HD26" s="131"/>
      <c r="HE26" s="131"/>
      <c r="HF26" s="131"/>
      <c r="HG26" s="131"/>
      <c r="HH26" s="131"/>
      <c r="HI26" s="131"/>
      <c r="HJ26" s="131"/>
      <c r="HK26" s="131"/>
      <c r="HL26" s="131"/>
      <c r="HM26" s="131"/>
      <c r="HN26" s="131"/>
      <c r="HO26" s="131"/>
      <c r="HP26" s="131"/>
      <c r="HQ26" s="131"/>
      <c r="HR26" s="131"/>
      <c r="HS26" s="131"/>
      <c r="HT26" s="131"/>
      <c r="HU26" s="131"/>
      <c r="HV26" s="131"/>
      <c r="HW26" s="131"/>
      <c r="HX26" s="131"/>
      <c r="HY26" s="131"/>
      <c r="HZ26" s="131"/>
      <c r="IA26" s="131"/>
      <c r="IB26" s="131"/>
      <c r="IC26" s="131"/>
      <c r="ID26" s="131"/>
      <c r="IE26" s="131"/>
      <c r="IF26" s="131"/>
      <c r="IG26" s="131"/>
      <c r="IH26" s="131"/>
      <c r="II26" s="131"/>
      <c r="IJ26" s="131"/>
      <c r="IK26" s="131"/>
      <c r="IL26" s="131"/>
      <c r="IM26" s="131"/>
      <c r="IN26" s="131"/>
      <c r="IO26" s="131"/>
      <c r="IP26" s="131"/>
      <c r="IQ26" s="131"/>
      <c r="IR26" s="131"/>
      <c r="IS26" s="131"/>
      <c r="IT26" s="131"/>
      <c r="IU26" s="131"/>
      <c r="IV26" s="131"/>
      <c r="IW26" s="131"/>
      <c r="IX26" s="131"/>
      <c r="IY26" s="131"/>
      <c r="IZ26" s="131"/>
      <c r="JA26" s="131"/>
      <c r="JB26" s="131"/>
      <c r="JC26" s="131"/>
      <c r="JD26" s="131"/>
      <c r="JE26" s="131"/>
      <c r="JF26" s="131"/>
      <c r="JG26" s="131"/>
    </row>
    <row r="27" spans="1:267" ht="19.5">
      <c r="A27" s="349"/>
      <c r="B27" s="349"/>
      <c r="C27" s="349"/>
      <c r="D27" s="349"/>
      <c r="E27" s="349"/>
      <c r="F27" s="349"/>
      <c r="G27" s="349"/>
      <c r="H27" s="350"/>
      <c r="I27" s="350"/>
      <c r="J27" s="350"/>
      <c r="K27" s="350"/>
      <c r="L27" s="350"/>
      <c r="M27" s="350"/>
      <c r="N27" s="349"/>
      <c r="O27" s="349"/>
      <c r="P27" s="349"/>
      <c r="Q27" s="349"/>
      <c r="R27" s="350"/>
      <c r="S27" s="350"/>
      <c r="T27" s="252"/>
      <c r="U27" s="130"/>
      <c r="V27" s="130"/>
      <c r="W27" s="130"/>
      <c r="X27" s="130"/>
      <c r="Y27" s="130"/>
      <c r="Z27" s="253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  <c r="CK27" s="130"/>
      <c r="CL27" s="130"/>
      <c r="CM27" s="130"/>
      <c r="CN27" s="130"/>
      <c r="CO27" s="130"/>
      <c r="CP27" s="130"/>
      <c r="CQ27" s="130"/>
      <c r="CR27" s="130"/>
      <c r="CS27" s="130"/>
      <c r="CT27" s="130"/>
      <c r="CU27" s="130"/>
      <c r="CV27" s="130"/>
      <c r="CW27" s="130"/>
      <c r="CX27" s="130"/>
      <c r="CY27" s="130"/>
      <c r="CZ27" s="130"/>
      <c r="DA27" s="130"/>
      <c r="DB27" s="130"/>
      <c r="DC27" s="130"/>
      <c r="DD27" s="130"/>
      <c r="DE27" s="130"/>
      <c r="DF27" s="130"/>
      <c r="DG27" s="130"/>
      <c r="DH27" s="130"/>
      <c r="DI27" s="130"/>
      <c r="DJ27" s="130"/>
      <c r="DK27" s="130"/>
      <c r="DL27" s="130"/>
      <c r="DM27" s="130"/>
      <c r="DN27" s="130"/>
      <c r="DO27" s="130"/>
      <c r="DP27" s="130"/>
      <c r="DQ27" s="130"/>
      <c r="DR27" s="130"/>
      <c r="DS27" s="130"/>
      <c r="DT27" s="130"/>
      <c r="DU27" s="130"/>
      <c r="DV27" s="130"/>
      <c r="DW27" s="130"/>
      <c r="DX27" s="130"/>
      <c r="DY27" s="130"/>
      <c r="DZ27" s="130"/>
      <c r="EA27" s="130"/>
      <c r="EB27" s="130"/>
      <c r="EC27" s="130"/>
      <c r="ED27" s="130"/>
      <c r="EE27" s="130"/>
      <c r="EF27" s="130"/>
      <c r="EG27" s="130"/>
      <c r="EH27" s="130"/>
      <c r="EI27" s="130"/>
      <c r="EJ27" s="130"/>
      <c r="EK27" s="130"/>
      <c r="EL27" s="130"/>
      <c r="EM27" s="130"/>
      <c r="EN27" s="130"/>
      <c r="EO27" s="130"/>
      <c r="EP27" s="130"/>
      <c r="EQ27" s="130"/>
      <c r="ER27" s="130"/>
      <c r="ES27" s="130"/>
      <c r="ET27" s="130"/>
      <c r="EU27" s="130"/>
      <c r="EV27" s="130"/>
      <c r="EW27" s="130"/>
      <c r="EX27" s="130"/>
      <c r="EY27" s="130"/>
      <c r="EZ27" s="130"/>
      <c r="FA27" s="130"/>
      <c r="FB27" s="130"/>
      <c r="FC27" s="130"/>
      <c r="FD27" s="130"/>
      <c r="FE27" s="130"/>
      <c r="FF27" s="130"/>
      <c r="FG27" s="130"/>
      <c r="FH27" s="130"/>
      <c r="FI27" s="130"/>
      <c r="FJ27" s="130"/>
      <c r="FK27" s="130"/>
      <c r="FL27" s="130"/>
      <c r="FM27" s="130"/>
      <c r="FN27" s="130"/>
      <c r="FO27" s="130"/>
      <c r="FP27" s="130"/>
      <c r="FQ27" s="130"/>
      <c r="FR27" s="130"/>
      <c r="FS27" s="130"/>
      <c r="FT27" s="130"/>
      <c r="FU27" s="130"/>
      <c r="FV27" s="130"/>
      <c r="FW27" s="130"/>
      <c r="FX27" s="130"/>
      <c r="FY27" s="130"/>
      <c r="FZ27" s="130"/>
      <c r="GA27" s="130"/>
      <c r="GB27" s="130"/>
      <c r="GC27" s="130"/>
      <c r="GD27" s="130"/>
      <c r="GE27" s="130"/>
      <c r="GF27" s="130"/>
      <c r="GG27" s="130"/>
      <c r="GH27" s="130"/>
      <c r="GI27" s="130"/>
      <c r="GJ27" s="130"/>
      <c r="GK27" s="130"/>
      <c r="GL27" s="130"/>
      <c r="GM27" s="130"/>
      <c r="GN27" s="130"/>
      <c r="GO27" s="130"/>
      <c r="GP27" s="130"/>
      <c r="GQ27" s="130"/>
      <c r="GR27" s="130"/>
      <c r="GS27" s="130"/>
      <c r="GT27" s="130"/>
      <c r="GU27" s="130"/>
      <c r="GV27" s="130"/>
      <c r="GW27" s="130"/>
      <c r="GX27" s="130"/>
      <c r="GY27" s="130"/>
      <c r="GZ27" s="130"/>
      <c r="HA27" s="130"/>
      <c r="HB27" s="130"/>
      <c r="HC27" s="130"/>
      <c r="HD27" s="130"/>
      <c r="HE27" s="130"/>
      <c r="HF27" s="130"/>
      <c r="HG27" s="130"/>
      <c r="HH27" s="130"/>
      <c r="HI27" s="130"/>
      <c r="HJ27" s="130"/>
      <c r="HK27" s="130"/>
      <c r="HL27" s="130"/>
      <c r="HM27" s="130"/>
      <c r="HN27" s="130"/>
      <c r="HO27" s="130"/>
      <c r="HP27" s="130"/>
      <c r="HQ27" s="130"/>
      <c r="HR27" s="130"/>
      <c r="HS27" s="130"/>
      <c r="HT27" s="130"/>
      <c r="HU27" s="130"/>
      <c r="HV27" s="130"/>
      <c r="HW27" s="130"/>
      <c r="HX27" s="130"/>
      <c r="HY27" s="130"/>
      <c r="HZ27" s="130"/>
      <c r="IA27" s="130"/>
      <c r="IB27" s="130"/>
      <c r="IC27" s="130"/>
      <c r="ID27" s="130"/>
      <c r="IE27" s="130"/>
      <c r="IF27" s="130"/>
      <c r="IG27" s="130"/>
      <c r="IH27" s="130"/>
      <c r="II27" s="130"/>
      <c r="IJ27" s="130"/>
      <c r="IK27" s="130"/>
      <c r="IL27" s="130"/>
      <c r="IM27" s="130"/>
      <c r="IN27" s="130"/>
      <c r="IO27" s="130"/>
      <c r="IP27" s="130"/>
      <c r="IQ27" s="130"/>
      <c r="IR27" s="130"/>
      <c r="IS27" s="130"/>
      <c r="IT27" s="130"/>
      <c r="IU27" s="130"/>
      <c r="IV27" s="130"/>
      <c r="IW27" s="130"/>
      <c r="IX27" s="130"/>
      <c r="IY27" s="130"/>
      <c r="IZ27" s="130"/>
      <c r="JA27" s="130"/>
      <c r="JB27" s="130"/>
      <c r="JC27" s="130"/>
      <c r="JD27" s="130"/>
      <c r="JE27" s="130"/>
      <c r="JF27" s="130"/>
      <c r="JG27" s="130"/>
    </row>
    <row r="28" spans="1:267" ht="19.5">
      <c r="A28" s="349"/>
      <c r="B28" s="349"/>
      <c r="C28" s="349"/>
      <c r="D28" s="349"/>
      <c r="E28" s="349"/>
      <c r="F28" s="349"/>
      <c r="G28" s="349"/>
      <c r="H28" s="350"/>
      <c r="I28" s="350"/>
      <c r="J28" s="350"/>
      <c r="K28" s="350"/>
      <c r="L28" s="350"/>
      <c r="M28" s="350"/>
      <c r="N28" s="349"/>
      <c r="O28" s="349"/>
      <c r="P28" s="349"/>
      <c r="Q28" s="349"/>
      <c r="R28" s="350"/>
      <c r="S28" s="350"/>
      <c r="T28" s="252"/>
      <c r="U28" s="130"/>
      <c r="V28" s="130"/>
      <c r="W28" s="130"/>
      <c r="X28" s="130"/>
      <c r="Y28" s="130"/>
      <c r="Z28" s="253"/>
      <c r="AA28" s="254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  <c r="CK28" s="130"/>
      <c r="CL28" s="130"/>
      <c r="CM28" s="130"/>
      <c r="CN28" s="130"/>
      <c r="CO28" s="130"/>
      <c r="CP28" s="130"/>
      <c r="CQ28" s="130"/>
      <c r="CR28" s="130"/>
      <c r="CS28" s="130"/>
      <c r="CT28" s="130"/>
      <c r="CU28" s="130"/>
      <c r="CV28" s="130"/>
      <c r="CW28" s="130"/>
      <c r="CX28" s="130"/>
      <c r="CY28" s="130"/>
      <c r="CZ28" s="130"/>
      <c r="DA28" s="130"/>
      <c r="DB28" s="130"/>
      <c r="DC28" s="130"/>
      <c r="DD28" s="130"/>
      <c r="DE28" s="130"/>
      <c r="DF28" s="130"/>
      <c r="DG28" s="130"/>
      <c r="DH28" s="130"/>
      <c r="DI28" s="130"/>
      <c r="DJ28" s="130"/>
      <c r="DK28" s="130"/>
      <c r="DL28" s="130"/>
      <c r="DM28" s="130"/>
      <c r="DN28" s="130"/>
      <c r="DO28" s="130"/>
      <c r="DP28" s="130"/>
      <c r="DQ28" s="130"/>
      <c r="DR28" s="130"/>
      <c r="DS28" s="130"/>
      <c r="DT28" s="130"/>
      <c r="DU28" s="130"/>
      <c r="DV28" s="130"/>
      <c r="DW28" s="130"/>
      <c r="DX28" s="130"/>
      <c r="DY28" s="130"/>
      <c r="DZ28" s="130"/>
      <c r="EA28" s="130"/>
      <c r="EB28" s="130"/>
      <c r="EC28" s="130"/>
      <c r="ED28" s="130"/>
      <c r="EE28" s="130"/>
      <c r="EF28" s="130"/>
      <c r="EG28" s="130"/>
      <c r="EH28" s="130"/>
      <c r="EI28" s="130"/>
      <c r="EJ28" s="130"/>
      <c r="EK28" s="130"/>
      <c r="EL28" s="130"/>
      <c r="EM28" s="130"/>
      <c r="EN28" s="130"/>
      <c r="EO28" s="130"/>
      <c r="EP28" s="130"/>
      <c r="EQ28" s="130"/>
      <c r="ER28" s="130"/>
      <c r="ES28" s="130"/>
      <c r="ET28" s="130"/>
      <c r="EU28" s="130"/>
      <c r="EV28" s="130"/>
      <c r="EW28" s="130"/>
      <c r="EX28" s="130"/>
      <c r="EY28" s="130"/>
      <c r="EZ28" s="130"/>
      <c r="FA28" s="130"/>
      <c r="FB28" s="130"/>
      <c r="FC28" s="130"/>
      <c r="FD28" s="130"/>
      <c r="FE28" s="130"/>
      <c r="FF28" s="130"/>
      <c r="FG28" s="130"/>
      <c r="FH28" s="130"/>
      <c r="FI28" s="130"/>
      <c r="FJ28" s="130"/>
      <c r="FK28" s="130"/>
      <c r="FL28" s="130"/>
      <c r="FM28" s="130"/>
      <c r="FN28" s="130"/>
      <c r="FO28" s="130"/>
      <c r="FP28" s="130"/>
      <c r="FQ28" s="130"/>
      <c r="FR28" s="130"/>
      <c r="FS28" s="130"/>
      <c r="FT28" s="130"/>
      <c r="FU28" s="130"/>
      <c r="FV28" s="130"/>
      <c r="FW28" s="130"/>
      <c r="FX28" s="130"/>
      <c r="FY28" s="130"/>
      <c r="FZ28" s="130"/>
      <c r="GA28" s="130"/>
      <c r="GB28" s="130"/>
      <c r="GC28" s="130"/>
      <c r="GD28" s="130"/>
      <c r="GE28" s="130"/>
      <c r="GF28" s="130"/>
      <c r="GG28" s="130"/>
      <c r="GH28" s="130"/>
      <c r="GI28" s="130"/>
      <c r="GJ28" s="130"/>
      <c r="GK28" s="130"/>
      <c r="GL28" s="130"/>
      <c r="GM28" s="130"/>
      <c r="GN28" s="130"/>
      <c r="GO28" s="130"/>
      <c r="GP28" s="130"/>
      <c r="GQ28" s="130"/>
      <c r="GR28" s="130"/>
      <c r="GS28" s="130"/>
      <c r="GT28" s="130"/>
      <c r="GU28" s="130"/>
      <c r="GV28" s="130"/>
      <c r="GW28" s="130"/>
      <c r="GX28" s="130"/>
      <c r="GY28" s="130"/>
      <c r="GZ28" s="130"/>
      <c r="HA28" s="130"/>
      <c r="HB28" s="130"/>
      <c r="HC28" s="130"/>
      <c r="HD28" s="130"/>
      <c r="HE28" s="130"/>
      <c r="HF28" s="130"/>
      <c r="HG28" s="130"/>
      <c r="HH28" s="130"/>
      <c r="HI28" s="130"/>
      <c r="HJ28" s="130"/>
      <c r="HK28" s="130"/>
      <c r="HL28" s="130"/>
      <c r="HM28" s="130"/>
      <c r="HN28" s="130"/>
      <c r="HO28" s="130"/>
      <c r="HP28" s="130"/>
      <c r="HQ28" s="130"/>
      <c r="HR28" s="130"/>
      <c r="HS28" s="130"/>
      <c r="HT28" s="130"/>
      <c r="HU28" s="130"/>
      <c r="HV28" s="130"/>
      <c r="HW28" s="130"/>
      <c r="HX28" s="130"/>
      <c r="HY28" s="130"/>
      <c r="HZ28" s="130"/>
      <c r="IA28" s="130"/>
      <c r="IB28" s="130"/>
      <c r="IC28" s="130"/>
      <c r="ID28" s="130"/>
      <c r="IE28" s="130"/>
      <c r="IF28" s="130"/>
      <c r="IG28" s="130"/>
      <c r="IH28" s="130"/>
      <c r="II28" s="130"/>
      <c r="IJ28" s="130"/>
      <c r="IK28" s="130"/>
      <c r="IL28" s="130"/>
      <c r="IM28" s="130"/>
      <c r="IN28" s="130"/>
      <c r="IO28" s="130"/>
      <c r="IP28" s="130"/>
      <c r="IQ28" s="130"/>
      <c r="IR28" s="130"/>
      <c r="IS28" s="130"/>
      <c r="IT28" s="130"/>
      <c r="IU28" s="130"/>
      <c r="IV28" s="130"/>
      <c r="IW28" s="130"/>
      <c r="IX28" s="130"/>
      <c r="IY28" s="130"/>
      <c r="IZ28" s="130"/>
      <c r="JA28" s="130"/>
      <c r="JB28" s="130"/>
      <c r="JC28" s="130"/>
      <c r="JD28" s="130"/>
      <c r="JE28" s="130"/>
      <c r="JF28" s="130"/>
      <c r="JG28" s="130"/>
    </row>
    <row r="29" spans="1:267" ht="19.5">
      <c r="A29" s="349"/>
      <c r="B29" s="349"/>
      <c r="C29" s="349"/>
      <c r="D29" s="349"/>
      <c r="E29" s="349"/>
      <c r="F29" s="349"/>
      <c r="G29" s="349"/>
      <c r="H29" s="350"/>
      <c r="I29" s="350"/>
      <c r="J29" s="350"/>
      <c r="K29" s="350"/>
      <c r="L29" s="350"/>
      <c r="M29" s="350"/>
      <c r="N29" s="349"/>
      <c r="O29" s="349"/>
      <c r="P29" s="349"/>
      <c r="Q29" s="349"/>
      <c r="R29" s="350"/>
      <c r="S29" s="350"/>
      <c r="T29" s="252"/>
      <c r="U29" s="260"/>
      <c r="V29" s="260"/>
      <c r="W29" s="260"/>
      <c r="X29" s="260"/>
      <c r="Y29" s="130"/>
      <c r="Z29" s="253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  <c r="CK29" s="130"/>
      <c r="CL29" s="130"/>
      <c r="CM29" s="130"/>
      <c r="CN29" s="130"/>
      <c r="CO29" s="130"/>
      <c r="CP29" s="130"/>
      <c r="CQ29" s="130"/>
      <c r="CR29" s="130"/>
      <c r="CS29" s="130"/>
      <c r="CT29" s="130"/>
      <c r="CU29" s="130"/>
      <c r="CV29" s="130"/>
      <c r="CW29" s="130"/>
      <c r="CX29" s="130"/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  <c r="DI29" s="130"/>
      <c r="DJ29" s="130"/>
      <c r="DK29" s="130"/>
      <c r="DL29" s="130"/>
      <c r="DM29" s="130"/>
      <c r="DN29" s="130"/>
      <c r="DO29" s="130"/>
      <c r="DP29" s="130"/>
      <c r="DQ29" s="130"/>
      <c r="DR29" s="130"/>
      <c r="DS29" s="130"/>
      <c r="DT29" s="130"/>
      <c r="DU29" s="130"/>
      <c r="DV29" s="130"/>
      <c r="DW29" s="130"/>
      <c r="DX29" s="130"/>
      <c r="DY29" s="130"/>
      <c r="DZ29" s="130"/>
      <c r="EA29" s="130"/>
      <c r="EB29" s="130"/>
      <c r="EC29" s="130"/>
      <c r="ED29" s="130"/>
      <c r="EE29" s="130"/>
      <c r="EF29" s="130"/>
      <c r="EG29" s="130"/>
      <c r="EH29" s="130"/>
      <c r="EI29" s="130"/>
      <c r="EJ29" s="130"/>
      <c r="EK29" s="130"/>
      <c r="EL29" s="130"/>
      <c r="EM29" s="130"/>
      <c r="EN29" s="130"/>
      <c r="EO29" s="130"/>
      <c r="EP29" s="130"/>
      <c r="EQ29" s="130"/>
      <c r="ER29" s="130"/>
      <c r="ES29" s="130"/>
      <c r="ET29" s="130"/>
      <c r="EU29" s="130"/>
      <c r="EV29" s="130"/>
      <c r="EW29" s="130"/>
      <c r="EX29" s="130"/>
      <c r="EY29" s="130"/>
      <c r="EZ29" s="130"/>
      <c r="FA29" s="130"/>
      <c r="FB29" s="130"/>
      <c r="FC29" s="130"/>
      <c r="FD29" s="130"/>
      <c r="FE29" s="130"/>
      <c r="FF29" s="130"/>
      <c r="FG29" s="130"/>
      <c r="FH29" s="130"/>
      <c r="FI29" s="130"/>
      <c r="FJ29" s="130"/>
      <c r="FK29" s="130"/>
      <c r="FL29" s="130"/>
      <c r="FM29" s="130"/>
      <c r="FN29" s="130"/>
      <c r="FO29" s="130"/>
      <c r="FP29" s="130"/>
      <c r="FQ29" s="130"/>
      <c r="FR29" s="130"/>
      <c r="FS29" s="130"/>
      <c r="FT29" s="130"/>
      <c r="FU29" s="130"/>
      <c r="FV29" s="130"/>
      <c r="FW29" s="130"/>
      <c r="FX29" s="130"/>
      <c r="FY29" s="130"/>
      <c r="FZ29" s="130"/>
      <c r="GA29" s="130"/>
      <c r="GB29" s="130"/>
      <c r="GC29" s="130"/>
      <c r="GD29" s="130"/>
      <c r="GE29" s="130"/>
      <c r="GF29" s="130"/>
      <c r="GG29" s="130"/>
      <c r="GH29" s="130"/>
      <c r="GI29" s="130"/>
      <c r="GJ29" s="130"/>
      <c r="GK29" s="130"/>
      <c r="GL29" s="130"/>
      <c r="GM29" s="130"/>
      <c r="GN29" s="130"/>
      <c r="GO29" s="130"/>
      <c r="GP29" s="130"/>
      <c r="GQ29" s="130"/>
      <c r="GR29" s="130"/>
      <c r="GS29" s="130"/>
      <c r="GT29" s="130"/>
      <c r="GU29" s="130"/>
      <c r="GV29" s="130"/>
      <c r="GW29" s="130"/>
      <c r="GX29" s="130"/>
      <c r="GY29" s="130"/>
      <c r="GZ29" s="130"/>
      <c r="HA29" s="130"/>
      <c r="HB29" s="130"/>
      <c r="HC29" s="130"/>
      <c r="HD29" s="130"/>
      <c r="HE29" s="130"/>
      <c r="HF29" s="130"/>
      <c r="HG29" s="130"/>
      <c r="HH29" s="130"/>
      <c r="HI29" s="130"/>
      <c r="HJ29" s="130"/>
      <c r="HK29" s="130"/>
      <c r="HL29" s="130"/>
      <c r="HM29" s="130"/>
      <c r="HN29" s="130"/>
      <c r="HO29" s="130"/>
      <c r="HP29" s="130"/>
      <c r="HQ29" s="130"/>
      <c r="HR29" s="130"/>
      <c r="HS29" s="130"/>
      <c r="HT29" s="130"/>
      <c r="HU29" s="130"/>
      <c r="HV29" s="130"/>
      <c r="HW29" s="130"/>
      <c r="HX29" s="130"/>
      <c r="HY29" s="130"/>
      <c r="HZ29" s="130"/>
      <c r="IA29" s="130"/>
      <c r="IB29" s="130"/>
      <c r="IC29" s="130"/>
      <c r="ID29" s="130"/>
      <c r="IE29" s="130"/>
      <c r="IF29" s="130"/>
      <c r="IG29" s="130"/>
      <c r="IH29" s="130"/>
      <c r="II29" s="130"/>
      <c r="IJ29" s="130"/>
      <c r="IK29" s="130"/>
      <c r="IL29" s="130"/>
      <c r="IM29" s="130"/>
      <c r="IN29" s="130"/>
      <c r="IO29" s="130"/>
      <c r="IP29" s="130"/>
      <c r="IQ29" s="130"/>
      <c r="IR29" s="130"/>
      <c r="IS29" s="130"/>
      <c r="IT29" s="130"/>
      <c r="IU29" s="130"/>
      <c r="IV29" s="130"/>
      <c r="IW29" s="130"/>
      <c r="IX29" s="130"/>
      <c r="IY29" s="130"/>
      <c r="IZ29" s="130"/>
      <c r="JA29" s="130"/>
      <c r="JB29" s="130"/>
      <c r="JC29" s="130"/>
      <c r="JD29" s="130"/>
      <c r="JE29" s="130"/>
      <c r="JF29" s="130"/>
      <c r="JG29" s="130"/>
    </row>
    <row r="30" spans="1:267" ht="19.5">
      <c r="A30" s="349"/>
      <c r="B30" s="349"/>
      <c r="C30" s="349"/>
      <c r="D30" s="349"/>
      <c r="E30" s="349"/>
      <c r="F30" s="349"/>
      <c r="G30" s="349"/>
      <c r="H30" s="350"/>
      <c r="I30" s="350"/>
      <c r="J30" s="350"/>
      <c r="K30" s="350"/>
      <c r="L30" s="350"/>
      <c r="M30" s="350"/>
      <c r="N30" s="349"/>
      <c r="O30" s="349"/>
      <c r="P30" s="349"/>
      <c r="Q30" s="349"/>
      <c r="R30" s="350"/>
      <c r="S30" s="350"/>
      <c r="T30" s="252"/>
      <c r="U30" s="130"/>
      <c r="V30" s="130"/>
      <c r="W30" s="130"/>
      <c r="X30" s="130"/>
      <c r="Y30" s="130"/>
      <c r="Z30" s="258"/>
      <c r="AA30" s="130"/>
      <c r="AB30" s="130"/>
      <c r="AD30" s="236"/>
      <c r="AE30" s="236"/>
      <c r="AF30" s="236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  <c r="JD30" s="130"/>
      <c r="JE30" s="130"/>
      <c r="JF30" s="130"/>
      <c r="JG30" s="130"/>
    </row>
    <row r="31" spans="1:267" ht="19.5">
      <c r="A31" s="349"/>
      <c r="B31" s="349"/>
      <c r="C31" s="349"/>
      <c r="D31" s="349"/>
      <c r="E31" s="349"/>
      <c r="F31" s="349"/>
      <c r="G31" s="349"/>
      <c r="H31" s="350"/>
      <c r="I31" s="350"/>
      <c r="J31" s="350"/>
      <c r="K31" s="350"/>
      <c r="L31" s="350"/>
      <c r="M31" s="350"/>
      <c r="N31" s="349"/>
      <c r="O31" s="349"/>
      <c r="P31" s="349"/>
      <c r="Q31" s="349"/>
      <c r="R31" s="350"/>
      <c r="S31" s="350"/>
      <c r="T31" s="252"/>
      <c r="U31" s="130"/>
      <c r="V31" s="130"/>
      <c r="W31" s="130"/>
      <c r="X31" s="130"/>
      <c r="Y31" s="130"/>
      <c r="Z31" s="253"/>
      <c r="AA31" s="130"/>
      <c r="AB31" s="130"/>
      <c r="AD31" s="236"/>
      <c r="AE31" s="236"/>
      <c r="AF31" s="236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</row>
    <row r="32" spans="1:267" ht="19.5">
      <c r="A32" s="1544"/>
      <c r="B32" s="1544"/>
      <c r="C32" s="349"/>
      <c r="D32" s="349"/>
      <c r="E32" s="349"/>
      <c r="F32" s="349"/>
      <c r="G32" s="349"/>
      <c r="H32" s="350"/>
      <c r="I32" s="350"/>
      <c r="J32" s="350"/>
      <c r="K32" s="350"/>
      <c r="L32" s="350"/>
      <c r="M32" s="350"/>
      <c r="N32" s="349"/>
      <c r="O32" s="349"/>
      <c r="P32" s="349"/>
      <c r="Q32" s="349"/>
      <c r="R32" s="350"/>
      <c r="S32" s="350"/>
      <c r="T32" s="252"/>
      <c r="U32" s="130"/>
      <c r="V32" s="130"/>
      <c r="W32" s="130"/>
      <c r="X32" s="130"/>
      <c r="Y32" s="130"/>
      <c r="Z32" s="253"/>
      <c r="AA32" s="130"/>
      <c r="AB32" s="130"/>
      <c r="AC32" s="231"/>
      <c r="AD32" s="239"/>
      <c r="AE32" s="239"/>
      <c r="AF32" s="129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  <c r="CK32" s="130"/>
      <c r="CL32" s="130"/>
      <c r="CM32" s="130"/>
      <c r="CN32" s="130"/>
      <c r="CO32" s="130"/>
      <c r="CP32" s="130"/>
      <c r="CQ32" s="130"/>
      <c r="CR32" s="130"/>
      <c r="CS32" s="130"/>
      <c r="CT32" s="130"/>
      <c r="CU32" s="130"/>
      <c r="CV32" s="130"/>
      <c r="CW32" s="130"/>
      <c r="CX32" s="130"/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  <c r="DI32" s="130"/>
      <c r="DJ32" s="130"/>
      <c r="DK32" s="130"/>
      <c r="DL32" s="130"/>
      <c r="DM32" s="130"/>
      <c r="DN32" s="130"/>
      <c r="DO32" s="130"/>
      <c r="DP32" s="130"/>
      <c r="DQ32" s="130"/>
      <c r="DR32" s="130"/>
      <c r="DS32" s="130"/>
      <c r="DT32" s="130"/>
      <c r="DU32" s="130"/>
      <c r="DV32" s="130"/>
      <c r="DW32" s="130"/>
      <c r="DX32" s="130"/>
      <c r="DY32" s="130"/>
      <c r="DZ32" s="130"/>
      <c r="EA32" s="130"/>
      <c r="EB32" s="130"/>
      <c r="EC32" s="130"/>
      <c r="ED32" s="130"/>
      <c r="EE32" s="130"/>
      <c r="EF32" s="130"/>
      <c r="EG32" s="130"/>
      <c r="EH32" s="130"/>
      <c r="EI32" s="130"/>
      <c r="EJ32" s="130"/>
      <c r="EK32" s="130"/>
      <c r="EL32" s="130"/>
      <c r="EM32" s="130"/>
      <c r="EN32" s="130"/>
      <c r="EO32" s="130"/>
      <c r="EP32" s="130"/>
      <c r="EQ32" s="130"/>
      <c r="ER32" s="130"/>
      <c r="ES32" s="130"/>
      <c r="ET32" s="130"/>
      <c r="EU32" s="130"/>
      <c r="EV32" s="130"/>
      <c r="EW32" s="130"/>
      <c r="EX32" s="130"/>
      <c r="EY32" s="130"/>
      <c r="EZ32" s="130"/>
      <c r="FA32" s="130"/>
      <c r="FB32" s="130"/>
      <c r="FC32" s="130"/>
      <c r="FD32" s="130"/>
      <c r="FE32" s="130"/>
      <c r="FF32" s="130"/>
      <c r="FG32" s="130"/>
      <c r="FH32" s="130"/>
      <c r="FI32" s="130"/>
      <c r="FJ32" s="130"/>
      <c r="FK32" s="130"/>
      <c r="FL32" s="130"/>
      <c r="FM32" s="130"/>
      <c r="FN32" s="130"/>
      <c r="FO32" s="130"/>
      <c r="FP32" s="130"/>
      <c r="FQ32" s="130"/>
      <c r="FR32" s="130"/>
      <c r="FS32" s="130"/>
      <c r="FT32" s="130"/>
      <c r="FU32" s="130"/>
      <c r="FV32" s="130"/>
      <c r="FW32" s="130"/>
      <c r="FX32" s="130"/>
      <c r="FY32" s="130"/>
      <c r="FZ32" s="130"/>
      <c r="GA32" s="130"/>
      <c r="GB32" s="130"/>
      <c r="GC32" s="130"/>
      <c r="GD32" s="130"/>
      <c r="GE32" s="130"/>
      <c r="GF32" s="130"/>
      <c r="GG32" s="130"/>
      <c r="GH32" s="130"/>
      <c r="GI32" s="130"/>
      <c r="GJ32" s="130"/>
      <c r="GK32" s="130"/>
      <c r="GL32" s="130"/>
      <c r="GM32" s="130"/>
      <c r="GN32" s="130"/>
      <c r="GO32" s="130"/>
      <c r="GP32" s="130"/>
      <c r="GQ32" s="130"/>
      <c r="GR32" s="130"/>
      <c r="GS32" s="130"/>
      <c r="GT32" s="130"/>
      <c r="GU32" s="130"/>
      <c r="GV32" s="130"/>
      <c r="GW32" s="130"/>
      <c r="GX32" s="130"/>
      <c r="GY32" s="130"/>
      <c r="GZ32" s="130"/>
      <c r="HA32" s="130"/>
      <c r="HB32" s="130"/>
      <c r="HC32" s="130"/>
      <c r="HD32" s="130"/>
      <c r="HE32" s="130"/>
      <c r="HF32" s="130"/>
      <c r="HG32" s="130"/>
      <c r="HH32" s="130"/>
      <c r="HI32" s="130"/>
      <c r="HJ32" s="130"/>
      <c r="HK32" s="130"/>
      <c r="HL32" s="130"/>
      <c r="HM32" s="130"/>
      <c r="HN32" s="130"/>
      <c r="HO32" s="130"/>
      <c r="HP32" s="130"/>
      <c r="HQ32" s="130"/>
      <c r="HR32" s="130"/>
      <c r="HS32" s="130"/>
      <c r="HT32" s="130"/>
      <c r="HU32" s="130"/>
      <c r="HV32" s="130"/>
      <c r="HW32" s="130"/>
      <c r="HX32" s="130"/>
      <c r="HY32" s="130"/>
      <c r="HZ32" s="130"/>
      <c r="IA32" s="130"/>
      <c r="IB32" s="130"/>
      <c r="IC32" s="130"/>
      <c r="ID32" s="130"/>
      <c r="IE32" s="130"/>
      <c r="IF32" s="130"/>
      <c r="IG32" s="130"/>
      <c r="IH32" s="130"/>
      <c r="II32" s="130"/>
      <c r="IJ32" s="130"/>
      <c r="IK32" s="130"/>
      <c r="IL32" s="130"/>
      <c r="IM32" s="130"/>
      <c r="IN32" s="130"/>
      <c r="IO32" s="130"/>
      <c r="IP32" s="130"/>
      <c r="IQ32" s="130"/>
      <c r="IR32" s="130"/>
      <c r="IS32" s="130"/>
      <c r="IT32" s="130"/>
      <c r="IU32" s="130"/>
      <c r="IV32" s="130"/>
      <c r="IW32" s="130"/>
      <c r="IX32" s="130"/>
      <c r="IY32" s="130"/>
      <c r="IZ32" s="130"/>
      <c r="JA32" s="130"/>
      <c r="JB32" s="130"/>
      <c r="JC32" s="130"/>
      <c r="JD32" s="130"/>
      <c r="JE32" s="130"/>
      <c r="JF32" s="130"/>
      <c r="JG32" s="130"/>
    </row>
    <row r="33" spans="1:267" ht="19.5">
      <c r="A33" s="1541" t="s">
        <v>311</v>
      </c>
      <c r="B33" s="1541"/>
      <c r="C33" s="1541"/>
      <c r="D33" s="1541"/>
      <c r="E33" s="1541"/>
      <c r="F33" s="1541"/>
      <c r="G33" s="1541"/>
      <c r="H33" s="1541"/>
      <c r="I33" s="1541"/>
      <c r="J33" s="1541"/>
      <c r="K33" s="1541"/>
      <c r="L33" s="1541"/>
      <c r="M33" s="1541"/>
      <c r="N33" s="1541"/>
      <c r="O33" s="1541"/>
      <c r="P33" s="1541"/>
      <c r="Q33" s="1541"/>
      <c r="R33" s="1541"/>
      <c r="S33" s="1541"/>
      <c r="T33" s="252"/>
      <c r="U33" s="130"/>
      <c r="V33" s="130"/>
      <c r="W33" s="130"/>
      <c r="X33" s="130"/>
      <c r="Y33" s="130"/>
      <c r="Z33" s="253"/>
      <c r="AA33" s="130"/>
      <c r="AB33" s="130"/>
      <c r="AC33" s="231"/>
      <c r="AD33" s="231"/>
      <c r="AE33" s="231"/>
      <c r="AF33" s="24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  <c r="CK33" s="130"/>
      <c r="CL33" s="130"/>
      <c r="CM33" s="130"/>
      <c r="CN33" s="130"/>
      <c r="CO33" s="130"/>
      <c r="CP33" s="130"/>
      <c r="CQ33" s="130"/>
      <c r="CR33" s="130"/>
      <c r="CS33" s="130"/>
      <c r="CT33" s="130"/>
      <c r="CU33" s="130"/>
      <c r="CV33" s="130"/>
      <c r="CW33" s="130"/>
      <c r="CX33" s="130"/>
      <c r="CY33" s="130"/>
      <c r="CZ33" s="130"/>
      <c r="DA33" s="130"/>
      <c r="DB33" s="130"/>
      <c r="DC33" s="130"/>
      <c r="DD33" s="130"/>
      <c r="DE33" s="130"/>
      <c r="DF33" s="130"/>
      <c r="DG33" s="130"/>
      <c r="DH33" s="130"/>
      <c r="DI33" s="130"/>
      <c r="DJ33" s="130"/>
      <c r="DK33" s="130"/>
      <c r="DL33" s="130"/>
      <c r="DM33" s="130"/>
      <c r="DN33" s="130"/>
      <c r="DO33" s="130"/>
      <c r="DP33" s="130"/>
      <c r="DQ33" s="130"/>
      <c r="DR33" s="130"/>
      <c r="DS33" s="130"/>
      <c r="DT33" s="130"/>
      <c r="DU33" s="130"/>
      <c r="DV33" s="130"/>
      <c r="DW33" s="130"/>
      <c r="DX33" s="130"/>
      <c r="DY33" s="130"/>
      <c r="DZ33" s="130"/>
      <c r="EA33" s="130"/>
      <c r="EB33" s="130"/>
      <c r="EC33" s="130"/>
      <c r="ED33" s="130"/>
      <c r="EE33" s="130"/>
      <c r="EF33" s="130"/>
      <c r="EG33" s="130"/>
      <c r="EH33" s="130"/>
      <c r="EI33" s="130"/>
      <c r="EJ33" s="130"/>
      <c r="EK33" s="130"/>
      <c r="EL33" s="130"/>
      <c r="EM33" s="130"/>
      <c r="EN33" s="130"/>
      <c r="EO33" s="130"/>
      <c r="EP33" s="130"/>
      <c r="EQ33" s="130"/>
      <c r="ER33" s="130"/>
      <c r="ES33" s="130"/>
      <c r="ET33" s="130"/>
      <c r="EU33" s="130"/>
      <c r="EV33" s="130"/>
      <c r="EW33" s="130"/>
      <c r="EX33" s="130"/>
      <c r="EY33" s="130"/>
      <c r="EZ33" s="130"/>
      <c r="FA33" s="130"/>
      <c r="FB33" s="130"/>
      <c r="FC33" s="130"/>
      <c r="FD33" s="130"/>
      <c r="FE33" s="130"/>
      <c r="FF33" s="130"/>
      <c r="FG33" s="130"/>
      <c r="FH33" s="130"/>
      <c r="FI33" s="130"/>
      <c r="FJ33" s="130"/>
      <c r="FK33" s="130"/>
      <c r="FL33" s="130"/>
      <c r="FM33" s="130"/>
      <c r="FN33" s="130"/>
      <c r="FO33" s="130"/>
      <c r="FP33" s="130"/>
      <c r="FQ33" s="130"/>
      <c r="FR33" s="130"/>
      <c r="FS33" s="130"/>
      <c r="FT33" s="130"/>
      <c r="FU33" s="130"/>
      <c r="FV33" s="130"/>
      <c r="FW33" s="130"/>
      <c r="FX33" s="130"/>
      <c r="FY33" s="130"/>
      <c r="FZ33" s="130"/>
      <c r="GA33" s="130"/>
      <c r="GB33" s="130"/>
      <c r="GC33" s="130"/>
      <c r="GD33" s="130"/>
      <c r="GE33" s="130"/>
      <c r="GF33" s="130"/>
      <c r="GG33" s="130"/>
      <c r="GH33" s="130"/>
      <c r="GI33" s="130"/>
      <c r="GJ33" s="130"/>
      <c r="GK33" s="130"/>
      <c r="GL33" s="130"/>
      <c r="GM33" s="130"/>
      <c r="GN33" s="130"/>
      <c r="GO33" s="130"/>
      <c r="GP33" s="130"/>
      <c r="GQ33" s="130"/>
      <c r="GR33" s="130"/>
      <c r="GS33" s="130"/>
      <c r="GT33" s="130"/>
      <c r="GU33" s="130"/>
      <c r="GV33" s="130"/>
      <c r="GW33" s="130"/>
      <c r="GX33" s="130"/>
      <c r="GY33" s="130"/>
      <c r="GZ33" s="130"/>
      <c r="HA33" s="130"/>
      <c r="HB33" s="130"/>
      <c r="HC33" s="130"/>
      <c r="HD33" s="130"/>
      <c r="HE33" s="130"/>
      <c r="HF33" s="130"/>
      <c r="HG33" s="130"/>
      <c r="HH33" s="130"/>
      <c r="HI33" s="130"/>
      <c r="HJ33" s="130"/>
      <c r="HK33" s="130"/>
      <c r="HL33" s="130"/>
      <c r="HM33" s="130"/>
      <c r="HN33" s="130"/>
      <c r="HO33" s="130"/>
      <c r="HP33" s="130"/>
      <c r="HQ33" s="130"/>
      <c r="HR33" s="130"/>
      <c r="HS33" s="130"/>
      <c r="HT33" s="130"/>
      <c r="HU33" s="130"/>
      <c r="HV33" s="130"/>
      <c r="HW33" s="130"/>
      <c r="HX33" s="130"/>
      <c r="HY33" s="130"/>
      <c r="HZ33" s="130"/>
      <c r="IA33" s="130"/>
      <c r="IB33" s="130"/>
      <c r="IC33" s="130"/>
      <c r="ID33" s="130"/>
      <c r="IE33" s="130"/>
      <c r="IF33" s="130"/>
      <c r="IG33" s="130"/>
      <c r="IH33" s="130"/>
      <c r="II33" s="130"/>
      <c r="IJ33" s="130"/>
      <c r="IK33" s="130"/>
      <c r="IL33" s="130"/>
      <c r="IM33" s="130"/>
      <c r="IN33" s="130"/>
      <c r="IO33" s="130"/>
      <c r="IP33" s="130"/>
      <c r="IQ33" s="130"/>
      <c r="IR33" s="130"/>
      <c r="IS33" s="130"/>
      <c r="IT33" s="130"/>
      <c r="IU33" s="130"/>
      <c r="IV33" s="130"/>
      <c r="IW33" s="130"/>
      <c r="IX33" s="130"/>
      <c r="IY33" s="130"/>
      <c r="IZ33" s="130"/>
      <c r="JA33" s="130"/>
      <c r="JB33" s="130"/>
      <c r="JC33" s="130"/>
      <c r="JD33" s="130"/>
      <c r="JE33" s="130"/>
      <c r="JF33" s="130"/>
      <c r="JG33" s="130"/>
    </row>
    <row r="34" spans="1:267" ht="19.5">
      <c r="A34" s="349"/>
      <c r="B34" s="349"/>
      <c r="C34" s="349"/>
      <c r="D34" s="349"/>
      <c r="E34" s="349"/>
      <c r="F34" s="349"/>
      <c r="G34" s="349"/>
      <c r="H34" s="350"/>
      <c r="I34" s="350"/>
      <c r="J34" s="350"/>
      <c r="K34" s="350"/>
      <c r="L34" s="350"/>
      <c r="M34" s="350"/>
      <c r="N34" s="349"/>
      <c r="O34" s="349"/>
      <c r="P34" s="349"/>
      <c r="Q34" s="349"/>
      <c r="R34" s="350"/>
      <c r="S34" s="350"/>
      <c r="T34" s="252"/>
      <c r="U34" s="130"/>
      <c r="V34" s="130"/>
      <c r="W34" s="130"/>
      <c r="X34" s="130"/>
      <c r="Y34" s="130"/>
      <c r="Z34" s="253"/>
      <c r="AA34" s="130"/>
      <c r="AB34" s="130"/>
      <c r="AC34" s="231"/>
      <c r="AD34" s="231"/>
      <c r="AE34" s="231"/>
      <c r="AF34" s="24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  <c r="CK34" s="130"/>
      <c r="CL34" s="130"/>
      <c r="CM34" s="130"/>
      <c r="CN34" s="130"/>
      <c r="CO34" s="130"/>
      <c r="CP34" s="130"/>
      <c r="CQ34" s="130"/>
      <c r="CR34" s="130"/>
      <c r="CS34" s="130"/>
      <c r="CT34" s="130"/>
      <c r="CU34" s="130"/>
      <c r="CV34" s="130"/>
      <c r="CW34" s="130"/>
      <c r="CX34" s="130"/>
      <c r="CY34" s="130"/>
      <c r="CZ34" s="130"/>
      <c r="DA34" s="130"/>
      <c r="DB34" s="130"/>
      <c r="DC34" s="130"/>
      <c r="DD34" s="130"/>
      <c r="DE34" s="130"/>
      <c r="DF34" s="130"/>
      <c r="DG34" s="130"/>
      <c r="DH34" s="130"/>
      <c r="DI34" s="130"/>
      <c r="DJ34" s="130"/>
      <c r="DK34" s="130"/>
      <c r="DL34" s="130"/>
      <c r="DM34" s="130"/>
      <c r="DN34" s="130"/>
      <c r="DO34" s="130"/>
      <c r="DP34" s="130"/>
      <c r="DQ34" s="130"/>
      <c r="DR34" s="130"/>
      <c r="DS34" s="130"/>
      <c r="DT34" s="130"/>
      <c r="DU34" s="130"/>
      <c r="DV34" s="130"/>
      <c r="DW34" s="130"/>
      <c r="DX34" s="130"/>
      <c r="DY34" s="130"/>
      <c r="DZ34" s="130"/>
      <c r="EA34" s="130"/>
      <c r="EB34" s="130"/>
      <c r="EC34" s="130"/>
      <c r="ED34" s="130"/>
      <c r="EE34" s="130"/>
      <c r="EF34" s="130"/>
      <c r="EG34" s="130"/>
      <c r="EH34" s="130"/>
      <c r="EI34" s="130"/>
      <c r="EJ34" s="130"/>
      <c r="EK34" s="130"/>
      <c r="EL34" s="130"/>
      <c r="EM34" s="130"/>
      <c r="EN34" s="130"/>
      <c r="EO34" s="130"/>
      <c r="EP34" s="130"/>
      <c r="EQ34" s="130"/>
      <c r="ER34" s="130"/>
      <c r="ES34" s="130"/>
      <c r="ET34" s="130"/>
      <c r="EU34" s="130"/>
      <c r="EV34" s="130"/>
      <c r="EW34" s="130"/>
      <c r="EX34" s="130"/>
      <c r="EY34" s="130"/>
      <c r="EZ34" s="130"/>
      <c r="FA34" s="130"/>
      <c r="FB34" s="130"/>
      <c r="FC34" s="130"/>
      <c r="FD34" s="130"/>
      <c r="FE34" s="130"/>
      <c r="FF34" s="130"/>
      <c r="FG34" s="130"/>
      <c r="FH34" s="130"/>
      <c r="FI34" s="130"/>
      <c r="FJ34" s="130"/>
      <c r="FK34" s="130"/>
      <c r="FL34" s="130"/>
      <c r="FM34" s="130"/>
      <c r="FN34" s="130"/>
      <c r="FO34" s="130"/>
      <c r="FP34" s="130"/>
      <c r="FQ34" s="130"/>
      <c r="FR34" s="130"/>
      <c r="FS34" s="130"/>
      <c r="FT34" s="130"/>
      <c r="FU34" s="130"/>
      <c r="FV34" s="130"/>
      <c r="FW34" s="130"/>
      <c r="FX34" s="130"/>
      <c r="FY34" s="130"/>
      <c r="FZ34" s="130"/>
      <c r="GA34" s="130"/>
      <c r="GB34" s="130"/>
      <c r="GC34" s="130"/>
      <c r="GD34" s="130"/>
      <c r="GE34" s="130"/>
      <c r="GF34" s="130"/>
      <c r="GG34" s="130"/>
      <c r="GH34" s="130"/>
      <c r="GI34" s="130"/>
      <c r="GJ34" s="130"/>
      <c r="GK34" s="130"/>
      <c r="GL34" s="130"/>
      <c r="GM34" s="130"/>
      <c r="GN34" s="130"/>
      <c r="GO34" s="130"/>
      <c r="GP34" s="130"/>
      <c r="GQ34" s="130"/>
      <c r="GR34" s="130"/>
      <c r="GS34" s="130"/>
      <c r="GT34" s="130"/>
      <c r="GU34" s="130"/>
      <c r="GV34" s="130"/>
      <c r="GW34" s="130"/>
      <c r="GX34" s="130"/>
      <c r="GY34" s="130"/>
      <c r="GZ34" s="130"/>
      <c r="HA34" s="130"/>
      <c r="HB34" s="130"/>
      <c r="HC34" s="130"/>
      <c r="HD34" s="130"/>
      <c r="HE34" s="130"/>
      <c r="HF34" s="130"/>
      <c r="HG34" s="130"/>
      <c r="HH34" s="130"/>
      <c r="HI34" s="130"/>
      <c r="HJ34" s="130"/>
      <c r="HK34" s="130"/>
      <c r="HL34" s="130"/>
      <c r="HM34" s="130"/>
      <c r="HN34" s="130"/>
      <c r="HO34" s="130"/>
      <c r="HP34" s="130"/>
      <c r="HQ34" s="130"/>
      <c r="HR34" s="130"/>
      <c r="HS34" s="130"/>
      <c r="HT34" s="130"/>
      <c r="HU34" s="130"/>
      <c r="HV34" s="130"/>
      <c r="HW34" s="130"/>
      <c r="HX34" s="130"/>
      <c r="HY34" s="130"/>
      <c r="HZ34" s="130"/>
      <c r="IA34" s="130"/>
      <c r="IB34" s="130"/>
      <c r="IC34" s="130"/>
      <c r="ID34" s="130"/>
      <c r="IE34" s="130"/>
      <c r="IF34" s="130"/>
      <c r="IG34" s="130"/>
      <c r="IH34" s="130"/>
      <c r="II34" s="130"/>
      <c r="IJ34" s="130"/>
      <c r="IK34" s="130"/>
      <c r="IL34" s="130"/>
      <c r="IM34" s="130"/>
      <c r="IN34" s="130"/>
      <c r="IO34" s="130"/>
      <c r="IP34" s="130"/>
      <c r="IQ34" s="130"/>
      <c r="IR34" s="130"/>
      <c r="IS34" s="130"/>
      <c r="IT34" s="130"/>
      <c r="IU34" s="130"/>
      <c r="IV34" s="130"/>
      <c r="IW34" s="130"/>
      <c r="IX34" s="130"/>
      <c r="IY34" s="130"/>
      <c r="IZ34" s="130"/>
      <c r="JA34" s="130"/>
      <c r="JB34" s="130"/>
      <c r="JC34" s="130"/>
      <c r="JD34" s="130"/>
      <c r="JE34" s="130"/>
      <c r="JF34" s="130"/>
      <c r="JG34" s="130"/>
    </row>
    <row r="35" spans="1:267" ht="16.5">
      <c r="A35" s="130"/>
      <c r="B35" s="130"/>
      <c r="C35" s="130"/>
      <c r="D35" s="130"/>
      <c r="E35" s="130"/>
      <c r="F35" s="130"/>
      <c r="G35" s="130"/>
      <c r="H35" s="249"/>
      <c r="I35" s="249"/>
      <c r="J35" s="249"/>
      <c r="K35" s="249"/>
      <c r="L35" s="249"/>
      <c r="M35" s="249"/>
      <c r="N35" s="130"/>
      <c r="O35" s="130"/>
      <c r="P35" s="130"/>
      <c r="Q35" s="130"/>
      <c r="R35" s="249"/>
      <c r="S35" s="249"/>
      <c r="T35" s="252"/>
      <c r="U35" s="130"/>
      <c r="V35" s="130"/>
      <c r="W35" s="130"/>
      <c r="X35" s="130"/>
      <c r="Y35" s="130"/>
      <c r="Z35" s="253"/>
      <c r="AA35" s="130"/>
      <c r="AB35" s="130"/>
      <c r="AC35" s="231"/>
      <c r="AD35" s="231"/>
      <c r="AE35" s="231"/>
      <c r="AF35" s="24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  <c r="CK35" s="130"/>
      <c r="CL35" s="130"/>
      <c r="CM35" s="130"/>
      <c r="CN35" s="130"/>
      <c r="CO35" s="130"/>
      <c r="CP35" s="130"/>
      <c r="CQ35" s="130"/>
      <c r="CR35" s="130"/>
      <c r="CS35" s="130"/>
      <c r="CT35" s="130"/>
      <c r="CU35" s="130"/>
      <c r="CV35" s="130"/>
      <c r="CW35" s="130"/>
      <c r="CX35" s="130"/>
      <c r="CY35" s="130"/>
      <c r="CZ35" s="130"/>
      <c r="DA35" s="130"/>
      <c r="DB35" s="130"/>
      <c r="DC35" s="130"/>
      <c r="DD35" s="130"/>
      <c r="DE35" s="130"/>
      <c r="DF35" s="130"/>
      <c r="DG35" s="130"/>
      <c r="DH35" s="130"/>
      <c r="DI35" s="130"/>
      <c r="DJ35" s="130"/>
      <c r="DK35" s="130"/>
      <c r="DL35" s="130"/>
      <c r="DM35" s="130"/>
      <c r="DN35" s="130"/>
      <c r="DO35" s="130"/>
      <c r="DP35" s="130"/>
      <c r="DQ35" s="130"/>
      <c r="DR35" s="130"/>
      <c r="DS35" s="130"/>
      <c r="DT35" s="130"/>
      <c r="DU35" s="130"/>
      <c r="DV35" s="130"/>
      <c r="DW35" s="130"/>
      <c r="DX35" s="130"/>
      <c r="DY35" s="130"/>
      <c r="DZ35" s="130"/>
      <c r="EA35" s="130"/>
      <c r="EB35" s="130"/>
      <c r="EC35" s="130"/>
      <c r="ED35" s="130"/>
      <c r="EE35" s="130"/>
      <c r="EF35" s="130"/>
      <c r="EG35" s="130"/>
      <c r="EH35" s="130"/>
      <c r="EI35" s="130"/>
      <c r="EJ35" s="130"/>
      <c r="EK35" s="130"/>
      <c r="EL35" s="130"/>
      <c r="EM35" s="130"/>
      <c r="EN35" s="130"/>
      <c r="EO35" s="130"/>
      <c r="EP35" s="130"/>
      <c r="EQ35" s="130"/>
      <c r="ER35" s="130"/>
      <c r="ES35" s="130"/>
      <c r="ET35" s="130"/>
      <c r="EU35" s="130"/>
      <c r="EV35" s="130"/>
      <c r="EW35" s="130"/>
      <c r="EX35" s="130"/>
      <c r="EY35" s="130"/>
      <c r="EZ35" s="130"/>
      <c r="FA35" s="130"/>
      <c r="FB35" s="130"/>
      <c r="FC35" s="130"/>
      <c r="FD35" s="130"/>
      <c r="FE35" s="130"/>
      <c r="FF35" s="130"/>
      <c r="FG35" s="130"/>
      <c r="FH35" s="130"/>
      <c r="FI35" s="130"/>
      <c r="FJ35" s="130"/>
      <c r="FK35" s="130"/>
      <c r="FL35" s="130"/>
      <c r="FM35" s="130"/>
      <c r="FN35" s="130"/>
      <c r="FO35" s="130"/>
      <c r="FP35" s="130"/>
      <c r="FQ35" s="130"/>
      <c r="FR35" s="130"/>
      <c r="FS35" s="130"/>
      <c r="FT35" s="130"/>
      <c r="FU35" s="130"/>
      <c r="FV35" s="130"/>
      <c r="FW35" s="130"/>
      <c r="FX35" s="130"/>
      <c r="FY35" s="130"/>
      <c r="FZ35" s="130"/>
      <c r="GA35" s="130"/>
      <c r="GB35" s="130"/>
      <c r="GC35" s="130"/>
      <c r="GD35" s="130"/>
      <c r="GE35" s="130"/>
      <c r="GF35" s="130"/>
      <c r="GG35" s="130"/>
      <c r="GH35" s="130"/>
      <c r="GI35" s="130"/>
      <c r="GJ35" s="130"/>
      <c r="GK35" s="130"/>
      <c r="GL35" s="130"/>
      <c r="GM35" s="130"/>
      <c r="GN35" s="130"/>
      <c r="GO35" s="130"/>
      <c r="GP35" s="130"/>
      <c r="GQ35" s="130"/>
      <c r="GR35" s="130"/>
      <c r="GS35" s="130"/>
      <c r="GT35" s="130"/>
      <c r="GU35" s="130"/>
      <c r="GV35" s="130"/>
      <c r="GW35" s="130"/>
      <c r="GX35" s="130"/>
      <c r="GY35" s="130"/>
      <c r="GZ35" s="130"/>
      <c r="HA35" s="130"/>
      <c r="HB35" s="130"/>
      <c r="HC35" s="130"/>
      <c r="HD35" s="130"/>
      <c r="HE35" s="130"/>
      <c r="HF35" s="130"/>
      <c r="HG35" s="130"/>
      <c r="HH35" s="130"/>
      <c r="HI35" s="130"/>
      <c r="HJ35" s="130"/>
      <c r="HK35" s="130"/>
      <c r="HL35" s="130"/>
      <c r="HM35" s="130"/>
      <c r="HN35" s="130"/>
      <c r="HO35" s="130"/>
      <c r="HP35" s="130"/>
      <c r="HQ35" s="130"/>
      <c r="HR35" s="130"/>
      <c r="HS35" s="130"/>
      <c r="HT35" s="130"/>
      <c r="HU35" s="130"/>
      <c r="HV35" s="130"/>
      <c r="HW35" s="130"/>
      <c r="HX35" s="130"/>
      <c r="HY35" s="130"/>
      <c r="HZ35" s="130"/>
      <c r="IA35" s="130"/>
      <c r="IB35" s="130"/>
      <c r="IC35" s="130"/>
      <c r="ID35" s="130"/>
      <c r="IE35" s="130"/>
      <c r="IF35" s="130"/>
      <c r="IG35" s="130"/>
      <c r="IH35" s="130"/>
      <c r="II35" s="130"/>
      <c r="IJ35" s="130"/>
      <c r="IK35" s="130"/>
      <c r="IL35" s="130"/>
      <c r="IM35" s="130"/>
      <c r="IN35" s="130"/>
      <c r="IO35" s="130"/>
      <c r="IP35" s="130"/>
      <c r="IQ35" s="130"/>
      <c r="IR35" s="130"/>
      <c r="IS35" s="130"/>
      <c r="IT35" s="130"/>
      <c r="IU35" s="130"/>
      <c r="IV35" s="130"/>
      <c r="IW35" s="130"/>
      <c r="IX35" s="130"/>
      <c r="IY35" s="130"/>
      <c r="IZ35" s="130"/>
      <c r="JA35" s="130"/>
      <c r="JB35" s="130"/>
      <c r="JC35" s="130"/>
      <c r="JD35" s="130"/>
      <c r="JE35" s="130"/>
      <c r="JF35" s="130"/>
      <c r="JG35" s="130"/>
    </row>
    <row r="36" spans="1:267" ht="16.5">
      <c r="A36" s="130"/>
      <c r="B36" s="130"/>
      <c r="C36" s="130"/>
      <c r="D36" s="130"/>
      <c r="E36" s="130"/>
      <c r="F36" s="130" t="s">
        <v>695</v>
      </c>
      <c r="G36" s="130"/>
      <c r="H36" s="249"/>
      <c r="I36" s="249"/>
      <c r="J36" s="249"/>
      <c r="K36" s="249"/>
      <c r="L36" s="249"/>
      <c r="M36" s="249"/>
      <c r="N36" s="130"/>
      <c r="O36" s="130"/>
      <c r="P36" s="130"/>
      <c r="Q36" s="130"/>
      <c r="R36" s="249"/>
      <c r="S36" s="249"/>
      <c r="T36" s="252"/>
      <c r="U36" s="130"/>
      <c r="V36" s="130"/>
      <c r="W36" s="130"/>
      <c r="X36" s="130"/>
      <c r="Y36" s="130"/>
      <c r="Z36" s="253"/>
      <c r="AA36" s="130"/>
      <c r="AB36" s="130"/>
      <c r="AC36" s="231"/>
      <c r="AD36" s="231"/>
      <c r="AE36" s="231"/>
      <c r="AF36" s="24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  <c r="BN36" s="130"/>
      <c r="BO36" s="130"/>
      <c r="BP36" s="130"/>
      <c r="BQ36" s="130"/>
      <c r="BR36" s="130"/>
      <c r="BS36" s="130"/>
      <c r="BT36" s="130"/>
      <c r="BU36" s="130"/>
      <c r="BV36" s="130"/>
      <c r="BW36" s="130"/>
      <c r="BX36" s="130"/>
      <c r="BY36" s="130"/>
      <c r="BZ36" s="130"/>
      <c r="CA36" s="130"/>
      <c r="CB36" s="130"/>
      <c r="CC36" s="130"/>
      <c r="CD36" s="130"/>
      <c r="CE36" s="130"/>
      <c r="CF36" s="130"/>
      <c r="CG36" s="130"/>
      <c r="CH36" s="130"/>
      <c r="CI36" s="130"/>
      <c r="CJ36" s="130"/>
      <c r="CK36" s="130"/>
      <c r="CL36" s="130"/>
      <c r="CM36" s="130"/>
      <c r="CN36" s="130"/>
      <c r="CO36" s="130"/>
      <c r="CP36" s="130"/>
      <c r="CQ36" s="130"/>
      <c r="CR36" s="130"/>
      <c r="CS36" s="130"/>
      <c r="CT36" s="130"/>
      <c r="CU36" s="130"/>
      <c r="CV36" s="130"/>
      <c r="CW36" s="130"/>
      <c r="CX36" s="130"/>
      <c r="CY36" s="130"/>
      <c r="CZ36" s="130"/>
      <c r="DA36" s="130"/>
      <c r="DB36" s="130"/>
      <c r="DC36" s="130"/>
      <c r="DD36" s="130"/>
      <c r="DE36" s="130"/>
      <c r="DF36" s="130"/>
      <c r="DG36" s="130"/>
      <c r="DH36" s="130"/>
      <c r="DI36" s="130"/>
      <c r="DJ36" s="130"/>
      <c r="DK36" s="130"/>
      <c r="DL36" s="130"/>
      <c r="DM36" s="130"/>
      <c r="DN36" s="130"/>
      <c r="DO36" s="130"/>
      <c r="DP36" s="130"/>
      <c r="DQ36" s="130"/>
      <c r="DR36" s="130"/>
      <c r="DS36" s="130"/>
      <c r="DT36" s="130"/>
      <c r="DU36" s="130"/>
      <c r="DV36" s="130"/>
      <c r="DW36" s="130"/>
      <c r="DX36" s="130"/>
      <c r="DY36" s="130"/>
      <c r="DZ36" s="130"/>
      <c r="EA36" s="130"/>
      <c r="EB36" s="130"/>
      <c r="EC36" s="130"/>
      <c r="ED36" s="130"/>
      <c r="EE36" s="130"/>
      <c r="EF36" s="130"/>
      <c r="EG36" s="130"/>
      <c r="EH36" s="130"/>
      <c r="EI36" s="130"/>
      <c r="EJ36" s="130"/>
      <c r="EK36" s="130"/>
      <c r="EL36" s="130"/>
      <c r="EM36" s="130"/>
      <c r="EN36" s="130"/>
      <c r="EO36" s="130"/>
      <c r="EP36" s="130"/>
      <c r="EQ36" s="130"/>
      <c r="ER36" s="130"/>
      <c r="ES36" s="130"/>
      <c r="ET36" s="130"/>
      <c r="EU36" s="130"/>
      <c r="EV36" s="130"/>
      <c r="EW36" s="130"/>
      <c r="EX36" s="130"/>
      <c r="EY36" s="130"/>
      <c r="EZ36" s="130"/>
      <c r="FA36" s="130"/>
      <c r="FB36" s="130"/>
      <c r="FC36" s="130"/>
      <c r="FD36" s="130"/>
      <c r="FE36" s="130"/>
      <c r="FF36" s="130"/>
      <c r="FG36" s="130"/>
      <c r="FH36" s="130"/>
      <c r="FI36" s="130"/>
      <c r="FJ36" s="130"/>
      <c r="FK36" s="130"/>
      <c r="FL36" s="130"/>
      <c r="FM36" s="130"/>
      <c r="FN36" s="130"/>
      <c r="FO36" s="130"/>
      <c r="FP36" s="130"/>
      <c r="FQ36" s="130"/>
      <c r="FR36" s="130"/>
      <c r="FS36" s="130"/>
      <c r="FT36" s="130"/>
      <c r="FU36" s="130"/>
      <c r="FV36" s="130"/>
      <c r="FW36" s="130"/>
      <c r="FX36" s="130"/>
      <c r="FY36" s="130"/>
      <c r="FZ36" s="130"/>
      <c r="GA36" s="130"/>
      <c r="GB36" s="130"/>
      <c r="GC36" s="130"/>
      <c r="GD36" s="130"/>
      <c r="GE36" s="130"/>
      <c r="GF36" s="130"/>
      <c r="GG36" s="130"/>
      <c r="GH36" s="130"/>
      <c r="GI36" s="130"/>
      <c r="GJ36" s="130"/>
      <c r="GK36" s="130"/>
      <c r="GL36" s="130"/>
      <c r="GM36" s="130"/>
      <c r="GN36" s="130"/>
      <c r="GO36" s="130"/>
      <c r="GP36" s="130"/>
      <c r="GQ36" s="130"/>
      <c r="GR36" s="130"/>
      <c r="GS36" s="130"/>
      <c r="GT36" s="130"/>
      <c r="GU36" s="130"/>
      <c r="GV36" s="130"/>
      <c r="GW36" s="130"/>
      <c r="GX36" s="130"/>
      <c r="GY36" s="130"/>
      <c r="GZ36" s="130"/>
      <c r="HA36" s="130"/>
      <c r="HB36" s="130"/>
      <c r="HC36" s="130"/>
      <c r="HD36" s="130"/>
      <c r="HE36" s="130"/>
      <c r="HF36" s="130"/>
      <c r="HG36" s="130"/>
      <c r="HH36" s="130"/>
      <c r="HI36" s="130"/>
      <c r="HJ36" s="130"/>
      <c r="HK36" s="130"/>
      <c r="HL36" s="130"/>
      <c r="HM36" s="130"/>
      <c r="HN36" s="130"/>
      <c r="HO36" s="130"/>
      <c r="HP36" s="130"/>
      <c r="HQ36" s="130"/>
      <c r="HR36" s="130"/>
      <c r="HS36" s="130"/>
      <c r="HT36" s="130"/>
      <c r="HU36" s="130"/>
      <c r="HV36" s="130"/>
      <c r="HW36" s="130"/>
      <c r="HX36" s="130"/>
      <c r="HY36" s="130"/>
      <c r="HZ36" s="130"/>
      <c r="IA36" s="130"/>
      <c r="IB36" s="130"/>
      <c r="IC36" s="130"/>
      <c r="ID36" s="130"/>
      <c r="IE36" s="130"/>
      <c r="IF36" s="130"/>
      <c r="IG36" s="130"/>
      <c r="IH36" s="130"/>
      <c r="II36" s="130"/>
      <c r="IJ36" s="130"/>
      <c r="IK36" s="130"/>
      <c r="IL36" s="130"/>
      <c r="IM36" s="130"/>
      <c r="IN36" s="130"/>
      <c r="IO36" s="130"/>
      <c r="IP36" s="130"/>
      <c r="IQ36" s="130"/>
      <c r="IR36" s="130"/>
      <c r="IS36" s="130"/>
      <c r="IT36" s="130"/>
      <c r="IU36" s="130"/>
      <c r="IV36" s="130"/>
      <c r="IW36" s="130"/>
      <c r="IX36" s="130"/>
      <c r="IY36" s="130"/>
      <c r="IZ36" s="130"/>
      <c r="JA36" s="130"/>
      <c r="JB36" s="130"/>
      <c r="JC36" s="130"/>
      <c r="JD36" s="130"/>
      <c r="JE36" s="130"/>
      <c r="JF36" s="130"/>
      <c r="JG36" s="130"/>
    </row>
    <row r="37" spans="1:267" ht="16.5">
      <c r="A37" s="130"/>
      <c r="B37" s="130"/>
      <c r="C37" s="130"/>
      <c r="D37" s="130"/>
      <c r="E37" s="130"/>
      <c r="F37" s="130"/>
      <c r="G37" s="130"/>
      <c r="H37" s="249"/>
      <c r="I37" s="249"/>
      <c r="J37" s="249"/>
      <c r="K37" s="249"/>
      <c r="L37" s="249"/>
      <c r="M37" s="249"/>
      <c r="N37" s="130"/>
      <c r="O37" s="130"/>
      <c r="P37" s="130"/>
      <c r="Q37" s="130"/>
      <c r="R37" s="249"/>
      <c r="S37" s="249"/>
      <c r="T37" s="252"/>
      <c r="U37" s="130"/>
      <c r="V37" s="130"/>
      <c r="W37" s="130"/>
      <c r="X37" s="130"/>
      <c r="Y37" s="130"/>
      <c r="Z37" s="253"/>
      <c r="AA37" s="130"/>
      <c r="AB37" s="130"/>
      <c r="AC37" s="241"/>
      <c r="AD37" s="242"/>
      <c r="AE37" s="242"/>
      <c r="AF37" s="242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  <c r="CF37" s="130"/>
      <c r="CG37" s="130"/>
      <c r="CH37" s="130"/>
      <c r="CI37" s="130"/>
      <c r="CJ37" s="130"/>
      <c r="CK37" s="130"/>
      <c r="CL37" s="130"/>
      <c r="CM37" s="130"/>
      <c r="CN37" s="130"/>
      <c r="CO37" s="130"/>
      <c r="CP37" s="130"/>
      <c r="CQ37" s="130"/>
      <c r="CR37" s="130"/>
      <c r="CS37" s="130"/>
      <c r="CT37" s="130"/>
      <c r="CU37" s="130"/>
      <c r="CV37" s="130"/>
      <c r="CW37" s="130"/>
      <c r="CX37" s="130"/>
      <c r="CY37" s="130"/>
      <c r="CZ37" s="130"/>
      <c r="DA37" s="130"/>
      <c r="DB37" s="130"/>
      <c r="DC37" s="130"/>
      <c r="DD37" s="130"/>
      <c r="DE37" s="130"/>
      <c r="DF37" s="130"/>
      <c r="DG37" s="130"/>
      <c r="DH37" s="130"/>
      <c r="DI37" s="130"/>
      <c r="DJ37" s="130"/>
      <c r="DK37" s="130"/>
      <c r="DL37" s="130"/>
      <c r="DM37" s="130"/>
      <c r="DN37" s="130"/>
      <c r="DO37" s="130"/>
      <c r="DP37" s="130"/>
      <c r="DQ37" s="130"/>
      <c r="DR37" s="130"/>
      <c r="DS37" s="130"/>
      <c r="DT37" s="130"/>
      <c r="DU37" s="130"/>
      <c r="DV37" s="130"/>
      <c r="DW37" s="130"/>
      <c r="DX37" s="130"/>
      <c r="DY37" s="130"/>
      <c r="DZ37" s="130"/>
      <c r="EA37" s="130"/>
      <c r="EB37" s="130"/>
      <c r="EC37" s="130"/>
      <c r="ED37" s="130"/>
      <c r="EE37" s="130"/>
      <c r="EF37" s="130"/>
      <c r="EG37" s="130"/>
      <c r="EH37" s="130"/>
      <c r="EI37" s="130"/>
      <c r="EJ37" s="130"/>
      <c r="EK37" s="130"/>
      <c r="EL37" s="130"/>
      <c r="EM37" s="130"/>
      <c r="EN37" s="130"/>
      <c r="EO37" s="130"/>
      <c r="EP37" s="130"/>
      <c r="EQ37" s="130"/>
      <c r="ER37" s="130"/>
      <c r="ES37" s="130"/>
      <c r="ET37" s="130"/>
      <c r="EU37" s="130"/>
      <c r="EV37" s="130"/>
      <c r="EW37" s="130"/>
      <c r="EX37" s="130"/>
      <c r="EY37" s="130"/>
      <c r="EZ37" s="130"/>
      <c r="FA37" s="130"/>
      <c r="FB37" s="130"/>
      <c r="FC37" s="130"/>
      <c r="FD37" s="130"/>
      <c r="FE37" s="130"/>
      <c r="FF37" s="130"/>
      <c r="FG37" s="130"/>
      <c r="FH37" s="130"/>
      <c r="FI37" s="130"/>
      <c r="FJ37" s="130"/>
      <c r="FK37" s="130"/>
      <c r="FL37" s="130"/>
      <c r="FM37" s="130"/>
      <c r="FN37" s="130"/>
      <c r="FO37" s="130"/>
      <c r="FP37" s="130"/>
      <c r="FQ37" s="130"/>
      <c r="FR37" s="130"/>
      <c r="FS37" s="130"/>
      <c r="FT37" s="130"/>
      <c r="FU37" s="130"/>
      <c r="FV37" s="130"/>
      <c r="FW37" s="130"/>
      <c r="FX37" s="130"/>
      <c r="FY37" s="130"/>
      <c r="FZ37" s="130"/>
      <c r="GA37" s="130"/>
      <c r="GB37" s="130"/>
      <c r="GC37" s="130"/>
      <c r="GD37" s="130"/>
      <c r="GE37" s="130"/>
      <c r="GF37" s="130"/>
      <c r="GG37" s="130"/>
      <c r="GH37" s="130"/>
      <c r="GI37" s="130"/>
      <c r="GJ37" s="130"/>
      <c r="GK37" s="130"/>
      <c r="GL37" s="130"/>
      <c r="GM37" s="130"/>
      <c r="GN37" s="130"/>
      <c r="GO37" s="130"/>
      <c r="GP37" s="130"/>
      <c r="GQ37" s="130"/>
      <c r="GR37" s="130"/>
      <c r="GS37" s="130"/>
      <c r="GT37" s="130"/>
      <c r="GU37" s="130"/>
      <c r="GV37" s="130"/>
      <c r="GW37" s="130"/>
      <c r="GX37" s="130"/>
      <c r="GY37" s="130"/>
      <c r="GZ37" s="130"/>
      <c r="HA37" s="130"/>
      <c r="HB37" s="130"/>
      <c r="HC37" s="130"/>
      <c r="HD37" s="130"/>
      <c r="HE37" s="130"/>
      <c r="HF37" s="130"/>
      <c r="HG37" s="130"/>
      <c r="HH37" s="130"/>
      <c r="HI37" s="130"/>
      <c r="HJ37" s="130"/>
      <c r="HK37" s="130"/>
      <c r="HL37" s="130"/>
      <c r="HM37" s="130"/>
      <c r="HN37" s="130"/>
      <c r="HO37" s="130"/>
      <c r="HP37" s="130"/>
      <c r="HQ37" s="130"/>
      <c r="HR37" s="130"/>
      <c r="HS37" s="130"/>
      <c r="HT37" s="130"/>
      <c r="HU37" s="130"/>
      <c r="HV37" s="130"/>
      <c r="HW37" s="130"/>
      <c r="HX37" s="130"/>
      <c r="HY37" s="130"/>
      <c r="HZ37" s="130"/>
      <c r="IA37" s="130"/>
      <c r="IB37" s="130"/>
      <c r="IC37" s="130"/>
      <c r="ID37" s="130"/>
      <c r="IE37" s="130"/>
      <c r="IF37" s="130"/>
      <c r="IG37" s="130"/>
      <c r="IH37" s="130"/>
      <c r="II37" s="130"/>
      <c r="IJ37" s="130"/>
      <c r="IK37" s="130"/>
      <c r="IL37" s="130"/>
      <c r="IM37" s="130"/>
      <c r="IN37" s="130"/>
      <c r="IO37" s="130"/>
      <c r="IP37" s="130"/>
      <c r="IQ37" s="130"/>
      <c r="IR37" s="130"/>
      <c r="IS37" s="130"/>
      <c r="IT37" s="130"/>
      <c r="IU37" s="130"/>
      <c r="IV37" s="130"/>
      <c r="IW37" s="130"/>
      <c r="IX37" s="130"/>
      <c r="IY37" s="130"/>
      <c r="IZ37" s="130"/>
      <c r="JA37" s="130"/>
      <c r="JB37" s="130"/>
      <c r="JC37" s="130"/>
      <c r="JD37" s="130"/>
      <c r="JE37" s="130"/>
      <c r="JF37" s="130"/>
      <c r="JG37" s="130"/>
    </row>
    <row r="38" spans="1:267" ht="16.5">
      <c r="A38" s="130"/>
      <c r="B38" s="130"/>
      <c r="C38" s="130"/>
      <c r="D38" s="130"/>
      <c r="E38" s="130"/>
      <c r="F38" s="130"/>
      <c r="G38" s="130"/>
      <c r="H38" s="249"/>
      <c r="I38" s="249"/>
      <c r="J38" s="249"/>
      <c r="K38" s="249"/>
      <c r="L38" s="249"/>
      <c r="M38" s="249"/>
      <c r="N38" s="130"/>
      <c r="O38" s="130"/>
      <c r="P38" s="130"/>
      <c r="Q38" s="130"/>
      <c r="R38" s="249"/>
      <c r="S38" s="249"/>
      <c r="T38" s="252"/>
      <c r="U38" s="130"/>
      <c r="V38" s="130"/>
      <c r="W38" s="130"/>
      <c r="X38" s="130"/>
      <c r="Y38" s="130"/>
      <c r="Z38" s="253"/>
      <c r="AA38" s="130"/>
      <c r="AB38" s="130"/>
      <c r="AC38" s="243"/>
      <c r="AD38" s="244"/>
      <c r="AE38" s="244"/>
      <c r="AF38" s="244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  <c r="BN38" s="130"/>
      <c r="BO38" s="130"/>
      <c r="BP38" s="130"/>
      <c r="BQ38" s="130"/>
      <c r="BR38" s="130"/>
      <c r="BS38" s="130"/>
      <c r="BT38" s="130"/>
      <c r="BU38" s="130"/>
      <c r="BV38" s="130"/>
      <c r="BW38" s="130"/>
      <c r="BX38" s="130"/>
      <c r="BY38" s="130"/>
      <c r="BZ38" s="130"/>
      <c r="CA38" s="130"/>
      <c r="CB38" s="130"/>
      <c r="CC38" s="130"/>
      <c r="CD38" s="130"/>
      <c r="CE38" s="130"/>
      <c r="CF38" s="130"/>
      <c r="CG38" s="130"/>
      <c r="CH38" s="130"/>
      <c r="CI38" s="130"/>
      <c r="CJ38" s="130"/>
      <c r="CK38" s="130"/>
      <c r="CL38" s="130"/>
      <c r="CM38" s="130"/>
      <c r="CN38" s="130"/>
      <c r="CO38" s="130"/>
      <c r="CP38" s="130"/>
      <c r="CQ38" s="130"/>
      <c r="CR38" s="130"/>
      <c r="CS38" s="130"/>
      <c r="CT38" s="130"/>
      <c r="CU38" s="130"/>
      <c r="CV38" s="130"/>
      <c r="CW38" s="130"/>
      <c r="CX38" s="130"/>
      <c r="CY38" s="130"/>
      <c r="CZ38" s="130"/>
      <c r="DA38" s="130"/>
      <c r="DB38" s="130"/>
      <c r="DC38" s="130"/>
      <c r="DD38" s="130"/>
      <c r="DE38" s="130"/>
      <c r="DF38" s="130"/>
      <c r="DG38" s="130"/>
      <c r="DH38" s="130"/>
      <c r="DI38" s="130"/>
      <c r="DJ38" s="130"/>
      <c r="DK38" s="130"/>
      <c r="DL38" s="130"/>
      <c r="DM38" s="130"/>
      <c r="DN38" s="130"/>
      <c r="DO38" s="130"/>
      <c r="DP38" s="130"/>
      <c r="DQ38" s="130"/>
      <c r="DR38" s="130"/>
      <c r="DS38" s="130"/>
      <c r="DT38" s="130"/>
      <c r="DU38" s="130"/>
      <c r="DV38" s="130"/>
      <c r="DW38" s="130"/>
      <c r="DX38" s="130"/>
      <c r="DY38" s="130"/>
      <c r="DZ38" s="130"/>
      <c r="EA38" s="130"/>
      <c r="EB38" s="130"/>
      <c r="EC38" s="130"/>
      <c r="ED38" s="130"/>
      <c r="EE38" s="130"/>
      <c r="EF38" s="130"/>
      <c r="EG38" s="130"/>
      <c r="EH38" s="130"/>
      <c r="EI38" s="130"/>
      <c r="EJ38" s="130"/>
      <c r="EK38" s="130"/>
      <c r="EL38" s="130"/>
      <c r="EM38" s="130"/>
      <c r="EN38" s="130"/>
      <c r="EO38" s="130"/>
      <c r="EP38" s="130"/>
      <c r="EQ38" s="130"/>
      <c r="ER38" s="130"/>
      <c r="ES38" s="130"/>
      <c r="ET38" s="130"/>
      <c r="EU38" s="130"/>
      <c r="EV38" s="130"/>
      <c r="EW38" s="130"/>
      <c r="EX38" s="130"/>
      <c r="EY38" s="130"/>
      <c r="EZ38" s="130"/>
      <c r="FA38" s="130"/>
      <c r="FB38" s="130"/>
      <c r="FC38" s="130"/>
      <c r="FD38" s="130"/>
      <c r="FE38" s="130"/>
      <c r="FF38" s="130"/>
      <c r="FG38" s="130"/>
      <c r="FH38" s="130"/>
      <c r="FI38" s="130"/>
      <c r="FJ38" s="130"/>
      <c r="FK38" s="130"/>
      <c r="FL38" s="130"/>
      <c r="FM38" s="130"/>
      <c r="FN38" s="130"/>
      <c r="FO38" s="130"/>
      <c r="FP38" s="130"/>
      <c r="FQ38" s="130"/>
      <c r="FR38" s="130"/>
      <c r="FS38" s="130"/>
      <c r="FT38" s="130"/>
      <c r="FU38" s="130"/>
      <c r="FV38" s="130"/>
      <c r="FW38" s="130"/>
      <c r="FX38" s="130"/>
      <c r="FY38" s="130"/>
      <c r="FZ38" s="130"/>
      <c r="GA38" s="130"/>
      <c r="GB38" s="130"/>
      <c r="GC38" s="130"/>
      <c r="GD38" s="130"/>
      <c r="GE38" s="130"/>
      <c r="GF38" s="130"/>
      <c r="GG38" s="130"/>
      <c r="GH38" s="130"/>
      <c r="GI38" s="130"/>
      <c r="GJ38" s="130"/>
      <c r="GK38" s="130"/>
      <c r="GL38" s="130"/>
      <c r="GM38" s="130"/>
      <c r="GN38" s="130"/>
      <c r="GO38" s="130"/>
      <c r="GP38" s="130"/>
      <c r="GQ38" s="130"/>
      <c r="GR38" s="130"/>
      <c r="GS38" s="130"/>
      <c r="GT38" s="130"/>
      <c r="GU38" s="130"/>
      <c r="GV38" s="130"/>
      <c r="GW38" s="130"/>
      <c r="GX38" s="130"/>
      <c r="GY38" s="130"/>
      <c r="GZ38" s="130"/>
      <c r="HA38" s="130"/>
      <c r="HB38" s="130"/>
      <c r="HC38" s="130"/>
      <c r="HD38" s="130"/>
      <c r="HE38" s="130"/>
      <c r="HF38" s="130"/>
      <c r="HG38" s="130"/>
      <c r="HH38" s="130"/>
      <c r="HI38" s="130"/>
      <c r="HJ38" s="130"/>
      <c r="HK38" s="130"/>
      <c r="HL38" s="130"/>
      <c r="HM38" s="130"/>
      <c r="HN38" s="130"/>
      <c r="HO38" s="130"/>
      <c r="HP38" s="130"/>
      <c r="HQ38" s="130"/>
      <c r="HR38" s="130"/>
      <c r="HS38" s="130"/>
      <c r="HT38" s="130"/>
      <c r="HU38" s="130"/>
      <c r="HV38" s="130"/>
      <c r="HW38" s="130"/>
      <c r="HX38" s="130"/>
      <c r="HY38" s="130"/>
      <c r="HZ38" s="130"/>
      <c r="IA38" s="130"/>
      <c r="IB38" s="130"/>
      <c r="IC38" s="130"/>
      <c r="ID38" s="130"/>
      <c r="IE38" s="130"/>
      <c r="IF38" s="130"/>
      <c r="IG38" s="130"/>
      <c r="IH38" s="130"/>
      <c r="II38" s="130"/>
      <c r="IJ38" s="130"/>
      <c r="IK38" s="130"/>
      <c r="IL38" s="130"/>
      <c r="IM38" s="130"/>
      <c r="IN38" s="130"/>
      <c r="IO38" s="130"/>
      <c r="IP38" s="130"/>
      <c r="IQ38" s="130"/>
      <c r="IR38" s="130"/>
      <c r="IS38" s="130"/>
      <c r="IT38" s="130"/>
      <c r="IU38" s="130"/>
      <c r="IV38" s="130"/>
      <c r="IW38" s="130"/>
      <c r="IX38" s="130"/>
      <c r="IY38" s="130"/>
      <c r="IZ38" s="130"/>
      <c r="JA38" s="130"/>
      <c r="JB38" s="130"/>
      <c r="JC38" s="130"/>
      <c r="JD38" s="130"/>
      <c r="JE38" s="130"/>
      <c r="JF38" s="130"/>
      <c r="JG38" s="130"/>
    </row>
    <row r="39" spans="1:267" ht="16.5">
      <c r="A39" s="130"/>
      <c r="B39" s="130"/>
      <c r="C39" s="130"/>
      <c r="D39" s="130"/>
      <c r="E39" s="130"/>
      <c r="F39" s="130"/>
      <c r="G39" s="130"/>
      <c r="H39" s="249"/>
      <c r="I39" s="249"/>
      <c r="J39" s="249"/>
      <c r="K39" s="249"/>
      <c r="L39" s="249"/>
      <c r="M39" s="249"/>
      <c r="N39" s="130"/>
      <c r="O39" s="130"/>
      <c r="P39" s="130"/>
      <c r="Q39" s="130"/>
      <c r="R39" s="249"/>
      <c r="S39" s="249"/>
      <c r="T39" s="252"/>
      <c r="U39" s="130"/>
      <c r="V39" s="130"/>
      <c r="W39" s="130"/>
      <c r="X39" s="130"/>
      <c r="Y39" s="130"/>
      <c r="Z39" s="253"/>
      <c r="AA39" s="130"/>
      <c r="AB39" s="130"/>
      <c r="AC39" s="231"/>
      <c r="AD39" s="130"/>
      <c r="AE39" s="130"/>
      <c r="AF39" s="245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  <c r="BN39" s="130"/>
      <c r="BO39" s="130"/>
      <c r="BP39" s="130"/>
      <c r="BQ39" s="130"/>
      <c r="BR39" s="130"/>
      <c r="BS39" s="130"/>
      <c r="BT39" s="130"/>
      <c r="BU39" s="130"/>
      <c r="BV39" s="130"/>
      <c r="BW39" s="130"/>
      <c r="BX39" s="130"/>
      <c r="BY39" s="130"/>
      <c r="BZ39" s="130"/>
      <c r="CA39" s="130"/>
      <c r="CB39" s="130"/>
      <c r="CC39" s="130"/>
      <c r="CD39" s="130"/>
      <c r="CE39" s="130"/>
      <c r="CF39" s="130"/>
      <c r="CG39" s="130"/>
      <c r="CH39" s="130"/>
      <c r="CI39" s="130"/>
      <c r="CJ39" s="130"/>
      <c r="CK39" s="130"/>
      <c r="CL39" s="130"/>
      <c r="CM39" s="130"/>
      <c r="CN39" s="130"/>
      <c r="CO39" s="130"/>
      <c r="CP39" s="130"/>
      <c r="CQ39" s="130"/>
      <c r="CR39" s="130"/>
      <c r="CS39" s="130"/>
      <c r="CT39" s="130"/>
      <c r="CU39" s="130"/>
      <c r="CV39" s="130"/>
      <c r="CW39" s="130"/>
      <c r="CX39" s="130"/>
      <c r="CY39" s="130"/>
      <c r="CZ39" s="130"/>
      <c r="DA39" s="130"/>
      <c r="DB39" s="130"/>
      <c r="DC39" s="130"/>
      <c r="DD39" s="130"/>
      <c r="DE39" s="130"/>
      <c r="DF39" s="130"/>
      <c r="DG39" s="130"/>
      <c r="DH39" s="130"/>
      <c r="DI39" s="130"/>
      <c r="DJ39" s="130"/>
      <c r="DK39" s="130"/>
      <c r="DL39" s="130"/>
      <c r="DM39" s="130"/>
      <c r="DN39" s="130"/>
      <c r="DO39" s="130"/>
      <c r="DP39" s="130"/>
      <c r="DQ39" s="130"/>
      <c r="DR39" s="130"/>
      <c r="DS39" s="130"/>
      <c r="DT39" s="130"/>
      <c r="DU39" s="130"/>
      <c r="DV39" s="130"/>
      <c r="DW39" s="130"/>
      <c r="DX39" s="130"/>
      <c r="DY39" s="130"/>
      <c r="DZ39" s="130"/>
      <c r="EA39" s="130"/>
      <c r="EB39" s="130"/>
      <c r="EC39" s="130"/>
      <c r="ED39" s="130"/>
      <c r="EE39" s="130"/>
      <c r="EF39" s="130"/>
      <c r="EG39" s="130"/>
      <c r="EH39" s="130"/>
      <c r="EI39" s="130"/>
      <c r="EJ39" s="130"/>
      <c r="EK39" s="130"/>
      <c r="EL39" s="130"/>
      <c r="EM39" s="130"/>
      <c r="EN39" s="130"/>
      <c r="EO39" s="130"/>
      <c r="EP39" s="130"/>
      <c r="EQ39" s="130"/>
      <c r="ER39" s="130"/>
      <c r="ES39" s="130"/>
      <c r="ET39" s="130"/>
      <c r="EU39" s="130"/>
      <c r="EV39" s="130"/>
      <c r="EW39" s="130"/>
      <c r="EX39" s="130"/>
      <c r="EY39" s="130"/>
      <c r="EZ39" s="130"/>
      <c r="FA39" s="130"/>
      <c r="FB39" s="130"/>
      <c r="FC39" s="130"/>
      <c r="FD39" s="130"/>
      <c r="FE39" s="130"/>
      <c r="FF39" s="130"/>
      <c r="FG39" s="130"/>
      <c r="FH39" s="130"/>
      <c r="FI39" s="130"/>
      <c r="FJ39" s="130"/>
      <c r="FK39" s="130"/>
      <c r="FL39" s="130"/>
      <c r="FM39" s="130"/>
      <c r="FN39" s="130"/>
      <c r="FO39" s="130"/>
      <c r="FP39" s="130"/>
      <c r="FQ39" s="130"/>
      <c r="FR39" s="130"/>
      <c r="FS39" s="130"/>
      <c r="FT39" s="130"/>
      <c r="FU39" s="130"/>
      <c r="FV39" s="130"/>
      <c r="FW39" s="130"/>
      <c r="FX39" s="130"/>
      <c r="FY39" s="130"/>
      <c r="FZ39" s="130"/>
      <c r="GA39" s="130"/>
      <c r="GB39" s="130"/>
      <c r="GC39" s="130"/>
      <c r="GD39" s="130"/>
      <c r="GE39" s="130"/>
      <c r="GF39" s="130"/>
      <c r="GG39" s="130"/>
      <c r="GH39" s="130"/>
      <c r="GI39" s="130"/>
      <c r="GJ39" s="130"/>
      <c r="GK39" s="130"/>
      <c r="GL39" s="130"/>
      <c r="GM39" s="130"/>
      <c r="GN39" s="130"/>
      <c r="GO39" s="130"/>
      <c r="GP39" s="130"/>
      <c r="GQ39" s="130"/>
      <c r="GR39" s="130"/>
      <c r="GS39" s="130"/>
      <c r="GT39" s="130"/>
      <c r="GU39" s="130"/>
      <c r="GV39" s="130"/>
      <c r="GW39" s="130"/>
      <c r="GX39" s="130"/>
      <c r="GY39" s="130"/>
      <c r="GZ39" s="130"/>
      <c r="HA39" s="130"/>
      <c r="HB39" s="130"/>
      <c r="HC39" s="130"/>
      <c r="HD39" s="130"/>
      <c r="HE39" s="130"/>
      <c r="HF39" s="130"/>
      <c r="HG39" s="130"/>
      <c r="HH39" s="130"/>
      <c r="HI39" s="130"/>
      <c r="HJ39" s="130"/>
      <c r="HK39" s="130"/>
      <c r="HL39" s="130"/>
      <c r="HM39" s="130"/>
      <c r="HN39" s="130"/>
      <c r="HO39" s="130"/>
      <c r="HP39" s="130"/>
      <c r="HQ39" s="130"/>
      <c r="HR39" s="130"/>
      <c r="HS39" s="130"/>
      <c r="HT39" s="130"/>
      <c r="HU39" s="130"/>
      <c r="HV39" s="130"/>
      <c r="HW39" s="130"/>
      <c r="HX39" s="130"/>
      <c r="HY39" s="130"/>
      <c r="HZ39" s="130"/>
      <c r="IA39" s="130"/>
      <c r="IB39" s="130"/>
      <c r="IC39" s="130"/>
      <c r="ID39" s="130"/>
      <c r="IE39" s="130"/>
      <c r="IF39" s="130"/>
      <c r="IG39" s="130"/>
      <c r="IH39" s="130"/>
      <c r="II39" s="130"/>
      <c r="IJ39" s="130"/>
      <c r="IK39" s="130"/>
      <c r="IL39" s="130"/>
      <c r="IM39" s="130"/>
      <c r="IN39" s="130"/>
      <c r="IO39" s="130"/>
      <c r="IP39" s="130"/>
      <c r="IQ39" s="130"/>
      <c r="IR39" s="130"/>
      <c r="IS39" s="130"/>
      <c r="IT39" s="130"/>
      <c r="IU39" s="130"/>
      <c r="IV39" s="130"/>
      <c r="IW39" s="130"/>
      <c r="IX39" s="130"/>
      <c r="IY39" s="130"/>
      <c r="IZ39" s="130"/>
      <c r="JA39" s="130"/>
      <c r="JB39" s="130"/>
      <c r="JC39" s="130"/>
      <c r="JD39" s="130"/>
      <c r="JE39" s="130"/>
      <c r="JF39" s="130"/>
      <c r="JG39" s="130"/>
    </row>
    <row r="40" spans="1:267" ht="16.5">
      <c r="A40" s="130"/>
      <c r="B40" s="130"/>
      <c r="C40" s="130"/>
      <c r="D40" s="130"/>
      <c r="E40" s="130"/>
      <c r="F40" s="130"/>
      <c r="G40" s="130"/>
      <c r="H40" s="249"/>
      <c r="I40" s="249"/>
      <c r="J40" s="249"/>
      <c r="K40" s="249"/>
      <c r="L40" s="249"/>
      <c r="M40" s="249"/>
      <c r="N40" s="130"/>
      <c r="O40" s="130"/>
      <c r="P40" s="130"/>
      <c r="Q40" s="130"/>
      <c r="R40" s="249"/>
      <c r="S40" s="249"/>
      <c r="T40" s="252"/>
      <c r="U40" s="130"/>
      <c r="V40" s="130"/>
      <c r="W40" s="130"/>
      <c r="X40" s="130"/>
      <c r="Y40" s="130"/>
      <c r="Z40" s="253"/>
      <c r="AA40" s="130"/>
      <c r="AB40" s="130"/>
      <c r="AC40" s="231"/>
      <c r="AD40" s="130"/>
      <c r="AE40" s="130"/>
      <c r="AF40" s="245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  <c r="BN40" s="130"/>
      <c r="BO40" s="130"/>
      <c r="BP40" s="130"/>
      <c r="BQ40" s="130"/>
      <c r="BR40" s="130"/>
      <c r="BS40" s="130"/>
      <c r="BT40" s="130"/>
      <c r="BU40" s="130"/>
      <c r="BV40" s="130"/>
      <c r="BW40" s="130"/>
      <c r="BX40" s="130"/>
      <c r="BY40" s="130"/>
      <c r="BZ40" s="130"/>
      <c r="CA40" s="130"/>
      <c r="CB40" s="130"/>
      <c r="CC40" s="130"/>
      <c r="CD40" s="130"/>
      <c r="CE40" s="130"/>
      <c r="CF40" s="130"/>
      <c r="CG40" s="130"/>
      <c r="CH40" s="130"/>
      <c r="CI40" s="130"/>
      <c r="CJ40" s="130"/>
      <c r="CK40" s="130"/>
      <c r="CL40" s="130"/>
      <c r="CM40" s="130"/>
      <c r="CN40" s="130"/>
      <c r="CO40" s="130"/>
      <c r="CP40" s="130"/>
      <c r="CQ40" s="130"/>
      <c r="CR40" s="130"/>
      <c r="CS40" s="130"/>
      <c r="CT40" s="130"/>
      <c r="CU40" s="130"/>
      <c r="CV40" s="130"/>
      <c r="CW40" s="130"/>
      <c r="CX40" s="130"/>
      <c r="CY40" s="130"/>
      <c r="CZ40" s="130"/>
      <c r="DA40" s="130"/>
      <c r="DB40" s="130"/>
      <c r="DC40" s="130"/>
      <c r="DD40" s="130"/>
      <c r="DE40" s="130"/>
      <c r="DF40" s="130"/>
      <c r="DG40" s="130"/>
      <c r="DH40" s="130"/>
      <c r="DI40" s="130"/>
      <c r="DJ40" s="130"/>
      <c r="DK40" s="130"/>
      <c r="DL40" s="130"/>
      <c r="DM40" s="130"/>
      <c r="DN40" s="130"/>
      <c r="DO40" s="130"/>
      <c r="DP40" s="130"/>
      <c r="DQ40" s="130"/>
      <c r="DR40" s="130"/>
      <c r="DS40" s="130"/>
      <c r="DT40" s="130"/>
      <c r="DU40" s="130"/>
      <c r="DV40" s="130"/>
      <c r="DW40" s="130"/>
      <c r="DX40" s="130"/>
      <c r="DY40" s="130"/>
      <c r="DZ40" s="130"/>
      <c r="EA40" s="130"/>
      <c r="EB40" s="130"/>
      <c r="EC40" s="130"/>
      <c r="ED40" s="130"/>
      <c r="EE40" s="130"/>
      <c r="EF40" s="130"/>
      <c r="EG40" s="130"/>
      <c r="EH40" s="130"/>
      <c r="EI40" s="130"/>
      <c r="EJ40" s="130"/>
      <c r="EK40" s="130"/>
      <c r="EL40" s="130"/>
      <c r="EM40" s="130"/>
      <c r="EN40" s="130"/>
      <c r="EO40" s="130"/>
      <c r="EP40" s="130"/>
      <c r="EQ40" s="130"/>
      <c r="ER40" s="130"/>
      <c r="ES40" s="130"/>
      <c r="ET40" s="130"/>
      <c r="EU40" s="130"/>
      <c r="EV40" s="130"/>
      <c r="EW40" s="130"/>
      <c r="EX40" s="130"/>
      <c r="EY40" s="130"/>
      <c r="EZ40" s="130"/>
      <c r="FA40" s="130"/>
      <c r="FB40" s="130"/>
      <c r="FC40" s="130"/>
      <c r="FD40" s="130"/>
      <c r="FE40" s="130"/>
      <c r="FF40" s="130"/>
      <c r="FG40" s="130"/>
      <c r="FH40" s="130"/>
      <c r="FI40" s="130"/>
      <c r="FJ40" s="130"/>
      <c r="FK40" s="130"/>
      <c r="FL40" s="130"/>
      <c r="FM40" s="130"/>
      <c r="FN40" s="130"/>
      <c r="FO40" s="130"/>
      <c r="FP40" s="130"/>
      <c r="FQ40" s="130"/>
      <c r="FR40" s="130"/>
      <c r="FS40" s="130"/>
      <c r="FT40" s="130"/>
      <c r="FU40" s="130"/>
      <c r="FV40" s="130"/>
      <c r="FW40" s="130"/>
      <c r="FX40" s="130"/>
      <c r="FY40" s="130"/>
      <c r="FZ40" s="130"/>
      <c r="GA40" s="130"/>
      <c r="GB40" s="130"/>
      <c r="GC40" s="130"/>
      <c r="GD40" s="130"/>
      <c r="GE40" s="130"/>
      <c r="GF40" s="130"/>
      <c r="GG40" s="130"/>
      <c r="GH40" s="130"/>
      <c r="GI40" s="130"/>
      <c r="GJ40" s="130"/>
      <c r="GK40" s="130"/>
      <c r="GL40" s="130"/>
      <c r="GM40" s="130"/>
      <c r="GN40" s="130"/>
      <c r="GO40" s="130"/>
      <c r="GP40" s="130"/>
      <c r="GQ40" s="130"/>
      <c r="GR40" s="130"/>
      <c r="GS40" s="130"/>
      <c r="GT40" s="130"/>
      <c r="GU40" s="130"/>
      <c r="GV40" s="130"/>
      <c r="GW40" s="130"/>
      <c r="GX40" s="130"/>
      <c r="GY40" s="130"/>
      <c r="GZ40" s="130"/>
      <c r="HA40" s="130"/>
      <c r="HB40" s="130"/>
      <c r="HC40" s="130"/>
      <c r="HD40" s="130"/>
      <c r="HE40" s="130"/>
      <c r="HF40" s="130"/>
      <c r="HG40" s="130"/>
      <c r="HH40" s="130"/>
      <c r="HI40" s="130"/>
      <c r="HJ40" s="130"/>
      <c r="HK40" s="130"/>
      <c r="HL40" s="130"/>
      <c r="HM40" s="130"/>
      <c r="HN40" s="130"/>
      <c r="HO40" s="130"/>
      <c r="HP40" s="130"/>
      <c r="HQ40" s="130"/>
      <c r="HR40" s="130"/>
      <c r="HS40" s="130"/>
      <c r="HT40" s="130"/>
      <c r="HU40" s="130"/>
      <c r="HV40" s="130"/>
      <c r="HW40" s="130"/>
      <c r="HX40" s="130"/>
      <c r="HY40" s="130"/>
      <c r="HZ40" s="130"/>
      <c r="IA40" s="130"/>
      <c r="IB40" s="130"/>
      <c r="IC40" s="130"/>
      <c r="ID40" s="130"/>
      <c r="IE40" s="130"/>
      <c r="IF40" s="130"/>
      <c r="IG40" s="130"/>
      <c r="IH40" s="130"/>
      <c r="II40" s="130"/>
      <c r="IJ40" s="130"/>
      <c r="IK40" s="130"/>
      <c r="IL40" s="130"/>
      <c r="IM40" s="130"/>
      <c r="IN40" s="130"/>
      <c r="IO40" s="130"/>
      <c r="IP40" s="130"/>
      <c r="IQ40" s="130"/>
      <c r="IR40" s="130"/>
      <c r="IS40" s="130"/>
      <c r="IT40" s="130"/>
      <c r="IU40" s="130"/>
      <c r="IV40" s="130"/>
      <c r="IW40" s="130"/>
      <c r="IX40" s="130"/>
      <c r="IY40" s="130"/>
      <c r="IZ40" s="130"/>
      <c r="JA40" s="130"/>
      <c r="JB40" s="130"/>
      <c r="JC40" s="130"/>
      <c r="JD40" s="130"/>
      <c r="JE40" s="130"/>
      <c r="JF40" s="130"/>
      <c r="JG40" s="130"/>
    </row>
    <row r="41" spans="1:267" ht="16.5">
      <c r="A41" s="130"/>
      <c r="B41" s="130"/>
      <c r="C41" s="130"/>
      <c r="D41" s="130"/>
      <c r="E41" s="130"/>
      <c r="F41" s="130"/>
      <c r="G41" s="130"/>
      <c r="H41" s="249"/>
      <c r="I41" s="249"/>
      <c r="J41" s="249"/>
      <c r="K41" s="249"/>
      <c r="L41" s="249"/>
      <c r="M41" s="249"/>
      <c r="N41" s="130"/>
      <c r="O41" s="130"/>
      <c r="P41" s="130"/>
      <c r="Q41" s="130"/>
      <c r="R41" s="249"/>
      <c r="S41" s="249"/>
      <c r="T41" s="252"/>
      <c r="U41" s="130"/>
      <c r="V41" s="130"/>
      <c r="W41" s="130"/>
      <c r="X41" s="130"/>
      <c r="Y41" s="130"/>
      <c r="Z41" s="253"/>
      <c r="AA41" s="130"/>
      <c r="AB41" s="130"/>
      <c r="AC41" s="231"/>
      <c r="AD41" s="130"/>
      <c r="AE41" s="130"/>
      <c r="AF41" s="245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  <c r="BN41" s="130"/>
      <c r="BO41" s="130"/>
      <c r="BP41" s="130"/>
      <c r="BQ41" s="130"/>
      <c r="BR41" s="130"/>
      <c r="BS41" s="130"/>
      <c r="BT41" s="130"/>
      <c r="BU41" s="130"/>
      <c r="BV41" s="130"/>
      <c r="BW41" s="130"/>
      <c r="BX41" s="130"/>
      <c r="BY41" s="130"/>
      <c r="BZ41" s="130"/>
      <c r="CA41" s="130"/>
      <c r="CB41" s="130"/>
      <c r="CC41" s="130"/>
      <c r="CD41" s="130"/>
      <c r="CE41" s="130"/>
      <c r="CF41" s="130"/>
      <c r="CG41" s="130"/>
      <c r="CH41" s="130"/>
      <c r="CI41" s="130"/>
      <c r="CJ41" s="130"/>
      <c r="CK41" s="130"/>
      <c r="CL41" s="130"/>
      <c r="CM41" s="130"/>
      <c r="CN41" s="130"/>
      <c r="CO41" s="130"/>
      <c r="CP41" s="130"/>
      <c r="CQ41" s="130"/>
      <c r="CR41" s="130"/>
      <c r="CS41" s="130"/>
      <c r="CT41" s="130"/>
      <c r="CU41" s="130"/>
      <c r="CV41" s="130"/>
      <c r="CW41" s="130"/>
      <c r="CX41" s="130"/>
      <c r="CY41" s="130"/>
      <c r="CZ41" s="130"/>
      <c r="DA41" s="130"/>
      <c r="DB41" s="130"/>
      <c r="DC41" s="130"/>
      <c r="DD41" s="130"/>
      <c r="DE41" s="130"/>
      <c r="DF41" s="130"/>
      <c r="DG41" s="130"/>
      <c r="DH41" s="130"/>
      <c r="DI41" s="130"/>
      <c r="DJ41" s="130"/>
      <c r="DK41" s="130"/>
      <c r="DL41" s="130"/>
      <c r="DM41" s="130"/>
      <c r="DN41" s="130"/>
      <c r="DO41" s="130"/>
      <c r="DP41" s="130"/>
      <c r="DQ41" s="130"/>
      <c r="DR41" s="130"/>
      <c r="DS41" s="130"/>
      <c r="DT41" s="130"/>
      <c r="DU41" s="130"/>
      <c r="DV41" s="130"/>
      <c r="DW41" s="130"/>
      <c r="DX41" s="130"/>
      <c r="DY41" s="130"/>
      <c r="DZ41" s="130"/>
      <c r="EA41" s="130"/>
      <c r="EB41" s="130"/>
      <c r="EC41" s="130"/>
      <c r="ED41" s="130"/>
      <c r="EE41" s="130"/>
      <c r="EF41" s="130"/>
      <c r="EG41" s="130"/>
      <c r="EH41" s="130"/>
      <c r="EI41" s="130"/>
      <c r="EJ41" s="130"/>
      <c r="EK41" s="130"/>
      <c r="EL41" s="130"/>
      <c r="EM41" s="130"/>
      <c r="EN41" s="130"/>
      <c r="EO41" s="130"/>
      <c r="EP41" s="130"/>
      <c r="EQ41" s="130"/>
      <c r="ER41" s="130"/>
      <c r="ES41" s="130"/>
      <c r="ET41" s="130"/>
      <c r="EU41" s="130"/>
      <c r="EV41" s="130"/>
      <c r="EW41" s="130"/>
      <c r="EX41" s="130"/>
      <c r="EY41" s="130"/>
      <c r="EZ41" s="130"/>
      <c r="FA41" s="130"/>
      <c r="FB41" s="130"/>
      <c r="FC41" s="130"/>
      <c r="FD41" s="130"/>
      <c r="FE41" s="130"/>
      <c r="FF41" s="130"/>
      <c r="FG41" s="130"/>
      <c r="FH41" s="130"/>
      <c r="FI41" s="130"/>
      <c r="FJ41" s="130"/>
      <c r="FK41" s="130"/>
      <c r="FL41" s="130"/>
      <c r="FM41" s="130"/>
      <c r="FN41" s="130"/>
      <c r="FO41" s="130"/>
      <c r="FP41" s="130"/>
      <c r="FQ41" s="130"/>
      <c r="FR41" s="130"/>
      <c r="FS41" s="130"/>
      <c r="FT41" s="130"/>
      <c r="FU41" s="130"/>
      <c r="FV41" s="130"/>
      <c r="FW41" s="130"/>
      <c r="FX41" s="130"/>
      <c r="FY41" s="130"/>
      <c r="FZ41" s="130"/>
      <c r="GA41" s="130"/>
      <c r="GB41" s="130"/>
      <c r="GC41" s="130"/>
      <c r="GD41" s="130"/>
      <c r="GE41" s="130"/>
      <c r="GF41" s="130"/>
      <c r="GG41" s="130"/>
      <c r="GH41" s="130"/>
      <c r="GI41" s="130"/>
      <c r="GJ41" s="130"/>
      <c r="GK41" s="130"/>
      <c r="GL41" s="130"/>
      <c r="GM41" s="130"/>
      <c r="GN41" s="130"/>
      <c r="GO41" s="130"/>
      <c r="GP41" s="130"/>
      <c r="GQ41" s="130"/>
      <c r="GR41" s="130"/>
      <c r="GS41" s="130"/>
      <c r="GT41" s="130"/>
      <c r="GU41" s="130"/>
      <c r="GV41" s="130"/>
      <c r="GW41" s="130"/>
      <c r="GX41" s="130"/>
      <c r="GY41" s="130"/>
      <c r="GZ41" s="130"/>
      <c r="HA41" s="130"/>
      <c r="HB41" s="130"/>
      <c r="HC41" s="130"/>
      <c r="HD41" s="130"/>
      <c r="HE41" s="130"/>
      <c r="HF41" s="130"/>
      <c r="HG41" s="130"/>
      <c r="HH41" s="130"/>
      <c r="HI41" s="130"/>
      <c r="HJ41" s="130"/>
      <c r="HK41" s="130"/>
      <c r="HL41" s="130"/>
      <c r="HM41" s="130"/>
      <c r="HN41" s="130"/>
      <c r="HO41" s="130"/>
      <c r="HP41" s="130"/>
      <c r="HQ41" s="130"/>
      <c r="HR41" s="130"/>
      <c r="HS41" s="130"/>
      <c r="HT41" s="130"/>
      <c r="HU41" s="130"/>
      <c r="HV41" s="130"/>
      <c r="HW41" s="130"/>
      <c r="HX41" s="130"/>
      <c r="HY41" s="130"/>
      <c r="HZ41" s="130"/>
      <c r="IA41" s="130"/>
      <c r="IB41" s="130"/>
      <c r="IC41" s="130"/>
      <c r="ID41" s="130"/>
      <c r="IE41" s="130"/>
      <c r="IF41" s="130"/>
      <c r="IG41" s="130"/>
      <c r="IH41" s="130"/>
      <c r="II41" s="130"/>
      <c r="IJ41" s="130"/>
      <c r="IK41" s="130"/>
      <c r="IL41" s="130"/>
      <c r="IM41" s="130"/>
      <c r="IN41" s="130"/>
      <c r="IO41" s="130"/>
      <c r="IP41" s="130"/>
      <c r="IQ41" s="130"/>
      <c r="IR41" s="130"/>
      <c r="IS41" s="130"/>
      <c r="IT41" s="130"/>
      <c r="IU41" s="130"/>
      <c r="IV41" s="130"/>
      <c r="IW41" s="130"/>
      <c r="IX41" s="130"/>
      <c r="IY41" s="130"/>
      <c r="IZ41" s="130"/>
      <c r="JA41" s="130"/>
      <c r="JB41" s="130"/>
      <c r="JC41" s="130"/>
      <c r="JD41" s="130"/>
      <c r="JE41" s="130"/>
      <c r="JF41" s="130"/>
      <c r="JG41" s="130"/>
    </row>
    <row r="42" spans="1:267" ht="16.5">
      <c r="A42" s="130"/>
      <c r="B42" s="130"/>
      <c r="C42" s="130"/>
      <c r="D42" s="130"/>
      <c r="E42" s="130"/>
      <c r="F42" s="130"/>
      <c r="G42" s="130"/>
      <c r="H42" s="249"/>
      <c r="I42" s="249"/>
      <c r="J42" s="249"/>
      <c r="K42" s="249"/>
      <c r="L42" s="249"/>
      <c r="M42" s="249"/>
      <c r="N42" s="130"/>
      <c r="O42" s="130"/>
      <c r="P42" s="130"/>
      <c r="Q42" s="130"/>
      <c r="R42" s="249"/>
      <c r="S42" s="249"/>
      <c r="T42" s="252"/>
      <c r="U42" s="130"/>
      <c r="V42" s="130"/>
      <c r="W42" s="130"/>
      <c r="X42" s="130"/>
      <c r="Y42" s="130"/>
      <c r="Z42" s="253"/>
      <c r="AA42" s="130"/>
      <c r="AB42" s="130"/>
      <c r="AC42" s="231"/>
      <c r="AD42" s="130"/>
      <c r="AE42" s="130"/>
      <c r="AF42" s="245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  <c r="BY42" s="130"/>
      <c r="BZ42" s="130"/>
      <c r="CA42" s="130"/>
      <c r="CB42" s="130"/>
      <c r="CC42" s="130"/>
      <c r="CD42" s="130"/>
      <c r="CE42" s="130"/>
      <c r="CF42" s="130"/>
      <c r="CG42" s="130"/>
      <c r="CH42" s="130"/>
      <c r="CI42" s="130"/>
      <c r="CJ42" s="130"/>
      <c r="CK42" s="130"/>
      <c r="CL42" s="130"/>
      <c r="CM42" s="130"/>
      <c r="CN42" s="130"/>
      <c r="CO42" s="130"/>
      <c r="CP42" s="130"/>
      <c r="CQ42" s="130"/>
      <c r="CR42" s="130"/>
      <c r="CS42" s="130"/>
      <c r="CT42" s="130"/>
      <c r="CU42" s="130"/>
      <c r="CV42" s="130"/>
      <c r="CW42" s="130"/>
      <c r="CX42" s="130"/>
      <c r="CY42" s="130"/>
      <c r="CZ42" s="130"/>
      <c r="DA42" s="130"/>
      <c r="DB42" s="130"/>
      <c r="DC42" s="130"/>
      <c r="DD42" s="130"/>
      <c r="DE42" s="130"/>
      <c r="DF42" s="130"/>
      <c r="DG42" s="130"/>
      <c r="DH42" s="130"/>
      <c r="DI42" s="130"/>
      <c r="DJ42" s="130"/>
      <c r="DK42" s="130"/>
      <c r="DL42" s="130"/>
      <c r="DM42" s="130"/>
      <c r="DN42" s="130"/>
      <c r="DO42" s="130"/>
      <c r="DP42" s="130"/>
      <c r="DQ42" s="130"/>
      <c r="DR42" s="130"/>
      <c r="DS42" s="130"/>
      <c r="DT42" s="130"/>
      <c r="DU42" s="130"/>
      <c r="DV42" s="130"/>
      <c r="DW42" s="130"/>
      <c r="DX42" s="130"/>
      <c r="DY42" s="130"/>
      <c r="DZ42" s="130"/>
      <c r="EA42" s="130"/>
      <c r="EB42" s="130"/>
      <c r="EC42" s="130"/>
      <c r="ED42" s="130"/>
      <c r="EE42" s="130"/>
      <c r="EF42" s="130"/>
      <c r="EG42" s="130"/>
      <c r="EH42" s="130"/>
      <c r="EI42" s="130"/>
      <c r="EJ42" s="130"/>
      <c r="EK42" s="130"/>
      <c r="EL42" s="130"/>
      <c r="EM42" s="130"/>
      <c r="EN42" s="130"/>
      <c r="EO42" s="130"/>
      <c r="EP42" s="130"/>
      <c r="EQ42" s="130"/>
      <c r="ER42" s="130"/>
      <c r="ES42" s="130"/>
      <c r="ET42" s="130"/>
      <c r="EU42" s="130"/>
      <c r="EV42" s="130"/>
      <c r="EW42" s="130"/>
      <c r="EX42" s="130"/>
      <c r="EY42" s="130"/>
      <c r="EZ42" s="130"/>
      <c r="FA42" s="130"/>
      <c r="FB42" s="130"/>
      <c r="FC42" s="130"/>
      <c r="FD42" s="130"/>
      <c r="FE42" s="130"/>
      <c r="FF42" s="130"/>
      <c r="FG42" s="130"/>
      <c r="FH42" s="130"/>
      <c r="FI42" s="130"/>
      <c r="FJ42" s="130"/>
      <c r="FK42" s="130"/>
      <c r="FL42" s="130"/>
      <c r="FM42" s="130"/>
      <c r="FN42" s="130"/>
      <c r="FO42" s="130"/>
      <c r="FP42" s="130"/>
      <c r="FQ42" s="130"/>
      <c r="FR42" s="130"/>
      <c r="FS42" s="130"/>
      <c r="FT42" s="130"/>
      <c r="FU42" s="130"/>
      <c r="FV42" s="130"/>
      <c r="FW42" s="130"/>
      <c r="FX42" s="130"/>
      <c r="FY42" s="130"/>
      <c r="FZ42" s="130"/>
      <c r="GA42" s="130"/>
      <c r="GB42" s="130"/>
      <c r="GC42" s="130"/>
      <c r="GD42" s="130"/>
      <c r="GE42" s="130"/>
      <c r="GF42" s="130"/>
      <c r="GG42" s="130"/>
      <c r="GH42" s="130"/>
      <c r="GI42" s="130"/>
      <c r="GJ42" s="130"/>
      <c r="GK42" s="130"/>
      <c r="GL42" s="130"/>
      <c r="GM42" s="130"/>
      <c r="GN42" s="130"/>
      <c r="GO42" s="130"/>
      <c r="GP42" s="130"/>
      <c r="GQ42" s="130"/>
      <c r="GR42" s="130"/>
      <c r="GS42" s="130"/>
      <c r="GT42" s="130"/>
      <c r="GU42" s="130"/>
      <c r="GV42" s="130"/>
      <c r="GW42" s="130"/>
      <c r="GX42" s="130"/>
      <c r="GY42" s="130"/>
      <c r="GZ42" s="130"/>
      <c r="HA42" s="130"/>
      <c r="HB42" s="130"/>
      <c r="HC42" s="130"/>
      <c r="HD42" s="130"/>
      <c r="HE42" s="130"/>
      <c r="HF42" s="130"/>
      <c r="HG42" s="130"/>
      <c r="HH42" s="130"/>
      <c r="HI42" s="130"/>
      <c r="HJ42" s="130"/>
      <c r="HK42" s="130"/>
      <c r="HL42" s="130"/>
      <c r="HM42" s="130"/>
      <c r="HN42" s="130"/>
      <c r="HO42" s="130"/>
      <c r="HP42" s="130"/>
      <c r="HQ42" s="130"/>
      <c r="HR42" s="130"/>
      <c r="HS42" s="130"/>
      <c r="HT42" s="130"/>
      <c r="HU42" s="130"/>
      <c r="HV42" s="130"/>
      <c r="HW42" s="130"/>
      <c r="HX42" s="130"/>
      <c r="HY42" s="130"/>
      <c r="HZ42" s="130"/>
      <c r="IA42" s="130"/>
      <c r="IB42" s="130"/>
      <c r="IC42" s="130"/>
      <c r="ID42" s="130"/>
      <c r="IE42" s="130"/>
      <c r="IF42" s="130"/>
      <c r="IG42" s="130"/>
      <c r="IH42" s="130"/>
      <c r="II42" s="130"/>
      <c r="IJ42" s="130"/>
      <c r="IK42" s="130"/>
      <c r="IL42" s="130"/>
      <c r="IM42" s="130"/>
      <c r="IN42" s="130"/>
      <c r="IO42" s="130"/>
      <c r="IP42" s="130"/>
      <c r="IQ42" s="130"/>
      <c r="IR42" s="130"/>
      <c r="IS42" s="130"/>
      <c r="IT42" s="130"/>
      <c r="IU42" s="130"/>
      <c r="IV42" s="130"/>
      <c r="IW42" s="130"/>
      <c r="IX42" s="130"/>
      <c r="IY42" s="130"/>
      <c r="IZ42" s="130"/>
      <c r="JA42" s="130"/>
      <c r="JB42" s="130"/>
      <c r="JC42" s="130"/>
      <c r="JD42" s="130"/>
      <c r="JE42" s="130"/>
      <c r="JF42" s="130"/>
      <c r="JG42" s="130"/>
    </row>
  </sheetData>
  <mergeCells count="11">
    <mergeCell ref="A8:S8"/>
    <mergeCell ref="A1:S1"/>
    <mergeCell ref="A2:S2"/>
    <mergeCell ref="A3:S3"/>
    <mergeCell ref="A4:G4"/>
    <mergeCell ref="A5:G5"/>
    <mergeCell ref="A33:S33"/>
    <mergeCell ref="A9:S9"/>
    <mergeCell ref="D24:S24"/>
    <mergeCell ref="A26:S26"/>
    <mergeCell ref="A32:B32"/>
  </mergeCells>
  <printOptions horizontalCentered="1"/>
  <pageMargins left="0.196850393700787" right="0.196850393700787" top="0.34" bottom="0.59055118110236204" header="0.2" footer="0.31496062992126"/>
  <pageSetup paperSize="9" scale="65" fitToHeight="0" orientation="landscape" r:id="rId1"/>
  <colBreaks count="1" manualBreakCount="1">
    <brk id="19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K38"/>
  <sheetViews>
    <sheetView topLeftCell="A7" workbookViewId="0">
      <selection activeCell="AM18" sqref="AM18"/>
    </sheetView>
  </sheetViews>
  <sheetFormatPr defaultColWidth="9.140625" defaultRowHeight="15"/>
  <cols>
    <col min="1" max="1" width="3.7109375" style="32" bestFit="1" customWidth="1"/>
    <col min="2" max="2" width="16.85546875" style="32" customWidth="1"/>
    <col min="3" max="3" width="12" style="32" customWidth="1"/>
    <col min="4" max="7" width="3" style="32" customWidth="1"/>
    <col min="8" max="8" width="3" style="42" customWidth="1"/>
    <col min="9" max="10" width="3" style="32" customWidth="1"/>
    <col min="11" max="11" width="3.5703125" style="32" customWidth="1"/>
    <col min="12" max="31" width="3" style="32" customWidth="1"/>
    <col min="32" max="32" width="3.5703125" style="32" customWidth="1"/>
    <col min="33" max="33" width="3.42578125" style="32" customWidth="1"/>
    <col min="34" max="34" width="3.28515625" style="32" customWidth="1"/>
    <col min="35" max="35" width="7.28515625" style="32" customWidth="1"/>
    <col min="36" max="36" width="10.7109375" style="32" customWidth="1"/>
    <col min="37" max="37" width="9.140625" style="32"/>
    <col min="38" max="38" width="14.85546875" style="32" bestFit="1" customWidth="1"/>
    <col min="39" max="43" width="9.140625" style="32"/>
    <col min="44" max="44" width="15.85546875" style="32" customWidth="1"/>
    <col min="45" max="16384" width="9.140625" style="32"/>
  </cols>
  <sheetData>
    <row r="1" spans="1:37" ht="15" customHeight="1">
      <c r="A1" s="1550" t="s">
        <v>51</v>
      </c>
      <c r="B1" s="1550"/>
      <c r="C1" s="1550"/>
      <c r="D1" s="1550"/>
      <c r="E1" s="1550"/>
      <c r="F1" s="1550"/>
      <c r="G1" s="1550"/>
      <c r="H1" s="1550"/>
      <c r="I1" s="1550"/>
      <c r="J1" s="1550"/>
      <c r="K1" s="1550"/>
      <c r="L1" s="1550"/>
      <c r="M1" s="1550"/>
      <c r="N1" s="1550"/>
      <c r="O1" s="1550"/>
      <c r="P1" s="1550"/>
      <c r="Q1" s="1550"/>
      <c r="R1" s="1550"/>
      <c r="S1" s="1550"/>
      <c r="T1" s="1550"/>
      <c r="U1" s="1550"/>
      <c r="V1" s="1550"/>
      <c r="W1" s="1550"/>
      <c r="X1" s="1550"/>
      <c r="Y1" s="1550"/>
      <c r="Z1" s="1550"/>
      <c r="AA1" s="1550"/>
      <c r="AB1" s="1550"/>
      <c r="AC1" s="1550"/>
      <c r="AD1" s="1550"/>
      <c r="AE1" s="1550"/>
      <c r="AF1" s="1550"/>
      <c r="AG1" s="1550"/>
      <c r="AH1" s="1550"/>
      <c r="AI1" s="1550"/>
      <c r="AJ1" s="1550"/>
    </row>
    <row r="2" spans="1:37" ht="15" customHeight="1">
      <c r="A2" s="1550" t="s">
        <v>45</v>
      </c>
      <c r="B2" s="1550"/>
      <c r="C2" s="1550"/>
      <c r="D2" s="1550"/>
      <c r="E2" s="1550"/>
      <c r="F2" s="1550"/>
      <c r="G2" s="1550"/>
      <c r="H2" s="1550"/>
      <c r="I2" s="1550"/>
      <c r="J2" s="1550"/>
      <c r="K2" s="1550"/>
      <c r="L2" s="1550"/>
      <c r="M2" s="1550"/>
      <c r="N2" s="1550"/>
      <c r="O2" s="1550"/>
      <c r="P2" s="1550"/>
      <c r="Q2" s="1550"/>
      <c r="R2" s="1550"/>
      <c r="S2" s="1550"/>
      <c r="T2" s="1550"/>
      <c r="U2" s="1550"/>
      <c r="V2" s="1550"/>
      <c r="W2" s="1550"/>
      <c r="X2" s="1550"/>
      <c r="Y2" s="1550"/>
      <c r="Z2" s="1550"/>
      <c r="AA2" s="1550"/>
      <c r="AB2" s="1550"/>
      <c r="AC2" s="1550"/>
      <c r="AD2" s="1550"/>
      <c r="AE2" s="1550"/>
      <c r="AF2" s="1550"/>
      <c r="AG2" s="1550"/>
      <c r="AH2" s="1550"/>
      <c r="AI2" s="1550"/>
      <c r="AJ2" s="1550"/>
    </row>
    <row r="3" spans="1:37" ht="17.25" customHeight="1">
      <c r="A3" s="1551" t="s">
        <v>254</v>
      </c>
      <c r="B3" s="1551"/>
      <c r="C3" s="1551"/>
      <c r="D3" s="1551"/>
      <c r="E3" s="1551"/>
      <c r="F3" s="1551"/>
      <c r="G3" s="1551"/>
      <c r="H3" s="1551"/>
      <c r="I3" s="1551"/>
      <c r="J3" s="1551"/>
      <c r="K3" s="1551"/>
      <c r="L3" s="1551"/>
      <c r="M3" s="1551"/>
      <c r="N3" s="1551"/>
      <c r="O3" s="1551"/>
      <c r="P3" s="1551"/>
      <c r="Q3" s="1551"/>
      <c r="R3" s="1551"/>
      <c r="S3" s="1551"/>
      <c r="T3" s="1551"/>
      <c r="U3" s="1551"/>
      <c r="V3" s="1551"/>
      <c r="W3" s="1551"/>
      <c r="X3" s="1551"/>
      <c r="Y3" s="1551"/>
      <c r="Z3" s="1551"/>
      <c r="AA3" s="1551"/>
      <c r="AB3" s="1551"/>
      <c r="AC3" s="1551"/>
      <c r="AD3" s="1551"/>
      <c r="AE3" s="1551"/>
      <c r="AF3" s="1551"/>
      <c r="AG3" s="1551"/>
      <c r="AH3" s="1551"/>
      <c r="AI3" s="1551"/>
      <c r="AJ3" s="1551"/>
    </row>
    <row r="4" spans="1:37" ht="9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</row>
    <row r="5" spans="1:37" ht="23.25" customHeight="1">
      <c r="A5" s="1552" t="s">
        <v>510</v>
      </c>
      <c r="B5" s="1552"/>
      <c r="C5" s="1552"/>
      <c r="D5" s="1552"/>
      <c r="E5" s="1552"/>
      <c r="F5" s="1552"/>
      <c r="G5" s="1552"/>
      <c r="H5" s="1552"/>
      <c r="I5" s="1552"/>
      <c r="J5" s="1552"/>
      <c r="K5" s="1552"/>
      <c r="L5" s="1552"/>
      <c r="M5" s="1552"/>
      <c r="N5" s="1552"/>
      <c r="O5" s="1552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</row>
    <row r="6" spans="1:37" ht="18" customHeight="1">
      <c r="A6" s="1451" t="s">
        <v>500</v>
      </c>
      <c r="B6" s="1451"/>
      <c r="C6" s="1451"/>
      <c r="D6" s="1451"/>
      <c r="E6" s="1451"/>
      <c r="F6" s="1451"/>
      <c r="G6" s="1451"/>
      <c r="H6" s="1451"/>
      <c r="I6" s="1451"/>
      <c r="J6" s="1451"/>
      <c r="K6" s="1451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</row>
    <row r="7" spans="1:37" ht="12" customHeight="1">
      <c r="A7" s="264"/>
      <c r="B7" s="264"/>
      <c r="C7" s="264"/>
      <c r="D7" s="264"/>
      <c r="E7" s="264"/>
      <c r="F7" s="264"/>
      <c r="G7" s="264"/>
      <c r="H7" s="264"/>
      <c r="I7" s="264"/>
      <c r="J7" s="264"/>
      <c r="K7" s="264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spans="1:37" ht="23.25" customHeight="1">
      <c r="A8" s="1549" t="s">
        <v>750</v>
      </c>
      <c r="B8" s="1549"/>
      <c r="C8" s="1549"/>
      <c r="D8" s="1549"/>
      <c r="E8" s="1549"/>
      <c r="F8" s="1549"/>
      <c r="G8" s="1549"/>
      <c r="H8" s="1549"/>
      <c r="I8" s="1549"/>
      <c r="J8" s="1549"/>
      <c r="K8" s="1549"/>
      <c r="L8" s="1549"/>
      <c r="M8" s="1549"/>
      <c r="N8" s="1549"/>
      <c r="O8" s="1549"/>
      <c r="P8" s="1549"/>
      <c r="Q8" s="1549"/>
      <c r="R8" s="1549"/>
      <c r="S8" s="1549"/>
      <c r="T8" s="1549"/>
      <c r="U8" s="1549"/>
      <c r="V8" s="1549"/>
      <c r="W8" s="1549"/>
      <c r="X8" s="1549"/>
      <c r="Y8" s="1549"/>
      <c r="Z8" s="1549"/>
      <c r="AA8" s="1549"/>
      <c r="AB8" s="1549"/>
      <c r="AC8" s="1549"/>
      <c r="AD8" s="1549"/>
      <c r="AE8" s="1549"/>
      <c r="AF8" s="1549"/>
      <c r="AG8" s="1549"/>
      <c r="AH8" s="1549"/>
      <c r="AI8" s="1549"/>
      <c r="AJ8" s="1549"/>
    </row>
    <row r="9" spans="1:37" ht="18" customHeight="1">
      <c r="A9" s="1553" t="s">
        <v>827</v>
      </c>
      <c r="B9" s="1553"/>
      <c r="C9" s="1553"/>
      <c r="D9" s="1553"/>
      <c r="E9" s="1553"/>
      <c r="F9" s="1553"/>
      <c r="G9" s="1553"/>
      <c r="H9" s="1553"/>
      <c r="I9" s="1553"/>
      <c r="J9" s="1553"/>
      <c r="K9" s="1553"/>
      <c r="L9" s="1553"/>
      <c r="M9" s="1553"/>
      <c r="N9" s="1553"/>
      <c r="O9" s="1553"/>
      <c r="P9" s="1553"/>
      <c r="Q9" s="1553"/>
      <c r="R9" s="1553"/>
      <c r="S9" s="1553"/>
      <c r="T9" s="1553"/>
      <c r="U9" s="1553"/>
      <c r="V9" s="1553"/>
      <c r="W9" s="1553"/>
      <c r="X9" s="1553"/>
      <c r="Y9" s="1553"/>
      <c r="Z9" s="1553"/>
      <c r="AA9" s="1553"/>
      <c r="AB9" s="1553"/>
      <c r="AC9" s="1553"/>
      <c r="AD9" s="1553"/>
      <c r="AE9" s="1553"/>
      <c r="AF9" s="1553"/>
      <c r="AG9" s="1553"/>
      <c r="AH9" s="1553"/>
      <c r="AI9" s="1553"/>
      <c r="AJ9" s="1553"/>
    </row>
    <row r="10" spans="1:37" ht="15" customHeight="1">
      <c r="A10" s="1554" t="s">
        <v>46</v>
      </c>
      <c r="B10" s="1554" t="s">
        <v>47</v>
      </c>
      <c r="C10" s="1554" t="s">
        <v>48</v>
      </c>
      <c r="D10" s="1555" t="s">
        <v>49</v>
      </c>
      <c r="E10" s="1555"/>
      <c r="F10" s="1555"/>
      <c r="G10" s="1555"/>
      <c r="H10" s="1555"/>
      <c r="I10" s="1555"/>
      <c r="J10" s="1555"/>
      <c r="K10" s="1555"/>
      <c r="L10" s="1555"/>
      <c r="M10" s="1555"/>
      <c r="N10" s="1555"/>
      <c r="O10" s="1555"/>
      <c r="P10" s="1555"/>
      <c r="Q10" s="1555"/>
      <c r="R10" s="1555"/>
      <c r="S10" s="1555"/>
      <c r="T10" s="1555"/>
      <c r="U10" s="1555"/>
      <c r="V10" s="1555"/>
      <c r="W10" s="1555"/>
      <c r="X10" s="1555"/>
      <c r="Y10" s="1555"/>
      <c r="Z10" s="1555"/>
      <c r="AA10" s="1555"/>
      <c r="AB10" s="1555"/>
      <c r="AC10" s="1555"/>
      <c r="AD10" s="1555"/>
      <c r="AE10" s="1555"/>
      <c r="AF10" s="1555"/>
      <c r="AG10" s="1555"/>
      <c r="AH10" s="718"/>
      <c r="AI10" s="1458" t="s">
        <v>33</v>
      </c>
      <c r="AJ10" s="1458" t="s">
        <v>313</v>
      </c>
      <c r="AK10" s="368">
        <v>27</v>
      </c>
    </row>
    <row r="11" spans="1:37" ht="15" customHeight="1">
      <c r="A11" s="1554"/>
      <c r="B11" s="1554"/>
      <c r="C11" s="1554"/>
      <c r="D11" s="718">
        <v>1</v>
      </c>
      <c r="E11" s="718">
        <v>2</v>
      </c>
      <c r="F11" s="718">
        <v>3</v>
      </c>
      <c r="G11" s="718">
        <v>4</v>
      </c>
      <c r="H11" s="718">
        <v>5</v>
      </c>
      <c r="I11" s="718">
        <v>6</v>
      </c>
      <c r="J11" s="718">
        <v>7</v>
      </c>
      <c r="K11" s="718">
        <v>8</v>
      </c>
      <c r="L11" s="718">
        <v>9</v>
      </c>
      <c r="M11" s="718">
        <v>10</v>
      </c>
      <c r="N11" s="718">
        <v>11</v>
      </c>
      <c r="O11" s="718">
        <v>12</v>
      </c>
      <c r="P11" s="718">
        <v>13</v>
      </c>
      <c r="Q11" s="718">
        <v>14</v>
      </c>
      <c r="R11" s="718">
        <v>15</v>
      </c>
      <c r="S11" s="718">
        <v>16</v>
      </c>
      <c r="T11" s="718">
        <v>17</v>
      </c>
      <c r="U11" s="718">
        <v>18</v>
      </c>
      <c r="V11" s="718">
        <v>19</v>
      </c>
      <c r="W11" s="718">
        <v>20</v>
      </c>
      <c r="X11" s="718">
        <v>21</v>
      </c>
      <c r="Y11" s="718">
        <v>22</v>
      </c>
      <c r="Z11" s="718">
        <v>23</v>
      </c>
      <c r="AA11" s="718">
        <v>24</v>
      </c>
      <c r="AB11" s="718">
        <v>25</v>
      </c>
      <c r="AC11" s="718">
        <v>26</v>
      </c>
      <c r="AD11" s="718">
        <v>27</v>
      </c>
      <c r="AE11" s="718">
        <v>28</v>
      </c>
      <c r="AF11" s="718">
        <v>29</v>
      </c>
      <c r="AG11" s="718">
        <v>30</v>
      </c>
      <c r="AH11" s="718">
        <v>31</v>
      </c>
      <c r="AI11" s="1458"/>
      <c r="AJ11" s="1458"/>
    </row>
    <row r="12" spans="1:37" ht="23.25" customHeight="1">
      <c r="A12" s="84">
        <v>1</v>
      </c>
      <c r="B12" s="76" t="s">
        <v>2</v>
      </c>
      <c r="C12" s="76" t="s">
        <v>505</v>
      </c>
      <c r="D12" s="184" t="s">
        <v>50</v>
      </c>
      <c r="E12" s="184" t="s">
        <v>50</v>
      </c>
      <c r="F12" s="184" t="s">
        <v>50</v>
      </c>
      <c r="G12" s="184" t="s">
        <v>50</v>
      </c>
      <c r="H12" s="184" t="s">
        <v>50</v>
      </c>
      <c r="I12" s="184" t="s">
        <v>50</v>
      </c>
      <c r="J12" s="184" t="s">
        <v>50</v>
      </c>
      <c r="K12" s="184" t="s">
        <v>50</v>
      </c>
      <c r="L12" s="184" t="s">
        <v>50</v>
      </c>
      <c r="M12" s="184" t="s">
        <v>50</v>
      </c>
      <c r="N12" s="184" t="s">
        <v>50</v>
      </c>
      <c r="O12" s="184" t="s">
        <v>50</v>
      </c>
      <c r="P12" s="184" t="s">
        <v>50</v>
      </c>
      <c r="Q12" s="184" t="s">
        <v>50</v>
      </c>
      <c r="R12" s="184" t="s">
        <v>50</v>
      </c>
      <c r="S12" s="184" t="s">
        <v>50</v>
      </c>
      <c r="T12" s="184" t="s">
        <v>50</v>
      </c>
      <c r="U12" s="184" t="s">
        <v>50</v>
      </c>
      <c r="V12" s="184" t="s">
        <v>50</v>
      </c>
      <c r="W12" s="184" t="s">
        <v>50</v>
      </c>
      <c r="X12" s="184" t="s">
        <v>50</v>
      </c>
      <c r="Y12" s="184" t="s">
        <v>50</v>
      </c>
      <c r="Z12" s="184" t="s">
        <v>50</v>
      </c>
      <c r="AA12" s="184" t="s">
        <v>50</v>
      </c>
      <c r="AB12" s="184" t="s">
        <v>50</v>
      </c>
      <c r="AC12" s="184" t="s">
        <v>50</v>
      </c>
      <c r="AD12" s="184" t="s">
        <v>50</v>
      </c>
      <c r="AE12" s="184" t="s">
        <v>50</v>
      </c>
      <c r="AF12" s="184" t="s">
        <v>50</v>
      </c>
      <c r="AG12" s="184" t="s">
        <v>50</v>
      </c>
      <c r="AH12" s="184" t="s">
        <v>50</v>
      </c>
      <c r="AI12" s="185">
        <f>COUNTIF(D12:AH12,"x")+ COUNTIF(D12:AH12,"p")+COUNTIF(D12:AH12,"mn")+COUNTIF(D12:AH12,"T")+COUNTIF(D12:AH12,"VN")</f>
        <v>31</v>
      </c>
      <c r="AJ12" s="185"/>
    </row>
    <row r="13" spans="1:37" ht="23.25" customHeight="1">
      <c r="A13" s="84">
        <v>2</v>
      </c>
      <c r="B13" s="76" t="s">
        <v>133</v>
      </c>
      <c r="C13" s="76" t="s">
        <v>505</v>
      </c>
      <c r="D13" s="184" t="s">
        <v>50</v>
      </c>
      <c r="E13" s="184" t="s">
        <v>50</v>
      </c>
      <c r="F13" s="184" t="s">
        <v>50</v>
      </c>
      <c r="G13" s="184" t="s">
        <v>50</v>
      </c>
      <c r="H13" s="184" t="s">
        <v>50</v>
      </c>
      <c r="I13" s="184" t="s">
        <v>50</v>
      </c>
      <c r="J13" s="184" t="s">
        <v>50</v>
      </c>
      <c r="K13" s="184" t="s">
        <v>50</v>
      </c>
      <c r="L13" s="184" t="s">
        <v>50</v>
      </c>
      <c r="M13" s="184" t="s">
        <v>50</v>
      </c>
      <c r="N13" s="184" t="s">
        <v>50</v>
      </c>
      <c r="O13" s="184" t="s">
        <v>50</v>
      </c>
      <c r="P13" s="184" t="s">
        <v>50</v>
      </c>
      <c r="Q13" s="184" t="s">
        <v>50</v>
      </c>
      <c r="R13" s="184" t="s">
        <v>50</v>
      </c>
      <c r="S13" s="184" t="s">
        <v>50</v>
      </c>
      <c r="T13" s="184" t="s">
        <v>50</v>
      </c>
      <c r="U13" s="184" t="s">
        <v>50</v>
      </c>
      <c r="V13" s="184" t="s">
        <v>50</v>
      </c>
      <c r="W13" s="184" t="s">
        <v>50</v>
      </c>
      <c r="X13" s="184" t="s">
        <v>50</v>
      </c>
      <c r="Y13" s="184" t="s">
        <v>50</v>
      </c>
      <c r="Z13" s="184" t="s">
        <v>50</v>
      </c>
      <c r="AA13" s="184" t="s">
        <v>50</v>
      </c>
      <c r="AB13" s="184" t="s">
        <v>50</v>
      </c>
      <c r="AC13" s="184" t="s">
        <v>50</v>
      </c>
      <c r="AD13" s="184" t="s">
        <v>50</v>
      </c>
      <c r="AE13" s="184" t="s">
        <v>50</v>
      </c>
      <c r="AF13" s="184" t="s">
        <v>50</v>
      </c>
      <c r="AG13" s="184" t="s">
        <v>50</v>
      </c>
      <c r="AH13" s="184" t="s">
        <v>50</v>
      </c>
      <c r="AI13" s="185">
        <f>COUNTIF(D13:AH13,"x")+ COUNTIF(D13:AH13,"p")+COUNTIF(D13:AH13,"mn")+COUNTIF(D13:AH13,"T")+COUNTIF(D13:AH13,"VN")</f>
        <v>31</v>
      </c>
      <c r="AJ13" s="185"/>
    </row>
    <row r="14" spans="1:37" ht="23.25" customHeight="1">
      <c r="A14" s="84">
        <v>3</v>
      </c>
      <c r="B14" s="205" t="s">
        <v>743</v>
      </c>
      <c r="C14" s="78" t="s">
        <v>692</v>
      </c>
      <c r="D14" s="366" t="s">
        <v>50</v>
      </c>
      <c r="E14" s="366" t="s">
        <v>50</v>
      </c>
      <c r="F14" s="366" t="s">
        <v>50</v>
      </c>
      <c r="G14" s="366" t="s">
        <v>50</v>
      </c>
      <c r="H14" s="366" t="s">
        <v>50</v>
      </c>
      <c r="I14" s="366" t="s">
        <v>50</v>
      </c>
      <c r="J14" s="366" t="s">
        <v>50</v>
      </c>
      <c r="K14" s="366" t="s">
        <v>50</v>
      </c>
      <c r="L14" s="366" t="s">
        <v>50</v>
      </c>
      <c r="M14" s="366" t="s">
        <v>50</v>
      </c>
      <c r="N14" s="366" t="s">
        <v>50</v>
      </c>
      <c r="O14" s="366" t="s">
        <v>50</v>
      </c>
      <c r="P14" s="366" t="s">
        <v>50</v>
      </c>
      <c r="Q14" s="366" t="s">
        <v>50</v>
      </c>
      <c r="R14" s="366" t="s">
        <v>50</v>
      </c>
      <c r="S14" s="366" t="s">
        <v>50</v>
      </c>
      <c r="T14" s="366" t="s">
        <v>50</v>
      </c>
      <c r="U14" s="366" t="s">
        <v>50</v>
      </c>
      <c r="V14" s="366" t="s">
        <v>50</v>
      </c>
      <c r="W14" s="366" t="s">
        <v>50</v>
      </c>
      <c r="X14" s="366" t="s">
        <v>50</v>
      </c>
      <c r="Y14" s="366" t="s">
        <v>50</v>
      </c>
      <c r="Z14" s="366" t="s">
        <v>50</v>
      </c>
      <c r="AA14" s="366" t="s">
        <v>50</v>
      </c>
      <c r="AB14" s="366" t="s">
        <v>50</v>
      </c>
      <c r="AC14" s="366" t="s">
        <v>50</v>
      </c>
      <c r="AD14" s="366" t="s">
        <v>50</v>
      </c>
      <c r="AE14" s="366" t="s">
        <v>50</v>
      </c>
      <c r="AF14" s="366" t="s">
        <v>50</v>
      </c>
      <c r="AG14" s="366" t="s">
        <v>50</v>
      </c>
      <c r="AH14" s="366" t="s">
        <v>50</v>
      </c>
      <c r="AI14" s="185">
        <f>COUNTIF(D14:AH14,"x")+ COUNTIF(D14:AH14,"p")+COUNTIF(D14:AH14,"mn")+COUNTIF(D14:AH14,"T")+COUNTIF(D14:AH14,"VN")</f>
        <v>31</v>
      </c>
      <c r="AJ14" s="185"/>
    </row>
    <row r="15" spans="1:37" ht="23.25" customHeight="1">
      <c r="A15" s="84">
        <v>4</v>
      </c>
      <c r="B15" s="78" t="s">
        <v>140</v>
      </c>
      <c r="C15" s="78" t="s">
        <v>693</v>
      </c>
      <c r="D15" s="366" t="s">
        <v>50</v>
      </c>
      <c r="E15" s="366" t="s">
        <v>50</v>
      </c>
      <c r="F15" s="366" t="s">
        <v>50</v>
      </c>
      <c r="G15" s="366" t="s">
        <v>50</v>
      </c>
      <c r="H15" s="366" t="s">
        <v>50</v>
      </c>
      <c r="I15" s="366" t="s">
        <v>50</v>
      </c>
      <c r="J15" s="366" t="s">
        <v>50</v>
      </c>
      <c r="K15" s="366" t="s">
        <v>50</v>
      </c>
      <c r="L15" s="366" t="s">
        <v>50</v>
      </c>
      <c r="M15" s="366" t="s">
        <v>50</v>
      </c>
      <c r="N15" s="366" t="s">
        <v>50</v>
      </c>
      <c r="O15" s="366" t="s">
        <v>50</v>
      </c>
      <c r="P15" s="366" t="s">
        <v>50</v>
      </c>
      <c r="Q15" s="366" t="s">
        <v>50</v>
      </c>
      <c r="R15" s="366" t="s">
        <v>50</v>
      </c>
      <c r="S15" s="366" t="s">
        <v>50</v>
      </c>
      <c r="T15" s="366" t="s">
        <v>50</v>
      </c>
      <c r="U15" s="366" t="s">
        <v>50</v>
      </c>
      <c r="V15" s="366" t="s">
        <v>50</v>
      </c>
      <c r="W15" s="366" t="s">
        <v>50</v>
      </c>
      <c r="X15" s="366" t="s">
        <v>50</v>
      </c>
      <c r="Y15" s="366" t="s">
        <v>50</v>
      </c>
      <c r="Z15" s="366" t="s">
        <v>50</v>
      </c>
      <c r="AA15" s="366" t="s">
        <v>50</v>
      </c>
      <c r="AB15" s="366" t="s">
        <v>50</v>
      </c>
      <c r="AC15" s="366" t="s">
        <v>50</v>
      </c>
      <c r="AD15" s="366" t="s">
        <v>50</v>
      </c>
      <c r="AE15" s="366" t="s">
        <v>50</v>
      </c>
      <c r="AF15" s="366" t="s">
        <v>50</v>
      </c>
      <c r="AG15" s="366" t="s">
        <v>50</v>
      </c>
      <c r="AH15" s="366" t="s">
        <v>50</v>
      </c>
      <c r="AI15" s="185">
        <f>COUNTIF(D15:AH15,"x")+ COUNTIF(D15:AH15,"p")+COUNTIF(D15:AH15,"mn")+COUNTIF(D15:AH15,"T")+COUNTIF(D15:AH15,"VN")</f>
        <v>31</v>
      </c>
      <c r="AJ15" s="185"/>
    </row>
    <row r="16" spans="1:37" ht="23.25" customHeight="1">
      <c r="A16" s="84">
        <v>5</v>
      </c>
      <c r="B16" s="78" t="s">
        <v>507</v>
      </c>
      <c r="C16" s="78" t="s">
        <v>694</v>
      </c>
      <c r="D16" s="366" t="s">
        <v>50</v>
      </c>
      <c r="E16" s="366" t="s">
        <v>50</v>
      </c>
      <c r="F16" s="366" t="s">
        <v>50</v>
      </c>
      <c r="G16" s="366" t="s">
        <v>50</v>
      </c>
      <c r="H16" s="366" t="s">
        <v>50</v>
      </c>
      <c r="I16" s="366" t="s">
        <v>50</v>
      </c>
      <c r="J16" s="366" t="s">
        <v>50</v>
      </c>
      <c r="K16" s="366" t="s">
        <v>50</v>
      </c>
      <c r="L16" s="366" t="s">
        <v>50</v>
      </c>
      <c r="M16" s="366" t="s">
        <v>50</v>
      </c>
      <c r="N16" s="366" t="s">
        <v>50</v>
      </c>
      <c r="O16" s="366" t="s">
        <v>50</v>
      </c>
      <c r="P16" s="366" t="s">
        <v>50</v>
      </c>
      <c r="Q16" s="366" t="s">
        <v>50</v>
      </c>
      <c r="R16" s="366" t="s">
        <v>50</v>
      </c>
      <c r="S16" s="366" t="s">
        <v>50</v>
      </c>
      <c r="T16" s="366" t="s">
        <v>50</v>
      </c>
      <c r="U16" s="366" t="s">
        <v>50</v>
      </c>
      <c r="V16" s="366" t="s">
        <v>50</v>
      </c>
      <c r="W16" s="366" t="s">
        <v>50</v>
      </c>
      <c r="X16" s="366" t="s">
        <v>50</v>
      </c>
      <c r="Y16" s="366" t="s">
        <v>50</v>
      </c>
      <c r="Z16" s="366" t="s">
        <v>50</v>
      </c>
      <c r="AA16" s="366" t="s">
        <v>50</v>
      </c>
      <c r="AB16" s="366" t="s">
        <v>50</v>
      </c>
      <c r="AC16" s="366" t="s">
        <v>50</v>
      </c>
      <c r="AD16" s="366" t="s">
        <v>50</v>
      </c>
      <c r="AE16" s="366" t="s">
        <v>50</v>
      </c>
      <c r="AF16" s="366" t="s">
        <v>50</v>
      </c>
      <c r="AG16" s="366" t="s">
        <v>50</v>
      </c>
      <c r="AH16" s="366" t="s">
        <v>50</v>
      </c>
      <c r="AI16" s="185">
        <f t="shared" ref="AI16" si="0">COUNTIF(D16:AH16,"x")+ COUNTIF(D16:AH16,"p")+COUNTIF(D16:AH16,"mn")+COUNTIF(D16:AH16,"T")+COUNTIF(D16:AH16,"VN")</f>
        <v>31</v>
      </c>
      <c r="AJ16" s="185"/>
    </row>
    <row r="17" spans="1:36" ht="23.25" customHeight="1">
      <c r="A17" s="84">
        <v>6</v>
      </c>
      <c r="B17" s="78" t="s">
        <v>346</v>
      </c>
      <c r="C17" s="78" t="s">
        <v>138</v>
      </c>
      <c r="D17" s="366" t="s">
        <v>50</v>
      </c>
      <c r="E17" s="366" t="s">
        <v>50</v>
      </c>
      <c r="F17" s="366" t="s">
        <v>50</v>
      </c>
      <c r="G17" s="366" t="s">
        <v>50</v>
      </c>
      <c r="H17" s="366" t="s">
        <v>50</v>
      </c>
      <c r="I17" s="366" t="s">
        <v>50</v>
      </c>
      <c r="J17" s="366" t="s">
        <v>50</v>
      </c>
      <c r="K17" s="366" t="s">
        <v>50</v>
      </c>
      <c r="L17" s="366" t="s">
        <v>50</v>
      </c>
      <c r="M17" s="366" t="s">
        <v>50</v>
      </c>
      <c r="N17" s="366" t="s">
        <v>50</v>
      </c>
      <c r="O17" s="366" t="s">
        <v>50</v>
      </c>
      <c r="P17" s="366" t="s">
        <v>50</v>
      </c>
      <c r="Q17" s="366" t="s">
        <v>50</v>
      </c>
      <c r="R17" s="366" t="s">
        <v>50</v>
      </c>
      <c r="S17" s="366" t="s">
        <v>50</v>
      </c>
      <c r="T17" s="366" t="s">
        <v>50</v>
      </c>
      <c r="U17" s="366" t="s">
        <v>50</v>
      </c>
      <c r="V17" s="366" t="s">
        <v>50</v>
      </c>
      <c r="W17" s="366" t="s">
        <v>50</v>
      </c>
      <c r="X17" s="366" t="s">
        <v>50</v>
      </c>
      <c r="Y17" s="366" t="s">
        <v>50</v>
      </c>
      <c r="Z17" s="366" t="s">
        <v>50</v>
      </c>
      <c r="AA17" s="366" t="s">
        <v>50</v>
      </c>
      <c r="AB17" s="366" t="s">
        <v>50</v>
      </c>
      <c r="AC17" s="366" t="s">
        <v>50</v>
      </c>
      <c r="AD17" s="366" t="s">
        <v>50</v>
      </c>
      <c r="AE17" s="366" t="s">
        <v>50</v>
      </c>
      <c r="AF17" s="366" t="s">
        <v>50</v>
      </c>
      <c r="AG17" s="366" t="s">
        <v>50</v>
      </c>
      <c r="AH17" s="366" t="s">
        <v>50</v>
      </c>
      <c r="AI17" s="185">
        <f>COUNTIF(D17:AH17,"x")+ COUNTIF(D17:AH17,"p")+COUNTIF(D17:AH17,"mn")+COUNTIF(D17:AH17,"T")+COUNTIF(D17:AH17,"VN")</f>
        <v>31</v>
      </c>
      <c r="AJ17" s="185"/>
    </row>
    <row r="18" spans="1:36" ht="23.25" customHeight="1">
      <c r="A18" s="1556" t="s">
        <v>125</v>
      </c>
      <c r="B18" s="1556"/>
      <c r="C18" s="1556"/>
      <c r="D18" s="593">
        <f>COUNTIF(D12:D17,"x")</f>
        <v>6</v>
      </c>
      <c r="E18" s="593">
        <f t="shared" ref="E18:AH18" si="1">COUNTIF(E12:E17,"x")</f>
        <v>6</v>
      </c>
      <c r="F18" s="593">
        <f t="shared" si="1"/>
        <v>6</v>
      </c>
      <c r="G18" s="593">
        <f t="shared" si="1"/>
        <v>6</v>
      </c>
      <c r="H18" s="593">
        <f t="shared" si="1"/>
        <v>6</v>
      </c>
      <c r="I18" s="593">
        <f t="shared" si="1"/>
        <v>6</v>
      </c>
      <c r="J18" s="593">
        <f t="shared" si="1"/>
        <v>6</v>
      </c>
      <c r="K18" s="593">
        <f t="shared" si="1"/>
        <v>6</v>
      </c>
      <c r="L18" s="593">
        <f t="shared" si="1"/>
        <v>6</v>
      </c>
      <c r="M18" s="593">
        <f t="shared" si="1"/>
        <v>6</v>
      </c>
      <c r="N18" s="593">
        <f t="shared" si="1"/>
        <v>6</v>
      </c>
      <c r="O18" s="593">
        <f t="shared" si="1"/>
        <v>6</v>
      </c>
      <c r="P18" s="593">
        <f t="shared" si="1"/>
        <v>6</v>
      </c>
      <c r="Q18" s="593">
        <f t="shared" si="1"/>
        <v>6</v>
      </c>
      <c r="R18" s="593">
        <f t="shared" si="1"/>
        <v>6</v>
      </c>
      <c r="S18" s="593">
        <f t="shared" si="1"/>
        <v>6</v>
      </c>
      <c r="T18" s="593">
        <f t="shared" si="1"/>
        <v>6</v>
      </c>
      <c r="U18" s="593">
        <f t="shared" si="1"/>
        <v>6</v>
      </c>
      <c r="V18" s="593">
        <f t="shared" si="1"/>
        <v>6</v>
      </c>
      <c r="W18" s="593">
        <f t="shared" si="1"/>
        <v>6</v>
      </c>
      <c r="X18" s="593">
        <f t="shared" si="1"/>
        <v>6</v>
      </c>
      <c r="Y18" s="593">
        <f t="shared" si="1"/>
        <v>6</v>
      </c>
      <c r="Z18" s="593">
        <f t="shared" si="1"/>
        <v>6</v>
      </c>
      <c r="AA18" s="593">
        <f t="shared" si="1"/>
        <v>6</v>
      </c>
      <c r="AB18" s="593">
        <f t="shared" si="1"/>
        <v>6</v>
      </c>
      <c r="AC18" s="593">
        <f t="shared" si="1"/>
        <v>6</v>
      </c>
      <c r="AD18" s="593">
        <f t="shared" si="1"/>
        <v>6</v>
      </c>
      <c r="AE18" s="593">
        <f t="shared" si="1"/>
        <v>6</v>
      </c>
      <c r="AF18" s="593">
        <f t="shared" si="1"/>
        <v>6</v>
      </c>
      <c r="AG18" s="593">
        <f t="shared" si="1"/>
        <v>6</v>
      </c>
      <c r="AH18" s="593">
        <f t="shared" si="1"/>
        <v>6</v>
      </c>
      <c r="AI18" s="593">
        <f>SUM(AI12:AI17)</f>
        <v>186</v>
      </c>
      <c r="AJ18" s="185"/>
    </row>
    <row r="19" spans="1:36" ht="15.75" customHeight="1"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1557" t="s">
        <v>800</v>
      </c>
      <c r="U19" s="1557"/>
      <c r="V19" s="1557"/>
      <c r="W19" s="1557"/>
      <c r="X19" s="1557"/>
      <c r="Y19" s="1557"/>
      <c r="Z19" s="1557"/>
      <c r="AA19" s="1557"/>
      <c r="AB19" s="1557"/>
      <c r="AC19" s="1557"/>
      <c r="AD19" s="1557"/>
      <c r="AE19" s="1557"/>
      <c r="AF19" s="1557"/>
      <c r="AG19" s="1557"/>
      <c r="AH19" s="1557"/>
      <c r="AI19" s="1557"/>
      <c r="AJ19" s="1557"/>
    </row>
    <row r="20" spans="1:36" ht="15.75" customHeight="1">
      <c r="B20" s="43" t="s">
        <v>373</v>
      </c>
      <c r="C20" s="1558" t="s">
        <v>374</v>
      </c>
      <c r="D20" s="1558"/>
      <c r="E20" s="1558"/>
      <c r="F20" s="1558"/>
      <c r="G20" s="1558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723"/>
      <c r="U20" s="723"/>
      <c r="V20" s="723"/>
      <c r="W20" s="723"/>
      <c r="X20" s="723"/>
      <c r="Y20" s="723"/>
      <c r="Z20" s="723"/>
      <c r="AA20" s="723"/>
      <c r="AB20" s="723"/>
      <c r="AC20" s="723"/>
      <c r="AD20" s="723"/>
      <c r="AE20" s="723"/>
      <c r="AF20" s="723"/>
      <c r="AG20" s="723"/>
      <c r="AH20" s="723"/>
      <c r="AI20" s="723"/>
      <c r="AJ20" s="723"/>
    </row>
    <row r="21" spans="1:36" ht="13.5" customHeight="1">
      <c r="B21" s="43"/>
      <c r="C21" s="1558" t="s">
        <v>436</v>
      </c>
      <c r="D21" s="1558"/>
      <c r="E21" s="1558"/>
      <c r="F21" s="1558"/>
      <c r="G21" s="1558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723"/>
      <c r="U21" s="723"/>
      <c r="V21" s="723"/>
      <c r="W21" s="723"/>
      <c r="X21" s="723"/>
      <c r="Y21" s="723"/>
      <c r="Z21" s="723"/>
      <c r="AA21" s="723"/>
      <c r="AB21" s="723"/>
      <c r="AC21" s="723"/>
      <c r="AD21" s="723"/>
      <c r="AE21" s="723"/>
      <c r="AF21" s="723"/>
      <c r="AG21" s="723"/>
      <c r="AH21" s="723"/>
      <c r="AI21" s="723"/>
      <c r="AJ21" s="723"/>
    </row>
    <row r="22" spans="1:36" ht="17.25" customHeight="1">
      <c r="A22" s="1559" t="s">
        <v>508</v>
      </c>
      <c r="B22" s="1559"/>
      <c r="C22" s="1559"/>
      <c r="D22" s="1559"/>
      <c r="E22" s="1559"/>
      <c r="F22" s="1559"/>
      <c r="G22" s="1559"/>
      <c r="H22" s="1559"/>
      <c r="I22" s="1559"/>
      <c r="J22" s="1559"/>
      <c r="K22" s="1559"/>
      <c r="L22" s="1559"/>
      <c r="M22" s="1559"/>
      <c r="N22" s="1559"/>
      <c r="O22" s="1559"/>
      <c r="P22" s="1559"/>
      <c r="Q22" s="1559"/>
      <c r="R22" s="1559"/>
      <c r="S22" s="1559"/>
      <c r="T22" s="1559"/>
      <c r="U22" s="1559"/>
      <c r="V22" s="1559"/>
      <c r="W22" s="1559"/>
      <c r="X22" s="1559"/>
      <c r="Y22" s="1559"/>
      <c r="Z22" s="1559"/>
      <c r="AA22" s="1559"/>
      <c r="AB22" s="1559"/>
      <c r="AC22" s="1559"/>
      <c r="AD22" s="1559"/>
      <c r="AE22" s="1559"/>
      <c r="AF22" s="1559"/>
      <c r="AG22" s="1559"/>
      <c r="AH22" s="1559"/>
      <c r="AI22" s="1559"/>
      <c r="AJ22" s="1559"/>
    </row>
    <row r="23" spans="1:36" ht="15" customHeight="1">
      <c r="A23" s="30"/>
      <c r="B23" s="28"/>
      <c r="C23" s="722"/>
      <c r="D23" s="30"/>
      <c r="E23" s="30"/>
      <c r="F23" s="30"/>
      <c r="G23" s="30"/>
      <c r="H23" s="30"/>
      <c r="I23" s="33"/>
      <c r="J23" s="33"/>
      <c r="K23" s="33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</row>
    <row r="24" spans="1:36" ht="13.5" customHeight="1">
      <c r="A24" s="30"/>
      <c r="B24" s="222"/>
      <c r="C24" s="722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41"/>
      <c r="O24" s="41"/>
      <c r="P24" s="41"/>
      <c r="Q24" s="33"/>
      <c r="R24" s="33"/>
      <c r="S24" s="33"/>
      <c r="T24" s="33"/>
      <c r="U24" s="33"/>
      <c r="V24" s="33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33"/>
      <c r="AJ24" s="33"/>
    </row>
    <row r="25" spans="1:36" ht="13.5" customHeight="1">
      <c r="A25" s="30"/>
      <c r="B25" s="222"/>
      <c r="C25" s="722"/>
      <c r="D25" s="30"/>
      <c r="E25" s="30"/>
      <c r="F25" s="30"/>
      <c r="G25" s="30"/>
      <c r="H25" s="30"/>
      <c r="I25" s="33"/>
      <c r="J25" s="33"/>
      <c r="K25" s="33"/>
      <c r="L25" s="30"/>
      <c r="M25" s="30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</row>
    <row r="26" spans="1:36" ht="13.5" customHeight="1">
      <c r="A26" s="30"/>
      <c r="B26" s="222"/>
      <c r="C26" s="722"/>
      <c r="D26" s="30"/>
      <c r="E26" s="30"/>
      <c r="F26" s="30"/>
      <c r="G26" s="30"/>
      <c r="H26" s="30"/>
      <c r="I26" s="30"/>
      <c r="J26" s="30"/>
      <c r="K26" s="33"/>
      <c r="L26" s="30"/>
      <c r="M26" s="30"/>
      <c r="N26" s="41"/>
      <c r="O26" s="41"/>
      <c r="P26" s="41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</row>
    <row r="27" spans="1:36" ht="12" customHeight="1">
      <c r="A27" s="30"/>
      <c r="B27" s="222"/>
      <c r="C27" s="30"/>
      <c r="D27" s="30"/>
      <c r="E27" s="30"/>
      <c r="F27" s="30"/>
      <c r="G27" s="30"/>
      <c r="H27" s="30"/>
      <c r="I27" s="30"/>
      <c r="J27" s="30"/>
      <c r="K27" s="33"/>
      <c r="L27" s="30"/>
      <c r="M27" s="30"/>
      <c r="N27" s="41"/>
      <c r="O27" s="41"/>
      <c r="P27" s="41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</row>
    <row r="28" spans="1:36" ht="15.75" customHeight="1">
      <c r="A28" s="30"/>
      <c r="B28" s="728"/>
      <c r="C28" s="728"/>
      <c r="D28" s="728"/>
      <c r="E28" s="728"/>
      <c r="F28" s="728"/>
      <c r="G28" s="728"/>
      <c r="H28" s="728"/>
      <c r="I28" s="728"/>
      <c r="J28" s="728"/>
      <c r="L28" s="30"/>
      <c r="N28" s="33"/>
      <c r="O28" s="33"/>
      <c r="P28" s="33"/>
      <c r="Q28" s="33"/>
      <c r="R28" s="33"/>
      <c r="S28" s="33"/>
      <c r="T28" s="33"/>
      <c r="U28" s="33"/>
      <c r="V28" s="33"/>
      <c r="W28" s="41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</row>
    <row r="29" spans="1:36" ht="13.5" customHeight="1">
      <c r="A29" s="30"/>
      <c r="H29" s="32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spans="1:36" ht="13.5" customHeight="1">
      <c r="A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spans="1:36" ht="16.5">
      <c r="A31" s="38"/>
      <c r="B31" s="30"/>
      <c r="C31" s="39"/>
      <c r="D31" s="39"/>
      <c r="E31" s="30"/>
      <c r="F31" s="30"/>
      <c r="G31" s="30"/>
      <c r="H31" s="30"/>
      <c r="I31" s="40"/>
      <c r="J31" s="40"/>
      <c r="K31" s="30"/>
    </row>
    <row r="32" spans="1:36" ht="15.75">
      <c r="A32" s="30"/>
      <c r="B32" s="28"/>
      <c r="C32" s="722"/>
      <c r="D32" s="30"/>
      <c r="E32" s="30"/>
      <c r="F32" s="30"/>
      <c r="G32" s="30"/>
      <c r="H32" s="30"/>
      <c r="I32" s="33"/>
      <c r="J32" s="33"/>
      <c r="K32" s="33"/>
    </row>
    <row r="33" spans="1:11">
      <c r="A33" s="30"/>
      <c r="B33" s="222"/>
      <c r="C33" s="722"/>
      <c r="D33" s="30"/>
      <c r="E33" s="30"/>
      <c r="F33" s="30"/>
      <c r="G33" s="30"/>
      <c r="H33" s="30"/>
      <c r="I33" s="30"/>
      <c r="J33" s="30"/>
      <c r="K33" s="30"/>
    </row>
    <row r="34" spans="1:11" ht="15.75">
      <c r="A34" s="30"/>
      <c r="B34" s="222"/>
      <c r="C34" s="722"/>
      <c r="D34" s="30"/>
      <c r="E34" s="30"/>
      <c r="F34" s="30"/>
      <c r="G34" s="30"/>
      <c r="H34" s="30"/>
      <c r="I34" s="33"/>
      <c r="J34" s="33"/>
      <c r="K34" s="33"/>
    </row>
    <row r="35" spans="1:11" ht="15.75">
      <c r="A35" s="30"/>
      <c r="B35" s="222"/>
      <c r="C35" s="722"/>
      <c r="D35" s="30"/>
      <c r="E35" s="30"/>
      <c r="F35" s="30"/>
      <c r="G35" s="30"/>
      <c r="H35" s="30"/>
      <c r="I35" s="30"/>
      <c r="J35" s="30"/>
      <c r="K35" s="33"/>
    </row>
    <row r="36" spans="1:11" ht="15.75">
      <c r="A36" s="30"/>
      <c r="B36" s="222"/>
      <c r="C36" s="30"/>
      <c r="D36" s="30"/>
      <c r="E36" s="30"/>
      <c r="F36" s="30"/>
      <c r="G36" s="30"/>
      <c r="H36" s="30"/>
      <c r="I36" s="30"/>
      <c r="J36" s="30"/>
      <c r="K36" s="33"/>
    </row>
    <row r="37" spans="1:11">
      <c r="A37" s="30"/>
      <c r="B37" s="222"/>
      <c r="C37" s="30"/>
      <c r="D37" s="30"/>
      <c r="E37" s="30"/>
      <c r="F37" s="30"/>
      <c r="G37" s="30"/>
      <c r="H37" s="30"/>
      <c r="I37" s="30"/>
      <c r="J37" s="30"/>
    </row>
    <row r="38" spans="1:11">
      <c r="A38" s="30"/>
      <c r="H38" s="32"/>
    </row>
  </sheetData>
  <mergeCells count="18">
    <mergeCell ref="A18:C18"/>
    <mergeCell ref="T19:AJ19"/>
    <mergeCell ref="C20:G20"/>
    <mergeCell ref="C21:G21"/>
    <mergeCell ref="A22:AJ22"/>
    <mergeCell ref="A9:AJ9"/>
    <mergeCell ref="A10:A11"/>
    <mergeCell ref="B10:B11"/>
    <mergeCell ref="C10:C11"/>
    <mergeCell ref="D10:AG10"/>
    <mergeCell ref="AI10:AI11"/>
    <mergeCell ref="AJ10:AJ11"/>
    <mergeCell ref="A8:AJ8"/>
    <mergeCell ref="A1:AJ1"/>
    <mergeCell ref="A2:AJ2"/>
    <mergeCell ref="A3:AJ3"/>
    <mergeCell ref="A5:O5"/>
    <mergeCell ref="A6:K6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92D050"/>
  </sheetPr>
  <dimension ref="A1:AD31"/>
  <sheetViews>
    <sheetView zoomScale="85" zoomScaleNormal="85" workbookViewId="0">
      <pane ySplit="1" topLeftCell="A8" activePane="bottomLeft" state="frozen"/>
      <selection activeCell="AQ93" sqref="AQ93"/>
      <selection pane="bottomLeft" activeCell="L24" sqref="L24"/>
    </sheetView>
  </sheetViews>
  <sheetFormatPr defaultColWidth="9.140625" defaultRowHeight="16.5"/>
  <cols>
    <col min="1" max="1" width="5" style="107" customWidth="1"/>
    <col min="2" max="2" width="21.7109375" style="107" customWidth="1"/>
    <col min="3" max="3" width="19.85546875" style="107" customWidth="1"/>
    <col min="4" max="4" width="10.42578125" style="107" customWidth="1"/>
    <col min="5" max="5" width="15.28515625" style="107" customWidth="1"/>
    <col min="6" max="7" width="17.28515625" style="107" customWidth="1"/>
    <col min="8" max="8" width="14.42578125" style="107" customWidth="1"/>
    <col min="9" max="9" width="15.28515625" style="107" customWidth="1"/>
    <col min="10" max="10" width="13.7109375" style="107" customWidth="1"/>
    <col min="11" max="11" width="16.140625" style="107" customWidth="1"/>
    <col min="12" max="12" width="8.42578125" style="107" customWidth="1"/>
    <col min="13" max="13" width="12.85546875" style="107" customWidth="1"/>
    <col min="14" max="14" width="13.42578125" style="107" customWidth="1"/>
    <col min="15" max="16" width="7.85546875" style="107" customWidth="1"/>
    <col min="17" max="17" width="7.28515625" style="107" customWidth="1"/>
    <col min="18" max="18" width="7.42578125" style="107" customWidth="1"/>
    <col min="19" max="19" width="6.28515625" style="107" customWidth="1"/>
    <col min="20" max="20" width="5.7109375" style="107" customWidth="1"/>
    <col min="21" max="21" width="6" style="107" customWidth="1"/>
    <col min="22" max="22" width="4.85546875" style="107" customWidth="1"/>
    <col min="23" max="23" width="6" style="107" customWidth="1"/>
    <col min="24" max="24" width="6.5703125" style="107" customWidth="1"/>
    <col min="25" max="25" width="8.140625" style="107" customWidth="1"/>
    <col min="26" max="26" width="6" style="107" customWidth="1"/>
    <col min="27" max="27" width="8.140625" style="107" customWidth="1"/>
    <col min="28" max="28" width="15" style="107" bestFit="1" customWidth="1"/>
    <col min="29" max="29" width="17.85546875" style="107" bestFit="1" customWidth="1"/>
    <col min="30" max="30" width="12.85546875" style="107" bestFit="1" customWidth="1"/>
    <col min="31" max="16384" width="9.140625" style="107"/>
  </cols>
  <sheetData>
    <row r="1" spans="1:30">
      <c r="A1" s="1568" t="s">
        <v>51</v>
      </c>
      <c r="B1" s="1568"/>
      <c r="C1" s="1568"/>
      <c r="D1" s="1568"/>
      <c r="E1" s="1568"/>
      <c r="F1" s="1568"/>
      <c r="G1" s="1568"/>
      <c r="H1" s="1568"/>
      <c r="I1" s="1568"/>
      <c r="J1" s="1568"/>
      <c r="K1" s="1568"/>
    </row>
    <row r="2" spans="1:30">
      <c r="A2" s="1568" t="s">
        <v>38</v>
      </c>
      <c r="B2" s="1568"/>
      <c r="C2" s="1568"/>
      <c r="D2" s="1568"/>
      <c r="E2" s="1568"/>
      <c r="F2" s="1568"/>
      <c r="G2" s="1568"/>
      <c r="H2" s="1568"/>
      <c r="I2" s="1568"/>
      <c r="J2" s="1568"/>
      <c r="K2" s="1568"/>
      <c r="L2" s="13"/>
      <c r="M2" s="13"/>
      <c r="N2" s="13"/>
      <c r="O2" s="28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30">
      <c r="A3" s="1572" t="s">
        <v>255</v>
      </c>
      <c r="B3" s="1568"/>
      <c r="C3" s="1568"/>
      <c r="D3" s="1568"/>
      <c r="E3" s="1568"/>
      <c r="F3" s="1568"/>
      <c r="G3" s="1568"/>
      <c r="H3" s="1568"/>
      <c r="I3" s="1568"/>
      <c r="J3" s="1568"/>
      <c r="K3" s="1568"/>
      <c r="L3" s="14"/>
      <c r="M3" s="14"/>
      <c r="N3" s="14"/>
      <c r="O3" s="14"/>
      <c r="P3" s="284"/>
      <c r="R3" s="14"/>
      <c r="S3" s="14"/>
      <c r="T3" s="14"/>
      <c r="U3" s="14"/>
      <c r="V3" s="14"/>
      <c r="W3" s="14"/>
      <c r="X3" s="14"/>
      <c r="Y3" s="14"/>
      <c r="Z3" s="14"/>
      <c r="AA3" s="284"/>
    </row>
    <row r="4" spans="1:30">
      <c r="L4" s="14"/>
      <c r="M4" s="14"/>
      <c r="N4" s="14"/>
      <c r="O4" s="14"/>
      <c r="P4" s="284"/>
      <c r="R4" s="14"/>
      <c r="S4" s="14"/>
      <c r="T4" s="14"/>
      <c r="U4" s="14"/>
      <c r="V4" s="14"/>
      <c r="W4" s="14"/>
      <c r="X4" s="14"/>
      <c r="Y4" s="14"/>
      <c r="Z4" s="14"/>
      <c r="AA4" s="284"/>
    </row>
    <row r="5" spans="1:30" ht="25.15" customHeight="1">
      <c r="A5" s="1552" t="s">
        <v>510</v>
      </c>
      <c r="B5" s="1552"/>
      <c r="C5" s="1552"/>
      <c r="D5" s="1552"/>
      <c r="E5" s="1552"/>
      <c r="F5" s="137"/>
      <c r="G5" s="137"/>
      <c r="H5" s="137"/>
      <c r="I5" s="137"/>
      <c r="J5" s="137"/>
      <c r="K5" s="137"/>
      <c r="L5" s="286"/>
      <c r="M5" s="286"/>
      <c r="N5" s="286"/>
      <c r="O5" s="287"/>
      <c r="P5" s="288"/>
      <c r="Q5" s="289"/>
      <c r="R5" s="290"/>
      <c r="S5" s="290"/>
      <c r="T5" s="290"/>
      <c r="U5" s="290"/>
      <c r="V5" s="290"/>
      <c r="W5" s="290"/>
      <c r="X5" s="290"/>
      <c r="Y5" s="290"/>
      <c r="Z5" s="290"/>
      <c r="AA5" s="284"/>
      <c r="AB5" s="291">
        <f>1372+388</f>
        <v>1760</v>
      </c>
      <c r="AC5" s="107">
        <f>AB5*30000</f>
        <v>52800000</v>
      </c>
      <c r="AD5" s="107" t="e">
        <f>AC5+#REF!+#REF!</f>
        <v>#REF!</v>
      </c>
    </row>
    <row r="6" spans="1:30" ht="22.15" customHeight="1">
      <c r="A6" s="1566" t="s">
        <v>500</v>
      </c>
      <c r="B6" s="1566"/>
      <c r="C6" s="1566"/>
      <c r="D6" s="1566"/>
      <c r="E6" s="1566"/>
      <c r="F6" s="467"/>
      <c r="G6" s="467"/>
      <c r="H6" s="467"/>
      <c r="I6" s="285"/>
      <c r="J6" s="285"/>
      <c r="K6" s="285"/>
      <c r="L6" s="286"/>
      <c r="M6" s="286"/>
      <c r="N6" s="286"/>
      <c r="O6" s="287"/>
      <c r="P6" s="288"/>
      <c r="Q6" s="289"/>
      <c r="R6" s="290"/>
      <c r="S6" s="290"/>
      <c r="T6" s="290"/>
      <c r="U6" s="290"/>
      <c r="V6" s="290"/>
      <c r="W6" s="290"/>
      <c r="X6" s="290"/>
      <c r="Y6" s="290"/>
      <c r="Z6" s="290"/>
      <c r="AA6" s="284"/>
      <c r="AB6" s="291"/>
    </row>
    <row r="7" spans="1:30">
      <c r="A7" s="656"/>
      <c r="B7" s="656"/>
      <c r="C7" s="656"/>
      <c r="D7" s="656"/>
      <c r="E7" s="656"/>
      <c r="F7" s="467"/>
      <c r="G7" s="467"/>
      <c r="H7" s="467"/>
      <c r="I7" s="285"/>
      <c r="J7" s="285"/>
      <c r="K7" s="285"/>
      <c r="L7" s="286"/>
      <c r="M7" s="286"/>
      <c r="N7" s="286"/>
      <c r="O7" s="287"/>
      <c r="P7" s="288"/>
      <c r="Q7" s="289"/>
      <c r="R7" s="290"/>
      <c r="S7" s="290"/>
      <c r="T7" s="290"/>
      <c r="U7" s="290"/>
      <c r="V7" s="290"/>
      <c r="W7" s="290"/>
      <c r="X7" s="290"/>
      <c r="Y7" s="290"/>
      <c r="Z7" s="290"/>
      <c r="AA7" s="284"/>
      <c r="AB7" s="291"/>
    </row>
    <row r="8" spans="1:30" ht="20.25">
      <c r="A8" s="1569" t="s">
        <v>811</v>
      </c>
      <c r="B8" s="1570"/>
      <c r="C8" s="1570"/>
      <c r="D8" s="1570"/>
      <c r="E8" s="1570"/>
      <c r="F8" s="1570"/>
      <c r="G8" s="1570"/>
      <c r="H8" s="1570"/>
      <c r="I8" s="1570"/>
      <c r="J8" s="1570"/>
      <c r="K8" s="1570"/>
      <c r="L8" s="286"/>
      <c r="M8" s="286"/>
      <c r="N8" s="286"/>
      <c r="O8" s="287"/>
      <c r="P8" s="288"/>
      <c r="Q8" s="289"/>
      <c r="R8" s="290"/>
      <c r="S8" s="290"/>
      <c r="T8" s="290"/>
      <c r="U8" s="290"/>
      <c r="V8" s="290"/>
      <c r="W8" s="290"/>
      <c r="X8" s="290"/>
      <c r="Y8" s="290"/>
      <c r="Z8" s="290"/>
      <c r="AA8" s="284"/>
      <c r="AB8" s="291"/>
    </row>
    <row r="9" spans="1:30" ht="27" customHeight="1">
      <c r="A9" s="472"/>
      <c r="B9" s="294"/>
      <c r="C9" s="294"/>
      <c r="D9" s="472"/>
      <c r="E9" s="472"/>
      <c r="F9" s="472"/>
      <c r="G9" s="472"/>
      <c r="H9" s="472"/>
      <c r="I9" s="472"/>
      <c r="J9" s="472"/>
      <c r="K9" s="397" t="s">
        <v>330</v>
      </c>
      <c r="L9" s="292"/>
      <c r="M9" s="292"/>
      <c r="N9" s="292"/>
      <c r="O9" s="292"/>
      <c r="P9" s="293"/>
      <c r="Q9" s="293"/>
      <c r="R9" s="293"/>
      <c r="S9" s="293"/>
      <c r="T9" s="293"/>
      <c r="U9" s="293"/>
      <c r="V9" s="293"/>
      <c r="W9" s="293"/>
      <c r="X9" s="293"/>
      <c r="Y9" s="293"/>
      <c r="Z9" s="293"/>
      <c r="AA9" s="293"/>
    </row>
    <row r="10" spans="1:30" ht="16.5" customHeight="1">
      <c r="A10" s="1562" t="s">
        <v>4</v>
      </c>
      <c r="B10" s="1562" t="s">
        <v>61</v>
      </c>
      <c r="C10" s="1562" t="s">
        <v>8</v>
      </c>
      <c r="D10" s="1563" t="s">
        <v>31</v>
      </c>
      <c r="E10" s="1563" t="s">
        <v>266</v>
      </c>
      <c r="F10" s="1564" t="s">
        <v>267</v>
      </c>
      <c r="G10" s="1576" t="s">
        <v>871</v>
      </c>
      <c r="H10" s="1563" t="s">
        <v>744</v>
      </c>
      <c r="I10" s="1562" t="s">
        <v>220</v>
      </c>
      <c r="J10" s="1531" t="s">
        <v>131</v>
      </c>
      <c r="K10" s="1531" t="s">
        <v>323</v>
      </c>
      <c r="L10" s="296"/>
      <c r="M10" s="297"/>
      <c r="N10" s="298"/>
    </row>
    <row r="11" spans="1:30" ht="55.15" customHeight="1">
      <c r="A11" s="1562"/>
      <c r="B11" s="1562"/>
      <c r="C11" s="1562"/>
      <c r="D11" s="1563"/>
      <c r="E11" s="1563"/>
      <c r="F11" s="1564"/>
      <c r="G11" s="1577"/>
      <c r="H11" s="1563"/>
      <c r="I11" s="1562"/>
      <c r="J11" s="1531"/>
      <c r="K11" s="1531"/>
      <c r="L11" s="299"/>
      <c r="M11" s="297"/>
      <c r="N11" s="298"/>
    </row>
    <row r="12" spans="1:30" ht="20.25" customHeight="1">
      <c r="A12" s="414" t="s">
        <v>769</v>
      </c>
      <c r="B12" s="1573" t="s">
        <v>763</v>
      </c>
      <c r="C12" s="1573"/>
      <c r="D12" s="921">
        <f>SUM(D13:D15)</f>
        <v>93</v>
      </c>
      <c r="E12" s="921">
        <f>SUM(E13:E15)</f>
        <v>6000000</v>
      </c>
      <c r="F12" s="921"/>
      <c r="G12" s="921"/>
      <c r="H12" s="921">
        <f t="shared" ref="H12:K12" si="0">SUM(H13:H15)</f>
        <v>1860000</v>
      </c>
      <c r="I12" s="921">
        <f t="shared" si="0"/>
        <v>7860000</v>
      </c>
      <c r="J12" s="921">
        <f t="shared" si="0"/>
        <v>66000</v>
      </c>
      <c r="K12" s="921">
        <f t="shared" si="0"/>
        <v>7794000</v>
      </c>
      <c r="L12" s="299"/>
      <c r="M12" s="297"/>
      <c r="N12" s="298"/>
    </row>
    <row r="13" spans="1:30" ht="20.25" customHeight="1">
      <c r="A13" s="220">
        <v>1</v>
      </c>
      <c r="B13" s="383" t="str">
        <f>'Bảng ĐP - BV  '!B14</f>
        <v>Pôn</v>
      </c>
      <c r="C13" s="220"/>
      <c r="D13" s="220">
        <f>'Bảng ĐP - BV  '!AI14</f>
        <v>31</v>
      </c>
      <c r="E13" s="455">
        <v>2000000</v>
      </c>
      <c r="F13" s="455"/>
      <c r="G13" s="455"/>
      <c r="H13" s="455">
        <f>D13*20000</f>
        <v>620000</v>
      </c>
      <c r="I13" s="416">
        <f>E13+H13</f>
        <v>2620000</v>
      </c>
      <c r="J13" s="457"/>
      <c r="K13" s="453">
        <f>I13-J13</f>
        <v>2620000</v>
      </c>
      <c r="L13" s="299"/>
      <c r="M13" s="297"/>
      <c r="N13" s="298"/>
    </row>
    <row r="14" spans="1:30" ht="20.25" customHeight="1">
      <c r="A14" s="220">
        <v>2</v>
      </c>
      <c r="B14" s="383" t="str">
        <f>'Bảng ĐP - BV  '!B15</f>
        <v>Đô La</v>
      </c>
      <c r="C14" s="220"/>
      <c r="D14" s="220">
        <f>'Bảng ĐP - BV  '!AI15</f>
        <v>31</v>
      </c>
      <c r="E14" s="455">
        <v>2000000</v>
      </c>
      <c r="F14" s="455"/>
      <c r="G14" s="455"/>
      <c r="H14" s="455">
        <f t="shared" ref="H14:H15" si="1">D14*20000</f>
        <v>620000</v>
      </c>
      <c r="I14" s="416">
        <f t="shared" ref="I14:I15" si="2">E14+H14</f>
        <v>2620000</v>
      </c>
      <c r="J14" s="457"/>
      <c r="K14" s="453">
        <f t="shared" ref="K14:K15" si="3">I14-J14</f>
        <v>2620000</v>
      </c>
      <c r="L14" s="299"/>
      <c r="M14" s="297"/>
      <c r="N14" s="298"/>
    </row>
    <row r="15" spans="1:30" ht="20.25" customHeight="1">
      <c r="A15" s="220">
        <v>3</v>
      </c>
      <c r="B15" s="383" t="str">
        <f>'Bảng ĐP - BV  '!B16</f>
        <v xml:space="preserve">Thảo Mét </v>
      </c>
      <c r="C15" s="220"/>
      <c r="D15" s="220">
        <f>'Bảng ĐP - BV  '!AI16</f>
        <v>31</v>
      </c>
      <c r="E15" s="455">
        <v>2000000</v>
      </c>
      <c r="F15" s="455"/>
      <c r="G15" s="455"/>
      <c r="H15" s="455">
        <f t="shared" si="1"/>
        <v>620000</v>
      </c>
      <c r="I15" s="416">
        <f t="shared" si="2"/>
        <v>2620000</v>
      </c>
      <c r="J15" s="729">
        <f>IF(I15&gt;65000000,((I15-65000000)*25%+10685000),IF(I15&gt;25000000,((I15-25000000)*20%+2685000),IF(I15&gt;15000000,((I15-15000000)*15%+1185000),IF(I15&gt;5000000,(I15-5000000)*10%+185000,IF(I15&gt;1300000,(I15-1300000)*5%,0)))))</f>
        <v>66000</v>
      </c>
      <c r="K15" s="453">
        <f t="shared" si="3"/>
        <v>2554000</v>
      </c>
      <c r="L15" s="299"/>
      <c r="M15" s="297"/>
      <c r="N15" s="298"/>
    </row>
    <row r="16" spans="1:30" ht="20.25" customHeight="1">
      <c r="A16" s="414" t="s">
        <v>59</v>
      </c>
      <c r="B16" s="1574" t="s">
        <v>764</v>
      </c>
      <c r="C16" s="1575"/>
      <c r="D16" s="626">
        <f t="shared" ref="D16:K16" si="4">SUM(D17:D18)</f>
        <v>62</v>
      </c>
      <c r="E16" s="921">
        <f t="shared" si="4"/>
        <v>6000000</v>
      </c>
      <c r="F16" s="921">
        <f t="shared" si="4"/>
        <v>7268908.5608362351</v>
      </c>
      <c r="G16" s="921">
        <f t="shared" si="4"/>
        <v>676249.29396662372</v>
      </c>
      <c r="H16" s="921"/>
      <c r="I16" s="921">
        <f>SUM(I17:I18)</f>
        <v>13945157.854802858</v>
      </c>
      <c r="J16" s="921">
        <f t="shared" si="4"/>
        <v>764515.78548028588</v>
      </c>
      <c r="K16" s="921">
        <f t="shared" si="4"/>
        <v>13180642.069322575</v>
      </c>
      <c r="L16" s="299"/>
      <c r="M16" s="297"/>
      <c r="N16" s="298"/>
    </row>
    <row r="17" spans="1:14" ht="20.25" customHeight="1">
      <c r="A17" s="220"/>
      <c r="B17" s="383" t="str">
        <f>'Bảng ĐP - BV  '!B12</f>
        <v>Thảo Văn Vông</v>
      </c>
      <c r="C17" s="220"/>
      <c r="D17" s="220">
        <f>'Bảng ĐP - BV  '!AI12</f>
        <v>31</v>
      </c>
      <c r="E17" s="455">
        <f>'TÍNH LƯƠNG CB'!N22</f>
        <v>3000000</v>
      </c>
      <c r="F17" s="455">
        <f>'TÍNH LƯƠNG CB'!P22</f>
        <v>3784425.3951219502</v>
      </c>
      <c r="G17" s="455">
        <f>'TÍNH LƯƠNG CB'!Q22</f>
        <v>321473.68421052629</v>
      </c>
      <c r="H17" s="455"/>
      <c r="I17" s="416">
        <f>F17+E17+G17</f>
        <v>7105899.0793324765</v>
      </c>
      <c r="J17" s="457">
        <f>IF(I17&gt;65000000,((I17-65000000)*25%+10685000),IF(I17&gt;25000000,((I17-25000000)*20%+2685000),IF(I17&gt;15000000,((I17-15000000)*15%+1185000),IF(I17&gt;5000000,(I17-5000000)*10%+185000,IF(I17&gt;1300000,(I17-1300000)*5%,0)))))</f>
        <v>395589.90793324762</v>
      </c>
      <c r="K17" s="453">
        <f>I17-J17</f>
        <v>6710309.1713992292</v>
      </c>
      <c r="L17" s="299"/>
      <c r="M17" s="297"/>
      <c r="N17" s="298"/>
    </row>
    <row r="18" spans="1:14" ht="20.25" customHeight="1">
      <c r="A18" s="220"/>
      <c r="B18" s="383" t="str">
        <f>'Bảng ĐP - BV  '!B13</f>
        <v>Thảo Phôn Chay</v>
      </c>
      <c r="C18" s="220"/>
      <c r="D18" s="220">
        <f>'Bảng ĐP - BV  '!AI13</f>
        <v>31</v>
      </c>
      <c r="E18" s="455">
        <f>'TÍNH LƯƠNG CB'!N23</f>
        <v>3000000</v>
      </c>
      <c r="F18" s="455">
        <f>'TÍNH LƯƠNG CB'!P23</f>
        <v>3484483.1657142853</v>
      </c>
      <c r="G18" s="455">
        <f>'TÍNH LƯƠNG CB'!Q23</f>
        <v>354775.60975609749</v>
      </c>
      <c r="H18" s="455"/>
      <c r="I18" s="416">
        <f>F18+E18+G18</f>
        <v>6839258.7754703825</v>
      </c>
      <c r="J18" s="457">
        <f>IF(I18&gt;65000000,((I18-65000000)*25%+10685000),IF(I18&gt;25000000,((I18-25000000)*20%+2685000),IF(I18&gt;15000000,((I18-15000000)*15%+1185000),IF(I18&gt;5000000,(I18-5000000)*10%+185000,IF(I18&gt;1300000,(I18-1300000)*5%,0)))))</f>
        <v>368925.87754703825</v>
      </c>
      <c r="K18" s="453">
        <f>I18-J18</f>
        <v>6470332.8979233447</v>
      </c>
      <c r="L18" s="299"/>
      <c r="M18" s="297"/>
      <c r="N18" s="298"/>
    </row>
    <row r="19" spans="1:14" s="401" customFormat="1" ht="20.25" customHeight="1">
      <c r="A19" s="451" t="s">
        <v>79</v>
      </c>
      <c r="B19" s="1567" t="s">
        <v>138</v>
      </c>
      <c r="C19" s="1567"/>
      <c r="D19" s="451">
        <f>D20</f>
        <v>31</v>
      </c>
      <c r="E19" s="454">
        <f t="shared" ref="E19:K19" si="5">E20</f>
        <v>2000000</v>
      </c>
      <c r="F19" s="454"/>
      <c r="G19" s="454"/>
      <c r="H19" s="454"/>
      <c r="I19" s="454">
        <f t="shared" si="5"/>
        <v>2000000</v>
      </c>
      <c r="J19" s="454">
        <f t="shared" si="5"/>
        <v>35000</v>
      </c>
      <c r="K19" s="454">
        <f t="shared" si="5"/>
        <v>1965000</v>
      </c>
      <c r="L19" s="398"/>
      <c r="M19" s="399"/>
      <c r="N19" s="400"/>
    </row>
    <row r="20" spans="1:14" ht="20.25" customHeight="1">
      <c r="A20" s="220">
        <v>1</v>
      </c>
      <c r="B20" s="383" t="str">
        <f>'Bảng ĐP - BV  '!B17</f>
        <v>N. Nhung  ( VP)</v>
      </c>
      <c r="C20" s="220"/>
      <c r="D20" s="220">
        <f>'Bảng ĐP - BV  '!AI17</f>
        <v>31</v>
      </c>
      <c r="E20" s="455">
        <f>(2000000/D20)*31</f>
        <v>2000000</v>
      </c>
      <c r="F20" s="455"/>
      <c r="G20" s="455"/>
      <c r="H20" s="455"/>
      <c r="I20" s="456">
        <f>E20</f>
        <v>2000000</v>
      </c>
      <c r="J20" s="457">
        <f t="shared" ref="J20" si="6">IF(I20&gt;65000000,((I20-65000000)*25%+10685000),IF(I20&gt;25000000,((I20-25000000)*20%+2685000),IF(I20&gt;15000000,((I20-15000000)*15%+1185000),IF(I20&gt;5000000,(I20-5000000)*10%+185000,IF(I20&gt;1300000,(I20-1300000)*5%,0)))))</f>
        <v>35000</v>
      </c>
      <c r="K20" s="453">
        <f>I20-J20</f>
        <v>1965000</v>
      </c>
      <c r="L20" s="299"/>
      <c r="M20" s="297"/>
      <c r="N20" s="298"/>
    </row>
    <row r="21" spans="1:14" ht="20.25" customHeight="1">
      <c r="A21" s="1562" t="s">
        <v>125</v>
      </c>
      <c r="B21" s="1562"/>
      <c r="C21" s="1562"/>
      <c r="D21" s="731">
        <f>D12+D16+D19</f>
        <v>186</v>
      </c>
      <c r="E21" s="731">
        <f t="shared" ref="E21:K21" si="7">E12+E16+E19</f>
        <v>14000000</v>
      </c>
      <c r="F21" s="731">
        <f t="shared" si="7"/>
        <v>7268908.5608362351</v>
      </c>
      <c r="G21" s="731"/>
      <c r="H21" s="731">
        <f t="shared" si="7"/>
        <v>1860000</v>
      </c>
      <c r="I21" s="1152">
        <f t="shared" si="7"/>
        <v>23805157.854802858</v>
      </c>
      <c r="J21" s="731">
        <f t="shared" si="7"/>
        <v>865515.78548028588</v>
      </c>
      <c r="K21" s="731">
        <f t="shared" si="7"/>
        <v>22939642.069322575</v>
      </c>
      <c r="L21" s="299"/>
      <c r="M21" s="300"/>
      <c r="N21" s="301"/>
    </row>
    <row r="22" spans="1:14" ht="21.75" customHeight="1">
      <c r="A22" s="1561" t="s">
        <v>872</v>
      </c>
      <c r="B22" s="1561"/>
      <c r="C22" s="1561"/>
      <c r="D22" s="1561"/>
      <c r="E22" s="1561"/>
      <c r="F22" s="1561"/>
      <c r="G22" s="1561"/>
      <c r="H22" s="1561"/>
      <c r="I22" s="1561"/>
      <c r="J22" s="1561"/>
      <c r="K22" s="1561"/>
    </row>
    <row r="23" spans="1:14" ht="17.25">
      <c r="F23" s="1565" t="s">
        <v>812</v>
      </c>
      <c r="G23" s="1565"/>
      <c r="H23" s="1565"/>
      <c r="I23" s="1565"/>
      <c r="J23" s="1565"/>
      <c r="K23" s="1565"/>
      <c r="L23" s="732"/>
    </row>
    <row r="24" spans="1:14">
      <c r="A24" s="1571" t="s">
        <v>711</v>
      </c>
      <c r="B24" s="1571"/>
      <c r="C24" s="1571"/>
      <c r="D24" s="1571"/>
      <c r="E24" s="1571"/>
      <c r="F24" s="1571"/>
      <c r="G24" s="1571"/>
      <c r="H24" s="1571"/>
      <c r="I24" s="1571"/>
      <c r="J24" s="1571"/>
      <c r="K24" s="1571"/>
    </row>
    <row r="30" spans="1:14">
      <c r="B30" s="221"/>
      <c r="C30" s="1560"/>
      <c r="D30" s="1560"/>
      <c r="E30" s="1560"/>
      <c r="F30" s="1566"/>
      <c r="G30" s="1566"/>
      <c r="H30" s="1566"/>
      <c r="I30" s="1566"/>
      <c r="J30" s="1560"/>
      <c r="K30" s="1560"/>
    </row>
    <row r="31" spans="1:14">
      <c r="D31" s="107" t="s">
        <v>130</v>
      </c>
    </row>
  </sheetData>
  <mergeCells count="27">
    <mergeCell ref="A1:K1"/>
    <mergeCell ref="A5:E5"/>
    <mergeCell ref="A8:K8"/>
    <mergeCell ref="A24:K24"/>
    <mergeCell ref="A2:K2"/>
    <mergeCell ref="A3:K3"/>
    <mergeCell ref="A6:E6"/>
    <mergeCell ref="B12:C12"/>
    <mergeCell ref="H10:H11"/>
    <mergeCell ref="B16:C16"/>
    <mergeCell ref="G10:G11"/>
    <mergeCell ref="C30:E30"/>
    <mergeCell ref="J10:J11"/>
    <mergeCell ref="K10:K11"/>
    <mergeCell ref="A22:K22"/>
    <mergeCell ref="C10:C11"/>
    <mergeCell ref="D10:D11"/>
    <mergeCell ref="E10:E11"/>
    <mergeCell ref="F10:F11"/>
    <mergeCell ref="I10:I11"/>
    <mergeCell ref="F23:K23"/>
    <mergeCell ref="F30:I30"/>
    <mergeCell ref="J30:K30"/>
    <mergeCell ref="A10:A11"/>
    <mergeCell ref="B10:B11"/>
    <mergeCell ref="B19:C19"/>
    <mergeCell ref="A21:C21"/>
  </mergeCells>
  <printOptions horizontalCentered="1"/>
  <pageMargins left="0.35433070866141736" right="0.15748031496062992" top="0.23622047244094491" bottom="0.19685039370078741" header="0.15748031496062992" footer="0.19685039370078741"/>
  <pageSetup paperSize="9" fitToHeight="0" orientation="landscape" r:id="rId1"/>
  <headerFooter>
    <oddFooter>&amp;R&amp;P</oddFooter>
  </headerFooter>
  <colBreaks count="1" manualBreakCount="1">
    <brk id="11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R209"/>
  <sheetViews>
    <sheetView topLeftCell="A4" zoomScale="85" zoomScaleNormal="85" workbookViewId="0">
      <pane ySplit="10" topLeftCell="A169" activePane="bottomLeft" state="frozen"/>
      <selection activeCell="A4" sqref="A4"/>
      <selection pane="bottomLeft" activeCell="J183" sqref="J183"/>
    </sheetView>
  </sheetViews>
  <sheetFormatPr defaultColWidth="9.140625" defaultRowHeight="15"/>
  <cols>
    <col min="1" max="1" width="3.85546875" style="2" customWidth="1"/>
    <col min="2" max="2" width="4.28515625" style="658" customWidth="1"/>
    <col min="3" max="3" width="9.85546875" style="71" hidden="1" customWidth="1"/>
    <col min="4" max="4" width="20.140625" style="2" customWidth="1"/>
    <col min="5" max="5" width="15.85546875" style="2" customWidth="1"/>
    <col min="6" max="6" width="13.140625" style="34" customWidth="1"/>
    <col min="7" max="7" width="17.140625" style="2" customWidth="1"/>
    <col min="8" max="8" width="13.5703125" style="2" customWidth="1"/>
    <col min="9" max="9" width="19.28515625" style="2" customWidth="1"/>
    <col min="10" max="10" width="20" style="2" customWidth="1"/>
    <col min="11" max="11" width="25.28515625" style="2" customWidth="1"/>
    <col min="12" max="12" width="9.140625" style="2" hidden="1" customWidth="1"/>
    <col min="13" max="13" width="0.140625" style="2" customWidth="1"/>
    <col min="14" max="14" width="19.7109375" style="11" customWidth="1"/>
    <col min="15" max="15" width="22.7109375" style="2" customWidth="1"/>
    <col min="16" max="16" width="16.5703125" style="2" bestFit="1" customWidth="1"/>
    <col min="17" max="16384" width="9.140625" style="2"/>
  </cols>
  <sheetData>
    <row r="1" spans="1:18" ht="22.5">
      <c r="B1" s="1581" t="s">
        <v>51</v>
      </c>
      <c r="C1" s="1581"/>
      <c r="D1" s="1581"/>
      <c r="E1" s="1581"/>
      <c r="F1" s="1581"/>
      <c r="G1" s="1581"/>
      <c r="H1" s="1581"/>
      <c r="I1" s="1581"/>
      <c r="J1" s="1581"/>
      <c r="K1" s="1581"/>
      <c r="L1" s="1581"/>
      <c r="M1" s="1581"/>
      <c r="N1" s="1581"/>
      <c r="O1" s="625"/>
      <c r="P1" s="625"/>
      <c r="Q1" s="625"/>
      <c r="R1" s="625"/>
    </row>
    <row r="2" spans="1:18" ht="22.5">
      <c r="B2" s="1581" t="s">
        <v>38</v>
      </c>
      <c r="C2" s="1581"/>
      <c r="D2" s="1581"/>
      <c r="E2" s="1581"/>
      <c r="F2" s="1581"/>
      <c r="G2" s="1581"/>
      <c r="H2" s="1581"/>
      <c r="I2" s="1581"/>
      <c r="J2" s="1581"/>
      <c r="K2" s="1581"/>
      <c r="L2" s="1581"/>
      <c r="M2" s="1581"/>
      <c r="N2" s="1581"/>
      <c r="O2" s="625"/>
      <c r="P2" s="625"/>
      <c r="Q2" s="625"/>
      <c r="R2" s="625"/>
    </row>
    <row r="3" spans="1:18" ht="22.5">
      <c r="B3" s="1583" t="s">
        <v>254</v>
      </c>
      <c r="C3" s="1583"/>
      <c r="D3" s="1583"/>
      <c r="E3" s="1583"/>
      <c r="F3" s="1583"/>
      <c r="G3" s="1583"/>
      <c r="H3" s="1583"/>
      <c r="I3" s="1583"/>
      <c r="J3" s="1583"/>
      <c r="K3" s="1583"/>
      <c r="L3" s="1583"/>
      <c r="M3" s="1583"/>
      <c r="N3" s="1583"/>
      <c r="O3" s="625"/>
      <c r="P3" s="625"/>
      <c r="Q3" s="625"/>
      <c r="R3" s="625"/>
    </row>
    <row r="5" spans="1:18" s="137" customFormat="1" ht="16.5">
      <c r="B5" s="1582" t="s">
        <v>510</v>
      </c>
      <c r="C5" s="1582"/>
      <c r="D5" s="1582"/>
      <c r="E5" s="1582"/>
      <c r="F5" s="1582"/>
      <c r="G5" s="1582"/>
      <c r="H5" s="1582"/>
      <c r="I5" s="1582"/>
      <c r="J5" s="106"/>
      <c r="K5" s="106"/>
      <c r="L5" s="106"/>
      <c r="M5" s="106"/>
      <c r="N5" s="106"/>
    </row>
    <row r="6" spans="1:18" s="137" customFormat="1" ht="16.5">
      <c r="B6" s="1457" t="s">
        <v>500</v>
      </c>
      <c r="C6" s="1457"/>
      <c r="D6" s="1457"/>
      <c r="E6" s="1457"/>
      <c r="F6" s="1457"/>
      <c r="G6" s="1457"/>
      <c r="H6" s="1457"/>
      <c r="I6" s="1457"/>
      <c r="J6" s="106"/>
      <c r="K6" s="106"/>
      <c r="L6" s="106"/>
      <c r="M6" s="106"/>
      <c r="N6" s="106"/>
    </row>
    <row r="7" spans="1:18" s="137" customFormat="1" ht="16.5">
      <c r="F7" s="144"/>
      <c r="N7" s="11"/>
    </row>
    <row r="8" spans="1:18" s="137" customFormat="1" ht="20.25">
      <c r="B8" s="1584" t="s">
        <v>761</v>
      </c>
      <c r="C8" s="1584"/>
      <c r="D8" s="1584"/>
      <c r="E8" s="1584"/>
      <c r="F8" s="1584"/>
      <c r="G8" s="1584"/>
      <c r="H8" s="1584"/>
      <c r="I8" s="1584"/>
      <c r="J8" s="1584"/>
      <c r="K8" s="1584"/>
      <c r="L8" s="1584"/>
      <c r="M8" s="1584"/>
      <c r="N8" s="1584"/>
    </row>
    <row r="9" spans="1:18" ht="18.75"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</row>
    <row r="10" spans="1:18">
      <c r="B10" s="24"/>
      <c r="C10" s="108"/>
      <c r="D10" s="11"/>
      <c r="E10" s="11"/>
      <c r="F10" s="109"/>
      <c r="G10" s="11"/>
      <c r="H10" s="11"/>
      <c r="I10" s="11"/>
      <c r="J10" s="11"/>
      <c r="K10" s="11"/>
      <c r="L10" s="11"/>
      <c r="M10" s="11"/>
    </row>
    <row r="11" spans="1:18" ht="29.25" customHeight="1">
      <c r="A11" s="1562" t="s">
        <v>4</v>
      </c>
      <c r="B11" s="1562"/>
      <c r="C11" s="1563" t="s">
        <v>80</v>
      </c>
      <c r="D11" s="1585" t="s">
        <v>5</v>
      </c>
      <c r="E11" s="1562" t="s">
        <v>673</v>
      </c>
      <c r="F11" s="1562" t="s">
        <v>329</v>
      </c>
      <c r="G11" s="1562"/>
      <c r="H11" s="1562"/>
      <c r="I11" s="1563" t="s">
        <v>341</v>
      </c>
      <c r="J11" s="1563" t="s">
        <v>9</v>
      </c>
      <c r="K11" s="1563" t="s">
        <v>323</v>
      </c>
      <c r="L11" s="1563" t="s">
        <v>10</v>
      </c>
      <c r="M11" s="1563" t="s">
        <v>11</v>
      </c>
      <c r="N11" s="1563" t="s">
        <v>62</v>
      </c>
    </row>
    <row r="12" spans="1:18" ht="36.75" customHeight="1">
      <c r="A12" s="1562"/>
      <c r="B12" s="1562"/>
      <c r="C12" s="1563"/>
      <c r="D12" s="1586"/>
      <c r="E12" s="1562"/>
      <c r="F12" s="626" t="s">
        <v>20</v>
      </c>
      <c r="G12" s="468" t="s">
        <v>21</v>
      </c>
      <c r="H12" s="468" t="s">
        <v>762</v>
      </c>
      <c r="I12" s="1562"/>
      <c r="J12" s="1563"/>
      <c r="K12" s="1563"/>
      <c r="L12" s="1562"/>
      <c r="M12" s="1562"/>
      <c r="N12" s="1562"/>
    </row>
    <row r="13" spans="1:18" ht="24.75" customHeight="1">
      <c r="A13" s="1587" t="s">
        <v>498</v>
      </c>
      <c r="B13" s="1588"/>
      <c r="C13" s="1588"/>
      <c r="D13" s="1589"/>
      <c r="E13" s="220">
        <f>'Trạm 1'!A99</f>
        <v>83</v>
      </c>
      <c r="F13" s="564">
        <f t="shared" ref="F13:M13" si="0">SUM(F14:F97)</f>
        <v>0</v>
      </c>
      <c r="G13" s="564">
        <f t="shared" si="0"/>
        <v>510467925</v>
      </c>
      <c r="H13" s="564">
        <f t="shared" si="0"/>
        <v>74978068</v>
      </c>
      <c r="I13" s="564">
        <f t="shared" si="0"/>
        <v>585445993</v>
      </c>
      <c r="J13" s="564">
        <f t="shared" si="0"/>
        <v>0</v>
      </c>
      <c r="K13" s="564">
        <f t="shared" si="0"/>
        <v>585445993</v>
      </c>
      <c r="L13" s="627">
        <f t="shared" si="0"/>
        <v>0</v>
      </c>
      <c r="M13" s="627">
        <f t="shared" si="0"/>
        <v>585445993</v>
      </c>
      <c r="N13" s="414"/>
    </row>
    <row r="14" spans="1:18" s="112" customFormat="1" ht="21.6" customHeight="1">
      <c r="A14" s="795">
        <v>1</v>
      </c>
      <c r="B14" s="220">
        <v>1</v>
      </c>
      <c r="C14" s="628">
        <f>'Chấm công KT'!C13</f>
        <v>0</v>
      </c>
      <c r="D14" s="570" t="str">
        <f>'CNKT '!D16</f>
        <v xml:space="preserve">T. Lăm  </v>
      </c>
      <c r="E14" s="570" t="s">
        <v>26</v>
      </c>
      <c r="F14" s="564">
        <f>VLOOKUP(D14,'CNKT '!$D$16:$G$93,4,0)</f>
        <v>0</v>
      </c>
      <c r="G14" s="564">
        <f>VLOOKUP(D14,'CNKT '!$D$16:$O$93,12,0)</f>
        <v>6901776</v>
      </c>
      <c r="H14" s="564">
        <f>VLOOKUP(D14,'CNKT '!$D$16:$Z$93,23,0)</f>
        <v>1024456</v>
      </c>
      <c r="I14" s="564">
        <f>SUM(F14:H14)</f>
        <v>7926232</v>
      </c>
      <c r="J14" s="564"/>
      <c r="K14" s="564">
        <f>VLOOKUP(D14,'CNKT '!$D$16:$AC$93,24,0)</f>
        <v>7926232</v>
      </c>
      <c r="L14" s="564"/>
      <c r="M14" s="566">
        <f>K14-L14</f>
        <v>7926232</v>
      </c>
      <c r="N14" s="262"/>
      <c r="O14" s="111"/>
    </row>
    <row r="15" spans="1:18" s="112" customFormat="1" ht="21.75" customHeight="1">
      <c r="A15" s="795">
        <v>2</v>
      </c>
      <c r="B15" s="220">
        <v>2</v>
      </c>
      <c r="C15" s="628" t="str">
        <f>'Chấm công KT'!C14</f>
        <v>04052</v>
      </c>
      <c r="D15" s="570" t="str">
        <f>'CNKT '!D17</f>
        <v>T. Feng</v>
      </c>
      <c r="E15" s="570" t="s">
        <v>26</v>
      </c>
      <c r="F15" s="564">
        <f>VLOOKUP(D15,'CNKT '!$D$16:$G$93,4,0)</f>
        <v>0</v>
      </c>
      <c r="G15" s="564">
        <f>VLOOKUP(D15,'CNKT '!$D$16:$O$93,12,0)</f>
        <v>7040522</v>
      </c>
      <c r="H15" s="564">
        <f>VLOOKUP(D15,'CNKT '!$D$16:$Z$93,23,0)</f>
        <v>1024456</v>
      </c>
      <c r="I15" s="564">
        <f t="shared" ref="I15:I78" si="1">SUM(F15:H15)</f>
        <v>8064978</v>
      </c>
      <c r="J15" s="564"/>
      <c r="K15" s="564">
        <f>VLOOKUP(D15,'CNKT '!$D$16:$AC$93,24,0)</f>
        <v>8064978</v>
      </c>
      <c r="L15" s="564"/>
      <c r="M15" s="566">
        <f t="shared" ref="M15:M78" si="2">K15-L15</f>
        <v>8064978</v>
      </c>
      <c r="N15" s="262"/>
      <c r="O15" s="111"/>
    </row>
    <row r="16" spans="1:18" s="112" customFormat="1" ht="21.75" customHeight="1">
      <c r="A16" s="795">
        <v>3</v>
      </c>
      <c r="B16" s="220">
        <v>3</v>
      </c>
      <c r="C16" s="628" t="str">
        <f>'Chấm công KT'!C15</f>
        <v>02725</v>
      </c>
      <c r="D16" s="570" t="str">
        <f>'CNKT '!D18</f>
        <v>T. Sa Văn</v>
      </c>
      <c r="E16" s="570" t="s">
        <v>26</v>
      </c>
      <c r="F16" s="564">
        <f>VLOOKUP(D16,'CNKT '!$D$16:$G$93,4,0)</f>
        <v>0</v>
      </c>
      <c r="G16" s="564">
        <f>VLOOKUP(D16,'CNKT '!$D$16:$O$93,12,0)</f>
        <v>7495091</v>
      </c>
      <c r="H16" s="564">
        <f>VLOOKUP(D16,'CNKT '!$D$16:$Z$93,23,0)</f>
        <v>994032</v>
      </c>
      <c r="I16" s="564">
        <f t="shared" si="1"/>
        <v>8489123</v>
      </c>
      <c r="J16" s="564"/>
      <c r="K16" s="564">
        <f>VLOOKUP(D16,'CNKT '!$D$16:$AC$93,24,0)</f>
        <v>8489123</v>
      </c>
      <c r="L16" s="564"/>
      <c r="M16" s="566">
        <f t="shared" si="2"/>
        <v>8489123</v>
      </c>
      <c r="N16" s="262"/>
      <c r="O16" s="111"/>
    </row>
    <row r="17" spans="1:15" s="112" customFormat="1" ht="21.75" customHeight="1">
      <c r="A17" s="795">
        <v>4</v>
      </c>
      <c r="B17" s="220">
        <v>4</v>
      </c>
      <c r="C17" s="628" t="str">
        <f>'Chấm công KT'!C16</f>
        <v>04053</v>
      </c>
      <c r="D17" s="570" t="str">
        <f>'CNKT '!D19</f>
        <v>Lăm Ma Thu</v>
      </c>
      <c r="E17" s="570" t="s">
        <v>26</v>
      </c>
      <c r="F17" s="564">
        <f>VLOOKUP(D17,'CNKT '!$D$16:$G$93,4,0)</f>
        <v>0</v>
      </c>
      <c r="G17" s="564">
        <f>VLOOKUP(D17,'CNKT '!$D$16:$O$93,12,0)</f>
        <v>5496854</v>
      </c>
      <c r="H17" s="564">
        <f>VLOOKUP(D17,'CNKT '!$D$16:$Z$93,23,0)</f>
        <v>963608</v>
      </c>
      <c r="I17" s="564">
        <f t="shared" si="1"/>
        <v>6460462</v>
      </c>
      <c r="J17" s="564"/>
      <c r="K17" s="564">
        <f>VLOOKUP(D17,'CNKT '!$D$16:$AC$93,24,0)</f>
        <v>6460462</v>
      </c>
      <c r="L17" s="564"/>
      <c r="M17" s="566">
        <f t="shared" si="2"/>
        <v>6460462</v>
      </c>
      <c r="N17" s="262"/>
      <c r="O17" s="111"/>
    </row>
    <row r="18" spans="1:15" s="112" customFormat="1" ht="21.75" customHeight="1">
      <c r="A18" s="795">
        <v>5</v>
      </c>
      <c r="B18" s="220">
        <v>5</v>
      </c>
      <c r="C18" s="628" t="str">
        <f>'Chấm công KT'!C17</f>
        <v>03459</v>
      </c>
      <c r="D18" s="570" t="str">
        <f>'CNKT '!D20</f>
        <v>N. Vạt</v>
      </c>
      <c r="E18" s="570" t="s">
        <v>26</v>
      </c>
      <c r="F18" s="564">
        <f>VLOOKUP(D18,'CNKT '!$D$16:$G$93,4,0)</f>
        <v>0</v>
      </c>
      <c r="G18" s="564">
        <f>VLOOKUP(D18,'CNKT '!$D$16:$O$93,12,0)</f>
        <v>6143080</v>
      </c>
      <c r="H18" s="564">
        <f>VLOOKUP(D18,'CNKT '!$D$16:$Z$93,23,0)</f>
        <v>943281</v>
      </c>
      <c r="I18" s="564">
        <f t="shared" si="1"/>
        <v>7086361</v>
      </c>
      <c r="J18" s="564"/>
      <c r="K18" s="564">
        <f>VLOOKUP(D18,'CNKT '!$D$16:$AC$93,24,0)</f>
        <v>7086361</v>
      </c>
      <c r="L18" s="564"/>
      <c r="M18" s="566">
        <f t="shared" si="2"/>
        <v>7086361</v>
      </c>
      <c r="N18" s="262"/>
      <c r="O18" s="111"/>
    </row>
    <row r="19" spans="1:15" s="112" customFormat="1" ht="21.75" customHeight="1">
      <c r="A19" s="795">
        <v>6</v>
      </c>
      <c r="B19" s="220">
        <v>6</v>
      </c>
      <c r="C19" s="628" t="str">
        <f>'Chấm công KT'!C18</f>
        <v>04054</v>
      </c>
      <c r="D19" s="570" t="str">
        <f>'CNKT '!D21</f>
        <v>N. Kay Son</v>
      </c>
      <c r="E19" s="570" t="s">
        <v>26</v>
      </c>
      <c r="F19" s="564">
        <f>VLOOKUP(D19,'CNKT '!$D$16:$G$93,4,0)</f>
        <v>0</v>
      </c>
      <c r="G19" s="564">
        <f>VLOOKUP(D19,'CNKT '!$D$16:$O$93,12,0)</f>
        <v>7476116</v>
      </c>
      <c r="H19" s="564">
        <f>VLOOKUP(D19,'CNKT '!$D$16:$Z$93,23,0)</f>
        <v>1024456</v>
      </c>
      <c r="I19" s="564">
        <f t="shared" si="1"/>
        <v>8500572</v>
      </c>
      <c r="J19" s="564"/>
      <c r="K19" s="564">
        <f>VLOOKUP(D19,'CNKT '!$D$16:$AC$93,24,0)</f>
        <v>8500572</v>
      </c>
      <c r="L19" s="564"/>
      <c r="M19" s="566">
        <f t="shared" si="2"/>
        <v>8500572</v>
      </c>
      <c r="N19" s="262"/>
      <c r="O19" s="111"/>
    </row>
    <row r="20" spans="1:15" s="112" customFormat="1" ht="21.75" customHeight="1">
      <c r="A20" s="795">
        <v>7</v>
      </c>
      <c r="B20" s="220">
        <v>7</v>
      </c>
      <c r="C20" s="628" t="str">
        <f>'Chấm công KT'!C19</f>
        <v>04055</v>
      </c>
      <c r="D20" s="570" t="str">
        <f>'CNKT '!D22</f>
        <v>T. Đèng 1</v>
      </c>
      <c r="E20" s="570" t="s">
        <v>26</v>
      </c>
      <c r="F20" s="564">
        <f>VLOOKUP(D20,'CNKT '!$D$16:$G$93,4,0)</f>
        <v>0</v>
      </c>
      <c r="G20" s="564">
        <f>VLOOKUP(D20,'CNKT '!$D$16:$O$93,12,0)</f>
        <v>6981856</v>
      </c>
      <c r="H20" s="564">
        <f>VLOOKUP(D20,'CNKT '!$D$16:$Z$93,23,0)</f>
        <v>994032</v>
      </c>
      <c r="I20" s="564">
        <f t="shared" si="1"/>
        <v>7975888</v>
      </c>
      <c r="J20" s="564"/>
      <c r="K20" s="564">
        <f>VLOOKUP(D20,'CNKT '!$D$16:$AC$93,24,0)</f>
        <v>7975888</v>
      </c>
      <c r="L20" s="564"/>
      <c r="M20" s="566">
        <f t="shared" si="2"/>
        <v>7975888</v>
      </c>
      <c r="N20" s="262"/>
      <c r="O20" s="111"/>
    </row>
    <row r="21" spans="1:15" s="112" customFormat="1" ht="21.75" customHeight="1">
      <c r="A21" s="795">
        <v>8</v>
      </c>
      <c r="B21" s="220">
        <v>8</v>
      </c>
      <c r="C21" s="628" t="str">
        <f>'Chấm công KT'!C20</f>
        <v>03462</v>
      </c>
      <c r="D21" s="570" t="str">
        <f>'CNKT '!D23</f>
        <v>T . Bua Ngân</v>
      </c>
      <c r="E21" s="570" t="s">
        <v>26</v>
      </c>
      <c r="F21" s="564">
        <f>VLOOKUP(D21,'CNKT '!$D$16:$G$93,4,0)</f>
        <v>0</v>
      </c>
      <c r="G21" s="564">
        <f>VLOOKUP(D21,'CNKT '!$D$16:$O$93,12,0)</f>
        <v>6380971</v>
      </c>
      <c r="H21" s="564">
        <f>VLOOKUP(D21,'CNKT '!$D$16:$Z$93,23,0)</f>
        <v>1024456</v>
      </c>
      <c r="I21" s="564">
        <f t="shared" si="1"/>
        <v>7405427</v>
      </c>
      <c r="J21" s="564"/>
      <c r="K21" s="564">
        <f>VLOOKUP(D21,'CNKT '!$D$16:$AC$93,24,0)</f>
        <v>7405427</v>
      </c>
      <c r="L21" s="564"/>
      <c r="M21" s="566">
        <f t="shared" si="2"/>
        <v>7405427</v>
      </c>
      <c r="N21" s="262"/>
      <c r="O21" s="111"/>
    </row>
    <row r="22" spans="1:15" s="112" customFormat="1" ht="21.75" customHeight="1">
      <c r="A22" s="795">
        <v>9</v>
      </c>
      <c r="B22" s="220">
        <v>9</v>
      </c>
      <c r="C22" s="628" t="str">
        <f>'Chấm công KT'!C21</f>
        <v>03463</v>
      </c>
      <c r="D22" s="570" t="str">
        <f>'CNKT '!D24</f>
        <v>T Căng</v>
      </c>
      <c r="E22" s="570" t="s">
        <v>26</v>
      </c>
      <c r="F22" s="564">
        <f>VLOOKUP(D22,'CNKT '!$D$16:$G$93,4,0)</f>
        <v>0</v>
      </c>
      <c r="G22" s="564">
        <f>VLOOKUP(D22,'CNKT '!$D$16:$O$93,12,0)</f>
        <v>8260690</v>
      </c>
      <c r="H22" s="564">
        <f>VLOOKUP(D22,'CNKT '!$D$16:$Z$93,23,0)</f>
        <v>1024456</v>
      </c>
      <c r="I22" s="564">
        <f t="shared" si="1"/>
        <v>9285146</v>
      </c>
      <c r="J22" s="564"/>
      <c r="K22" s="564">
        <f>VLOOKUP(D22,'CNKT '!$D$16:$AC$93,24,0)</f>
        <v>9285146</v>
      </c>
      <c r="L22" s="564"/>
      <c r="M22" s="566">
        <f t="shared" si="2"/>
        <v>9285146</v>
      </c>
      <c r="N22" s="262"/>
      <c r="O22" s="111"/>
    </row>
    <row r="23" spans="1:15" s="112" customFormat="1" ht="21.75" customHeight="1">
      <c r="A23" s="795">
        <v>10</v>
      </c>
      <c r="B23" s="220">
        <v>10</v>
      </c>
      <c r="C23" s="628" t="str">
        <f>'Chấm công KT'!C22</f>
        <v>03464</v>
      </c>
      <c r="D23" s="570" t="str">
        <f>'CNKT '!D25</f>
        <v>N. Phôn 1</v>
      </c>
      <c r="E23" s="570" t="s">
        <v>26</v>
      </c>
      <c r="F23" s="564">
        <f>VLOOKUP(D23,'CNKT '!$D$16:$G$93,4,0)</f>
        <v>0</v>
      </c>
      <c r="G23" s="564">
        <f>VLOOKUP(D23,'CNKT '!$D$16:$O$93,12,0)</f>
        <v>8483813</v>
      </c>
      <c r="H23" s="564">
        <f>VLOOKUP(D23,'CNKT '!$D$16:$Z$93,23,0)</f>
        <v>1024456</v>
      </c>
      <c r="I23" s="564">
        <f t="shared" si="1"/>
        <v>9508269</v>
      </c>
      <c r="J23" s="564"/>
      <c r="K23" s="564">
        <f>VLOOKUP(D23,'CNKT '!$D$16:$AC$93,24,0)</f>
        <v>9508269</v>
      </c>
      <c r="L23" s="564"/>
      <c r="M23" s="566">
        <f t="shared" si="2"/>
        <v>9508269</v>
      </c>
      <c r="N23" s="262"/>
      <c r="O23" s="111"/>
    </row>
    <row r="24" spans="1:15" s="112" customFormat="1" ht="21.75" customHeight="1">
      <c r="A24" s="795">
        <v>11</v>
      </c>
      <c r="B24" s="220">
        <v>11</v>
      </c>
      <c r="C24" s="628" t="str">
        <f>'Chấm công KT'!C23</f>
        <v>03465</v>
      </c>
      <c r="D24" s="570" t="str">
        <f>'CNKT '!D26</f>
        <v>T. In Păn</v>
      </c>
      <c r="E24" s="570" t="s">
        <v>26</v>
      </c>
      <c r="F24" s="564">
        <f>VLOOKUP(D24,'CNKT '!$D$16:$G$93,4,0)</f>
        <v>0</v>
      </c>
      <c r="G24" s="564">
        <f>VLOOKUP(D24,'CNKT '!$D$16:$O$93,12,0)</f>
        <v>7240282</v>
      </c>
      <c r="H24" s="564">
        <f>VLOOKUP(D24,'CNKT '!$D$16:$Z$93,23,0)</f>
        <v>994032</v>
      </c>
      <c r="I24" s="564">
        <f t="shared" si="1"/>
        <v>8234314</v>
      </c>
      <c r="J24" s="564"/>
      <c r="K24" s="564">
        <f>VLOOKUP(D24,'CNKT '!$D$16:$AC$93,24,0)</f>
        <v>8234314</v>
      </c>
      <c r="L24" s="564"/>
      <c r="M24" s="566">
        <f t="shared" si="2"/>
        <v>8234314</v>
      </c>
      <c r="N24" s="262"/>
      <c r="O24" s="111"/>
    </row>
    <row r="25" spans="1:15" s="112" customFormat="1" ht="21.75" customHeight="1">
      <c r="A25" s="795">
        <v>12</v>
      </c>
      <c r="B25" s="220">
        <v>12</v>
      </c>
      <c r="C25" s="628" t="str">
        <f>'Chấm công KT'!C24</f>
        <v>03466</v>
      </c>
      <c r="D25" s="570" t="str">
        <f>'CNKT '!D27</f>
        <v>N. Keo</v>
      </c>
      <c r="E25" s="570" t="s">
        <v>26</v>
      </c>
      <c r="F25" s="564">
        <f>VLOOKUP(D25,'CNKT '!$D$16:$G$93,4,0)</f>
        <v>0</v>
      </c>
      <c r="G25" s="564">
        <f>VLOOKUP(D25,'CNKT '!$D$16:$O$93,12,0)</f>
        <v>7967981</v>
      </c>
      <c r="H25" s="564">
        <f>VLOOKUP(D25,'CNKT '!$D$16:$Z$93,23,0)</f>
        <v>1024456</v>
      </c>
      <c r="I25" s="564">
        <f t="shared" si="1"/>
        <v>8992437</v>
      </c>
      <c r="J25" s="564"/>
      <c r="K25" s="564">
        <f>VLOOKUP(D25,'CNKT '!$D$16:$AC$93,24,0)</f>
        <v>8992437</v>
      </c>
      <c r="L25" s="564"/>
      <c r="M25" s="566">
        <f t="shared" si="2"/>
        <v>8992437</v>
      </c>
      <c r="N25" s="262"/>
      <c r="O25" s="111"/>
    </row>
    <row r="26" spans="1:15" s="112" customFormat="1" ht="21.75" customHeight="1">
      <c r="A26" s="795">
        <v>13</v>
      </c>
      <c r="B26" s="220">
        <v>13</v>
      </c>
      <c r="C26" s="628" t="str">
        <f>'Chấm công KT'!C25</f>
        <v>02727</v>
      </c>
      <c r="D26" s="570" t="str">
        <f>'CNKT '!D28</f>
        <v>T. Thong Đon</v>
      </c>
      <c r="E26" s="570" t="s">
        <v>26</v>
      </c>
      <c r="F26" s="564">
        <f>VLOOKUP(D26,'CNKT '!$D$16:$G$93,4,0)</f>
        <v>0</v>
      </c>
      <c r="G26" s="564">
        <f>VLOOKUP(D26,'CNKT '!$D$16:$O$93,12,0)</f>
        <v>7786344</v>
      </c>
      <c r="H26" s="564">
        <f>VLOOKUP(D26,'CNKT '!$D$16:$Z$93,23,0)</f>
        <v>1024456</v>
      </c>
      <c r="I26" s="564">
        <f t="shared" si="1"/>
        <v>8810800</v>
      </c>
      <c r="J26" s="564"/>
      <c r="K26" s="564">
        <f>VLOOKUP(D26,'CNKT '!$D$16:$AC$93,24,0)</f>
        <v>8810800</v>
      </c>
      <c r="L26" s="564"/>
      <c r="M26" s="566">
        <f t="shared" si="2"/>
        <v>8810800</v>
      </c>
      <c r="N26" s="262"/>
      <c r="O26" s="111"/>
    </row>
    <row r="27" spans="1:15" s="112" customFormat="1" ht="21.75" customHeight="1">
      <c r="A27" s="795">
        <v>14</v>
      </c>
      <c r="B27" s="220">
        <v>14</v>
      </c>
      <c r="C27" s="628" t="str">
        <f>'Chấm công KT'!C26</f>
        <v>03467</v>
      </c>
      <c r="D27" s="570" t="str">
        <f>'CNKT '!D29</f>
        <v>T. Hin</v>
      </c>
      <c r="E27" s="570" t="s">
        <v>26</v>
      </c>
      <c r="F27" s="564">
        <f>VLOOKUP(D27,'CNKT '!$D$16:$G$93,4,0)</f>
        <v>0</v>
      </c>
      <c r="G27" s="564">
        <f>VLOOKUP(D27,'CNKT '!$D$16:$O$93,12,0)</f>
        <v>6561440</v>
      </c>
      <c r="H27" s="564">
        <f>VLOOKUP(D27,'CNKT '!$D$16:$Z$93,23,0)</f>
        <v>1024456</v>
      </c>
      <c r="I27" s="564">
        <f t="shared" si="1"/>
        <v>7585896</v>
      </c>
      <c r="J27" s="564"/>
      <c r="K27" s="564">
        <f>VLOOKUP(D27,'CNKT '!$D$16:$AC$93,24,0)</f>
        <v>7585896</v>
      </c>
      <c r="L27" s="564"/>
      <c r="M27" s="566">
        <f t="shared" si="2"/>
        <v>7585896</v>
      </c>
      <c r="N27" s="262"/>
      <c r="O27" s="111"/>
    </row>
    <row r="28" spans="1:15" s="112" customFormat="1" ht="21.75" customHeight="1">
      <c r="A28" s="795">
        <v>15</v>
      </c>
      <c r="B28" s="220">
        <v>15</v>
      </c>
      <c r="C28" s="628" t="str">
        <f>'Chấm công KT'!C27</f>
        <v>04056</v>
      </c>
      <c r="D28" s="570" t="str">
        <f>'CNKT '!D30</f>
        <v>N. Ly Phon</v>
      </c>
      <c r="E28" s="570" t="s">
        <v>26</v>
      </c>
      <c r="F28" s="564">
        <f>VLOOKUP(D28,'CNKT '!$D$16:$G$93,4,0)</f>
        <v>0</v>
      </c>
      <c r="G28" s="564">
        <f>VLOOKUP(D28,'CNKT '!$D$16:$O$93,12,0)</f>
        <v>6839748</v>
      </c>
      <c r="H28" s="564">
        <f>VLOOKUP(D28,'CNKT '!$D$16:$Z$93,23,0)</f>
        <v>1024456</v>
      </c>
      <c r="I28" s="564">
        <f t="shared" si="1"/>
        <v>7864204</v>
      </c>
      <c r="J28" s="564"/>
      <c r="K28" s="564">
        <f>VLOOKUP(D28,'CNKT '!$D$16:$AC$93,24,0)</f>
        <v>7864204</v>
      </c>
      <c r="L28" s="564"/>
      <c r="M28" s="566">
        <f t="shared" si="2"/>
        <v>7864204</v>
      </c>
      <c r="N28" s="262"/>
      <c r="O28" s="111"/>
    </row>
    <row r="29" spans="1:15" s="112" customFormat="1" ht="21.75" customHeight="1">
      <c r="A29" s="795">
        <v>16</v>
      </c>
      <c r="B29" s="220">
        <v>16</v>
      </c>
      <c r="C29" s="628" t="str">
        <f>'Chấm công KT'!C28</f>
        <v>03469</v>
      </c>
      <c r="D29" s="570" t="str">
        <f>'CNKT '!D31</f>
        <v>T. Xôm Va Nít</v>
      </c>
      <c r="E29" s="570" t="s">
        <v>26</v>
      </c>
      <c r="F29" s="564">
        <f>VLOOKUP(D29,'CNKT '!$D$16:$G$93,4,0)</f>
        <v>0</v>
      </c>
      <c r="G29" s="564">
        <f>VLOOKUP(D29,'CNKT '!$D$16:$O$93,12,0)</f>
        <v>7809654</v>
      </c>
      <c r="H29" s="564">
        <f>VLOOKUP(D29,'CNKT '!$D$16:$Z$93,23,0)</f>
        <v>994032</v>
      </c>
      <c r="I29" s="564">
        <f t="shared" si="1"/>
        <v>8803686</v>
      </c>
      <c r="J29" s="564"/>
      <c r="K29" s="564">
        <f>VLOOKUP(D29,'CNKT '!$D$16:$AC$93,24,0)</f>
        <v>8803686</v>
      </c>
      <c r="L29" s="564"/>
      <c r="M29" s="566">
        <f t="shared" si="2"/>
        <v>8803686</v>
      </c>
      <c r="N29" s="262"/>
      <c r="O29" s="111"/>
    </row>
    <row r="30" spans="1:15" s="112" customFormat="1" ht="21.75" customHeight="1">
      <c r="A30" s="795">
        <v>17</v>
      </c>
      <c r="B30" s="220">
        <v>17</v>
      </c>
      <c r="C30" s="628" t="str">
        <f>'Chấm công KT'!C29</f>
        <v>03470</v>
      </c>
      <c r="D30" s="570" t="str">
        <f>'CNKT '!D32</f>
        <v>T. Lọi</v>
      </c>
      <c r="E30" s="570" t="s">
        <v>26</v>
      </c>
      <c r="F30" s="564">
        <f>VLOOKUP(D30,'CNKT '!$D$16:$G$93,4,0)</f>
        <v>0</v>
      </c>
      <c r="G30" s="564">
        <f>VLOOKUP(D30,'CNKT '!$D$16:$O$93,12,0)</f>
        <v>6487783</v>
      </c>
      <c r="H30" s="564">
        <f>VLOOKUP(D30,'CNKT '!$D$16:$Z$93,23,0)</f>
        <v>943281</v>
      </c>
      <c r="I30" s="564">
        <f t="shared" si="1"/>
        <v>7431064</v>
      </c>
      <c r="J30" s="564"/>
      <c r="K30" s="564">
        <f>VLOOKUP(D30,'CNKT '!$D$16:$AC$93,24,0)</f>
        <v>7431064</v>
      </c>
      <c r="L30" s="564"/>
      <c r="M30" s="566">
        <f t="shared" si="2"/>
        <v>7431064</v>
      </c>
      <c r="N30" s="262"/>
      <c r="O30" s="111"/>
    </row>
    <row r="31" spans="1:15" s="112" customFormat="1" ht="21.75" customHeight="1">
      <c r="A31" s="795">
        <v>18</v>
      </c>
      <c r="B31" s="220">
        <v>18</v>
      </c>
      <c r="C31" s="628" t="str">
        <f>'Chấm công KT'!C30</f>
        <v>03471</v>
      </c>
      <c r="D31" s="570" t="str">
        <f>'CNKT '!D33</f>
        <v>T. Phô Thong</v>
      </c>
      <c r="E31" s="570" t="s">
        <v>26</v>
      </c>
      <c r="F31" s="564">
        <f>VLOOKUP(D31,'CNKT '!$D$16:$G$93,4,0)</f>
        <v>0</v>
      </c>
      <c r="G31" s="564">
        <f>VLOOKUP(D31,'CNKT '!$D$16:$O$93,12,0)</f>
        <v>9053356</v>
      </c>
      <c r="H31" s="564">
        <f>VLOOKUP(D31,'CNKT '!$D$16:$Z$93,23,0)</f>
        <v>1024456</v>
      </c>
      <c r="I31" s="564">
        <f t="shared" si="1"/>
        <v>10077812</v>
      </c>
      <c r="J31" s="564"/>
      <c r="K31" s="564">
        <f>VLOOKUP(D31,'CNKT '!$D$16:$AC$93,24,0)</f>
        <v>10077812</v>
      </c>
      <c r="L31" s="564"/>
      <c r="M31" s="566">
        <f t="shared" si="2"/>
        <v>10077812</v>
      </c>
      <c r="N31" s="262"/>
      <c r="O31" s="111"/>
    </row>
    <row r="32" spans="1:15" s="112" customFormat="1" ht="21.75" customHeight="1">
      <c r="A32" s="795">
        <v>19</v>
      </c>
      <c r="B32" s="220">
        <v>19</v>
      </c>
      <c r="C32" s="628" t="str">
        <f>'Chấm công KT'!C31</f>
        <v>03472</v>
      </c>
      <c r="D32" s="570" t="str">
        <f>'CNKT '!D34</f>
        <v>N. Soi</v>
      </c>
      <c r="E32" s="570" t="s">
        <v>26</v>
      </c>
      <c r="F32" s="564">
        <f>VLOOKUP(D32,'CNKT '!$D$16:$G$93,4,0)</f>
        <v>0</v>
      </c>
      <c r="G32" s="564">
        <f>VLOOKUP(D32,'CNKT '!$D$16:$O$93,12,0)</f>
        <v>6945178</v>
      </c>
      <c r="H32" s="564">
        <f>VLOOKUP(D32,'CNKT '!$D$16:$Z$93,23,0)</f>
        <v>994032</v>
      </c>
      <c r="I32" s="564">
        <f t="shared" si="1"/>
        <v>7939210</v>
      </c>
      <c r="J32" s="564"/>
      <c r="K32" s="564">
        <f>VLOOKUP(D32,'CNKT '!$D$16:$AC$93,24,0)</f>
        <v>7939210</v>
      </c>
      <c r="L32" s="564"/>
      <c r="M32" s="566">
        <f t="shared" si="2"/>
        <v>7939210</v>
      </c>
      <c r="N32" s="262"/>
      <c r="O32" s="111"/>
    </row>
    <row r="33" spans="1:15" s="112" customFormat="1" ht="21.75" customHeight="1">
      <c r="A33" s="795">
        <v>20</v>
      </c>
      <c r="B33" s="220">
        <v>20</v>
      </c>
      <c r="C33" s="628" t="str">
        <f>'Chấm công KT'!C32</f>
        <v>03473</v>
      </c>
      <c r="D33" s="570" t="str">
        <f>'CNKT '!D35</f>
        <v>N. Me Kha La</v>
      </c>
      <c r="E33" s="570" t="s">
        <v>26</v>
      </c>
      <c r="F33" s="564">
        <f>VLOOKUP(D33,'CNKT '!$D$16:$G$93,4,0)</f>
        <v>0</v>
      </c>
      <c r="G33" s="564">
        <f>VLOOKUP(D33,'CNKT '!$D$16:$O$93,12,0)</f>
        <v>8278916</v>
      </c>
      <c r="H33" s="564">
        <f>VLOOKUP(D33,'CNKT '!$D$16:$Z$93,23,0)</f>
        <v>1024456</v>
      </c>
      <c r="I33" s="564">
        <f t="shared" si="1"/>
        <v>9303372</v>
      </c>
      <c r="J33" s="564"/>
      <c r="K33" s="564">
        <f>VLOOKUP(D33,'CNKT '!$D$16:$AC$93,24,0)</f>
        <v>9303372</v>
      </c>
      <c r="L33" s="564"/>
      <c r="M33" s="566">
        <f t="shared" si="2"/>
        <v>9303372</v>
      </c>
      <c r="N33" s="262"/>
      <c r="O33" s="111"/>
    </row>
    <row r="34" spans="1:15" s="112" customFormat="1" ht="21.75" customHeight="1">
      <c r="A34" s="795">
        <v>21</v>
      </c>
      <c r="B34" s="220">
        <v>21</v>
      </c>
      <c r="C34" s="628" t="str">
        <f>'Chấm công KT'!C33</f>
        <v>03474</v>
      </c>
      <c r="D34" s="570" t="str">
        <f>'CNKT '!D36</f>
        <v>N. Mon Khăm</v>
      </c>
      <c r="E34" s="570" t="s">
        <v>26</v>
      </c>
      <c r="F34" s="564">
        <f>VLOOKUP(D34,'CNKT '!$D$16:$G$93,4,0)</f>
        <v>0</v>
      </c>
      <c r="G34" s="564">
        <f>VLOOKUP(D34,'CNKT '!$D$16:$O$93,12,0)</f>
        <v>6380003</v>
      </c>
      <c r="H34" s="564">
        <f>VLOOKUP(D34,'CNKT '!$D$16:$Z$93,23,0)</f>
        <v>933183</v>
      </c>
      <c r="I34" s="564">
        <f t="shared" si="1"/>
        <v>7313186</v>
      </c>
      <c r="J34" s="564"/>
      <c r="K34" s="564">
        <f>VLOOKUP(D34,'CNKT '!$D$16:$AC$93,24,0)</f>
        <v>7313186</v>
      </c>
      <c r="L34" s="564"/>
      <c r="M34" s="566">
        <f t="shared" si="2"/>
        <v>7313186</v>
      </c>
      <c r="N34" s="262"/>
      <c r="O34" s="111"/>
    </row>
    <row r="35" spans="1:15" s="112" customFormat="1" ht="21.75" customHeight="1">
      <c r="A35" s="795">
        <v>22</v>
      </c>
      <c r="B35" s="220">
        <v>22</v>
      </c>
      <c r="C35" s="628">
        <f>'Chấm công KT'!C34</f>
        <v>0</v>
      </c>
      <c r="D35" s="570" t="str">
        <f>'CNKT '!D37</f>
        <v>N.Choi</v>
      </c>
      <c r="E35" s="570" t="s">
        <v>26</v>
      </c>
      <c r="F35" s="564">
        <f>VLOOKUP(D35,'CNKT '!$D$16:$G$93,4,0)</f>
        <v>0</v>
      </c>
      <c r="G35" s="564">
        <f>VLOOKUP(D35,'CNKT '!$D$16:$O$93,12,0)</f>
        <v>6417268</v>
      </c>
      <c r="H35" s="564">
        <f>VLOOKUP(D35,'CNKT '!$D$16:$Z$93,23,0)</f>
        <v>994032</v>
      </c>
      <c r="I35" s="564">
        <f t="shared" si="1"/>
        <v>7411300</v>
      </c>
      <c r="J35" s="564"/>
      <c r="K35" s="564">
        <f>VLOOKUP(D35,'CNKT '!$D$16:$AC$93,24,0)</f>
        <v>7411300</v>
      </c>
      <c r="L35" s="564"/>
      <c r="M35" s="566">
        <f t="shared" si="2"/>
        <v>7411300</v>
      </c>
      <c r="N35" s="262"/>
      <c r="O35" s="111"/>
    </row>
    <row r="36" spans="1:15" s="112" customFormat="1" ht="21.75" customHeight="1">
      <c r="A36" s="795">
        <v>23</v>
      </c>
      <c r="B36" s="220">
        <v>23</v>
      </c>
      <c r="C36" s="628" t="str">
        <f>'Chấm công KT'!C35</f>
        <v>03476</v>
      </c>
      <c r="D36" s="570" t="str">
        <f>'CNKT '!D38</f>
        <v>T. Bin Ly.</v>
      </c>
      <c r="E36" s="570" t="s">
        <v>26</v>
      </c>
      <c r="F36" s="564">
        <f>VLOOKUP(D36,'CNKT '!$D$16:$G$93,4,0)</f>
        <v>0</v>
      </c>
      <c r="G36" s="564">
        <f>VLOOKUP(D36,'CNKT '!$D$16:$O$93,12,0)</f>
        <v>7050170</v>
      </c>
      <c r="H36" s="564">
        <f>VLOOKUP(D36,'CNKT '!$D$16:$Z$93,23,0)</f>
        <v>1024456</v>
      </c>
      <c r="I36" s="564">
        <f t="shared" si="1"/>
        <v>8074626</v>
      </c>
      <c r="J36" s="564"/>
      <c r="K36" s="564">
        <f>VLOOKUP(D36,'CNKT '!$D$16:$AC$93,24,0)</f>
        <v>8074626</v>
      </c>
      <c r="L36" s="564"/>
      <c r="M36" s="566">
        <f t="shared" si="2"/>
        <v>8074626</v>
      </c>
      <c r="N36" s="262"/>
      <c r="O36" s="111"/>
    </row>
    <row r="37" spans="1:15" s="112" customFormat="1" ht="21.75" customHeight="1">
      <c r="A37" s="795">
        <v>24</v>
      </c>
      <c r="B37" s="220">
        <v>24</v>
      </c>
      <c r="C37" s="628">
        <f>'Chấm công KT'!C36</f>
        <v>0</v>
      </c>
      <c r="D37" s="570" t="str">
        <f>'CNKT '!D39</f>
        <v>N. Tinh</v>
      </c>
      <c r="E37" s="570" t="s">
        <v>26</v>
      </c>
      <c r="F37" s="564">
        <f>VLOOKUP(D37,'CNKT '!$D$16:$G$93,4,0)</f>
        <v>0</v>
      </c>
      <c r="G37" s="564">
        <f>VLOOKUP(D37,'CNKT '!$D$16:$O$93,12,0)</f>
        <v>7139670</v>
      </c>
      <c r="H37" s="564">
        <f>VLOOKUP(D37,'CNKT '!$D$16:$Z$93,23,0)</f>
        <v>1024456</v>
      </c>
      <c r="I37" s="564">
        <f t="shared" si="1"/>
        <v>8164126</v>
      </c>
      <c r="J37" s="564"/>
      <c r="K37" s="564">
        <f>VLOOKUP(D37,'CNKT '!$D$16:$AC$93,24,0)</f>
        <v>8164126</v>
      </c>
      <c r="L37" s="564"/>
      <c r="M37" s="566">
        <f t="shared" si="2"/>
        <v>8164126</v>
      </c>
      <c r="N37" s="262"/>
      <c r="O37" s="111"/>
    </row>
    <row r="38" spans="1:15" s="112" customFormat="1" ht="21.75" customHeight="1">
      <c r="A38" s="795">
        <v>25</v>
      </c>
      <c r="B38" s="220">
        <v>25</v>
      </c>
      <c r="C38" s="628" t="str">
        <f>'Chấm công KT'!C37</f>
        <v>03478</v>
      </c>
      <c r="D38" s="570" t="str">
        <f>'CNKT '!D40</f>
        <v>N. Nong</v>
      </c>
      <c r="E38" s="570" t="s">
        <v>26</v>
      </c>
      <c r="F38" s="564">
        <f>VLOOKUP(D38,'CNKT '!$D$16:$G$93,4,0)</f>
        <v>0</v>
      </c>
      <c r="G38" s="564">
        <f>VLOOKUP(D38,'CNKT '!$D$16:$O$93,12,0)</f>
        <v>7163813</v>
      </c>
      <c r="H38" s="564">
        <f>VLOOKUP(D38,'CNKT '!$D$16:$Z$93,23,0)</f>
        <v>1024456</v>
      </c>
      <c r="I38" s="564">
        <f t="shared" si="1"/>
        <v>8188269</v>
      </c>
      <c r="J38" s="564"/>
      <c r="K38" s="564">
        <f>VLOOKUP(D38,'CNKT '!$D$16:$AC$93,24,0)</f>
        <v>8188269</v>
      </c>
      <c r="L38" s="564"/>
      <c r="M38" s="566">
        <f t="shared" si="2"/>
        <v>8188269</v>
      </c>
      <c r="N38" s="262"/>
      <c r="O38" s="111"/>
    </row>
    <row r="39" spans="1:15" s="112" customFormat="1" ht="21.75" customHeight="1">
      <c r="A39" s="795">
        <v>26</v>
      </c>
      <c r="B39" s="220">
        <v>26</v>
      </c>
      <c r="C39" s="628" t="str">
        <f>'Chấm công KT'!C38</f>
        <v>03479</v>
      </c>
      <c r="D39" s="570" t="str">
        <f>'CNKT '!D41</f>
        <v>N. Tun 1</v>
      </c>
      <c r="E39" s="570" t="s">
        <v>26</v>
      </c>
      <c r="F39" s="564">
        <f>VLOOKUP(D39,'CNKT '!$D$16:$G$93,4,0)</f>
        <v>0</v>
      </c>
      <c r="G39" s="564">
        <f>VLOOKUP(D39,'CNKT '!$D$16:$O$93,12,0)</f>
        <v>6004657</v>
      </c>
      <c r="H39" s="564">
        <f>VLOOKUP(D39,'CNKT '!$D$16:$Z$93,23,0)</f>
        <v>963608</v>
      </c>
      <c r="I39" s="564">
        <f t="shared" si="1"/>
        <v>6968265</v>
      </c>
      <c r="J39" s="564"/>
      <c r="K39" s="564">
        <f>VLOOKUP(D39,'CNKT '!$D$16:$AC$93,24,0)</f>
        <v>6968265</v>
      </c>
      <c r="L39" s="564"/>
      <c r="M39" s="566">
        <f t="shared" si="2"/>
        <v>6968265</v>
      </c>
      <c r="N39" s="262"/>
      <c r="O39" s="111"/>
    </row>
    <row r="40" spans="1:15" s="112" customFormat="1" ht="21.75" customHeight="1">
      <c r="A40" s="795">
        <v>27</v>
      </c>
      <c r="B40" s="220">
        <v>27</v>
      </c>
      <c r="C40" s="628" t="str">
        <f>'Chấm công KT'!C39</f>
        <v>03480</v>
      </c>
      <c r="D40" s="570" t="str">
        <f>'CNKT '!D42</f>
        <v>T . Lốc</v>
      </c>
      <c r="E40" s="570" t="s">
        <v>26</v>
      </c>
      <c r="F40" s="564">
        <f>VLOOKUP(D40,'CNKT '!$D$16:$G$93,4,0)</f>
        <v>0</v>
      </c>
      <c r="G40" s="564">
        <f>VLOOKUP(D40,'CNKT '!$D$16:$O$93,12,0)</f>
        <v>6424589</v>
      </c>
      <c r="H40" s="564">
        <f>VLOOKUP(D40,'CNKT '!$D$16:$Z$93,23,0)</f>
        <v>963608</v>
      </c>
      <c r="I40" s="564">
        <f t="shared" si="1"/>
        <v>7388197</v>
      </c>
      <c r="J40" s="564"/>
      <c r="K40" s="564">
        <f>VLOOKUP(D40,'CNKT '!$D$16:$AC$93,24,0)</f>
        <v>7388197</v>
      </c>
      <c r="L40" s="564"/>
      <c r="M40" s="566">
        <f t="shared" si="2"/>
        <v>7388197</v>
      </c>
      <c r="N40" s="262"/>
      <c r="O40" s="111"/>
    </row>
    <row r="41" spans="1:15" s="112" customFormat="1" ht="21.75" customHeight="1">
      <c r="A41" s="795">
        <v>28</v>
      </c>
      <c r="B41" s="220">
        <v>28</v>
      </c>
      <c r="C41" s="628" t="str">
        <f>'Chấm công KT'!C40</f>
        <v>03481</v>
      </c>
      <c r="D41" s="570" t="str">
        <f>'CNKT '!D43</f>
        <v>N . Khâm (1)</v>
      </c>
      <c r="E41" s="570" t="s">
        <v>26</v>
      </c>
      <c r="F41" s="564">
        <f>VLOOKUP(D41,'CNKT '!$D$16:$G$93,4,0)</f>
        <v>0</v>
      </c>
      <c r="G41" s="564">
        <f>VLOOKUP(D41,'CNKT '!$D$16:$O$93,12,0)</f>
        <v>5798993</v>
      </c>
      <c r="H41" s="564">
        <f>VLOOKUP(D41,'CNKT '!$D$16:$Z$93,23,0)</f>
        <v>882433</v>
      </c>
      <c r="I41" s="564">
        <f t="shared" si="1"/>
        <v>6681426</v>
      </c>
      <c r="J41" s="564"/>
      <c r="K41" s="564">
        <f>VLOOKUP(D41,'CNKT '!$D$16:$AC$93,24,0)</f>
        <v>6681426</v>
      </c>
      <c r="L41" s="564"/>
      <c r="M41" s="566">
        <f t="shared" si="2"/>
        <v>6681426</v>
      </c>
      <c r="N41" s="262"/>
      <c r="O41" s="111"/>
    </row>
    <row r="42" spans="1:15" s="112" customFormat="1" ht="21.75" customHeight="1">
      <c r="A42" s="795">
        <v>29</v>
      </c>
      <c r="B42" s="220">
        <v>29</v>
      </c>
      <c r="C42" s="628" t="str">
        <f>'Chấm công KT'!C41</f>
        <v>03482</v>
      </c>
      <c r="D42" s="570" t="str">
        <f>'CNKT '!D44</f>
        <v>T . Phết</v>
      </c>
      <c r="E42" s="570" t="s">
        <v>26</v>
      </c>
      <c r="F42" s="564">
        <f>VLOOKUP(D42,'CNKT '!$D$16:$G$93,4,0)</f>
        <v>0</v>
      </c>
      <c r="G42" s="564">
        <f>VLOOKUP(D42,'CNKT '!$D$16:$O$93,12,0)</f>
        <v>6037552</v>
      </c>
      <c r="H42" s="564">
        <f>VLOOKUP(D42,'CNKT '!$D$16:$Z$93,23,0)</f>
        <v>882433</v>
      </c>
      <c r="I42" s="564">
        <f t="shared" si="1"/>
        <v>6919985</v>
      </c>
      <c r="J42" s="564"/>
      <c r="K42" s="564">
        <f>VLOOKUP(D42,'CNKT '!$D$16:$AC$93,24,0)</f>
        <v>6919985</v>
      </c>
      <c r="L42" s="564"/>
      <c r="M42" s="566">
        <f t="shared" si="2"/>
        <v>6919985</v>
      </c>
      <c r="N42" s="262"/>
      <c r="O42" s="111"/>
    </row>
    <row r="43" spans="1:15" s="112" customFormat="1" ht="21.75" customHeight="1">
      <c r="A43" s="795">
        <v>30</v>
      </c>
      <c r="B43" s="220">
        <v>30</v>
      </c>
      <c r="C43" s="628" t="str">
        <f>'Chấm công KT'!C42</f>
        <v>03483</v>
      </c>
      <c r="D43" s="570" t="str">
        <f>'CNKT '!D45</f>
        <v>T. Viêng Sa Văn</v>
      </c>
      <c r="E43" s="570" t="s">
        <v>26</v>
      </c>
      <c r="F43" s="564">
        <f>VLOOKUP(D43,'CNKT '!$D$16:$G$93,4,0)</f>
        <v>0</v>
      </c>
      <c r="G43" s="564">
        <f>VLOOKUP(D43,'CNKT '!$D$16:$O$93,12,0)</f>
        <v>6333816</v>
      </c>
      <c r="H43" s="564">
        <f>VLOOKUP(D43,'CNKT '!$D$16:$Z$93,23,0)</f>
        <v>963608</v>
      </c>
      <c r="I43" s="564">
        <f t="shared" si="1"/>
        <v>7297424</v>
      </c>
      <c r="J43" s="564"/>
      <c r="K43" s="564">
        <f>VLOOKUP(D43,'CNKT '!$D$16:$AC$93,24,0)</f>
        <v>7297424</v>
      </c>
      <c r="L43" s="564"/>
      <c r="M43" s="566">
        <f t="shared" si="2"/>
        <v>7297424</v>
      </c>
      <c r="N43" s="262"/>
      <c r="O43" s="111"/>
    </row>
    <row r="44" spans="1:15" s="112" customFormat="1" ht="21.75" customHeight="1">
      <c r="A44" s="795">
        <v>31</v>
      </c>
      <c r="B44" s="220">
        <v>31</v>
      </c>
      <c r="C44" s="628" t="str">
        <f>'Chấm công KT'!C43</f>
        <v>03484</v>
      </c>
      <c r="D44" s="570" t="str">
        <f>'CNKT '!D46</f>
        <v>T. Ca Te</v>
      </c>
      <c r="E44" s="570" t="s">
        <v>26</v>
      </c>
      <c r="F44" s="564">
        <f>VLOOKUP(D44,'CNKT '!$D$16:$G$93,4,0)</f>
        <v>0</v>
      </c>
      <c r="G44" s="564">
        <f>VLOOKUP(D44,'CNKT '!$D$16:$O$93,12,0)</f>
        <v>7187675</v>
      </c>
      <c r="H44" s="564">
        <f>VLOOKUP(D44,'CNKT '!$D$16:$Z$93,23,0)</f>
        <v>1024456</v>
      </c>
      <c r="I44" s="564">
        <f t="shared" si="1"/>
        <v>8212131</v>
      </c>
      <c r="J44" s="564"/>
      <c r="K44" s="564">
        <f>VLOOKUP(D44,'CNKT '!$D$16:$AC$93,24,0)</f>
        <v>8212131</v>
      </c>
      <c r="L44" s="564"/>
      <c r="M44" s="566">
        <f t="shared" si="2"/>
        <v>8212131</v>
      </c>
      <c r="N44" s="262"/>
      <c r="O44" s="111"/>
    </row>
    <row r="45" spans="1:15" s="112" customFormat="1" ht="21.75" customHeight="1">
      <c r="A45" s="795">
        <v>32</v>
      </c>
      <c r="B45" s="220">
        <v>32</v>
      </c>
      <c r="C45" s="628" t="str">
        <f>'Chấm công KT'!C44</f>
        <v>03485</v>
      </c>
      <c r="D45" s="570" t="str">
        <f>'CNKT '!D47</f>
        <v>T. Lâm Phon</v>
      </c>
      <c r="E45" s="570" t="s">
        <v>26</v>
      </c>
      <c r="F45" s="564">
        <f>VLOOKUP(D45,'CNKT '!$D$16:$G$93,4,0)</f>
        <v>0</v>
      </c>
      <c r="G45" s="564">
        <f>VLOOKUP(D45,'CNKT '!$D$16:$O$93,12,0)</f>
        <v>7918340</v>
      </c>
      <c r="H45" s="564">
        <f>VLOOKUP(D45,'CNKT '!$D$16:$Z$93,23,0)</f>
        <v>1024456</v>
      </c>
      <c r="I45" s="564">
        <f t="shared" si="1"/>
        <v>8942796</v>
      </c>
      <c r="J45" s="564"/>
      <c r="K45" s="564">
        <f>VLOOKUP(D45,'CNKT '!$D$16:$AC$93,24,0)</f>
        <v>8942796</v>
      </c>
      <c r="L45" s="564"/>
      <c r="M45" s="566">
        <f t="shared" si="2"/>
        <v>8942796</v>
      </c>
      <c r="N45" s="262"/>
      <c r="O45" s="111"/>
    </row>
    <row r="46" spans="1:15" s="112" customFormat="1" ht="21.75" customHeight="1">
      <c r="A46" s="795">
        <v>33</v>
      </c>
      <c r="B46" s="220">
        <v>33</v>
      </c>
      <c r="C46" s="628" t="str">
        <f>'Chấm công KT'!C45</f>
        <v>02712</v>
      </c>
      <c r="D46" s="570" t="str">
        <f>'CNKT '!D48</f>
        <v>T. Sô Đa</v>
      </c>
      <c r="E46" s="570" t="s">
        <v>26</v>
      </c>
      <c r="F46" s="564">
        <f>VLOOKUP(D46,'CNKT '!$D$16:$G$93,4,0)</f>
        <v>0</v>
      </c>
      <c r="G46" s="564">
        <f>VLOOKUP(D46,'CNKT '!$D$16:$O$93,12,0)</f>
        <v>7706021</v>
      </c>
      <c r="H46" s="564">
        <f>VLOOKUP(D46,'CNKT '!$D$16:$Z$93,23,0)</f>
        <v>994032</v>
      </c>
      <c r="I46" s="564">
        <f t="shared" si="1"/>
        <v>8700053</v>
      </c>
      <c r="J46" s="564"/>
      <c r="K46" s="564">
        <f>VLOOKUP(D46,'CNKT '!$D$16:$AC$93,24,0)</f>
        <v>8700053</v>
      </c>
      <c r="L46" s="564"/>
      <c r="M46" s="566">
        <f t="shared" si="2"/>
        <v>8700053</v>
      </c>
      <c r="N46" s="262"/>
      <c r="O46" s="111"/>
    </row>
    <row r="47" spans="1:15" s="112" customFormat="1" ht="21.75" customHeight="1">
      <c r="A47" s="795">
        <v>34</v>
      </c>
      <c r="B47" s="220">
        <v>34</v>
      </c>
      <c r="C47" s="628">
        <f>'Chấm công KT'!C46</f>
        <v>0</v>
      </c>
      <c r="D47" s="570" t="str">
        <f>'CNKT '!D49</f>
        <v>N. Pheng Mi</v>
      </c>
      <c r="E47" s="570" t="s">
        <v>26</v>
      </c>
      <c r="F47" s="564">
        <f>VLOOKUP(D47,'CNKT '!$D$16:$G$93,4,0)</f>
        <v>0</v>
      </c>
      <c r="G47" s="564">
        <f>VLOOKUP(D47,'CNKT '!$D$16:$O$93,12,0)</f>
        <v>7021961</v>
      </c>
      <c r="H47" s="564">
        <f>VLOOKUP(D47,'CNKT '!$D$16:$Z$93,23,0)</f>
        <v>994032</v>
      </c>
      <c r="I47" s="564">
        <f t="shared" si="1"/>
        <v>8015993</v>
      </c>
      <c r="J47" s="564"/>
      <c r="K47" s="564">
        <f>VLOOKUP(D47,'CNKT '!$D$16:$AC$93,24,0)</f>
        <v>8015993</v>
      </c>
      <c r="L47" s="564"/>
      <c r="M47" s="566">
        <f t="shared" si="2"/>
        <v>8015993</v>
      </c>
      <c r="N47" s="262"/>
      <c r="O47" s="111"/>
    </row>
    <row r="48" spans="1:15" s="112" customFormat="1" ht="21.75" customHeight="1">
      <c r="A48" s="795">
        <v>35</v>
      </c>
      <c r="B48" s="220">
        <v>35</v>
      </c>
      <c r="C48" s="628" t="str">
        <f>'Chấm công KT'!C47</f>
        <v>02714</v>
      </c>
      <c r="D48" s="570" t="str">
        <f>'CNKT '!D50</f>
        <v>N. Tủn</v>
      </c>
      <c r="E48" s="570" t="s">
        <v>26</v>
      </c>
      <c r="F48" s="564">
        <f>VLOOKUP(D48,'CNKT '!$D$16:$G$93,4,0)</f>
        <v>0</v>
      </c>
      <c r="G48" s="564">
        <f>VLOOKUP(D48,'CNKT '!$D$16:$O$93,12,0)</f>
        <v>6561145</v>
      </c>
      <c r="H48" s="564">
        <f>VLOOKUP(D48,'CNKT '!$D$16:$Z$93,23,0)</f>
        <v>994032</v>
      </c>
      <c r="I48" s="564">
        <f t="shared" si="1"/>
        <v>7555177</v>
      </c>
      <c r="J48" s="564"/>
      <c r="K48" s="564">
        <f>VLOOKUP(D48,'CNKT '!$D$16:$AC$93,24,0)</f>
        <v>7555177</v>
      </c>
      <c r="L48" s="564"/>
      <c r="M48" s="566">
        <f t="shared" si="2"/>
        <v>7555177</v>
      </c>
      <c r="N48" s="262"/>
      <c r="O48" s="111"/>
    </row>
    <row r="49" spans="1:15" s="112" customFormat="1" ht="21.75" customHeight="1">
      <c r="A49" s="795">
        <v>36</v>
      </c>
      <c r="B49" s="220">
        <v>36</v>
      </c>
      <c r="C49" s="628" t="str">
        <f>'Chấm công KT'!C48</f>
        <v>02713</v>
      </c>
      <c r="D49" s="570" t="str">
        <f>'CNKT '!D51</f>
        <v>T. Lung</v>
      </c>
      <c r="E49" s="570" t="s">
        <v>26</v>
      </c>
      <c r="F49" s="564">
        <f>VLOOKUP(D49,'CNKT '!$D$16:$G$93,4,0)</f>
        <v>0</v>
      </c>
      <c r="G49" s="564">
        <f>VLOOKUP(D49,'CNKT '!$D$16:$O$93,12,0)</f>
        <v>6727442</v>
      </c>
      <c r="H49" s="564">
        <f>VLOOKUP(D49,'CNKT '!$D$16:$Z$93,23,0)</f>
        <v>994032</v>
      </c>
      <c r="I49" s="564">
        <f t="shared" si="1"/>
        <v>7721474</v>
      </c>
      <c r="J49" s="564"/>
      <c r="K49" s="564">
        <f>VLOOKUP(D49,'CNKT '!$D$16:$AC$93,24,0)</f>
        <v>7721474</v>
      </c>
      <c r="L49" s="564"/>
      <c r="M49" s="566">
        <f t="shared" si="2"/>
        <v>7721474</v>
      </c>
      <c r="N49" s="262"/>
      <c r="O49" s="111"/>
    </row>
    <row r="50" spans="1:15" s="112" customFormat="1" ht="21.75" customHeight="1">
      <c r="A50" s="795">
        <v>37</v>
      </c>
      <c r="B50" s="220">
        <v>37</v>
      </c>
      <c r="C50" s="628" t="str">
        <f>'Chấm công KT'!C49</f>
        <v>04058</v>
      </c>
      <c r="D50" s="570" t="str">
        <f>'CNKT '!D52</f>
        <v>T. Bi Ly (2)</v>
      </c>
      <c r="E50" s="570" t="s">
        <v>26</v>
      </c>
      <c r="F50" s="564">
        <f>VLOOKUP(D50,'CNKT '!$D$16:$G$93,4,0)</f>
        <v>0</v>
      </c>
      <c r="G50" s="564">
        <f>VLOOKUP(D50,'CNKT '!$D$16:$O$93,12,0)</f>
        <v>7389610</v>
      </c>
      <c r="H50" s="564">
        <f>VLOOKUP(D50,'CNKT '!$D$16:$Z$93,23,0)</f>
        <v>1024456</v>
      </c>
      <c r="I50" s="564">
        <f t="shared" si="1"/>
        <v>8414066</v>
      </c>
      <c r="J50" s="564"/>
      <c r="K50" s="564">
        <f>VLOOKUP(D50,'CNKT '!$D$16:$AC$93,24,0)</f>
        <v>8414066</v>
      </c>
      <c r="L50" s="564"/>
      <c r="M50" s="566">
        <f t="shared" si="2"/>
        <v>8414066</v>
      </c>
      <c r="N50" s="262"/>
      <c r="O50" s="111"/>
    </row>
    <row r="51" spans="1:15" s="112" customFormat="1" ht="21.75" customHeight="1">
      <c r="A51" s="795">
        <v>38</v>
      </c>
      <c r="B51" s="220">
        <v>38</v>
      </c>
      <c r="C51" s="628" t="str">
        <f>'Chấm công KT'!C50</f>
        <v>03487</v>
      </c>
      <c r="D51" s="570" t="str">
        <f>'CNKT '!D53</f>
        <v>N. Ba Say</v>
      </c>
      <c r="E51" s="570" t="s">
        <v>26</v>
      </c>
      <c r="F51" s="564">
        <f>VLOOKUP(D51,'CNKT '!$D$16:$G$93,4,0)</f>
        <v>0</v>
      </c>
      <c r="G51" s="564">
        <f>VLOOKUP(D51,'CNKT '!$D$16:$O$93,12,0)</f>
        <v>5578933</v>
      </c>
      <c r="H51" s="564">
        <f>VLOOKUP(D51,'CNKT '!$D$16:$Z$93,23,0)</f>
        <v>994032</v>
      </c>
      <c r="I51" s="564">
        <f t="shared" si="1"/>
        <v>6572965</v>
      </c>
      <c r="J51" s="564"/>
      <c r="K51" s="564">
        <f>VLOOKUP(D51,'CNKT '!$D$16:$AC$93,24,0)</f>
        <v>6572965</v>
      </c>
      <c r="L51" s="564"/>
      <c r="M51" s="566">
        <f t="shared" si="2"/>
        <v>6572965</v>
      </c>
      <c r="N51" s="262"/>
      <c r="O51" s="111"/>
    </row>
    <row r="52" spans="1:15" s="112" customFormat="1" ht="21.75" customHeight="1">
      <c r="A52" s="795">
        <v>39</v>
      </c>
      <c r="B52" s="220">
        <v>39</v>
      </c>
      <c r="C52" s="628" t="str">
        <f>'Chấm công KT'!C51</f>
        <v>03488</v>
      </c>
      <c r="D52" s="570" t="str">
        <f>'CNKT '!D54</f>
        <v>N. Đeng</v>
      </c>
      <c r="E52" s="570" t="s">
        <v>26</v>
      </c>
      <c r="F52" s="564">
        <f>VLOOKUP(D52,'CNKT '!$D$16:$G$93,4,0)</f>
        <v>0</v>
      </c>
      <c r="G52" s="564">
        <f>VLOOKUP(D52,'CNKT '!$D$16:$O$93,12,0)</f>
        <v>5616002</v>
      </c>
      <c r="H52" s="564">
        <f>VLOOKUP(D52,'CNKT '!$D$16:$Z$93,23,0)</f>
        <v>821584</v>
      </c>
      <c r="I52" s="564">
        <f t="shared" si="1"/>
        <v>6437586</v>
      </c>
      <c r="J52" s="564"/>
      <c r="K52" s="564">
        <f>VLOOKUP(D52,'CNKT '!$D$16:$AC$93,24,0)</f>
        <v>6437586</v>
      </c>
      <c r="L52" s="564"/>
      <c r="M52" s="566">
        <f t="shared" si="2"/>
        <v>6437586</v>
      </c>
      <c r="N52" s="262"/>
      <c r="O52" s="111"/>
    </row>
    <row r="53" spans="1:15" s="112" customFormat="1" ht="21.75" customHeight="1">
      <c r="A53" s="795">
        <v>40</v>
      </c>
      <c r="B53" s="220">
        <v>40</v>
      </c>
      <c r="C53" s="628" t="str">
        <f>'Chấm công KT'!C52</f>
        <v>03489</v>
      </c>
      <c r="D53" s="570" t="str">
        <f>'CNKT '!D55</f>
        <v>T. Tinh</v>
      </c>
      <c r="E53" s="570" t="s">
        <v>26</v>
      </c>
      <c r="F53" s="564">
        <f>VLOOKUP(D53,'CNKT '!$D$16:$G$93,4,0)</f>
        <v>0</v>
      </c>
      <c r="G53" s="564">
        <f>VLOOKUP(D53,'CNKT '!$D$16:$O$93,12,0)</f>
        <v>5729419</v>
      </c>
      <c r="H53" s="564">
        <f>VLOOKUP(D53,'CNKT '!$D$16:$Z$93,23,0)</f>
        <v>994032</v>
      </c>
      <c r="I53" s="564">
        <f t="shared" si="1"/>
        <v>6723451</v>
      </c>
      <c r="J53" s="564"/>
      <c r="K53" s="564">
        <f>VLOOKUP(D53,'CNKT '!$D$16:$AC$93,24,0)</f>
        <v>6723451</v>
      </c>
      <c r="L53" s="564"/>
      <c r="M53" s="566">
        <f t="shared" si="2"/>
        <v>6723451</v>
      </c>
      <c r="N53" s="262"/>
      <c r="O53" s="111"/>
    </row>
    <row r="54" spans="1:15" s="112" customFormat="1" ht="21.75" customHeight="1">
      <c r="A54" s="795">
        <v>41</v>
      </c>
      <c r="B54" s="220">
        <v>41</v>
      </c>
      <c r="C54" s="628" t="str">
        <f>'Chấm công KT'!C53</f>
        <v>04059</v>
      </c>
      <c r="D54" s="570" t="str">
        <f>'CNKT '!D56</f>
        <v>T. Khăm Pỏi</v>
      </c>
      <c r="E54" s="570" t="s">
        <v>26</v>
      </c>
      <c r="F54" s="564">
        <f>VLOOKUP(D54,'CNKT '!$D$16:$G$93,4,0)</f>
        <v>0</v>
      </c>
      <c r="G54" s="564">
        <f>VLOOKUP(D54,'CNKT '!$D$16:$O$93,12,0)</f>
        <v>5796605</v>
      </c>
      <c r="H54" s="564">
        <f>VLOOKUP(D54,'CNKT '!$D$16:$Z$93,23,0)</f>
        <v>994032</v>
      </c>
      <c r="I54" s="564">
        <f t="shared" si="1"/>
        <v>6790637</v>
      </c>
      <c r="J54" s="564"/>
      <c r="K54" s="564">
        <f>VLOOKUP(D54,'CNKT '!$D$16:$AC$93,24,0)</f>
        <v>6790637</v>
      </c>
      <c r="L54" s="564"/>
      <c r="M54" s="566">
        <f t="shared" si="2"/>
        <v>6790637</v>
      </c>
      <c r="N54" s="262"/>
      <c r="O54" s="111"/>
    </row>
    <row r="55" spans="1:15" s="112" customFormat="1" ht="21.75" customHeight="1">
      <c r="A55" s="795">
        <v>42</v>
      </c>
      <c r="B55" s="220">
        <v>42</v>
      </c>
      <c r="C55" s="628" t="str">
        <f>'Chấm công KT'!C54</f>
        <v>03491</v>
      </c>
      <c r="D55" s="570" t="str">
        <f>'CNKT '!D57</f>
        <v>Lăm Ngân</v>
      </c>
      <c r="E55" s="570" t="s">
        <v>26</v>
      </c>
      <c r="F55" s="564">
        <f>VLOOKUP(D55,'CNKT '!$D$16:$G$93,4,0)</f>
        <v>0</v>
      </c>
      <c r="G55" s="564">
        <f>VLOOKUP(D55,'CNKT '!$D$16:$O$93,12,0)</f>
        <v>6677329</v>
      </c>
      <c r="H55" s="564">
        <f>VLOOKUP(D55,'CNKT '!$D$16:$Z$93,23,0)</f>
        <v>994032</v>
      </c>
      <c r="I55" s="564">
        <f t="shared" si="1"/>
        <v>7671361</v>
      </c>
      <c r="J55" s="564"/>
      <c r="K55" s="564">
        <f>VLOOKUP(D55,'CNKT '!$D$16:$AC$93,24,0)</f>
        <v>7671361</v>
      </c>
      <c r="L55" s="564"/>
      <c r="M55" s="566">
        <f t="shared" si="2"/>
        <v>7671361</v>
      </c>
      <c r="N55" s="262"/>
      <c r="O55" s="111"/>
    </row>
    <row r="56" spans="1:15" s="112" customFormat="1" ht="21.75" customHeight="1">
      <c r="A56" s="795">
        <v>43</v>
      </c>
      <c r="B56" s="220">
        <v>43</v>
      </c>
      <c r="C56" s="628" t="str">
        <f>'Chấm công KT'!C55</f>
        <v>04060</v>
      </c>
      <c r="D56" s="570" t="str">
        <f>'CNKT '!D58</f>
        <v>T. Không</v>
      </c>
      <c r="E56" s="570" t="s">
        <v>26</v>
      </c>
      <c r="F56" s="564">
        <f>VLOOKUP(D56,'CNKT '!$D$16:$G$93,4,0)</f>
        <v>0</v>
      </c>
      <c r="G56" s="564">
        <f>VLOOKUP(D56,'CNKT '!$D$16:$O$93,12,0)</f>
        <v>7186753</v>
      </c>
      <c r="H56" s="564">
        <f>VLOOKUP(D56,'CNKT '!$D$16:$Z$93,23,0)</f>
        <v>1024456</v>
      </c>
      <c r="I56" s="564">
        <f t="shared" si="1"/>
        <v>8211209</v>
      </c>
      <c r="J56" s="564"/>
      <c r="K56" s="564">
        <f>VLOOKUP(D56,'CNKT '!$D$16:$AC$93,24,0)</f>
        <v>8211209</v>
      </c>
      <c r="L56" s="564"/>
      <c r="M56" s="566">
        <f t="shared" si="2"/>
        <v>8211209</v>
      </c>
      <c r="N56" s="262"/>
      <c r="O56" s="111"/>
    </row>
    <row r="57" spans="1:15" s="112" customFormat="1" ht="21.75" customHeight="1">
      <c r="A57" s="795">
        <v>44</v>
      </c>
      <c r="B57" s="220">
        <v>44</v>
      </c>
      <c r="C57" s="628" t="str">
        <f>'Chấm công KT'!C56</f>
        <v>03492</v>
      </c>
      <c r="D57" s="570" t="str">
        <f>'CNKT '!D59</f>
        <v>T. Lem</v>
      </c>
      <c r="E57" s="570" t="s">
        <v>26</v>
      </c>
      <c r="F57" s="564">
        <f>VLOOKUP(D57,'CNKT '!$D$16:$G$93,4,0)</f>
        <v>0</v>
      </c>
      <c r="G57" s="564">
        <f>VLOOKUP(D57,'CNKT '!$D$16:$O$93,12,0)</f>
        <v>6398878</v>
      </c>
      <c r="H57" s="564">
        <f>VLOOKUP(D57,'CNKT '!$D$16:$Z$93,23,0)</f>
        <v>994032</v>
      </c>
      <c r="I57" s="564">
        <f t="shared" si="1"/>
        <v>7392910</v>
      </c>
      <c r="J57" s="564"/>
      <c r="K57" s="564">
        <f>VLOOKUP(D57,'CNKT '!$D$16:$AC$93,24,0)</f>
        <v>7392910</v>
      </c>
      <c r="L57" s="564"/>
      <c r="M57" s="566">
        <f t="shared" si="2"/>
        <v>7392910</v>
      </c>
      <c r="N57" s="262"/>
      <c r="O57" s="111"/>
    </row>
    <row r="58" spans="1:15" s="112" customFormat="1" ht="21.75" customHeight="1">
      <c r="A58" s="795">
        <v>45</v>
      </c>
      <c r="B58" s="220">
        <v>45</v>
      </c>
      <c r="C58" s="628" t="str">
        <f>'Chấm công KT'!C57</f>
        <v>03493</v>
      </c>
      <c r="D58" s="570" t="str">
        <f>'CNKT '!D60</f>
        <v>T. Pông</v>
      </c>
      <c r="E58" s="570" t="s">
        <v>26</v>
      </c>
      <c r="F58" s="564">
        <f>VLOOKUP(D58,'CNKT '!$D$16:$G$93,4,0)</f>
        <v>0</v>
      </c>
      <c r="G58" s="564">
        <f>VLOOKUP(D58,'CNKT '!$D$16:$O$93,12,0)</f>
        <v>6710442</v>
      </c>
      <c r="H58" s="564">
        <f>VLOOKUP(D58,'CNKT '!$D$16:$Z$93,23,0)</f>
        <v>994032</v>
      </c>
      <c r="I58" s="564">
        <f t="shared" si="1"/>
        <v>7704474</v>
      </c>
      <c r="J58" s="564"/>
      <c r="K58" s="564">
        <f>VLOOKUP(D58,'CNKT '!$D$16:$AC$93,24,0)</f>
        <v>7704474</v>
      </c>
      <c r="L58" s="564"/>
      <c r="M58" s="566">
        <f t="shared" si="2"/>
        <v>7704474</v>
      </c>
      <c r="N58" s="262"/>
      <c r="O58" s="111"/>
    </row>
    <row r="59" spans="1:15" s="112" customFormat="1" ht="21.75" customHeight="1">
      <c r="A59" s="795">
        <v>46</v>
      </c>
      <c r="B59" s="220">
        <v>46</v>
      </c>
      <c r="C59" s="628" t="str">
        <f>'Chấm công KT'!C58</f>
        <v>03496</v>
      </c>
      <c r="D59" s="570" t="str">
        <f>'CNKT '!D61</f>
        <v>T. Lốp</v>
      </c>
      <c r="E59" s="570" t="s">
        <v>26</v>
      </c>
      <c r="F59" s="564">
        <f>VLOOKUP(D59,'CNKT '!$D$16:$G$93,4,0)</f>
        <v>0</v>
      </c>
      <c r="G59" s="564">
        <f>VLOOKUP(D59,'CNKT '!$D$16:$O$93,12,0)</f>
        <v>8123481</v>
      </c>
      <c r="H59" s="564">
        <f>VLOOKUP(D59,'CNKT '!$D$16:$Z$93,23,0)</f>
        <v>994032</v>
      </c>
      <c r="I59" s="564">
        <f t="shared" si="1"/>
        <v>9117513</v>
      </c>
      <c r="J59" s="564"/>
      <c r="K59" s="564">
        <f>VLOOKUP(D59,'CNKT '!$D$16:$AC$93,24,0)</f>
        <v>9117513</v>
      </c>
      <c r="L59" s="564"/>
      <c r="M59" s="566">
        <f t="shared" si="2"/>
        <v>9117513</v>
      </c>
      <c r="N59" s="262"/>
      <c r="O59" s="111"/>
    </row>
    <row r="60" spans="1:15" s="112" customFormat="1" ht="21.75" customHeight="1">
      <c r="A60" s="795">
        <v>47</v>
      </c>
      <c r="B60" s="220">
        <v>47</v>
      </c>
      <c r="C60" s="628" t="str">
        <f>'Chấm công KT'!C59</f>
        <v>04061</v>
      </c>
      <c r="D60" s="570" t="str">
        <f>'CNKT '!D62</f>
        <v>N. Nu Ni</v>
      </c>
      <c r="E60" s="570" t="s">
        <v>26</v>
      </c>
      <c r="F60" s="564">
        <f>VLOOKUP(D60,'CNKT '!$D$16:$G$93,4,0)</f>
        <v>0</v>
      </c>
      <c r="G60" s="564">
        <f>VLOOKUP(D60,'CNKT '!$D$16:$O$93,12,0)</f>
        <v>7875711</v>
      </c>
      <c r="H60" s="564">
        <f>VLOOKUP(D60,'CNKT '!$D$16:$Z$93,23,0)</f>
        <v>994032</v>
      </c>
      <c r="I60" s="564">
        <f t="shared" si="1"/>
        <v>8869743</v>
      </c>
      <c r="J60" s="564"/>
      <c r="K60" s="564">
        <f>VLOOKUP(D60,'CNKT '!$D$16:$AC$93,24,0)</f>
        <v>8869743</v>
      </c>
      <c r="L60" s="564"/>
      <c r="M60" s="566">
        <f t="shared" si="2"/>
        <v>8869743</v>
      </c>
      <c r="N60" s="262"/>
      <c r="O60" s="111"/>
    </row>
    <row r="61" spans="1:15" s="112" customFormat="1" ht="21.75" customHeight="1">
      <c r="A61" s="795">
        <v>48</v>
      </c>
      <c r="B61" s="220">
        <v>48</v>
      </c>
      <c r="C61" s="628" t="str">
        <f>'Chấm công KT'!C60</f>
        <v>03494</v>
      </c>
      <c r="D61" s="570" t="str">
        <f>'CNKT '!D63</f>
        <v>T. Đi</v>
      </c>
      <c r="E61" s="570" t="s">
        <v>26</v>
      </c>
      <c r="F61" s="564">
        <f>VLOOKUP(D61,'CNKT '!$D$16:$G$93,4,0)</f>
        <v>0</v>
      </c>
      <c r="G61" s="564">
        <f>VLOOKUP(D61,'CNKT '!$D$16:$O$93,12,0)</f>
        <v>6258560</v>
      </c>
      <c r="H61" s="564">
        <f>VLOOKUP(D61,'CNKT '!$D$16:$Z$93,23,0)</f>
        <v>994032</v>
      </c>
      <c r="I61" s="564">
        <f t="shared" si="1"/>
        <v>7252592</v>
      </c>
      <c r="J61" s="564"/>
      <c r="K61" s="564">
        <f>VLOOKUP(D61,'CNKT '!$D$16:$AC$93,24,0)</f>
        <v>7252592</v>
      </c>
      <c r="L61" s="564"/>
      <c r="M61" s="566">
        <f t="shared" si="2"/>
        <v>7252592</v>
      </c>
      <c r="N61" s="262"/>
      <c r="O61" s="111"/>
    </row>
    <row r="62" spans="1:15" s="112" customFormat="1" ht="21.75" customHeight="1">
      <c r="A62" s="795">
        <v>49</v>
      </c>
      <c r="B62" s="220">
        <v>49</v>
      </c>
      <c r="C62" s="628" t="str">
        <f>'Chấm công KT'!C61</f>
        <v>03495</v>
      </c>
      <c r="D62" s="570" t="str">
        <f>'CNKT '!D64</f>
        <v>N. On Xi</v>
      </c>
      <c r="E62" s="570" t="s">
        <v>26</v>
      </c>
      <c r="F62" s="564">
        <f>VLOOKUP(D62,'CNKT '!$D$16:$G$93,4,0)</f>
        <v>0</v>
      </c>
      <c r="G62" s="564">
        <f>VLOOKUP(D62,'CNKT '!$D$16:$O$93,12,0)</f>
        <v>7398860</v>
      </c>
      <c r="H62" s="564">
        <f>VLOOKUP(D62,'CNKT '!$D$16:$Z$93,23,0)</f>
        <v>1024456</v>
      </c>
      <c r="I62" s="564">
        <f t="shared" si="1"/>
        <v>8423316</v>
      </c>
      <c r="J62" s="564"/>
      <c r="K62" s="564">
        <f>VLOOKUP(D62,'CNKT '!$D$16:$AC$93,24,0)</f>
        <v>8423316</v>
      </c>
      <c r="L62" s="564"/>
      <c r="M62" s="566">
        <f t="shared" si="2"/>
        <v>8423316</v>
      </c>
      <c r="N62" s="262"/>
      <c r="O62" s="111"/>
    </row>
    <row r="63" spans="1:15" s="112" customFormat="1" ht="21.75" customHeight="1">
      <c r="A63" s="795">
        <v>50</v>
      </c>
      <c r="B63" s="220">
        <v>50</v>
      </c>
      <c r="C63" s="628" t="str">
        <f>'Chấm công KT'!C62</f>
        <v>04062</v>
      </c>
      <c r="D63" s="570" t="str">
        <f>'CNKT '!D65</f>
        <v>N. Thông La</v>
      </c>
      <c r="E63" s="570" t="s">
        <v>26</v>
      </c>
      <c r="F63" s="564">
        <f>VLOOKUP(D63,'CNKT '!$D$16:$G$93,4,0)</f>
        <v>0</v>
      </c>
      <c r="G63" s="564">
        <f>VLOOKUP(D63,'CNKT '!$D$16:$O$93,12,0)</f>
        <v>7651536</v>
      </c>
      <c r="H63" s="564">
        <f>VLOOKUP(D63,'CNKT '!$D$16:$Z$93,23,0)</f>
        <v>1024456</v>
      </c>
      <c r="I63" s="564">
        <f t="shared" si="1"/>
        <v>8675992</v>
      </c>
      <c r="J63" s="564"/>
      <c r="K63" s="564">
        <f>VLOOKUP(D63,'CNKT '!$D$16:$AC$93,24,0)</f>
        <v>8675992</v>
      </c>
      <c r="L63" s="564"/>
      <c r="M63" s="566">
        <f t="shared" si="2"/>
        <v>8675992</v>
      </c>
      <c r="N63" s="262"/>
      <c r="O63" s="111"/>
    </row>
    <row r="64" spans="1:15" s="112" customFormat="1" ht="21.75" customHeight="1">
      <c r="A64" s="795">
        <v>51</v>
      </c>
      <c r="B64" s="220">
        <v>51</v>
      </c>
      <c r="C64" s="628" t="str">
        <f>'Chấm công KT'!C63</f>
        <v>03497</v>
      </c>
      <c r="D64" s="570" t="str">
        <f>'CNKT '!D66</f>
        <v>T. Son Xay</v>
      </c>
      <c r="E64" s="570" t="s">
        <v>26</v>
      </c>
      <c r="F64" s="564">
        <f>VLOOKUP(D64,'CNKT '!$D$16:$G$93,4,0)</f>
        <v>0</v>
      </c>
      <c r="G64" s="564">
        <f>VLOOKUP(D64,'CNKT '!$D$16:$O$93,12,0)</f>
        <v>7654182</v>
      </c>
      <c r="H64" s="564">
        <f>VLOOKUP(D64,'CNKT '!$D$16:$Z$93,23,0)</f>
        <v>994032</v>
      </c>
      <c r="I64" s="564">
        <f t="shared" si="1"/>
        <v>8648214</v>
      </c>
      <c r="J64" s="564"/>
      <c r="K64" s="564">
        <f>VLOOKUP(D64,'CNKT '!$D$16:$AC$93,24,0)</f>
        <v>8648214</v>
      </c>
      <c r="L64" s="564"/>
      <c r="M64" s="566">
        <f t="shared" si="2"/>
        <v>8648214</v>
      </c>
      <c r="N64" s="262"/>
      <c r="O64" s="111"/>
    </row>
    <row r="65" spans="1:15" s="112" customFormat="1" ht="21.75" customHeight="1">
      <c r="A65" s="795">
        <v>52</v>
      </c>
      <c r="B65" s="220">
        <v>52</v>
      </c>
      <c r="C65" s="628" t="str">
        <f>'Chấm công KT'!C64</f>
        <v>03498</v>
      </c>
      <c r="D65" s="570" t="str">
        <f>'CNKT '!D67</f>
        <v>N. Lăm Phay</v>
      </c>
      <c r="E65" s="570" t="s">
        <v>26</v>
      </c>
      <c r="F65" s="564">
        <f>VLOOKUP(D65,'CNKT '!$D$16:$G$93,4,0)</f>
        <v>0</v>
      </c>
      <c r="G65" s="564">
        <f>VLOOKUP(D65,'CNKT '!$D$16:$O$93,12,0)</f>
        <v>8066410</v>
      </c>
      <c r="H65" s="564">
        <f>VLOOKUP(D65,'CNKT '!$D$16:$Z$93,23,0)</f>
        <v>994032</v>
      </c>
      <c r="I65" s="564">
        <f t="shared" si="1"/>
        <v>9060442</v>
      </c>
      <c r="J65" s="564"/>
      <c r="K65" s="564">
        <f>VLOOKUP(D65,'CNKT '!$D$16:$AC$93,24,0)</f>
        <v>9060442</v>
      </c>
      <c r="L65" s="564"/>
      <c r="M65" s="566">
        <f t="shared" si="2"/>
        <v>9060442</v>
      </c>
      <c r="N65" s="262"/>
      <c r="O65" s="111"/>
    </row>
    <row r="66" spans="1:15" s="112" customFormat="1" ht="21.75" customHeight="1">
      <c r="A66" s="795">
        <v>53</v>
      </c>
      <c r="B66" s="220">
        <v>53</v>
      </c>
      <c r="C66" s="628" t="str">
        <f>'Chấm công KT'!C65</f>
        <v>02706</v>
      </c>
      <c r="D66" s="570" t="str">
        <f>'CNKT '!D68</f>
        <v>T. Nhung</v>
      </c>
      <c r="E66" s="570" t="s">
        <v>26</v>
      </c>
      <c r="F66" s="564">
        <f>VLOOKUP(D66,'CNKT '!$D$16:$G$93,4,0)</f>
        <v>0</v>
      </c>
      <c r="G66" s="564">
        <f>VLOOKUP(D66,'CNKT '!$D$16:$O$93,12,0)</f>
        <v>7953784</v>
      </c>
      <c r="H66" s="564">
        <f>VLOOKUP(D66,'CNKT '!$D$16:$Z$93,23,0)</f>
        <v>1024456</v>
      </c>
      <c r="I66" s="564">
        <f t="shared" si="1"/>
        <v>8978240</v>
      </c>
      <c r="J66" s="564"/>
      <c r="K66" s="564">
        <f>VLOOKUP(D66,'CNKT '!$D$16:$AC$93,24,0)</f>
        <v>8978240</v>
      </c>
      <c r="L66" s="564"/>
      <c r="M66" s="566">
        <f t="shared" si="2"/>
        <v>8978240</v>
      </c>
      <c r="N66" s="262"/>
      <c r="O66" s="111"/>
    </row>
    <row r="67" spans="1:15" s="112" customFormat="1" ht="21.75" customHeight="1">
      <c r="A67" s="795">
        <v>54</v>
      </c>
      <c r="B67" s="220">
        <v>54</v>
      </c>
      <c r="C67" s="628">
        <f>'Chấm công KT'!C66</f>
        <v>0</v>
      </c>
      <c r="D67" s="570" t="str">
        <f>'CNKT '!D69</f>
        <v>N. In Ton</v>
      </c>
      <c r="E67" s="570" t="s">
        <v>26</v>
      </c>
      <c r="F67" s="564">
        <f>VLOOKUP(D67,'CNKT '!$D$16:$G$93,4,0)</f>
        <v>0</v>
      </c>
      <c r="G67" s="564">
        <f>VLOOKUP(D67,'CNKT '!$D$16:$O$93,12,0)</f>
        <v>6245638</v>
      </c>
      <c r="H67" s="564">
        <f>VLOOKUP(D67,'CNKT '!$D$16:$Z$93,23,0)</f>
        <v>1024456</v>
      </c>
      <c r="I67" s="564">
        <f t="shared" si="1"/>
        <v>7270094</v>
      </c>
      <c r="J67" s="564"/>
      <c r="K67" s="564">
        <f>VLOOKUP(D67,'CNKT '!$D$16:$AC$93,24,0)</f>
        <v>7270094</v>
      </c>
      <c r="L67" s="564"/>
      <c r="M67" s="566">
        <f t="shared" si="2"/>
        <v>7270094</v>
      </c>
      <c r="N67" s="262"/>
      <c r="O67" s="111"/>
    </row>
    <row r="68" spans="1:15" s="112" customFormat="1" ht="21.75" customHeight="1">
      <c r="A68" s="795">
        <v>55</v>
      </c>
      <c r="B68" s="220">
        <v>55</v>
      </c>
      <c r="C68" s="628" t="str">
        <f>'Chấm công KT'!C67</f>
        <v>04064</v>
      </c>
      <c r="D68" s="570" t="str">
        <f>'CNKT '!D70</f>
        <v>N. Khay Chăn</v>
      </c>
      <c r="E68" s="570" t="s">
        <v>26</v>
      </c>
      <c r="F68" s="564">
        <f>VLOOKUP(D68,'CNKT '!$D$16:$G$93,4,0)</f>
        <v>0</v>
      </c>
      <c r="G68" s="564">
        <f>VLOOKUP(D68,'CNKT '!$D$16:$O$93,12,0)</f>
        <v>9253337</v>
      </c>
      <c r="H68" s="564">
        <f>VLOOKUP(D68,'CNKT '!$D$16:$Z$93,23,0)</f>
        <v>1024456</v>
      </c>
      <c r="I68" s="564">
        <f t="shared" si="1"/>
        <v>10277793</v>
      </c>
      <c r="J68" s="564"/>
      <c r="K68" s="564">
        <f>VLOOKUP(D68,'CNKT '!$D$16:$AC$93,24,0)</f>
        <v>10277793</v>
      </c>
      <c r="L68" s="564"/>
      <c r="M68" s="566">
        <f t="shared" si="2"/>
        <v>10277793</v>
      </c>
      <c r="N68" s="262"/>
      <c r="O68" s="111"/>
    </row>
    <row r="69" spans="1:15" s="112" customFormat="1" ht="21.75" customHeight="1">
      <c r="A69" s="795">
        <v>56</v>
      </c>
      <c r="B69" s="220">
        <v>56</v>
      </c>
      <c r="C69" s="628" t="str">
        <f>'Chấm công KT'!C68</f>
        <v>03501</v>
      </c>
      <c r="D69" s="570" t="str">
        <f>'CNKT '!D71</f>
        <v>T Dăn</v>
      </c>
      <c r="E69" s="570" t="s">
        <v>26</v>
      </c>
      <c r="F69" s="564">
        <f>VLOOKUP(D69,'CNKT '!$D$16:$G$93,4,0)</f>
        <v>0</v>
      </c>
      <c r="G69" s="564">
        <f>VLOOKUP(D69,'CNKT '!$D$16:$O$93,12,0)</f>
        <v>5851279</v>
      </c>
      <c r="H69" s="564">
        <f>VLOOKUP(D69,'CNKT '!$D$16:$Z$93,23,0)</f>
        <v>994032</v>
      </c>
      <c r="I69" s="564">
        <f t="shared" si="1"/>
        <v>6845311</v>
      </c>
      <c r="J69" s="564"/>
      <c r="K69" s="564">
        <f>VLOOKUP(D69,'CNKT '!$D$16:$AC$93,24,0)</f>
        <v>6845311</v>
      </c>
      <c r="L69" s="564"/>
      <c r="M69" s="566">
        <f t="shared" si="2"/>
        <v>6845311</v>
      </c>
      <c r="N69" s="262"/>
      <c r="O69" s="111"/>
    </row>
    <row r="70" spans="1:15" s="112" customFormat="1" ht="21.75" customHeight="1">
      <c r="A70" s="795">
        <v>57</v>
      </c>
      <c r="B70" s="220">
        <v>57</v>
      </c>
      <c r="C70" s="628" t="str">
        <f>'Chấm công KT'!C69</f>
        <v>03502</v>
      </c>
      <c r="D70" s="570" t="str">
        <f>'CNKT '!D72</f>
        <v>T. Xợt</v>
      </c>
      <c r="E70" s="570" t="s">
        <v>26</v>
      </c>
      <c r="F70" s="564">
        <f>VLOOKUP(D70,'CNKT '!$D$16:$G$93,4,0)</f>
        <v>0</v>
      </c>
      <c r="G70" s="564">
        <f>VLOOKUP(D70,'CNKT '!$D$16:$O$93,12,0)</f>
        <v>7063363</v>
      </c>
      <c r="H70" s="564">
        <f>VLOOKUP(D70,'CNKT '!$D$16:$Z$93,23,0)</f>
        <v>1024456</v>
      </c>
      <c r="I70" s="564">
        <f t="shared" si="1"/>
        <v>8087819</v>
      </c>
      <c r="J70" s="564"/>
      <c r="K70" s="564">
        <f>VLOOKUP(D70,'CNKT '!$D$16:$AC$93,24,0)</f>
        <v>8087819</v>
      </c>
      <c r="L70" s="564"/>
      <c r="M70" s="566">
        <f t="shared" si="2"/>
        <v>8087819</v>
      </c>
      <c r="N70" s="262"/>
      <c r="O70" s="111"/>
    </row>
    <row r="71" spans="1:15" s="112" customFormat="1" ht="21.75" customHeight="1">
      <c r="A71" s="795">
        <v>58</v>
      </c>
      <c r="B71" s="220">
        <v>58</v>
      </c>
      <c r="C71" s="628" t="str">
        <f>'Chấm công KT'!C70</f>
        <v>04065</v>
      </c>
      <c r="D71" s="570" t="str">
        <f>'CNKT '!D73</f>
        <v>N. Phết 2</v>
      </c>
      <c r="E71" s="570" t="s">
        <v>26</v>
      </c>
      <c r="F71" s="564">
        <f>VLOOKUP(D71,'CNKT '!$D$16:$G$93,4,0)</f>
        <v>0</v>
      </c>
      <c r="G71" s="564">
        <f>VLOOKUP(D71,'CNKT '!$D$16:$O$93,12,0)</f>
        <v>6169327</v>
      </c>
      <c r="H71" s="564">
        <f>VLOOKUP(D71,'CNKT '!$D$16:$Z$93,23,0)</f>
        <v>1024456</v>
      </c>
      <c r="I71" s="564">
        <f t="shared" si="1"/>
        <v>7193783</v>
      </c>
      <c r="J71" s="564"/>
      <c r="K71" s="564">
        <f>VLOOKUP(D71,'CNKT '!$D$16:$AC$93,24,0)</f>
        <v>7193783</v>
      </c>
      <c r="L71" s="564"/>
      <c r="M71" s="566">
        <f t="shared" si="2"/>
        <v>7193783</v>
      </c>
      <c r="N71" s="262"/>
      <c r="O71" s="111"/>
    </row>
    <row r="72" spans="1:15" s="112" customFormat="1" ht="21.75" customHeight="1">
      <c r="A72" s="795">
        <v>59</v>
      </c>
      <c r="B72" s="220">
        <v>59</v>
      </c>
      <c r="C72" s="628" t="str">
        <f>'Chấm công KT'!C71</f>
        <v>03504</v>
      </c>
      <c r="D72" s="570" t="str">
        <f>'CNKT '!D74</f>
        <v>T. Cạp</v>
      </c>
      <c r="E72" s="570" t="s">
        <v>26</v>
      </c>
      <c r="F72" s="564">
        <f>VLOOKUP(D72,'CNKT '!$D$16:$G$93,4,0)</f>
        <v>0</v>
      </c>
      <c r="G72" s="564">
        <f>VLOOKUP(D72,'CNKT '!$D$16:$O$93,12,0)</f>
        <v>6373516</v>
      </c>
      <c r="H72" s="564">
        <f>VLOOKUP(D72,'CNKT '!$D$16:$Z$93,23,0)</f>
        <v>994032</v>
      </c>
      <c r="I72" s="564">
        <f t="shared" si="1"/>
        <v>7367548</v>
      </c>
      <c r="J72" s="564"/>
      <c r="K72" s="564">
        <f>VLOOKUP(D72,'CNKT '!$D$16:$AC$93,24,0)</f>
        <v>7367548</v>
      </c>
      <c r="L72" s="564"/>
      <c r="M72" s="566">
        <f t="shared" si="2"/>
        <v>7367548</v>
      </c>
      <c r="N72" s="262"/>
      <c r="O72" s="111"/>
    </row>
    <row r="73" spans="1:15" s="112" customFormat="1" ht="21.75" customHeight="1">
      <c r="A73" s="795">
        <v>60</v>
      </c>
      <c r="B73" s="220">
        <v>60</v>
      </c>
      <c r="C73" s="628">
        <f>'Chấm công KT'!C72</f>
        <v>0</v>
      </c>
      <c r="D73" s="570" t="str">
        <f>'CNKT '!D75</f>
        <v>N. Ních</v>
      </c>
      <c r="E73" s="570" t="s">
        <v>26</v>
      </c>
      <c r="F73" s="564">
        <f>VLOOKUP(D73,'CNKT '!$D$16:$G$93,4,0)</f>
        <v>0</v>
      </c>
      <c r="G73" s="564">
        <f>VLOOKUP(D73,'CNKT '!$D$16:$O$93,12,0)</f>
        <v>6483619</v>
      </c>
      <c r="H73" s="564">
        <f>VLOOKUP(D73,'CNKT '!$D$16:$Z$93,23,0)</f>
        <v>994032</v>
      </c>
      <c r="I73" s="564">
        <f t="shared" si="1"/>
        <v>7477651</v>
      </c>
      <c r="J73" s="564"/>
      <c r="K73" s="564">
        <f>VLOOKUP(D73,'CNKT '!$D$16:$AC$93,24,0)</f>
        <v>7477651</v>
      </c>
      <c r="L73" s="564"/>
      <c r="M73" s="566">
        <f t="shared" si="2"/>
        <v>7477651</v>
      </c>
      <c r="N73" s="262"/>
      <c r="O73" s="111"/>
    </row>
    <row r="74" spans="1:15" s="112" customFormat="1" ht="21.75" customHeight="1">
      <c r="A74" s="795">
        <v>61</v>
      </c>
      <c r="B74" s="220">
        <v>61</v>
      </c>
      <c r="C74" s="628" t="str">
        <f>'Chấm công KT'!C73</f>
        <v>03506</v>
      </c>
      <c r="D74" s="570" t="str">
        <f>'CNKT '!D76</f>
        <v>N. Bua Hom</v>
      </c>
      <c r="E74" s="570" t="s">
        <v>26</v>
      </c>
      <c r="F74" s="564">
        <f>VLOOKUP(D74,'CNKT '!$D$16:$G$93,4,0)</f>
        <v>0</v>
      </c>
      <c r="G74" s="564">
        <f>VLOOKUP(D74,'CNKT '!$D$16:$O$93,12,0)</f>
        <v>8068695</v>
      </c>
      <c r="H74" s="564">
        <f>VLOOKUP(D74,'CNKT '!$D$16:$Z$93,23,0)</f>
        <v>1024456</v>
      </c>
      <c r="I74" s="564">
        <f t="shared" si="1"/>
        <v>9093151</v>
      </c>
      <c r="J74" s="564"/>
      <c r="K74" s="564">
        <f>VLOOKUP(D74,'CNKT '!$D$16:$AC$93,24,0)</f>
        <v>9093151</v>
      </c>
      <c r="L74" s="564"/>
      <c r="M74" s="566">
        <f t="shared" si="2"/>
        <v>9093151</v>
      </c>
      <c r="N74" s="262"/>
      <c r="O74" s="111"/>
    </row>
    <row r="75" spans="1:15" s="112" customFormat="1" ht="21.75" customHeight="1">
      <c r="A75" s="795">
        <v>62</v>
      </c>
      <c r="B75" s="220">
        <v>62</v>
      </c>
      <c r="C75" s="628" t="str">
        <f>'Chấm công KT'!C74</f>
        <v>04067</v>
      </c>
      <c r="D75" s="570" t="str">
        <f>'CNKT '!D77</f>
        <v>N. Lăm Phay (2)</v>
      </c>
      <c r="E75" s="570" t="s">
        <v>26</v>
      </c>
      <c r="F75" s="564">
        <f>VLOOKUP(D75,'CNKT '!$D$16:$G$93,4,0)</f>
        <v>0</v>
      </c>
      <c r="G75" s="564">
        <f>VLOOKUP(D75,'CNKT '!$D$16:$O$93,12,0)</f>
        <v>5723836</v>
      </c>
      <c r="H75" s="564">
        <f>VLOOKUP(D75,'CNKT '!$D$16:$Z$93,23,0)</f>
        <v>963608</v>
      </c>
      <c r="I75" s="564">
        <f t="shared" si="1"/>
        <v>6687444</v>
      </c>
      <c r="J75" s="564"/>
      <c r="K75" s="564">
        <f>VLOOKUP(D75,'CNKT '!$D$16:$AC$93,24,0)</f>
        <v>6687444</v>
      </c>
      <c r="L75" s="564"/>
      <c r="M75" s="566">
        <f t="shared" si="2"/>
        <v>6687444</v>
      </c>
      <c r="N75" s="262"/>
      <c r="O75" s="111"/>
    </row>
    <row r="76" spans="1:15" s="112" customFormat="1" ht="21.75" customHeight="1">
      <c r="A76" s="795">
        <v>63</v>
      </c>
      <c r="B76" s="220">
        <v>63</v>
      </c>
      <c r="C76" s="628" t="str">
        <f>'Chấm công KT'!C75</f>
        <v>03508</v>
      </c>
      <c r="D76" s="570" t="str">
        <f>'CNKT '!D78</f>
        <v>T. Đèng</v>
      </c>
      <c r="E76" s="570" t="s">
        <v>26</v>
      </c>
      <c r="F76" s="564">
        <f>VLOOKUP(D76,'CNKT '!$D$16:$G$93,4,0)</f>
        <v>0</v>
      </c>
      <c r="G76" s="564">
        <f>VLOOKUP(D76,'CNKT '!$D$16:$O$93,12,0)</f>
        <v>4523510</v>
      </c>
      <c r="H76" s="564">
        <f>VLOOKUP(D76,'CNKT '!$D$16:$Z$93,23,0)</f>
        <v>852008</v>
      </c>
      <c r="I76" s="564">
        <f t="shared" si="1"/>
        <v>5375518</v>
      </c>
      <c r="J76" s="564"/>
      <c r="K76" s="564">
        <f>VLOOKUP(D76,'CNKT '!$D$16:$AC$93,24,0)</f>
        <v>5375518</v>
      </c>
      <c r="L76" s="564"/>
      <c r="M76" s="566">
        <f t="shared" si="2"/>
        <v>5375518</v>
      </c>
      <c r="N76" s="262"/>
      <c r="O76" s="111"/>
    </row>
    <row r="77" spans="1:15" s="112" customFormat="1" ht="21.75" customHeight="1">
      <c r="A77" s="795">
        <v>64</v>
      </c>
      <c r="B77" s="220">
        <v>64</v>
      </c>
      <c r="C77" s="628" t="str">
        <f>'Chấm công KT'!C76</f>
        <v>03512</v>
      </c>
      <c r="D77" s="570" t="str">
        <f>'CNKT '!D79</f>
        <v>N. Đon</v>
      </c>
      <c r="E77" s="570" t="s">
        <v>26</v>
      </c>
      <c r="F77" s="564">
        <f>VLOOKUP(D77,'CNKT '!$D$16:$G$93,4,0)</f>
        <v>0</v>
      </c>
      <c r="G77" s="564">
        <f>VLOOKUP(D77,'CNKT '!$D$16:$O$93,12,0)</f>
        <v>6415042</v>
      </c>
      <c r="H77" s="564">
        <f>VLOOKUP(D77,'CNKT '!$D$16:$Z$93,23,0)</f>
        <v>973705</v>
      </c>
      <c r="I77" s="564">
        <f t="shared" si="1"/>
        <v>7388747</v>
      </c>
      <c r="J77" s="564"/>
      <c r="K77" s="564">
        <f>VLOOKUP(D77,'CNKT '!$D$16:$AC$93,24,0)</f>
        <v>7388747</v>
      </c>
      <c r="L77" s="564"/>
      <c r="M77" s="566">
        <f t="shared" si="2"/>
        <v>7388747</v>
      </c>
      <c r="N77" s="262"/>
      <c r="O77" s="111"/>
    </row>
    <row r="78" spans="1:15" s="112" customFormat="1" ht="21.75" customHeight="1">
      <c r="A78" s="795">
        <v>65</v>
      </c>
      <c r="B78" s="220">
        <v>65</v>
      </c>
      <c r="C78" s="628" t="str">
        <f>'Chấm công KT'!C77</f>
        <v>04068</v>
      </c>
      <c r="D78" s="570" t="str">
        <f>'CNKT '!D80</f>
        <v xml:space="preserve">T. La </v>
      </c>
      <c r="E78" s="570" t="s">
        <v>26</v>
      </c>
      <c r="F78" s="564">
        <f>VLOOKUP(D78,'CNKT '!$D$16:$G$93,4,0)</f>
        <v>0</v>
      </c>
      <c r="G78" s="564">
        <f>VLOOKUP(D78,'CNKT '!$D$16:$O$93,12,0)</f>
        <v>6568596</v>
      </c>
      <c r="H78" s="564">
        <f>VLOOKUP(D78,'CNKT '!$D$16:$Z$93,23,0)</f>
        <v>963608</v>
      </c>
      <c r="I78" s="564">
        <f t="shared" si="1"/>
        <v>7532204</v>
      </c>
      <c r="J78" s="564"/>
      <c r="K78" s="564">
        <f>VLOOKUP(D78,'CNKT '!$D$16:$AC$93,24,0)</f>
        <v>7532204</v>
      </c>
      <c r="L78" s="564"/>
      <c r="M78" s="566">
        <f t="shared" si="2"/>
        <v>7532204</v>
      </c>
      <c r="N78" s="262"/>
      <c r="O78" s="111"/>
    </row>
    <row r="79" spans="1:15" s="112" customFormat="1" ht="21.75" customHeight="1">
      <c r="A79" s="795">
        <v>66</v>
      </c>
      <c r="B79" s="220">
        <v>66</v>
      </c>
      <c r="C79" s="628" t="str">
        <f>'Chấm công KT'!C78</f>
        <v>04069</v>
      </c>
      <c r="D79" s="570" t="str">
        <f>'CNKT '!D81</f>
        <v>T. Bờm</v>
      </c>
      <c r="E79" s="570" t="s">
        <v>26</v>
      </c>
      <c r="F79" s="564">
        <f>VLOOKUP(D79,'CNKT '!$D$16:$G$93,4,0)</f>
        <v>0</v>
      </c>
      <c r="G79" s="564">
        <f>VLOOKUP(D79,'CNKT '!$D$16:$O$93,12,0)</f>
        <v>7136033</v>
      </c>
      <c r="H79" s="564">
        <f>VLOOKUP(D79,'CNKT '!$D$16:$Z$93,23,0)</f>
        <v>943281</v>
      </c>
      <c r="I79" s="564">
        <f t="shared" ref="I79:I85" si="3">SUM(F79:H79)</f>
        <v>8079314</v>
      </c>
      <c r="J79" s="564"/>
      <c r="K79" s="564">
        <f>VLOOKUP(D79,'CNKT '!$D$16:$AC$93,24,0)</f>
        <v>8079314</v>
      </c>
      <c r="L79" s="564"/>
      <c r="M79" s="566">
        <f t="shared" ref="M79:M86" si="4">K79-L79</f>
        <v>8079314</v>
      </c>
      <c r="N79" s="262"/>
      <c r="O79" s="111"/>
    </row>
    <row r="80" spans="1:15" s="112" customFormat="1" ht="21.75" customHeight="1">
      <c r="A80" s="795">
        <v>67</v>
      </c>
      <c r="B80" s="220">
        <v>67</v>
      </c>
      <c r="C80" s="628" t="str">
        <f>'Chấm công KT'!C79</f>
        <v>03546</v>
      </c>
      <c r="D80" s="570" t="str">
        <f>'CNKT '!D82</f>
        <v>T. Nọi</v>
      </c>
      <c r="E80" s="570" t="s">
        <v>26</v>
      </c>
      <c r="F80" s="564">
        <f>VLOOKUP(D80,'CNKT '!$D$16:$G$93,4,0)</f>
        <v>0</v>
      </c>
      <c r="G80" s="564">
        <f>VLOOKUP(D80,'CNKT '!$D$16:$O$93,12,0)</f>
        <v>5248255</v>
      </c>
      <c r="H80" s="564">
        <f>VLOOKUP(D80,'CNKT '!$D$16:$Z$93,23,0)</f>
        <v>963608</v>
      </c>
      <c r="I80" s="564">
        <f t="shared" si="3"/>
        <v>6211863</v>
      </c>
      <c r="J80" s="564"/>
      <c r="K80" s="564">
        <f>VLOOKUP(D80,'CNKT '!$D$16:$AC$93,24,0)</f>
        <v>6211863</v>
      </c>
      <c r="L80" s="564"/>
      <c r="M80" s="566">
        <f t="shared" si="4"/>
        <v>6211863</v>
      </c>
      <c r="N80" s="262"/>
      <c r="O80" s="111"/>
    </row>
    <row r="81" spans="1:15" s="112" customFormat="1" ht="21.75" customHeight="1">
      <c r="A81" s="795">
        <v>68</v>
      </c>
      <c r="B81" s="220">
        <v>68</v>
      </c>
      <c r="C81" s="628">
        <f>'Chấm công KT'!C80</f>
        <v>0</v>
      </c>
      <c r="D81" s="570" t="str">
        <f>'CNKT '!D83</f>
        <v>T. Kong Ma Ny</v>
      </c>
      <c r="E81" s="570" t="s">
        <v>26</v>
      </c>
      <c r="F81" s="564">
        <f>VLOOKUP(D81,'CNKT '!$D$16:$G$93,4,0)</f>
        <v>0</v>
      </c>
      <c r="G81" s="564">
        <f>VLOOKUP(D81,'CNKT '!$D$16:$O$93,12,0)</f>
        <v>5784866</v>
      </c>
      <c r="H81" s="564">
        <f>VLOOKUP(D81,'CNKT '!$D$16:$Z$93,23,0)</f>
        <v>1024456</v>
      </c>
      <c r="I81" s="564">
        <f t="shared" si="3"/>
        <v>6809322</v>
      </c>
      <c r="J81" s="564"/>
      <c r="K81" s="564">
        <f>VLOOKUP(D81,'CNKT '!$D$16:$AC$93,24,0)</f>
        <v>6809322</v>
      </c>
      <c r="L81" s="564"/>
      <c r="M81" s="566">
        <f t="shared" si="4"/>
        <v>6809322</v>
      </c>
      <c r="N81" s="262"/>
      <c r="O81" s="111"/>
    </row>
    <row r="82" spans="1:15" s="112" customFormat="1" ht="21.75" customHeight="1">
      <c r="A82" s="795">
        <v>69</v>
      </c>
      <c r="B82" s="220">
        <v>69</v>
      </c>
      <c r="C82" s="628">
        <f>'Chấm công KT'!C81</f>
        <v>0</v>
      </c>
      <c r="D82" s="570" t="str">
        <f>'CNKT '!D84</f>
        <v>T. Hô Lông</v>
      </c>
      <c r="E82" s="570" t="s">
        <v>26</v>
      </c>
      <c r="F82" s="564">
        <f>VLOOKUP(D82,'CNKT '!$D$16:$G$93,4,0)</f>
        <v>0</v>
      </c>
      <c r="G82" s="564">
        <f>VLOOKUP(D82,'CNKT '!$D$16:$O$93,12,0)</f>
        <v>7585064</v>
      </c>
      <c r="H82" s="564">
        <f>VLOOKUP(D82,'CNKT '!$D$16:$Z$93,23,0)</f>
        <v>1024456</v>
      </c>
      <c r="I82" s="564">
        <f t="shared" si="3"/>
        <v>8609520</v>
      </c>
      <c r="J82" s="564"/>
      <c r="K82" s="564">
        <f>VLOOKUP(D82,'CNKT '!$D$16:$AC$93,24,0)</f>
        <v>8609520</v>
      </c>
      <c r="L82" s="564"/>
      <c r="M82" s="566">
        <f t="shared" si="4"/>
        <v>8609520</v>
      </c>
      <c r="N82" s="262"/>
      <c r="O82" s="111"/>
    </row>
    <row r="83" spans="1:15" s="112" customFormat="1" ht="21.75" customHeight="1">
      <c r="A83" s="795">
        <v>70</v>
      </c>
      <c r="B83" s="220">
        <v>70</v>
      </c>
      <c r="C83" s="628" t="str">
        <f>'Chấm công KT'!C82</f>
        <v>03515</v>
      </c>
      <c r="D83" s="570" t="str">
        <f>'CNKT '!D85</f>
        <v>N. Xi</v>
      </c>
      <c r="E83" s="570" t="s">
        <v>26</v>
      </c>
      <c r="F83" s="564">
        <f>VLOOKUP(D83,'CNKT '!$D$16:$G$93,4,0)</f>
        <v>0</v>
      </c>
      <c r="G83" s="564">
        <f>VLOOKUP(D83,'CNKT '!$D$16:$O$93,12,0)</f>
        <v>7167638</v>
      </c>
      <c r="H83" s="564">
        <f>VLOOKUP(D83,'CNKT '!$D$16:$Z$93,23,0)</f>
        <v>1024456</v>
      </c>
      <c r="I83" s="564">
        <f t="shared" si="3"/>
        <v>8192094</v>
      </c>
      <c r="J83" s="564"/>
      <c r="K83" s="564">
        <f>VLOOKUP(D83,'CNKT '!$D$16:$AC$93,24,0)</f>
        <v>8192094</v>
      </c>
      <c r="L83" s="564"/>
      <c r="M83" s="566">
        <f t="shared" si="4"/>
        <v>8192094</v>
      </c>
      <c r="N83" s="262"/>
      <c r="O83" s="111"/>
    </row>
    <row r="84" spans="1:15" s="112" customFormat="1" ht="21.75" customHeight="1">
      <c r="A84" s="795">
        <v>71</v>
      </c>
      <c r="B84" s="220">
        <v>71</v>
      </c>
      <c r="C84" s="628" t="str">
        <f>'Chấm công KT'!C83</f>
        <v>03516</v>
      </c>
      <c r="D84" s="570" t="str">
        <f>'CNKT '!D86</f>
        <v>N. Chay</v>
      </c>
      <c r="E84" s="570" t="s">
        <v>26</v>
      </c>
      <c r="F84" s="564">
        <f>VLOOKUP(D84,'CNKT '!$D$16:$G$93,4,0)</f>
        <v>0</v>
      </c>
      <c r="G84" s="564">
        <f>VLOOKUP(D84,'CNKT '!$D$16:$O$93,12,0)</f>
        <v>6313994</v>
      </c>
      <c r="H84" s="564">
        <f>VLOOKUP(D84,'CNKT '!$D$16:$Z$93,23,0)</f>
        <v>994032</v>
      </c>
      <c r="I84" s="564">
        <f t="shared" si="3"/>
        <v>7308026</v>
      </c>
      <c r="J84" s="564"/>
      <c r="K84" s="564">
        <f>VLOOKUP(D84,'CNKT '!$D$16:$AC$93,24,0)</f>
        <v>7308026</v>
      </c>
      <c r="L84" s="564"/>
      <c r="M84" s="566">
        <f t="shared" si="4"/>
        <v>7308026</v>
      </c>
      <c r="N84" s="262"/>
      <c r="O84" s="111"/>
    </row>
    <row r="85" spans="1:15" s="112" customFormat="1" ht="21.75" customHeight="1">
      <c r="A85" s="795">
        <v>72</v>
      </c>
      <c r="B85" s="220">
        <v>72</v>
      </c>
      <c r="C85" s="628" t="str">
        <f>'Chấm công KT'!C84</f>
        <v>03544</v>
      </c>
      <c r="D85" s="570" t="str">
        <f>'CNKT '!D87</f>
        <v>T. Ta</v>
      </c>
      <c r="E85" s="570" t="s">
        <v>26</v>
      </c>
      <c r="F85" s="564">
        <f>VLOOKUP(D85,'CNKT '!$D$16:$G$93,4,0)</f>
        <v>0</v>
      </c>
      <c r="G85" s="564">
        <f>VLOOKUP(D85,'CNKT '!$D$16:$O$93,12,0)</f>
        <v>3734258</v>
      </c>
      <c r="H85" s="564">
        <f>VLOOKUP(D85,'CNKT '!$D$16:$Z$93,23,0)</f>
        <v>841911</v>
      </c>
      <c r="I85" s="564">
        <f t="shared" si="3"/>
        <v>4576169</v>
      </c>
      <c r="J85" s="564"/>
      <c r="K85" s="564">
        <f>VLOOKUP(D85,'CNKT '!$D$16:$AC$93,24,0)</f>
        <v>4576169</v>
      </c>
      <c r="L85" s="564"/>
      <c r="M85" s="566">
        <f t="shared" si="4"/>
        <v>4576169</v>
      </c>
      <c r="N85" s="262"/>
      <c r="O85" s="111"/>
    </row>
    <row r="86" spans="1:15" s="112" customFormat="1" ht="21.75" customHeight="1">
      <c r="A86" s="795">
        <v>73</v>
      </c>
      <c r="B86" s="220">
        <v>73</v>
      </c>
      <c r="C86" s="628" t="str">
        <f>'Chấm công KT'!C85</f>
        <v>04071</v>
      </c>
      <c r="D86" s="570" t="str">
        <f>'CNKT '!D88</f>
        <v>T. Ne</v>
      </c>
      <c r="E86" s="570" t="s">
        <v>26</v>
      </c>
      <c r="F86" s="564">
        <f>VLOOKUP(D86,'CNKT '!$D$16:$G$99,4,0)</f>
        <v>0</v>
      </c>
      <c r="G86" s="564">
        <f>VLOOKUP(D86,'CNKT '!$D$16:$O$93,12,0)</f>
        <v>3738434</v>
      </c>
      <c r="H86" s="564">
        <f>VLOOKUP(D86,'CNKT '!$D$16:$Z$93,23,0)</f>
        <v>841911</v>
      </c>
      <c r="I86" s="564">
        <f>SUM(F86:H86)</f>
        <v>4580345</v>
      </c>
      <c r="J86" s="564"/>
      <c r="K86" s="564">
        <f>VLOOKUP(D86,'CNKT '!$D$16:$AC$93,24,0)</f>
        <v>4580345</v>
      </c>
      <c r="L86" s="564"/>
      <c r="M86" s="566">
        <f t="shared" si="4"/>
        <v>4580345</v>
      </c>
      <c r="N86" s="262"/>
      <c r="O86" s="111"/>
    </row>
    <row r="87" spans="1:15" s="112" customFormat="1" ht="21.75" customHeight="1">
      <c r="A87" s="795">
        <v>74</v>
      </c>
      <c r="B87" s="220">
        <v>74</v>
      </c>
      <c r="C87" s="628">
        <f>'Chấm công KT'!C86</f>
        <v>0</v>
      </c>
      <c r="D87" s="570" t="str">
        <f>'CNKT '!D89</f>
        <v>N. Khăn</v>
      </c>
      <c r="E87" s="570" t="s">
        <v>26</v>
      </c>
      <c r="F87" s="564">
        <f>VLOOKUP(D87,'CNKT '!$D$16:$G$99,4,0)</f>
        <v>0</v>
      </c>
      <c r="G87" s="564">
        <f>VLOOKUP(D87,'CNKT '!$D$16:$O$93,12,0)</f>
        <v>1117943</v>
      </c>
      <c r="H87" s="564">
        <f>VLOOKUP(D87,'CNKT '!$D$16:$Z$93,23,0)</f>
        <v>497016</v>
      </c>
      <c r="I87" s="564">
        <f t="shared" ref="I87:I96" si="5">SUM(F87:H87)</f>
        <v>1614959</v>
      </c>
      <c r="J87" s="564"/>
      <c r="K87" s="564">
        <f>VLOOKUP(D87,'CNKT '!$D$16:$AC$93,24,0)</f>
        <v>1614959</v>
      </c>
      <c r="L87" s="564"/>
      <c r="M87" s="566">
        <f t="shared" ref="M87:M91" si="6">K87-L87</f>
        <v>1614959</v>
      </c>
      <c r="N87" s="262"/>
      <c r="O87" s="111"/>
    </row>
    <row r="88" spans="1:15" s="112" customFormat="1" ht="21.75" customHeight="1">
      <c r="A88" s="795">
        <v>75</v>
      </c>
      <c r="B88" s="220">
        <v>75</v>
      </c>
      <c r="C88" s="628">
        <f>'Chấm công KT'!C87</f>
        <v>0</v>
      </c>
      <c r="D88" s="570" t="str">
        <f>'CNKT '!D90</f>
        <v>T. Lã</v>
      </c>
      <c r="E88" s="570" t="s">
        <v>26</v>
      </c>
      <c r="F88" s="564">
        <f>VLOOKUP(D88,'CNKT '!$D$16:$G$99,4,0)</f>
        <v>0</v>
      </c>
      <c r="G88" s="564">
        <f>VLOOKUP(D88,'CNKT '!$D$16:$O$93,12,0)</f>
        <v>3753073</v>
      </c>
      <c r="H88" s="564">
        <f>VLOOKUP(D88,'CNKT '!$D$16:$Z$93,23,0)</f>
        <v>760736</v>
      </c>
      <c r="I88" s="564">
        <f t="shared" si="5"/>
        <v>4513809</v>
      </c>
      <c r="J88" s="564"/>
      <c r="K88" s="564">
        <f>VLOOKUP(D88,'CNKT '!$D$16:$AC$93,24,0)</f>
        <v>4513809</v>
      </c>
      <c r="L88" s="564"/>
      <c r="M88" s="566">
        <f t="shared" si="6"/>
        <v>4513809</v>
      </c>
      <c r="N88" s="262"/>
      <c r="O88" s="111"/>
    </row>
    <row r="89" spans="1:15" s="112" customFormat="1" ht="21.75" customHeight="1">
      <c r="A89" s="795">
        <v>76</v>
      </c>
      <c r="B89" s="220">
        <v>76</v>
      </c>
      <c r="C89" s="628">
        <f>'Chấm công KT'!C88</f>
        <v>0</v>
      </c>
      <c r="D89" s="570" t="str">
        <f>'CNKT '!D91</f>
        <v>N. Veo</v>
      </c>
      <c r="E89" s="570" t="s">
        <v>26</v>
      </c>
      <c r="F89" s="564">
        <f>VLOOKUP(D89,'CNKT '!$D$16:$G$99,4,0)</f>
        <v>0</v>
      </c>
      <c r="G89" s="564">
        <f>VLOOKUP(D89,'CNKT '!$D$16:$O$93,12,0)</f>
        <v>3051547</v>
      </c>
      <c r="H89" s="564">
        <f>VLOOKUP(D89,'CNKT '!$D$16:$Z$93,23,0)</f>
        <v>588288</v>
      </c>
      <c r="I89" s="564">
        <f t="shared" si="5"/>
        <v>3639835</v>
      </c>
      <c r="J89" s="564"/>
      <c r="K89" s="564">
        <f>VLOOKUP(D89,'CNKT '!$D$16:$AC$93,24,0)</f>
        <v>3639835</v>
      </c>
      <c r="L89" s="564"/>
      <c r="M89" s="566">
        <f t="shared" si="6"/>
        <v>3639835</v>
      </c>
      <c r="N89" s="262"/>
      <c r="O89" s="111"/>
    </row>
    <row r="90" spans="1:15" s="112" customFormat="1" ht="21.75" customHeight="1">
      <c r="A90" s="795">
        <v>77</v>
      </c>
      <c r="B90" s="220">
        <v>77</v>
      </c>
      <c r="C90" s="628">
        <f>'Chấm công KT'!C89</f>
        <v>0</v>
      </c>
      <c r="D90" s="570" t="str">
        <f>'CNKT '!D92</f>
        <v>T. Pu</v>
      </c>
      <c r="E90" s="570" t="s">
        <v>26</v>
      </c>
      <c r="F90" s="564">
        <f>VLOOKUP(D90,'CNKT '!$D$16:$G$99,4,0)</f>
        <v>0</v>
      </c>
      <c r="G90" s="564">
        <f>VLOOKUP(D90,'CNKT '!$D$16:$O$93,12,0)</f>
        <v>1950032</v>
      </c>
      <c r="H90" s="564">
        <f>VLOOKUP(D90,'CNKT '!$D$16:$Z$93,23,0)</f>
        <v>354992</v>
      </c>
      <c r="I90" s="564">
        <f t="shared" si="5"/>
        <v>2305024</v>
      </c>
      <c r="J90" s="564"/>
      <c r="K90" s="564">
        <f>VLOOKUP(D90,'CNKT '!$D$16:$AC$93,24,0)</f>
        <v>2305024</v>
      </c>
      <c r="L90" s="564"/>
      <c r="M90" s="566">
        <f t="shared" si="6"/>
        <v>2305024</v>
      </c>
      <c r="N90" s="262"/>
      <c r="O90" s="111"/>
    </row>
    <row r="91" spans="1:15" s="112" customFormat="1" ht="22.9" customHeight="1">
      <c r="A91" s="795">
        <v>78</v>
      </c>
      <c r="B91" s="220">
        <v>78</v>
      </c>
      <c r="C91" s="628">
        <f>'Chấm công KT'!C90</f>
        <v>0</v>
      </c>
      <c r="D91" s="570" t="str">
        <f>'CNKT '!D93</f>
        <v>T. Ta.</v>
      </c>
      <c r="E91" s="570" t="s">
        <v>26</v>
      </c>
      <c r="F91" s="564">
        <f>VLOOKUP(D91,'CNKT '!$D$16:$G$99,4,0)</f>
        <v>0</v>
      </c>
      <c r="G91" s="564">
        <f>VLOOKUP(D91,'CNKT '!$D$16:$O$99,12,0)</f>
        <v>982027</v>
      </c>
      <c r="H91" s="564">
        <f>VLOOKUP(D91,'CNKT '!$D$16:$Z$99,23,0)</f>
        <v>263720</v>
      </c>
      <c r="I91" s="564">
        <f t="shared" si="5"/>
        <v>1245747</v>
      </c>
      <c r="J91" s="564"/>
      <c r="K91" s="564">
        <f>VLOOKUP(D91,'CNKT '!$D$16:$AC$97,24,0)</f>
        <v>1245747</v>
      </c>
      <c r="L91" s="564"/>
      <c r="M91" s="566">
        <f t="shared" si="6"/>
        <v>1245747</v>
      </c>
      <c r="N91" s="262"/>
      <c r="O91" s="111"/>
    </row>
    <row r="92" spans="1:15" s="112" customFormat="1" ht="21.6" customHeight="1">
      <c r="A92" s="795">
        <v>79</v>
      </c>
      <c r="B92" s="220">
        <v>79</v>
      </c>
      <c r="C92" s="628">
        <f>'Chấm công KT'!C91</f>
        <v>0</v>
      </c>
      <c r="D92" s="570" t="str">
        <f>'CNKT '!D94</f>
        <v>N. Nang</v>
      </c>
      <c r="E92" s="570" t="s">
        <v>26</v>
      </c>
      <c r="F92" s="564">
        <f>VLOOKUP(D92,'CNKT '!$D$16:$G$99,4,0)</f>
        <v>0</v>
      </c>
      <c r="G92" s="564">
        <f>VLOOKUP(D92,'CNKT '!$D$16:$O$99,12,0)</f>
        <v>633433</v>
      </c>
      <c r="H92" s="564">
        <f>VLOOKUP(D92,'CNKT '!$D$16:$Z$99,23,0)</f>
        <v>202872</v>
      </c>
      <c r="I92" s="564">
        <f t="shared" si="5"/>
        <v>836305</v>
      </c>
      <c r="J92" s="564"/>
      <c r="K92" s="564">
        <f>VLOOKUP(D92,'CNKT '!$D$16:$AC$97,24,0)</f>
        <v>836305</v>
      </c>
      <c r="L92" s="564"/>
      <c r="M92" s="566">
        <f t="shared" ref="M92:M97" si="7">K92-L92</f>
        <v>836305</v>
      </c>
      <c r="N92" s="262"/>
      <c r="O92" s="111"/>
    </row>
    <row r="93" spans="1:15" s="112" customFormat="1" ht="21.75" customHeight="1">
      <c r="A93" s="795">
        <v>80</v>
      </c>
      <c r="B93" s="220">
        <v>80</v>
      </c>
      <c r="C93" s="628">
        <f>'Chấm công KT'!C92</f>
        <v>0</v>
      </c>
      <c r="D93" s="570" t="str">
        <f>'CNKT '!D95</f>
        <v>T. Tan</v>
      </c>
      <c r="E93" s="570" t="s">
        <v>26</v>
      </c>
      <c r="F93" s="564">
        <f>VLOOKUP(D93,'CNKT '!$D$16:$G$99,4,0)</f>
        <v>0</v>
      </c>
      <c r="G93" s="564">
        <f>VLOOKUP(D93,'CNKT '!$D$16:$O$99,12,0)</f>
        <v>491022</v>
      </c>
      <c r="H93" s="564">
        <f>VLOOKUP(D93,'CNKT '!$D$16:$Z$99,23,0)</f>
        <v>121697</v>
      </c>
      <c r="I93" s="564">
        <f t="shared" si="5"/>
        <v>612719</v>
      </c>
      <c r="J93" s="564"/>
      <c r="K93" s="564">
        <f>VLOOKUP(D93,'CNKT '!$D$16:$AC$97,24,0)</f>
        <v>612719</v>
      </c>
      <c r="L93" s="564"/>
      <c r="M93" s="566">
        <f t="shared" si="7"/>
        <v>612719</v>
      </c>
      <c r="N93" s="262"/>
      <c r="O93" s="111"/>
    </row>
    <row r="94" spans="1:15" s="112" customFormat="1" ht="21.75" hidden="1" customHeight="1">
      <c r="A94" s="795">
        <v>81</v>
      </c>
      <c r="B94" s="220">
        <v>81</v>
      </c>
      <c r="C94" s="628">
        <f>'Chấm công KT'!C94</f>
        <v>0</v>
      </c>
      <c r="D94" s="570" t="str">
        <f>'CNKT '!D96</f>
        <v>Mủ Xi Rum 1</v>
      </c>
      <c r="E94" s="570" t="s">
        <v>26</v>
      </c>
      <c r="F94" s="564">
        <f>VLOOKUP(D94,'CNKT '!$D$16:$G$99,4,0)</f>
        <v>0</v>
      </c>
      <c r="G94" s="564">
        <f>VLOOKUP(D94,'CNKT '!$D$16:$O$99,12,0)</f>
        <v>614860</v>
      </c>
      <c r="H94" s="564">
        <f>VLOOKUP(D94,'CNKT '!$D$16:$Z$99,23,0)</f>
        <v>0</v>
      </c>
      <c r="I94" s="564">
        <f>SUM(F94:H94)</f>
        <v>614860</v>
      </c>
      <c r="J94" s="564"/>
      <c r="K94" s="564">
        <f>VLOOKUP(D94,'CNKT '!$D$16:$AC$99,24,0)</f>
        <v>614860</v>
      </c>
      <c r="L94" s="564"/>
      <c r="M94" s="566">
        <f t="shared" si="7"/>
        <v>614860</v>
      </c>
      <c r="N94" s="262"/>
      <c r="O94" s="111"/>
    </row>
    <row r="95" spans="1:15" s="112" customFormat="1" ht="21.75" customHeight="1">
      <c r="A95" s="795">
        <v>81</v>
      </c>
      <c r="B95" s="220">
        <v>81</v>
      </c>
      <c r="C95" s="628"/>
      <c r="D95" s="570" t="str">
        <f>'CNKT '!D97</f>
        <v>Keo</v>
      </c>
      <c r="E95" s="570" t="s">
        <v>26</v>
      </c>
      <c r="F95" s="564">
        <f>VLOOKUP(D95,'CNKT '!$D$16:$G$99,4,0)</f>
        <v>0</v>
      </c>
      <c r="G95" s="564">
        <f>VLOOKUP(D95,'CNKT '!$D$16:$O$99,12,0)</f>
        <v>854627</v>
      </c>
      <c r="H95" s="564">
        <f>VLOOKUP(D95,'CNKT '!$D$16:$Z$99,23,0)</f>
        <v>0</v>
      </c>
      <c r="I95" s="564">
        <f t="shared" si="5"/>
        <v>854627</v>
      </c>
      <c r="J95" s="564"/>
      <c r="K95" s="564">
        <f>VLOOKUP(D95,'CNKT '!$D$16:$AC$99,24,0)</f>
        <v>854627</v>
      </c>
      <c r="L95" s="564"/>
      <c r="M95" s="566">
        <f t="shared" si="7"/>
        <v>854627</v>
      </c>
      <c r="N95" s="262"/>
      <c r="O95" s="111"/>
    </row>
    <row r="96" spans="1:15" s="794" customFormat="1" ht="21.75" customHeight="1">
      <c r="A96" s="795">
        <v>82</v>
      </c>
      <c r="B96" s="220">
        <v>82</v>
      </c>
      <c r="C96" s="869"/>
      <c r="D96" s="870" t="str">
        <f>'CNKT '!D98</f>
        <v>A. Trí</v>
      </c>
      <c r="E96" s="870" t="s">
        <v>328</v>
      </c>
      <c r="F96" s="864">
        <f>VLOOKUP(D96,'CNKT '!$D$16:$G$99,4,0)</f>
        <v>0</v>
      </c>
      <c r="G96" s="864"/>
      <c r="H96" s="864"/>
      <c r="I96" s="864">
        <f t="shared" si="5"/>
        <v>0</v>
      </c>
      <c r="J96" s="864"/>
      <c r="K96" s="864">
        <f>VLOOKUP(D96,'CNKT '!$D$16:$AC$99,24,0)</f>
        <v>0</v>
      </c>
      <c r="L96" s="864"/>
      <c r="M96" s="866">
        <f t="shared" si="7"/>
        <v>0</v>
      </c>
      <c r="N96" s="871"/>
      <c r="O96" s="792"/>
    </row>
    <row r="97" spans="1:16" s="794" customFormat="1" ht="21.75" customHeight="1">
      <c r="A97" s="795">
        <v>83</v>
      </c>
      <c r="B97" s="220">
        <v>83</v>
      </c>
      <c r="C97" s="869"/>
      <c r="D97" s="870" t="str">
        <f>'CNKT '!D99</f>
        <v>T. Tạch</v>
      </c>
      <c r="E97" s="870" t="s">
        <v>328</v>
      </c>
      <c r="F97" s="864">
        <f>VLOOKUP(D97,'CNKT '!$D$16:$G$99,4,0)</f>
        <v>0</v>
      </c>
      <c r="G97" s="864"/>
      <c r="H97" s="864"/>
      <c r="I97" s="864">
        <f t="shared" ref="I97" si="8">SUM(F97:H97)</f>
        <v>0</v>
      </c>
      <c r="J97" s="864"/>
      <c r="K97" s="864">
        <f>VLOOKUP(D97,'CNKT '!$D$16:$AC$99,24,0)</f>
        <v>0</v>
      </c>
      <c r="L97" s="864"/>
      <c r="M97" s="866">
        <f t="shared" si="7"/>
        <v>0</v>
      </c>
      <c r="N97" s="871"/>
      <c r="O97" s="792"/>
    </row>
    <row r="98" spans="1:16" s="794" customFormat="1" ht="21.75" customHeight="1">
      <c r="A98" s="1587" t="s">
        <v>499</v>
      </c>
      <c r="B98" s="1588"/>
      <c r="C98" s="1588"/>
      <c r="D98" s="1589"/>
      <c r="E98" s="220">
        <f>'Trạm 2'!A82</f>
        <v>66</v>
      </c>
      <c r="F98" s="564">
        <f>SUM(F99:F164)</f>
        <v>0</v>
      </c>
      <c r="G98" s="564">
        <f t="shared" ref="G98:M98" si="9">SUM(G99:G164)</f>
        <v>404113476</v>
      </c>
      <c r="H98" s="564">
        <f t="shared" si="9"/>
        <v>84923041</v>
      </c>
      <c r="I98" s="564">
        <f t="shared" si="9"/>
        <v>489036517</v>
      </c>
      <c r="J98" s="564">
        <f t="shared" si="9"/>
        <v>0</v>
      </c>
      <c r="K98" s="564">
        <f t="shared" si="9"/>
        <v>489036517</v>
      </c>
      <c r="L98" s="627">
        <f t="shared" si="9"/>
        <v>0</v>
      </c>
      <c r="M98" s="627">
        <f t="shared" si="9"/>
        <v>489036517</v>
      </c>
      <c r="N98" s="791"/>
      <c r="O98" s="792" t="e">
        <f>I98-#REF!-#REF!-L98</f>
        <v>#REF!</v>
      </c>
      <c r="P98" s="793" t="e">
        <f>#REF!-O98</f>
        <v>#REF!</v>
      </c>
    </row>
    <row r="99" spans="1:16" s="113" customFormat="1" ht="21.75" customHeight="1">
      <c r="A99" s="795">
        <v>84</v>
      </c>
      <c r="B99" s="220">
        <v>1</v>
      </c>
      <c r="C99" s="628" t="str">
        <f>'Chấm công KT'!C95</f>
        <v>04072</v>
      </c>
      <c r="D99" s="565" t="str">
        <f>'CNKT '!D101</f>
        <v xml:space="preserve">T. Lun </v>
      </c>
      <c r="E99" s="565" t="s">
        <v>26</v>
      </c>
      <c r="F99" s="564">
        <f>VLOOKUP(D99,'CNKT '!$D$101:$G$164,4,0)</f>
        <v>0</v>
      </c>
      <c r="G99" s="564">
        <f>VLOOKUP(D99,'CNKT '!$D$101:$O$164,12,0)</f>
        <v>6619949</v>
      </c>
      <c r="H99" s="564">
        <f>VLOOKUP(D99,'CNKT '!$D$101:$Z$164,23,0)</f>
        <v>1446285</v>
      </c>
      <c r="I99" s="564">
        <f t="shared" ref="I99" si="10">SUM(F99:H99)</f>
        <v>8066234</v>
      </c>
      <c r="J99" s="564"/>
      <c r="K99" s="564">
        <f>VLOOKUP(D99,'CNKT '!$D$101:$AC$164,24,0)</f>
        <v>8066234</v>
      </c>
      <c r="L99" s="564"/>
      <c r="M99" s="566">
        <f>K99-J99</f>
        <v>8066234</v>
      </c>
      <c r="N99" s="629"/>
    </row>
    <row r="100" spans="1:16" s="113" customFormat="1" ht="21.75" customHeight="1">
      <c r="A100" s="795">
        <v>85</v>
      </c>
      <c r="B100" s="220">
        <v>2</v>
      </c>
      <c r="C100" s="628" t="str">
        <f>'Chấm công KT'!C96</f>
        <v>03466</v>
      </c>
      <c r="D100" s="565" t="str">
        <f>'CNKT '!D102</f>
        <v>N. Keo</v>
      </c>
      <c r="E100" s="565" t="s">
        <v>26</v>
      </c>
      <c r="F100" s="564">
        <f>VLOOKUP(D100,'CNKT '!$D$101:$G$164,4,0)</f>
        <v>0</v>
      </c>
      <c r="G100" s="564">
        <f>VLOOKUP(D100,'CNKT '!$D$101:$O$164,12,0)</f>
        <v>6385353</v>
      </c>
      <c r="H100" s="564">
        <f>VLOOKUP(D100,'CNKT '!$D$101:$Z$164,23,0)</f>
        <v>1415860</v>
      </c>
      <c r="I100" s="564">
        <f t="shared" ref="I100:I156" si="11">SUM(F100:H100)</f>
        <v>7801213</v>
      </c>
      <c r="J100" s="564"/>
      <c r="K100" s="564">
        <f>VLOOKUP(D100,'CNKT '!$D$101:$AC$164,24,0)</f>
        <v>7801213</v>
      </c>
      <c r="L100" s="564"/>
      <c r="M100" s="566">
        <f t="shared" ref="M100:M156" si="12">K100-J100</f>
        <v>7801213</v>
      </c>
      <c r="N100" s="629"/>
    </row>
    <row r="101" spans="1:16" s="113" customFormat="1" ht="21.75" customHeight="1">
      <c r="A101" s="795">
        <v>86</v>
      </c>
      <c r="B101" s="220">
        <v>3</v>
      </c>
      <c r="C101" s="628" t="str">
        <f>'Chấm công KT'!C97</f>
        <v>03590</v>
      </c>
      <c r="D101" s="565" t="str">
        <f>'CNKT '!D103</f>
        <v>T .Nhum</v>
      </c>
      <c r="E101" s="565" t="s">
        <v>26</v>
      </c>
      <c r="F101" s="564">
        <f>VLOOKUP(D101,'CNKT '!$D$101:$G$164,4,0)</f>
        <v>0</v>
      </c>
      <c r="G101" s="564">
        <f>VLOOKUP(D101,'CNKT '!$D$101:$O$164,12,0)</f>
        <v>6582011</v>
      </c>
      <c r="H101" s="564">
        <f>VLOOKUP(D101,'CNKT '!$D$101:$Z$164,23,0)</f>
        <v>1476709</v>
      </c>
      <c r="I101" s="564">
        <f t="shared" si="11"/>
        <v>8058720</v>
      </c>
      <c r="J101" s="564"/>
      <c r="K101" s="564">
        <f>VLOOKUP(D101,'CNKT '!$D$101:$AC$164,24,0)</f>
        <v>8058720</v>
      </c>
      <c r="L101" s="564"/>
      <c r="M101" s="566">
        <f t="shared" si="12"/>
        <v>8058720</v>
      </c>
      <c r="N101" s="629"/>
    </row>
    <row r="102" spans="1:16" s="113" customFormat="1" ht="21.75" customHeight="1">
      <c r="A102" s="795">
        <v>87</v>
      </c>
      <c r="B102" s="220">
        <v>4</v>
      </c>
      <c r="C102" s="628" t="str">
        <f>'Chấm công KT'!C98</f>
        <v>03591</v>
      </c>
      <c r="D102" s="565" t="str">
        <f>'CNKT '!D104</f>
        <v>N.Vông Ma Ni</v>
      </c>
      <c r="E102" s="565" t="s">
        <v>26</v>
      </c>
      <c r="F102" s="564">
        <f>VLOOKUP(D102,'CNKT '!$D$101:$G$164,4,0)</f>
        <v>0</v>
      </c>
      <c r="G102" s="564">
        <f>VLOOKUP(D102,'CNKT '!$D$101:$O$164,12,0)</f>
        <v>6743342</v>
      </c>
      <c r="H102" s="564">
        <f>VLOOKUP(D102,'CNKT '!$D$101:$Z$164,23,0)</f>
        <v>1446285</v>
      </c>
      <c r="I102" s="564">
        <f t="shared" si="11"/>
        <v>8189627</v>
      </c>
      <c r="J102" s="564"/>
      <c r="K102" s="564">
        <f>VLOOKUP(D102,'CNKT '!$D$101:$AC$164,24,0)</f>
        <v>8189627</v>
      </c>
      <c r="L102" s="564"/>
      <c r="M102" s="566">
        <f t="shared" si="12"/>
        <v>8189627</v>
      </c>
      <c r="N102" s="629"/>
    </row>
    <row r="103" spans="1:16" s="113" customFormat="1" ht="21.75" customHeight="1">
      <c r="A103" s="795">
        <v>88</v>
      </c>
      <c r="B103" s="220">
        <v>5</v>
      </c>
      <c r="C103" s="628" t="str">
        <f>'Chấm công KT'!C99</f>
        <v>03592</v>
      </c>
      <c r="D103" s="565" t="str">
        <f>'CNKT '!D105</f>
        <v>Đao Hương</v>
      </c>
      <c r="E103" s="565" t="s">
        <v>26</v>
      </c>
      <c r="F103" s="564">
        <f>VLOOKUP(D103,'CNKT '!$D$101:$G$164,4,0)</f>
        <v>0</v>
      </c>
      <c r="G103" s="564">
        <f>VLOOKUP(D103,'CNKT '!$D$101:$O$164,12,0)</f>
        <v>6420741</v>
      </c>
      <c r="H103" s="564">
        <f>VLOOKUP(D103,'CNKT '!$D$101:$Z$164,23,0)</f>
        <v>1446285</v>
      </c>
      <c r="I103" s="564">
        <f t="shared" si="11"/>
        <v>7867026</v>
      </c>
      <c r="J103" s="564"/>
      <c r="K103" s="564">
        <f>VLOOKUP(D103,'CNKT '!$D$101:$AC$164,24,0)</f>
        <v>7867026</v>
      </c>
      <c r="L103" s="564"/>
      <c r="M103" s="566">
        <f t="shared" si="12"/>
        <v>7867026</v>
      </c>
      <c r="N103" s="629"/>
    </row>
    <row r="104" spans="1:16" s="113" customFormat="1" ht="21.75" customHeight="1">
      <c r="A104" s="795">
        <v>89</v>
      </c>
      <c r="B104" s="220">
        <v>6</v>
      </c>
      <c r="C104" s="628" t="str">
        <f>'Chấm công KT'!C100</f>
        <v>03593</v>
      </c>
      <c r="D104" s="565" t="str">
        <f>'CNKT '!D106</f>
        <v>T. Xi Nun</v>
      </c>
      <c r="E104" s="565" t="s">
        <v>26</v>
      </c>
      <c r="F104" s="564">
        <f>VLOOKUP(D104,'CNKT '!$D$101:$G$164,4,0)</f>
        <v>0</v>
      </c>
      <c r="G104" s="564">
        <f>VLOOKUP(D104,'CNKT '!$D$101:$O$164,12,0)</f>
        <v>5916555</v>
      </c>
      <c r="H104" s="564">
        <f>VLOOKUP(D104,'CNKT '!$D$101:$Z$164,23,0)</f>
        <v>1062238</v>
      </c>
      <c r="I104" s="564">
        <f t="shared" si="11"/>
        <v>6978793</v>
      </c>
      <c r="J104" s="564"/>
      <c r="K104" s="564">
        <f>VLOOKUP(D104,'CNKT '!$D$101:$AC$164,24,0)</f>
        <v>6978793</v>
      </c>
      <c r="L104" s="564"/>
      <c r="M104" s="566">
        <f t="shared" si="12"/>
        <v>6978793</v>
      </c>
      <c r="N104" s="629"/>
    </row>
    <row r="105" spans="1:16" s="113" customFormat="1" ht="21.75" customHeight="1">
      <c r="A105" s="795">
        <v>90</v>
      </c>
      <c r="B105" s="220">
        <v>7</v>
      </c>
      <c r="C105" s="628" t="str">
        <f>'Chấm công KT'!C101</f>
        <v>03594</v>
      </c>
      <c r="D105" s="565" t="str">
        <f>'CNKT '!D107</f>
        <v>T. Bun Hinh</v>
      </c>
      <c r="E105" s="565" t="s">
        <v>26</v>
      </c>
      <c r="F105" s="564">
        <f>VLOOKUP(D105,'CNKT '!$D$101:$G$164,4,0)</f>
        <v>0</v>
      </c>
      <c r="G105" s="564">
        <f>VLOOKUP(D105,'CNKT '!$D$101:$O$164,12,0)</f>
        <v>5125528</v>
      </c>
      <c r="H105" s="564">
        <f>VLOOKUP(D105,'CNKT '!$D$101:$Z$164,23,0)</f>
        <v>1476709</v>
      </c>
      <c r="I105" s="564">
        <f t="shared" si="11"/>
        <v>6602237</v>
      </c>
      <c r="J105" s="564"/>
      <c r="K105" s="564">
        <f>VLOOKUP(D105,'CNKT '!$D$101:$AC$164,24,0)</f>
        <v>6602237</v>
      </c>
      <c r="L105" s="564"/>
      <c r="M105" s="566">
        <f t="shared" si="12"/>
        <v>6602237</v>
      </c>
      <c r="N105" s="629"/>
    </row>
    <row r="106" spans="1:16" s="113" customFormat="1" ht="21.75" customHeight="1">
      <c r="A106" s="795">
        <v>91</v>
      </c>
      <c r="B106" s="220">
        <v>8</v>
      </c>
      <c r="C106" s="628" t="str">
        <f>'Chấm công KT'!C102</f>
        <v>04073</v>
      </c>
      <c r="D106" s="565" t="str">
        <f>'CNKT '!D108</f>
        <v>T. Miềng</v>
      </c>
      <c r="E106" s="565" t="s">
        <v>26</v>
      </c>
      <c r="F106" s="564">
        <f>VLOOKUP(D106,'CNKT '!$D$101:$G$164,4,0)</f>
        <v>0</v>
      </c>
      <c r="G106" s="564">
        <f>VLOOKUP(D106,'CNKT '!$D$101:$O$164,12,0)</f>
        <v>4330424</v>
      </c>
      <c r="H106" s="564">
        <f>VLOOKUP(D106,'CNKT '!$D$101:$Z$164,23,0)</f>
        <v>669331</v>
      </c>
      <c r="I106" s="564">
        <f t="shared" si="11"/>
        <v>4999755</v>
      </c>
      <c r="J106" s="564"/>
      <c r="K106" s="564">
        <f>VLOOKUP(D106,'CNKT '!$D$101:$AC$164,24,0)</f>
        <v>4999755</v>
      </c>
      <c r="L106" s="564"/>
      <c r="M106" s="566">
        <f t="shared" si="12"/>
        <v>4999755</v>
      </c>
      <c r="N106" s="629"/>
    </row>
    <row r="107" spans="1:16" s="113" customFormat="1" ht="21.75" customHeight="1">
      <c r="A107" s="795">
        <v>92</v>
      </c>
      <c r="B107" s="220">
        <v>9</v>
      </c>
      <c r="C107" s="628" t="str">
        <f>'Chấm công KT'!C103</f>
        <v>03596</v>
      </c>
      <c r="D107" s="565" t="str">
        <f>'CNKT '!D109</f>
        <v>N. Xúc</v>
      </c>
      <c r="E107" s="565" t="s">
        <v>26</v>
      </c>
      <c r="F107" s="564">
        <f>VLOOKUP(D107,'CNKT '!$D$101:$G$164,4,0)</f>
        <v>0</v>
      </c>
      <c r="G107" s="564">
        <f>VLOOKUP(D107,'CNKT '!$D$101:$O$164,12,0)</f>
        <v>6100817</v>
      </c>
      <c r="H107" s="564">
        <f>VLOOKUP(D107,'CNKT '!$D$101:$Z$164,23,0)</f>
        <v>1446285</v>
      </c>
      <c r="I107" s="564">
        <f t="shared" si="11"/>
        <v>7547102</v>
      </c>
      <c r="J107" s="564"/>
      <c r="K107" s="564">
        <f>VLOOKUP(D107,'CNKT '!$D$101:$AC$164,24,0)</f>
        <v>7547102</v>
      </c>
      <c r="L107" s="564"/>
      <c r="M107" s="566">
        <f t="shared" si="12"/>
        <v>7547102</v>
      </c>
      <c r="N107" s="629"/>
    </row>
    <row r="108" spans="1:16" s="113" customFormat="1" ht="21.75" customHeight="1">
      <c r="A108" s="795">
        <v>93</v>
      </c>
      <c r="B108" s="220">
        <v>10</v>
      </c>
      <c r="C108" s="628" t="str">
        <f>'Chấm công KT'!C104</f>
        <v>03597</v>
      </c>
      <c r="D108" s="565" t="str">
        <f>'CNKT '!D110</f>
        <v>N. Lẹ</v>
      </c>
      <c r="E108" s="565" t="s">
        <v>26</v>
      </c>
      <c r="F108" s="564">
        <f>VLOOKUP(D108,'CNKT '!$D$101:$G$164,4,0)</f>
        <v>0</v>
      </c>
      <c r="G108" s="564">
        <f>VLOOKUP(D108,'CNKT '!$D$101:$O$164,12,0)</f>
        <v>6772798</v>
      </c>
      <c r="H108" s="564">
        <f>VLOOKUP(D108,'CNKT '!$D$101:$Z$164,23,0)</f>
        <v>1476709</v>
      </c>
      <c r="I108" s="564">
        <f t="shared" si="11"/>
        <v>8249507</v>
      </c>
      <c r="J108" s="564"/>
      <c r="K108" s="564">
        <f>VLOOKUP(D108,'CNKT '!$D$101:$AC$164,24,0)</f>
        <v>8249507</v>
      </c>
      <c r="L108" s="564"/>
      <c r="M108" s="566">
        <f t="shared" si="12"/>
        <v>8249507</v>
      </c>
      <c r="N108" s="629"/>
    </row>
    <row r="109" spans="1:16" s="113" customFormat="1" ht="21.75" customHeight="1">
      <c r="A109" s="795">
        <v>94</v>
      </c>
      <c r="B109" s="220">
        <v>11</v>
      </c>
      <c r="C109" s="628" t="str">
        <f>'Chấm công KT'!C105</f>
        <v>03598</v>
      </c>
      <c r="D109" s="565" t="str">
        <f>'CNKT '!D111</f>
        <v>N . Thích</v>
      </c>
      <c r="E109" s="565" t="s">
        <v>26</v>
      </c>
      <c r="F109" s="564">
        <f>VLOOKUP(D109,'CNKT '!$D$101:$G$164,4,0)</f>
        <v>0</v>
      </c>
      <c r="G109" s="564">
        <f>VLOOKUP(D109,'CNKT '!$D$101:$O$164,12,0)</f>
        <v>6579324</v>
      </c>
      <c r="H109" s="564">
        <f>VLOOKUP(D109,'CNKT '!$D$101:$Z$164,23,0)</f>
        <v>1476709</v>
      </c>
      <c r="I109" s="564">
        <f t="shared" si="11"/>
        <v>8056033</v>
      </c>
      <c r="J109" s="564"/>
      <c r="K109" s="564">
        <f>VLOOKUP(D109,'CNKT '!$D$101:$AC$164,24,0)</f>
        <v>8056033</v>
      </c>
      <c r="L109" s="564"/>
      <c r="M109" s="566">
        <f t="shared" si="12"/>
        <v>8056033</v>
      </c>
      <c r="N109" s="629"/>
    </row>
    <row r="110" spans="1:16" s="113" customFormat="1" ht="21.75" customHeight="1">
      <c r="A110" s="795">
        <v>95</v>
      </c>
      <c r="B110" s="220">
        <v>12</v>
      </c>
      <c r="C110" s="628" t="str">
        <f>'Chấm công KT'!C106</f>
        <v>03599</v>
      </c>
      <c r="D110" s="565" t="str">
        <f>'CNKT '!D112</f>
        <v>N. Cong Mi</v>
      </c>
      <c r="E110" s="565" t="s">
        <v>26</v>
      </c>
      <c r="F110" s="564">
        <f>VLOOKUP(D110,'CNKT '!$D$101:$G$164,4,0)</f>
        <v>0</v>
      </c>
      <c r="G110" s="564">
        <f>VLOOKUP(D110,'CNKT '!$D$101:$O$164,12,0)</f>
        <v>4836586</v>
      </c>
      <c r="H110" s="564">
        <f>VLOOKUP(D110,'CNKT '!$D$101:$Z$164,23,0)</f>
        <v>1425958</v>
      </c>
      <c r="I110" s="564">
        <f t="shared" si="11"/>
        <v>6262544</v>
      </c>
      <c r="J110" s="564"/>
      <c r="K110" s="564">
        <f>VLOOKUP(D110,'CNKT '!$D$101:$AC$164,24,0)</f>
        <v>6262544</v>
      </c>
      <c r="L110" s="564"/>
      <c r="M110" s="566">
        <f t="shared" si="12"/>
        <v>6262544</v>
      </c>
      <c r="N110" s="629"/>
    </row>
    <row r="111" spans="1:16" s="113" customFormat="1" ht="21.75" customHeight="1">
      <c r="A111" s="795">
        <v>96</v>
      </c>
      <c r="B111" s="220">
        <v>13</v>
      </c>
      <c r="C111" s="628" t="str">
        <f>'Chấm công KT'!C107</f>
        <v>04074</v>
      </c>
      <c r="D111" s="565" t="str">
        <f>'CNKT '!D113</f>
        <v>T. Na</v>
      </c>
      <c r="E111" s="565" t="s">
        <v>26</v>
      </c>
      <c r="F111" s="564">
        <f>VLOOKUP(D111,'CNKT '!$D$101:$G$164,4,0)</f>
        <v>0</v>
      </c>
      <c r="G111" s="564">
        <f>VLOOKUP(D111,'CNKT '!$D$101:$O$164,12,0)</f>
        <v>3135575</v>
      </c>
      <c r="H111" s="564">
        <f>VLOOKUP(D111,'CNKT '!$D$101:$Z$164,23,0)</f>
        <v>638907</v>
      </c>
      <c r="I111" s="564">
        <f t="shared" si="11"/>
        <v>3774482</v>
      </c>
      <c r="J111" s="564"/>
      <c r="K111" s="564">
        <f>VLOOKUP(D111,'CNKT '!$D$101:$AC$164,24,0)</f>
        <v>3774482</v>
      </c>
      <c r="L111" s="564"/>
      <c r="M111" s="566">
        <f t="shared" si="12"/>
        <v>3774482</v>
      </c>
      <c r="N111" s="629"/>
    </row>
    <row r="112" spans="1:16" s="113" customFormat="1" ht="21.75" customHeight="1">
      <c r="A112" s="795">
        <v>97</v>
      </c>
      <c r="B112" s="220">
        <v>14</v>
      </c>
      <c r="C112" s="628" t="str">
        <f>'Chấm công KT'!C108</f>
        <v>03601</v>
      </c>
      <c r="D112" s="565" t="str">
        <f>'CNKT '!D114</f>
        <v>T. Khăm Mặn</v>
      </c>
      <c r="E112" s="565" t="s">
        <v>26</v>
      </c>
      <c r="F112" s="564">
        <f>VLOOKUP(D112,'CNKT '!$D$101:$G$164,4,0)</f>
        <v>0</v>
      </c>
      <c r="G112" s="564">
        <f>VLOOKUP(D112,'CNKT '!$D$101:$O$164,12,0)</f>
        <v>9325461</v>
      </c>
      <c r="H112" s="564">
        <f>VLOOKUP(D112,'CNKT '!$D$101:$Z$164,23,0)</f>
        <v>1476709</v>
      </c>
      <c r="I112" s="564">
        <f t="shared" si="11"/>
        <v>10802170</v>
      </c>
      <c r="J112" s="564"/>
      <c r="K112" s="564">
        <f>VLOOKUP(D112,'CNKT '!$D$101:$AC$164,24,0)</f>
        <v>10802170</v>
      </c>
      <c r="L112" s="564"/>
      <c r="M112" s="566">
        <f t="shared" si="12"/>
        <v>10802170</v>
      </c>
      <c r="N112" s="629"/>
    </row>
    <row r="113" spans="1:14" s="113" customFormat="1" ht="21.75" customHeight="1">
      <c r="A113" s="795">
        <v>98</v>
      </c>
      <c r="B113" s="220">
        <v>15</v>
      </c>
      <c r="C113" s="628" t="str">
        <f>'Chấm công KT'!C109</f>
        <v>03602</v>
      </c>
      <c r="D113" s="565" t="str">
        <f>'CNKT '!D115</f>
        <v>T . In Tong</v>
      </c>
      <c r="E113" s="565" t="s">
        <v>26</v>
      </c>
      <c r="F113" s="564">
        <f>VLOOKUP(D113,'CNKT '!$D$101:$G$164,4,0)</f>
        <v>0</v>
      </c>
      <c r="G113" s="564">
        <f>VLOOKUP(D113,'CNKT '!$D$101:$O$164,12,0)</f>
        <v>7169304</v>
      </c>
      <c r="H113" s="564">
        <f>VLOOKUP(D113,'CNKT '!$D$101:$Z$164,23,0)</f>
        <v>1476709</v>
      </c>
      <c r="I113" s="564">
        <f t="shared" si="11"/>
        <v>8646013</v>
      </c>
      <c r="J113" s="564"/>
      <c r="K113" s="564">
        <f>VLOOKUP(D113,'CNKT '!$D$101:$AC$164,24,0)</f>
        <v>8646013</v>
      </c>
      <c r="L113" s="564"/>
      <c r="M113" s="566">
        <f t="shared" si="12"/>
        <v>8646013</v>
      </c>
      <c r="N113" s="629"/>
    </row>
    <row r="114" spans="1:14" s="113" customFormat="1" ht="21.75" customHeight="1">
      <c r="A114" s="795">
        <v>99</v>
      </c>
      <c r="B114" s="220">
        <v>16</v>
      </c>
      <c r="C114" s="628" t="str">
        <f>'Chấm công KT'!C110</f>
        <v>03496</v>
      </c>
      <c r="D114" s="565" t="str">
        <f>'CNKT '!D116</f>
        <v>T. Lốp</v>
      </c>
      <c r="E114" s="565" t="s">
        <v>26</v>
      </c>
      <c r="F114" s="564">
        <f>VLOOKUP(D114,'CNKT '!$D$101:$G$164,4,0)</f>
        <v>0</v>
      </c>
      <c r="G114" s="564">
        <f>VLOOKUP(D114,'CNKT '!$D$101:$O$164,12,0)</f>
        <v>6103021</v>
      </c>
      <c r="H114" s="564">
        <f>VLOOKUP(D114,'CNKT '!$D$101:$Z$164,23,0)</f>
        <v>1476709</v>
      </c>
      <c r="I114" s="564">
        <f t="shared" si="11"/>
        <v>7579730</v>
      </c>
      <c r="J114" s="564"/>
      <c r="K114" s="564">
        <f>VLOOKUP(D114,'CNKT '!$D$101:$AC$164,24,0)</f>
        <v>7579730</v>
      </c>
      <c r="L114" s="564"/>
      <c r="M114" s="566">
        <f t="shared" si="12"/>
        <v>7579730</v>
      </c>
      <c r="N114" s="629"/>
    </row>
    <row r="115" spans="1:14" s="113" customFormat="1" ht="21.75" customHeight="1">
      <c r="A115" s="795">
        <v>100</v>
      </c>
      <c r="B115" s="220">
        <v>17</v>
      </c>
      <c r="C115" s="628" t="str">
        <f>'Chấm công KT'!C111</f>
        <v>03604</v>
      </c>
      <c r="D115" s="565" t="str">
        <f>'CNKT '!D117</f>
        <v>T. Lăm Phêng</v>
      </c>
      <c r="E115" s="565" t="s">
        <v>26</v>
      </c>
      <c r="F115" s="564">
        <f>VLOOKUP(D115,'CNKT '!$D$101:$G$164,4,0)</f>
        <v>0</v>
      </c>
      <c r="G115" s="564">
        <f>VLOOKUP(D115,'CNKT '!$D$101:$O$164,12,0)</f>
        <v>10915757</v>
      </c>
      <c r="H115" s="564">
        <f>VLOOKUP(D115,'CNKT '!$D$101:$Z$164,23,0)</f>
        <v>1325958</v>
      </c>
      <c r="I115" s="564">
        <f t="shared" si="11"/>
        <v>12241715</v>
      </c>
      <c r="J115" s="564"/>
      <c r="K115" s="564">
        <f>VLOOKUP(D115,'CNKT '!$D$101:$AC$164,24,0)</f>
        <v>12241715</v>
      </c>
      <c r="L115" s="564"/>
      <c r="M115" s="566">
        <f t="shared" si="12"/>
        <v>12241715</v>
      </c>
      <c r="N115" s="629"/>
    </row>
    <row r="116" spans="1:14" s="113" customFormat="1" ht="21.75" customHeight="1">
      <c r="A116" s="795">
        <v>101</v>
      </c>
      <c r="B116" s="220">
        <v>18</v>
      </c>
      <c r="C116" s="628" t="str">
        <f>'Chấm công KT'!C112</f>
        <v>04075</v>
      </c>
      <c r="D116" s="565" t="str">
        <f>'CNKT '!D118</f>
        <v>T Xèng</v>
      </c>
      <c r="E116" s="565" t="s">
        <v>26</v>
      </c>
      <c r="F116" s="564">
        <f>VLOOKUP(D116,'CNKT '!$D$101:$G$164,4,0)</f>
        <v>0</v>
      </c>
      <c r="G116" s="564">
        <f>VLOOKUP(D116,'CNKT '!$D$101:$O$164,12,0)</f>
        <v>7693200</v>
      </c>
      <c r="H116" s="564">
        <f>VLOOKUP(D116,'CNKT '!$D$101:$Z$164,23,0)</f>
        <v>1476709</v>
      </c>
      <c r="I116" s="564">
        <f t="shared" si="11"/>
        <v>9169909</v>
      </c>
      <c r="J116" s="564"/>
      <c r="K116" s="564">
        <f>VLOOKUP(D116,'CNKT '!$D$101:$AC$164,24,0)</f>
        <v>9169909</v>
      </c>
      <c r="L116" s="564"/>
      <c r="M116" s="566">
        <f t="shared" si="12"/>
        <v>9169909</v>
      </c>
      <c r="N116" s="629"/>
    </row>
    <row r="117" spans="1:14" s="113" customFormat="1" ht="21.75" customHeight="1">
      <c r="A117" s="795">
        <v>102</v>
      </c>
      <c r="B117" s="220">
        <v>19</v>
      </c>
      <c r="C117" s="628" t="str">
        <f>'Chấm công KT'!C113</f>
        <v>03509</v>
      </c>
      <c r="D117" s="565" t="str">
        <f>'CNKT '!D119</f>
        <v>T. May</v>
      </c>
      <c r="E117" s="565" t="s">
        <v>26</v>
      </c>
      <c r="F117" s="564">
        <f>VLOOKUP(D117,'CNKT '!$D$101:$G$164,4,0)</f>
        <v>0</v>
      </c>
      <c r="G117" s="564">
        <f>VLOOKUP(D117,'CNKT '!$D$101:$O$164,12,0)</f>
        <v>7004420</v>
      </c>
      <c r="H117" s="564">
        <f>VLOOKUP(D117,'CNKT '!$D$101:$Z$164,23,0)</f>
        <v>1446285</v>
      </c>
      <c r="I117" s="564">
        <f t="shared" si="11"/>
        <v>8450705</v>
      </c>
      <c r="J117" s="564"/>
      <c r="K117" s="564">
        <f>VLOOKUP(D117,'CNKT '!$D$101:$AC$164,24,0)</f>
        <v>8450705</v>
      </c>
      <c r="L117" s="564"/>
      <c r="M117" s="566">
        <f t="shared" si="12"/>
        <v>8450705</v>
      </c>
      <c r="N117" s="629"/>
    </row>
    <row r="118" spans="1:14" s="113" customFormat="1" ht="21.75" customHeight="1">
      <c r="A118" s="795">
        <v>103</v>
      </c>
      <c r="B118" s="220">
        <v>20</v>
      </c>
      <c r="C118" s="628" t="str">
        <f>'Chấm công KT'!C114</f>
        <v>03607</v>
      </c>
      <c r="D118" s="565" t="str">
        <f>'CNKT '!D120</f>
        <v>T. Huôn</v>
      </c>
      <c r="E118" s="565" t="s">
        <v>26</v>
      </c>
      <c r="F118" s="564">
        <f>VLOOKUP(D118,'CNKT '!$D$101:$G$164,4,0)</f>
        <v>0</v>
      </c>
      <c r="G118" s="564">
        <f>VLOOKUP(D118,'CNKT '!$D$101:$O$164,12,0)</f>
        <v>4965916</v>
      </c>
      <c r="H118" s="564">
        <f>VLOOKUP(D118,'CNKT '!$D$101:$Z$164,23,0)</f>
        <v>1415860</v>
      </c>
      <c r="I118" s="564">
        <f t="shared" si="11"/>
        <v>6381776</v>
      </c>
      <c r="J118" s="564"/>
      <c r="K118" s="564">
        <f>VLOOKUP(D118,'CNKT '!$D$101:$AC$164,24,0)</f>
        <v>6381776</v>
      </c>
      <c r="L118" s="564"/>
      <c r="M118" s="566">
        <f t="shared" si="12"/>
        <v>6381776</v>
      </c>
      <c r="N118" s="629"/>
    </row>
    <row r="119" spans="1:14" s="113" customFormat="1" ht="21.75" customHeight="1">
      <c r="A119" s="795">
        <v>104</v>
      </c>
      <c r="B119" s="220">
        <v>21</v>
      </c>
      <c r="C119" s="628" t="str">
        <f>'Chấm công KT'!C115</f>
        <v>02729</v>
      </c>
      <c r="D119" s="565" t="str">
        <f>'CNKT '!D121</f>
        <v>N. Lay</v>
      </c>
      <c r="E119" s="565" t="s">
        <v>26</v>
      </c>
      <c r="F119" s="564">
        <f>VLOOKUP(D119,'CNKT '!$D$101:$G$164,4,0)</f>
        <v>0</v>
      </c>
      <c r="G119" s="564">
        <f>VLOOKUP(D119,'CNKT '!$D$101:$O$164,12,0)</f>
        <v>4932197</v>
      </c>
      <c r="H119" s="564">
        <f>VLOOKUP(D119,'CNKT '!$D$101:$Z$164,23,0)</f>
        <v>1415860</v>
      </c>
      <c r="I119" s="564">
        <f t="shared" si="11"/>
        <v>6348057</v>
      </c>
      <c r="J119" s="564"/>
      <c r="K119" s="564">
        <f>VLOOKUP(D119,'CNKT '!$D$101:$AC$164,24,0)</f>
        <v>6348057</v>
      </c>
      <c r="L119" s="564"/>
      <c r="M119" s="566">
        <f t="shared" si="12"/>
        <v>6348057</v>
      </c>
      <c r="N119" s="629"/>
    </row>
    <row r="120" spans="1:14" s="113" customFormat="1" ht="21.75" customHeight="1">
      <c r="A120" s="795">
        <v>105</v>
      </c>
      <c r="B120" s="220">
        <v>22</v>
      </c>
      <c r="C120" s="628" t="str">
        <f>'Chấm công KT'!C116</f>
        <v>03608</v>
      </c>
      <c r="D120" s="565" t="str">
        <f>'CNKT '!D122</f>
        <v>N. Pon</v>
      </c>
      <c r="E120" s="565" t="s">
        <v>26</v>
      </c>
      <c r="F120" s="564">
        <f>VLOOKUP(D120,'CNKT '!$D$101:$G$164,4,0)</f>
        <v>0</v>
      </c>
      <c r="G120" s="564">
        <f>VLOOKUP(D120,'CNKT '!$D$101:$O$164,12,0)</f>
        <v>6381805</v>
      </c>
      <c r="H120" s="564">
        <f>VLOOKUP(D120,'CNKT '!$D$101:$Z$164,23,0)</f>
        <v>1415860</v>
      </c>
      <c r="I120" s="564">
        <f t="shared" si="11"/>
        <v>7797665</v>
      </c>
      <c r="J120" s="564"/>
      <c r="K120" s="564">
        <f>VLOOKUP(D120,'CNKT '!$D$101:$AC$164,24,0)</f>
        <v>7797665</v>
      </c>
      <c r="L120" s="564"/>
      <c r="M120" s="566">
        <f t="shared" si="12"/>
        <v>7797665</v>
      </c>
      <c r="N120" s="629"/>
    </row>
    <row r="121" spans="1:14" s="113" customFormat="1" ht="21.75" customHeight="1">
      <c r="A121" s="795">
        <v>106</v>
      </c>
      <c r="B121" s="220">
        <v>23</v>
      </c>
      <c r="C121" s="628" t="str">
        <f>'Chấm công KT'!C117</f>
        <v>03609</v>
      </c>
      <c r="D121" s="565" t="str">
        <f>'CNKT '!D123</f>
        <v>N. Bun Đi</v>
      </c>
      <c r="E121" s="565" t="s">
        <v>26</v>
      </c>
      <c r="F121" s="564">
        <f>VLOOKUP(D121,'CNKT '!$D$101:$G$164,4,0)</f>
        <v>0</v>
      </c>
      <c r="G121" s="564">
        <f>VLOOKUP(D121,'CNKT '!$D$101:$O$164,12,0)</f>
        <v>6079391</v>
      </c>
      <c r="H121" s="564">
        <f>VLOOKUP(D121,'CNKT '!$D$101:$Z$164,23,0)</f>
        <v>1476709</v>
      </c>
      <c r="I121" s="564">
        <f t="shared" si="11"/>
        <v>7556100</v>
      </c>
      <c r="J121" s="564"/>
      <c r="K121" s="564">
        <f>VLOOKUP(D121,'CNKT '!$D$101:$AC$164,24,0)</f>
        <v>7556100</v>
      </c>
      <c r="L121" s="564"/>
      <c r="M121" s="566">
        <f t="shared" si="12"/>
        <v>7556100</v>
      </c>
      <c r="N121" s="629"/>
    </row>
    <row r="122" spans="1:14" s="113" customFormat="1" ht="21.75" customHeight="1">
      <c r="A122" s="795">
        <v>107</v>
      </c>
      <c r="B122" s="220">
        <v>24</v>
      </c>
      <c r="C122" s="628" t="str">
        <f>'Chấm công KT'!C118</f>
        <v>03610</v>
      </c>
      <c r="D122" s="565" t="str">
        <f>'CNKT '!D124</f>
        <v>N. Phon</v>
      </c>
      <c r="E122" s="565" t="s">
        <v>26</v>
      </c>
      <c r="F122" s="564">
        <f>VLOOKUP(D122,'CNKT '!$D$101:$G$164,4,0)</f>
        <v>0</v>
      </c>
      <c r="G122" s="564">
        <f>VLOOKUP(D122,'CNKT '!$D$101:$O$164,12,0)</f>
        <v>6026920</v>
      </c>
      <c r="H122" s="564">
        <f>VLOOKUP(D122,'CNKT '!$D$101:$Z$164,23,0)</f>
        <v>1476709</v>
      </c>
      <c r="I122" s="564">
        <f t="shared" si="11"/>
        <v>7503629</v>
      </c>
      <c r="J122" s="564"/>
      <c r="K122" s="564">
        <f>VLOOKUP(D122,'CNKT '!$D$101:$AC$164,24,0)</f>
        <v>7503629</v>
      </c>
      <c r="L122" s="564"/>
      <c r="M122" s="566">
        <f t="shared" si="12"/>
        <v>7503629</v>
      </c>
      <c r="N122" s="629"/>
    </row>
    <row r="123" spans="1:14" s="113" customFormat="1" ht="21.75" customHeight="1">
      <c r="A123" s="795">
        <v>108</v>
      </c>
      <c r="B123" s="220">
        <v>25</v>
      </c>
      <c r="C123" s="628" t="str">
        <f>'Chấm công KT'!C119</f>
        <v>04076</v>
      </c>
      <c r="D123" s="565" t="str">
        <f>'CNKT '!D125</f>
        <v xml:space="preserve">N. Bun </v>
      </c>
      <c r="E123" s="565" t="s">
        <v>26</v>
      </c>
      <c r="F123" s="564">
        <f>VLOOKUP(D123,'CNKT '!$D$101:$G$164,4,0)</f>
        <v>0</v>
      </c>
      <c r="G123" s="564">
        <f>VLOOKUP(D123,'CNKT '!$D$101:$O$164,12,0)</f>
        <v>7527799</v>
      </c>
      <c r="H123" s="564">
        <f>VLOOKUP(D123,'CNKT '!$D$101:$Z$164,23,0)</f>
        <v>1476709</v>
      </c>
      <c r="I123" s="564">
        <f t="shared" si="11"/>
        <v>9004508</v>
      </c>
      <c r="J123" s="564"/>
      <c r="K123" s="564">
        <f>VLOOKUP(D123,'CNKT '!$D$101:$AC$164,24,0)</f>
        <v>9004508</v>
      </c>
      <c r="L123" s="564"/>
      <c r="M123" s="566">
        <f t="shared" si="12"/>
        <v>9004508</v>
      </c>
      <c r="N123" s="629"/>
    </row>
    <row r="124" spans="1:14" s="113" customFormat="1" ht="21.75" customHeight="1">
      <c r="A124" s="795">
        <v>109</v>
      </c>
      <c r="B124" s="220">
        <v>26</v>
      </c>
      <c r="C124" s="628" t="str">
        <f>'Chấm công KT'!C120</f>
        <v>03612</v>
      </c>
      <c r="D124" s="565" t="str">
        <f>'CNKT '!D126</f>
        <v>N. Phu Văn</v>
      </c>
      <c r="E124" s="565" t="s">
        <v>26</v>
      </c>
      <c r="F124" s="564">
        <f>VLOOKUP(D124,'CNKT '!$D$101:$G$164,4,0)</f>
        <v>0</v>
      </c>
      <c r="G124" s="564">
        <f>VLOOKUP(D124,'CNKT '!$D$101:$O$164,12,0)</f>
        <v>7826871</v>
      </c>
      <c r="H124" s="564">
        <f>VLOOKUP(D124,'CNKT '!$D$101:$Z$164,23,0)</f>
        <v>1476709</v>
      </c>
      <c r="I124" s="564">
        <f t="shared" si="11"/>
        <v>9303580</v>
      </c>
      <c r="J124" s="564"/>
      <c r="K124" s="564">
        <f>VLOOKUP(D124,'CNKT '!$D$101:$AC$164,24,0)</f>
        <v>9303580</v>
      </c>
      <c r="L124" s="564"/>
      <c r="M124" s="566">
        <f t="shared" si="12"/>
        <v>9303580</v>
      </c>
      <c r="N124" s="629"/>
    </row>
    <row r="125" spans="1:14" s="113" customFormat="1" ht="21.75" customHeight="1">
      <c r="A125" s="795">
        <v>110</v>
      </c>
      <c r="B125" s="220">
        <v>27</v>
      </c>
      <c r="C125" s="628" t="str">
        <f>'Chấm công KT'!C121</f>
        <v>03613</v>
      </c>
      <c r="D125" s="565" t="str">
        <f>'CNKT '!D127</f>
        <v>N. Lỷ</v>
      </c>
      <c r="E125" s="565" t="s">
        <v>26</v>
      </c>
      <c r="F125" s="564">
        <f>VLOOKUP(D125,'CNKT '!$D$101:$G$164,4,0)</f>
        <v>0</v>
      </c>
      <c r="G125" s="564">
        <f>VLOOKUP(D125,'CNKT '!$D$101:$O$164,12,0)</f>
        <v>9084525</v>
      </c>
      <c r="H125" s="564">
        <f>VLOOKUP(D125,'CNKT '!$D$101:$Z$164,23,0)</f>
        <v>1476709</v>
      </c>
      <c r="I125" s="564">
        <f t="shared" si="11"/>
        <v>10561234</v>
      </c>
      <c r="J125" s="564"/>
      <c r="K125" s="564">
        <f>VLOOKUP(D125,'CNKT '!$D$101:$AC$164,24,0)</f>
        <v>10561234</v>
      </c>
      <c r="L125" s="564"/>
      <c r="M125" s="566">
        <f t="shared" si="12"/>
        <v>10561234</v>
      </c>
      <c r="N125" s="629"/>
    </row>
    <row r="126" spans="1:14" s="113" customFormat="1" ht="21.75" customHeight="1">
      <c r="A126" s="795">
        <v>111</v>
      </c>
      <c r="B126" s="220">
        <v>28</v>
      </c>
      <c r="C126" s="628" t="str">
        <f>'Chấm công KT'!C122</f>
        <v>04077</v>
      </c>
      <c r="D126" s="565" t="str">
        <f>'CNKT '!D128</f>
        <v>N. Quen</v>
      </c>
      <c r="E126" s="565" t="s">
        <v>26</v>
      </c>
      <c r="F126" s="564">
        <f>VLOOKUP(D126,'CNKT '!$D$101:$G$164,4,0)</f>
        <v>0</v>
      </c>
      <c r="G126" s="564">
        <f>VLOOKUP(D126,'CNKT '!$D$101:$O$164,12,0)</f>
        <v>8207062</v>
      </c>
      <c r="H126" s="564">
        <f>VLOOKUP(D126,'CNKT '!$D$101:$Z$164,23,0)</f>
        <v>1325958</v>
      </c>
      <c r="I126" s="564">
        <f t="shared" si="11"/>
        <v>9533020</v>
      </c>
      <c r="J126" s="564"/>
      <c r="K126" s="564">
        <f>VLOOKUP(D126,'CNKT '!$D$101:$AC$164,24,0)</f>
        <v>9533020</v>
      </c>
      <c r="L126" s="564"/>
      <c r="M126" s="566">
        <f t="shared" si="12"/>
        <v>9533020</v>
      </c>
      <c r="N126" s="629"/>
    </row>
    <row r="127" spans="1:14" s="113" customFormat="1" ht="21.75" customHeight="1">
      <c r="A127" s="795">
        <v>112</v>
      </c>
      <c r="B127" s="220">
        <v>29</v>
      </c>
      <c r="C127" s="628" t="str">
        <f>'Chấm công KT'!C123</f>
        <v>03615</v>
      </c>
      <c r="D127" s="565" t="str">
        <f>'CNKT '!D129</f>
        <v>T. Xi Nuôn</v>
      </c>
      <c r="E127" s="565" t="s">
        <v>26</v>
      </c>
      <c r="F127" s="564">
        <f>VLOOKUP(D127,'CNKT '!$D$101:$G$164,4,0)</f>
        <v>0</v>
      </c>
      <c r="G127" s="564">
        <f>VLOOKUP(D127,'CNKT '!$D$101:$O$164,12,0)</f>
        <v>6318890</v>
      </c>
      <c r="H127" s="564">
        <f>VLOOKUP(D127,'CNKT '!$D$101:$Z$164,23,0)</f>
        <v>1476709</v>
      </c>
      <c r="I127" s="564">
        <f t="shared" si="11"/>
        <v>7795599</v>
      </c>
      <c r="J127" s="564"/>
      <c r="K127" s="564">
        <f>VLOOKUP(D127,'CNKT '!$D$101:$AC$164,24,0)</f>
        <v>7795599</v>
      </c>
      <c r="L127" s="564"/>
      <c r="M127" s="566">
        <f t="shared" si="12"/>
        <v>7795599</v>
      </c>
      <c r="N127" s="629"/>
    </row>
    <row r="128" spans="1:14" s="113" customFormat="1" ht="21.75" customHeight="1">
      <c r="A128" s="795">
        <v>113</v>
      </c>
      <c r="B128" s="220">
        <v>30</v>
      </c>
      <c r="C128" s="628" t="str">
        <f>'Chấm công KT'!C124</f>
        <v>03616</v>
      </c>
      <c r="D128" s="565" t="str">
        <f>'CNKT '!D130</f>
        <v>N. Ốc</v>
      </c>
      <c r="E128" s="565" t="s">
        <v>26</v>
      </c>
      <c r="F128" s="564">
        <f>VLOOKUP(D128,'CNKT '!$D$101:$G$164,4,0)</f>
        <v>0</v>
      </c>
      <c r="G128" s="564">
        <f>VLOOKUP(D128,'CNKT '!$D$101:$O$164,12,0)</f>
        <v>8823199</v>
      </c>
      <c r="H128" s="564">
        <f>VLOOKUP(D128,'CNKT '!$D$101:$Z$164,23,0)</f>
        <v>1476709</v>
      </c>
      <c r="I128" s="564">
        <f t="shared" si="11"/>
        <v>10299908</v>
      </c>
      <c r="J128" s="564"/>
      <c r="K128" s="564">
        <f>VLOOKUP(D128,'CNKT '!$D$101:$AC$164,24,0)</f>
        <v>10299908</v>
      </c>
      <c r="L128" s="564"/>
      <c r="M128" s="566">
        <f t="shared" si="12"/>
        <v>10299908</v>
      </c>
      <c r="N128" s="629"/>
    </row>
    <row r="129" spans="1:14" s="113" customFormat="1" ht="21.75" customHeight="1">
      <c r="A129" s="795">
        <v>114</v>
      </c>
      <c r="B129" s="220">
        <v>31</v>
      </c>
      <c r="C129" s="628" t="str">
        <f>'Chấm công KT'!C125</f>
        <v>03617</v>
      </c>
      <c r="D129" s="565" t="str">
        <f>'CNKT '!D131</f>
        <v>T. Văn Nô</v>
      </c>
      <c r="E129" s="565" t="s">
        <v>26</v>
      </c>
      <c r="F129" s="564">
        <f>VLOOKUP(D129,'CNKT '!$D$101:$G$164,4,0)</f>
        <v>0</v>
      </c>
      <c r="G129" s="564">
        <f>VLOOKUP(D129,'CNKT '!$D$101:$O$164,12,0)</f>
        <v>7976982</v>
      </c>
      <c r="H129" s="564">
        <f>VLOOKUP(D129,'CNKT '!$D$101:$Z$164,23,0)</f>
        <v>1476709</v>
      </c>
      <c r="I129" s="564">
        <f t="shared" si="11"/>
        <v>9453691</v>
      </c>
      <c r="J129" s="564"/>
      <c r="K129" s="564">
        <f>VLOOKUP(D129,'CNKT '!$D$101:$AC$164,24,0)</f>
        <v>9453691</v>
      </c>
      <c r="L129" s="564"/>
      <c r="M129" s="566">
        <f t="shared" si="12"/>
        <v>9453691</v>
      </c>
      <c r="N129" s="629"/>
    </row>
    <row r="130" spans="1:14" s="113" customFormat="1" ht="21.75" customHeight="1">
      <c r="A130" s="795">
        <v>115</v>
      </c>
      <c r="B130" s="220">
        <v>32</v>
      </c>
      <c r="C130" s="628" t="str">
        <f>'Chấm công KT'!C126</f>
        <v>03618</v>
      </c>
      <c r="D130" s="565" t="str">
        <f>'CNKT '!D132</f>
        <v>N. Văn Ta</v>
      </c>
      <c r="E130" s="565" t="s">
        <v>26</v>
      </c>
      <c r="F130" s="564">
        <f>VLOOKUP(D130,'CNKT '!$D$101:$G$164,4,0)</f>
        <v>0</v>
      </c>
      <c r="G130" s="564">
        <f>VLOOKUP(D130,'CNKT '!$D$101:$O$164,12,0)</f>
        <v>7075344</v>
      </c>
      <c r="H130" s="564">
        <f>VLOOKUP(D130,'CNKT '!$D$101:$Z$164,23,0)</f>
        <v>1265109</v>
      </c>
      <c r="I130" s="564">
        <f t="shared" si="11"/>
        <v>8340453</v>
      </c>
      <c r="J130" s="564"/>
      <c r="K130" s="564">
        <f>VLOOKUP(D130,'CNKT '!$D$101:$AC$164,24,0)</f>
        <v>8340453</v>
      </c>
      <c r="L130" s="564"/>
      <c r="M130" s="566">
        <f t="shared" si="12"/>
        <v>8340453</v>
      </c>
      <c r="N130" s="629"/>
    </row>
    <row r="131" spans="1:14" s="113" customFormat="1" ht="21.75" customHeight="1">
      <c r="A131" s="795">
        <v>116</v>
      </c>
      <c r="B131" s="220">
        <v>33</v>
      </c>
      <c r="C131" s="628" t="str">
        <f>'Chấm công KT'!C127</f>
        <v>03619</v>
      </c>
      <c r="D131" s="565" t="str">
        <f>'CNKT '!D133</f>
        <v>T. Thon</v>
      </c>
      <c r="E131" s="565" t="s">
        <v>26</v>
      </c>
      <c r="F131" s="564">
        <f>VLOOKUP(D131,'CNKT '!$D$101:$G$164,4,0)</f>
        <v>0</v>
      </c>
      <c r="G131" s="564">
        <f>VLOOKUP(D131,'CNKT '!$D$101:$O$164,12,0)</f>
        <v>6928087</v>
      </c>
      <c r="H131" s="564">
        <f>VLOOKUP(D131,'CNKT '!$D$101:$Z$164,23,0)</f>
        <v>1446285</v>
      </c>
      <c r="I131" s="564">
        <f t="shared" si="11"/>
        <v>8374372</v>
      </c>
      <c r="J131" s="564"/>
      <c r="K131" s="564">
        <f>VLOOKUP(D131,'CNKT '!$D$101:$AC$164,24,0)</f>
        <v>8374372</v>
      </c>
      <c r="L131" s="564"/>
      <c r="M131" s="566">
        <f t="shared" si="12"/>
        <v>8374372</v>
      </c>
      <c r="N131" s="629"/>
    </row>
    <row r="132" spans="1:14" s="113" customFormat="1" ht="21.75" customHeight="1">
      <c r="A132" s="795">
        <v>117</v>
      </c>
      <c r="B132" s="220">
        <v>34</v>
      </c>
      <c r="C132" s="628" t="str">
        <f>'Chấm công KT'!C128</f>
        <v>03620</v>
      </c>
      <c r="D132" s="565" t="str">
        <f>'CNKT '!D134</f>
        <v>Bun Thon</v>
      </c>
      <c r="E132" s="565" t="s">
        <v>26</v>
      </c>
      <c r="F132" s="564">
        <f>VLOOKUP(D132,'CNKT '!$D$101:$G$164,4,0)</f>
        <v>0</v>
      </c>
      <c r="G132" s="564">
        <f>VLOOKUP(D132,'CNKT '!$D$101:$O$164,12,0)</f>
        <v>5038449</v>
      </c>
      <c r="H132" s="564">
        <f>VLOOKUP(D132,'CNKT '!$D$101:$Z$164,23,0)</f>
        <v>1355012</v>
      </c>
      <c r="I132" s="564">
        <f t="shared" si="11"/>
        <v>6393461</v>
      </c>
      <c r="J132" s="564"/>
      <c r="K132" s="564">
        <f>VLOOKUP(D132,'CNKT '!$D$101:$AC$164,24,0)</f>
        <v>6393461</v>
      </c>
      <c r="L132" s="564"/>
      <c r="M132" s="566">
        <f t="shared" si="12"/>
        <v>6393461</v>
      </c>
      <c r="N132" s="629"/>
    </row>
    <row r="133" spans="1:14" s="113" customFormat="1" ht="21.75" customHeight="1">
      <c r="A133" s="795">
        <v>118</v>
      </c>
      <c r="B133" s="220">
        <v>35</v>
      </c>
      <c r="C133" s="628" t="str">
        <f>'Chấm công KT'!C129</f>
        <v>04078</v>
      </c>
      <c r="D133" s="565" t="str">
        <f>'CNKT '!D135</f>
        <v>Lăm Thong</v>
      </c>
      <c r="E133" s="565" t="s">
        <v>26</v>
      </c>
      <c r="F133" s="564">
        <f>VLOOKUP(D133,'CNKT '!$D$101:$G$164,4,0)</f>
        <v>0</v>
      </c>
      <c r="G133" s="564">
        <f>VLOOKUP(D133,'CNKT '!$D$101:$O$164,12,0)</f>
        <v>6793287</v>
      </c>
      <c r="H133" s="564">
        <f>VLOOKUP(D133,'CNKT '!$D$101:$Z$164,23,0)</f>
        <v>1385436</v>
      </c>
      <c r="I133" s="564">
        <f t="shared" si="11"/>
        <v>8178723</v>
      </c>
      <c r="J133" s="564"/>
      <c r="K133" s="564">
        <f>VLOOKUP(D133,'CNKT '!$D$101:$AC$164,24,0)</f>
        <v>8178723</v>
      </c>
      <c r="L133" s="564"/>
      <c r="M133" s="566">
        <f t="shared" si="12"/>
        <v>8178723</v>
      </c>
      <c r="N133" s="629"/>
    </row>
    <row r="134" spans="1:14" s="113" customFormat="1" ht="21.75" customHeight="1">
      <c r="A134" s="795">
        <v>119</v>
      </c>
      <c r="B134" s="220">
        <v>36</v>
      </c>
      <c r="C134" s="628" t="str">
        <f>'Chấm công KT'!C130</f>
        <v>03622</v>
      </c>
      <c r="D134" s="565" t="str">
        <f>'CNKT '!D136</f>
        <v>N. Xeo Khăm</v>
      </c>
      <c r="E134" s="565" t="s">
        <v>26</v>
      </c>
      <c r="F134" s="564">
        <f>VLOOKUP(D134,'CNKT '!$D$101:$G$164,4,0)</f>
        <v>0</v>
      </c>
      <c r="G134" s="564">
        <f>VLOOKUP(D134,'CNKT '!$D$101:$O$164,12,0)</f>
        <v>8909155</v>
      </c>
      <c r="H134" s="564">
        <f>VLOOKUP(D134,'CNKT '!$D$101:$Z$164,23,0)</f>
        <v>1476709</v>
      </c>
      <c r="I134" s="564">
        <f t="shared" si="11"/>
        <v>10385864</v>
      </c>
      <c r="J134" s="564"/>
      <c r="K134" s="564">
        <f>VLOOKUP(D134,'CNKT '!$D$101:$AC$164,24,0)</f>
        <v>10385864</v>
      </c>
      <c r="L134" s="564"/>
      <c r="M134" s="566">
        <f t="shared" si="12"/>
        <v>10385864</v>
      </c>
      <c r="N134" s="629"/>
    </row>
    <row r="135" spans="1:14" s="113" customFormat="1" ht="21.75" customHeight="1">
      <c r="A135" s="795">
        <v>120</v>
      </c>
      <c r="B135" s="220">
        <v>37</v>
      </c>
      <c r="C135" s="628" t="str">
        <f>'Chấm công KT'!C131</f>
        <v>03623</v>
      </c>
      <c r="D135" s="565" t="str">
        <f>'CNKT '!D137</f>
        <v>T. Khăm...</v>
      </c>
      <c r="E135" s="565" t="s">
        <v>26</v>
      </c>
      <c r="F135" s="564">
        <f>VLOOKUP(D135,'CNKT '!$D$101:$G$164,4,0)</f>
        <v>0</v>
      </c>
      <c r="G135" s="564">
        <f>VLOOKUP(D135,'CNKT '!$D$101:$O$164,12,0)</f>
        <v>8238435</v>
      </c>
      <c r="H135" s="564">
        <f>VLOOKUP(D135,'CNKT '!$D$101:$Z$164,23,0)</f>
        <v>1244783</v>
      </c>
      <c r="I135" s="564">
        <f t="shared" si="11"/>
        <v>9483218</v>
      </c>
      <c r="J135" s="564"/>
      <c r="K135" s="564">
        <f>VLOOKUP(D135,'CNKT '!$D$101:$AC$164,24,0)</f>
        <v>9483218</v>
      </c>
      <c r="L135" s="564"/>
      <c r="M135" s="566">
        <f t="shared" si="12"/>
        <v>9483218</v>
      </c>
      <c r="N135" s="629"/>
    </row>
    <row r="136" spans="1:14" s="113" customFormat="1" ht="21.75" customHeight="1">
      <c r="A136" s="795">
        <v>121</v>
      </c>
      <c r="B136" s="220">
        <v>38</v>
      </c>
      <c r="C136" s="628" t="str">
        <f>'Chấm công KT'!C132</f>
        <v>03532</v>
      </c>
      <c r="D136" s="565" t="str">
        <f>'CNKT '!D138</f>
        <v>N. Túc</v>
      </c>
      <c r="E136" s="565" t="s">
        <v>26</v>
      </c>
      <c r="F136" s="564">
        <f>VLOOKUP(D136,'CNKT '!$D$101:$G$164,4,0)</f>
        <v>0</v>
      </c>
      <c r="G136" s="564">
        <f>VLOOKUP(D136,'CNKT '!$D$101:$O$164,12,0)</f>
        <v>7595155</v>
      </c>
      <c r="H136" s="564">
        <f>VLOOKUP(D136,'CNKT '!$D$101:$Z$164,23,0)</f>
        <v>1476709</v>
      </c>
      <c r="I136" s="564">
        <f t="shared" si="11"/>
        <v>9071864</v>
      </c>
      <c r="J136" s="564"/>
      <c r="K136" s="564">
        <f>VLOOKUP(D136,'CNKT '!$D$101:$AC$164,24,0)</f>
        <v>9071864</v>
      </c>
      <c r="L136" s="564"/>
      <c r="M136" s="566">
        <f t="shared" si="12"/>
        <v>9071864</v>
      </c>
      <c r="N136" s="629"/>
    </row>
    <row r="137" spans="1:14" s="113" customFormat="1" ht="21.75" customHeight="1">
      <c r="A137" s="795">
        <v>122</v>
      </c>
      <c r="B137" s="220">
        <v>39</v>
      </c>
      <c r="C137" s="628" t="str">
        <f>'Chấm công KT'!C133</f>
        <v>03625</v>
      </c>
      <c r="D137" s="565" t="str">
        <f>'CNKT '!D139</f>
        <v>N. Pheng</v>
      </c>
      <c r="E137" s="565" t="s">
        <v>26</v>
      </c>
      <c r="F137" s="564">
        <f>VLOOKUP(D137,'CNKT '!$D$101:$G$164,4,0)</f>
        <v>0</v>
      </c>
      <c r="G137" s="564">
        <f>VLOOKUP(D137,'CNKT '!$D$101:$O$164,12,0)</f>
        <v>9386395</v>
      </c>
      <c r="H137" s="564">
        <f>VLOOKUP(D137,'CNKT '!$D$101:$Z$164,23,0)</f>
        <v>1476709</v>
      </c>
      <c r="I137" s="564">
        <f t="shared" si="11"/>
        <v>10863104</v>
      </c>
      <c r="J137" s="564"/>
      <c r="K137" s="564">
        <f>VLOOKUP(D137,'CNKT '!$D$101:$AC$164,24,0)</f>
        <v>10863104</v>
      </c>
      <c r="L137" s="564"/>
      <c r="M137" s="566">
        <f t="shared" si="12"/>
        <v>10863104</v>
      </c>
      <c r="N137" s="629"/>
    </row>
    <row r="138" spans="1:14" s="113" customFormat="1" ht="21.75" customHeight="1">
      <c r="A138" s="795">
        <v>123</v>
      </c>
      <c r="B138" s="220">
        <v>40</v>
      </c>
      <c r="C138" s="628" t="str">
        <f>'Chấm công KT'!C134</f>
        <v>03587</v>
      </c>
      <c r="D138" s="565" t="str">
        <f>'CNKT '!D140</f>
        <v>N. Mom</v>
      </c>
      <c r="E138" s="565" t="s">
        <v>26</v>
      </c>
      <c r="F138" s="564">
        <f>VLOOKUP(D138,'CNKT '!$D$101:$G$164,4,0)</f>
        <v>0</v>
      </c>
      <c r="G138" s="564">
        <f>VLOOKUP(D138,'CNKT '!$D$101:$O$164,12,0)</f>
        <v>7873699</v>
      </c>
      <c r="H138" s="564">
        <f>VLOOKUP(D138,'CNKT '!$D$101:$Z$164,23,0)</f>
        <v>1476709</v>
      </c>
      <c r="I138" s="564">
        <f t="shared" si="11"/>
        <v>9350408</v>
      </c>
      <c r="J138" s="564"/>
      <c r="K138" s="564">
        <f>VLOOKUP(D138,'CNKT '!$D$101:$AC$164,24,0)</f>
        <v>9350408</v>
      </c>
      <c r="L138" s="564"/>
      <c r="M138" s="566">
        <f t="shared" si="12"/>
        <v>9350408</v>
      </c>
      <c r="N138" s="629"/>
    </row>
    <row r="139" spans="1:14" s="113" customFormat="1" ht="21.75" customHeight="1">
      <c r="A139" s="795">
        <v>124</v>
      </c>
      <c r="B139" s="220">
        <v>41</v>
      </c>
      <c r="C139" s="628" t="str">
        <f>'Chấm công KT'!C135</f>
        <v>04079</v>
      </c>
      <c r="D139" s="565" t="str">
        <f>'CNKT '!D141</f>
        <v>T. Môn</v>
      </c>
      <c r="E139" s="565" t="s">
        <v>26</v>
      </c>
      <c r="F139" s="564">
        <f>VLOOKUP(D139,'CNKT '!$D$101:$G$164,4,0)</f>
        <v>0</v>
      </c>
      <c r="G139" s="564">
        <f>VLOOKUP(D139,'CNKT '!$D$101:$O$164,12,0)</f>
        <v>4880418</v>
      </c>
      <c r="H139" s="564">
        <f>VLOOKUP(D139,'CNKT '!$D$101:$Z$164,23,0)</f>
        <v>1476709</v>
      </c>
      <c r="I139" s="564">
        <f t="shared" si="11"/>
        <v>6357127</v>
      </c>
      <c r="J139" s="564"/>
      <c r="K139" s="564">
        <f>VLOOKUP(D139,'CNKT '!$D$101:$AC$164,24,0)</f>
        <v>6357127</v>
      </c>
      <c r="L139" s="564"/>
      <c r="M139" s="566">
        <f t="shared" si="12"/>
        <v>6357127</v>
      </c>
      <c r="N139" s="629"/>
    </row>
    <row r="140" spans="1:14" s="113" customFormat="1" ht="21.75" customHeight="1">
      <c r="A140" s="795">
        <v>125</v>
      </c>
      <c r="B140" s="220">
        <v>42</v>
      </c>
      <c r="C140" s="628" t="str">
        <f>'Chấm công KT'!C136</f>
        <v>03628</v>
      </c>
      <c r="D140" s="565" t="str">
        <f>'CNKT '!D142</f>
        <v>Khăn Hạ</v>
      </c>
      <c r="E140" s="565" t="s">
        <v>26</v>
      </c>
      <c r="F140" s="564">
        <f>VLOOKUP(D140,'CNKT '!$D$101:$G$164,4,0)</f>
        <v>0</v>
      </c>
      <c r="G140" s="564">
        <f>VLOOKUP(D140,'CNKT '!$D$101:$O$164,12,0)</f>
        <v>5079261</v>
      </c>
      <c r="H140" s="564">
        <f>VLOOKUP(D140,'CNKT '!$D$101:$Z$164,23,0)</f>
        <v>1183934</v>
      </c>
      <c r="I140" s="564">
        <f t="shared" si="11"/>
        <v>6263195</v>
      </c>
      <c r="J140" s="564"/>
      <c r="K140" s="564">
        <f>VLOOKUP(D140,'CNKT '!$D$101:$AC$164,24,0)</f>
        <v>6263195</v>
      </c>
      <c r="L140" s="564"/>
      <c r="M140" s="566">
        <f t="shared" si="12"/>
        <v>6263195</v>
      </c>
      <c r="N140" s="629"/>
    </row>
    <row r="141" spans="1:14" s="113" customFormat="1" ht="21.75" customHeight="1">
      <c r="A141" s="795">
        <v>126</v>
      </c>
      <c r="B141" s="220">
        <v>43</v>
      </c>
      <c r="C141" s="628" t="str">
        <f>'Chấm công KT'!C137</f>
        <v>03629</v>
      </c>
      <c r="D141" s="565" t="str">
        <f>'CNKT '!D143</f>
        <v>T. Chăn La .</v>
      </c>
      <c r="E141" s="565" t="s">
        <v>26</v>
      </c>
      <c r="F141" s="564">
        <f>VLOOKUP(D141,'CNKT '!$D$101:$G$164,4,0)</f>
        <v>0</v>
      </c>
      <c r="G141" s="564">
        <f>VLOOKUP(D141,'CNKT '!$D$101:$O$164,12,0)</f>
        <v>6342568</v>
      </c>
      <c r="H141" s="564">
        <f>VLOOKUP(D141,'CNKT '!$D$101:$Z$164,23,0)</f>
        <v>1446285</v>
      </c>
      <c r="I141" s="564">
        <f t="shared" si="11"/>
        <v>7788853</v>
      </c>
      <c r="J141" s="564"/>
      <c r="K141" s="564">
        <f>VLOOKUP(D141,'CNKT '!$D$101:$AC$164,24,0)</f>
        <v>7788853</v>
      </c>
      <c r="L141" s="564"/>
      <c r="M141" s="566">
        <f t="shared" si="12"/>
        <v>7788853</v>
      </c>
      <c r="N141" s="629"/>
    </row>
    <row r="142" spans="1:14" s="113" customFormat="1" ht="21.75" customHeight="1">
      <c r="A142" s="795">
        <v>127</v>
      </c>
      <c r="B142" s="220">
        <v>44</v>
      </c>
      <c r="C142" s="628" t="str">
        <f>'Chấm công KT'!C138</f>
        <v>03630</v>
      </c>
      <c r="D142" s="565" t="str">
        <f>'CNKT '!D144</f>
        <v>T. Nú</v>
      </c>
      <c r="E142" s="565" t="s">
        <v>26</v>
      </c>
      <c r="F142" s="564">
        <f>VLOOKUP(D142,'CNKT '!$D$101:$G$164,4,0)</f>
        <v>0</v>
      </c>
      <c r="G142" s="564">
        <f>VLOOKUP(D142,'CNKT '!$D$101:$O$164,12,0)</f>
        <v>4869703</v>
      </c>
      <c r="H142" s="564">
        <f>VLOOKUP(D142,'CNKT '!$D$101:$Z$164,23,0)</f>
        <v>1214359</v>
      </c>
      <c r="I142" s="564">
        <f t="shared" si="11"/>
        <v>6084062</v>
      </c>
      <c r="J142" s="564"/>
      <c r="K142" s="564">
        <f>VLOOKUP(D142,'CNKT '!$D$101:$AC$164,24,0)</f>
        <v>6084062</v>
      </c>
      <c r="L142" s="564"/>
      <c r="M142" s="566">
        <f t="shared" si="12"/>
        <v>6084062</v>
      </c>
      <c r="N142" s="629"/>
    </row>
    <row r="143" spans="1:14" s="113" customFormat="1" ht="21.75" customHeight="1">
      <c r="A143" s="795">
        <v>128</v>
      </c>
      <c r="B143" s="220">
        <v>45</v>
      </c>
      <c r="C143" s="628" t="str">
        <f>'Chấm công KT'!C139</f>
        <v>03631</v>
      </c>
      <c r="D143" s="565" t="str">
        <f>'CNKT '!D145</f>
        <v>T. Xan Nha</v>
      </c>
      <c r="E143" s="565" t="s">
        <v>26</v>
      </c>
      <c r="F143" s="564">
        <f>VLOOKUP(D143,'CNKT '!$D$101:$G$164,4,0)</f>
        <v>0</v>
      </c>
      <c r="G143" s="564">
        <f>VLOOKUP(D143,'CNKT '!$D$101:$O$164,12,0)</f>
        <v>6583298</v>
      </c>
      <c r="H143" s="564">
        <f>VLOOKUP(D143,'CNKT '!$D$101:$Z$164,23,0)</f>
        <v>1446285</v>
      </c>
      <c r="I143" s="564">
        <f t="shared" si="11"/>
        <v>8029583</v>
      </c>
      <c r="J143" s="564"/>
      <c r="K143" s="564">
        <f>VLOOKUP(D143,'CNKT '!$D$101:$AC$164,24,0)</f>
        <v>8029583</v>
      </c>
      <c r="L143" s="564"/>
      <c r="M143" s="566">
        <f t="shared" si="12"/>
        <v>8029583</v>
      </c>
      <c r="N143" s="629"/>
    </row>
    <row r="144" spans="1:14" s="113" customFormat="1" ht="21.75" customHeight="1">
      <c r="A144" s="795">
        <v>129</v>
      </c>
      <c r="B144" s="220">
        <v>46</v>
      </c>
      <c r="C144" s="628" t="str">
        <f>'Chấm công KT'!C140</f>
        <v>03632</v>
      </c>
      <c r="D144" s="565" t="str">
        <f>'CNKT '!D146</f>
        <v>T. A lem</v>
      </c>
      <c r="E144" s="565" t="s">
        <v>26</v>
      </c>
      <c r="F144" s="564">
        <f>VLOOKUP(D144,'CNKT '!$D$101:$G$164,4,0)</f>
        <v>0</v>
      </c>
      <c r="G144" s="564">
        <f>VLOOKUP(D144,'CNKT '!$D$101:$O$164,12,0)</f>
        <v>7969757</v>
      </c>
      <c r="H144" s="564">
        <f>VLOOKUP(D144,'CNKT '!$D$101:$Z$164,23,0)</f>
        <v>1415860</v>
      </c>
      <c r="I144" s="564">
        <f t="shared" si="11"/>
        <v>9385617</v>
      </c>
      <c r="J144" s="564"/>
      <c r="K144" s="564">
        <f>VLOOKUP(D144,'CNKT '!$D$101:$AC$164,24,0)</f>
        <v>9385617</v>
      </c>
      <c r="L144" s="564"/>
      <c r="M144" s="566">
        <f t="shared" si="12"/>
        <v>9385617</v>
      </c>
      <c r="N144" s="629"/>
    </row>
    <row r="145" spans="1:14" s="113" customFormat="1" ht="21.75" customHeight="1">
      <c r="A145" s="795">
        <v>130</v>
      </c>
      <c r="B145" s="220">
        <v>47</v>
      </c>
      <c r="C145" s="628" t="str">
        <f>'Chấm công KT'!C141</f>
        <v>04080</v>
      </c>
      <c r="D145" s="565" t="str">
        <f>'CNKT '!D147</f>
        <v>T. Phan</v>
      </c>
      <c r="E145" s="565" t="s">
        <v>26</v>
      </c>
      <c r="F145" s="564">
        <f>VLOOKUP(D145,'CNKT '!$D$101:$G$164,4,0)</f>
        <v>0</v>
      </c>
      <c r="G145" s="564">
        <f>VLOOKUP(D145,'CNKT '!$D$101:$O$164,12,0)</f>
        <v>6646476</v>
      </c>
      <c r="H145" s="564">
        <f>VLOOKUP(D145,'CNKT '!$D$101:$Z$164,23,0)</f>
        <v>1476709</v>
      </c>
      <c r="I145" s="564">
        <f t="shared" si="11"/>
        <v>8123185</v>
      </c>
      <c r="J145" s="564"/>
      <c r="K145" s="564">
        <f>VLOOKUP(D145,'CNKT '!$D$101:$AC$164,24,0)</f>
        <v>8123185</v>
      </c>
      <c r="L145" s="564"/>
      <c r="M145" s="566">
        <f t="shared" si="12"/>
        <v>8123185</v>
      </c>
      <c r="N145" s="629"/>
    </row>
    <row r="146" spans="1:14" s="113" customFormat="1" ht="21.75" customHeight="1">
      <c r="A146" s="795">
        <v>131</v>
      </c>
      <c r="B146" s="220">
        <v>48</v>
      </c>
      <c r="C146" s="628" t="str">
        <f>'Chấm công KT'!C142</f>
        <v>03634</v>
      </c>
      <c r="D146" s="565" t="str">
        <f>'CNKT '!D148</f>
        <v>T . Cổ</v>
      </c>
      <c r="E146" s="565" t="s">
        <v>26</v>
      </c>
      <c r="F146" s="564">
        <f>VLOOKUP(D146,'CNKT '!$D$101:$G$164,4,0)</f>
        <v>0</v>
      </c>
      <c r="G146" s="564">
        <f>VLOOKUP(D146,'CNKT '!$D$101:$O$164,12,0)</f>
        <v>9507939</v>
      </c>
      <c r="H146" s="564">
        <f>VLOOKUP(D146,'CNKT '!$D$101:$Z$164,23,0)</f>
        <v>1476709</v>
      </c>
      <c r="I146" s="564">
        <f t="shared" si="11"/>
        <v>10984648</v>
      </c>
      <c r="J146" s="564"/>
      <c r="K146" s="564">
        <f>VLOOKUP(D146,'CNKT '!$D$101:$AC$164,24,0)</f>
        <v>10984648</v>
      </c>
      <c r="L146" s="564"/>
      <c r="M146" s="566">
        <f t="shared" si="12"/>
        <v>10984648</v>
      </c>
      <c r="N146" s="629"/>
    </row>
    <row r="147" spans="1:14" s="113" customFormat="1" ht="21.75" customHeight="1">
      <c r="A147" s="795">
        <v>132</v>
      </c>
      <c r="B147" s="220">
        <v>49</v>
      </c>
      <c r="C147" s="628" t="str">
        <f>'Chấm công KT'!C143</f>
        <v>03635</v>
      </c>
      <c r="D147" s="565" t="str">
        <f>'CNKT '!D149</f>
        <v>N. Phim Pha</v>
      </c>
      <c r="E147" s="565" t="s">
        <v>26</v>
      </c>
      <c r="F147" s="564">
        <f>VLOOKUP(D147,'CNKT '!$D$101:$G$164,4,0)</f>
        <v>0</v>
      </c>
      <c r="G147" s="564">
        <f>VLOOKUP(D147,'CNKT '!$D$101:$O$164,12,0)</f>
        <v>6455672</v>
      </c>
      <c r="H147" s="564">
        <f>VLOOKUP(D147,'CNKT '!$D$101:$Z$164,23,0)</f>
        <v>1385436</v>
      </c>
      <c r="I147" s="564">
        <f t="shared" si="11"/>
        <v>7841108</v>
      </c>
      <c r="J147" s="564"/>
      <c r="K147" s="564">
        <f>VLOOKUP(D147,'CNKT '!$D$101:$AC$164,24,0)</f>
        <v>7841108</v>
      </c>
      <c r="L147" s="564"/>
      <c r="M147" s="566">
        <f t="shared" si="12"/>
        <v>7841108</v>
      </c>
      <c r="N147" s="629"/>
    </row>
    <row r="148" spans="1:14" s="113" customFormat="1" ht="21.75" customHeight="1">
      <c r="A148" s="795">
        <v>133</v>
      </c>
      <c r="B148" s="220">
        <v>50</v>
      </c>
      <c r="C148" s="628" t="str">
        <f>'Chấm công KT'!C144</f>
        <v>03636</v>
      </c>
      <c r="D148" s="565" t="str">
        <f>'CNKT '!D150</f>
        <v xml:space="preserve">T. Xeng </v>
      </c>
      <c r="E148" s="565" t="s">
        <v>26</v>
      </c>
      <c r="F148" s="564">
        <f>VLOOKUP(D148,'CNKT '!$D$101:$G$164,4,0)</f>
        <v>0</v>
      </c>
      <c r="G148" s="564">
        <f>VLOOKUP(D148,'CNKT '!$D$101:$O$164,12,0)</f>
        <v>7603300</v>
      </c>
      <c r="H148" s="564">
        <f>VLOOKUP(D148,'CNKT '!$D$101:$Z$164,23,0)</f>
        <v>1476709</v>
      </c>
      <c r="I148" s="564">
        <f t="shared" si="11"/>
        <v>9080009</v>
      </c>
      <c r="J148" s="564"/>
      <c r="K148" s="564">
        <f>VLOOKUP(D148,'CNKT '!$D$101:$AC$164,24,0)</f>
        <v>9080009</v>
      </c>
      <c r="L148" s="564"/>
      <c r="M148" s="566">
        <f t="shared" si="12"/>
        <v>9080009</v>
      </c>
      <c r="N148" s="629"/>
    </row>
    <row r="149" spans="1:14" s="113" customFormat="1" ht="21.75" customHeight="1">
      <c r="A149" s="795">
        <v>134</v>
      </c>
      <c r="B149" s="220">
        <v>51</v>
      </c>
      <c r="C149" s="628" t="str">
        <f>'Chấm công KT'!C145</f>
        <v>03637</v>
      </c>
      <c r="D149" s="565" t="str">
        <f>'CNKT '!D151</f>
        <v>T. Vạt</v>
      </c>
      <c r="E149" s="565" t="s">
        <v>26</v>
      </c>
      <c r="F149" s="564">
        <f>VLOOKUP(D149,'CNKT '!$D$101:$G$164,4,0)</f>
        <v>0</v>
      </c>
      <c r="G149" s="564">
        <f>VLOOKUP(D149,'CNKT '!$D$101:$O$164,12,0)</f>
        <v>7889805</v>
      </c>
      <c r="H149" s="564">
        <f>VLOOKUP(D149,'CNKT '!$D$101:$Z$164,23,0)</f>
        <v>1446285</v>
      </c>
      <c r="I149" s="564">
        <f t="shared" si="11"/>
        <v>9336090</v>
      </c>
      <c r="J149" s="564"/>
      <c r="K149" s="564">
        <f>VLOOKUP(D149,'CNKT '!$D$101:$AC$164,24,0)</f>
        <v>9336090</v>
      </c>
      <c r="L149" s="564"/>
      <c r="M149" s="566">
        <f t="shared" si="12"/>
        <v>9336090</v>
      </c>
      <c r="N149" s="629"/>
    </row>
    <row r="150" spans="1:14" s="113" customFormat="1" ht="21.75" customHeight="1">
      <c r="A150" s="795">
        <v>135</v>
      </c>
      <c r="B150" s="220">
        <v>52</v>
      </c>
      <c r="C150" s="628" t="str">
        <f>'Chấm công KT'!C146</f>
        <v>03638</v>
      </c>
      <c r="D150" s="565" t="str">
        <f>'CNKT '!D152</f>
        <v>T. Lay</v>
      </c>
      <c r="E150" s="565" t="s">
        <v>26</v>
      </c>
      <c r="F150" s="564">
        <f>VLOOKUP(D150,'CNKT '!$D$101:$G$164,4,0)</f>
        <v>0</v>
      </c>
      <c r="G150" s="564">
        <f>VLOOKUP(D150,'CNKT '!$D$101:$O$164,12,0)</f>
        <v>6946356</v>
      </c>
      <c r="H150" s="564">
        <f>VLOOKUP(D150,'CNKT '!$D$101:$Z$164,23,0)</f>
        <v>1415860</v>
      </c>
      <c r="I150" s="564">
        <f t="shared" si="11"/>
        <v>8362216</v>
      </c>
      <c r="J150" s="564"/>
      <c r="K150" s="564">
        <f>VLOOKUP(D150,'CNKT '!$D$101:$AC$164,24,0)</f>
        <v>8362216</v>
      </c>
      <c r="L150" s="564"/>
      <c r="M150" s="566">
        <f t="shared" si="12"/>
        <v>8362216</v>
      </c>
      <c r="N150" s="629"/>
    </row>
    <row r="151" spans="1:14" s="113" customFormat="1" ht="21.75" customHeight="1">
      <c r="A151" s="795">
        <v>136</v>
      </c>
      <c r="B151" s="220">
        <v>53</v>
      </c>
      <c r="C151" s="628" t="str">
        <f>'Chấm công KT'!C147</f>
        <v>04081</v>
      </c>
      <c r="D151" s="565" t="str">
        <f>'CNKT '!D153</f>
        <v>N. Nọi</v>
      </c>
      <c r="E151" s="565" t="s">
        <v>26</v>
      </c>
      <c r="F151" s="564">
        <f>VLOOKUP(D151,'CNKT '!$D$101:$G$164,4,0)</f>
        <v>0</v>
      </c>
      <c r="G151" s="564">
        <f>VLOOKUP(D151,'CNKT '!$D$101:$O$164,12,0)</f>
        <v>7038894</v>
      </c>
      <c r="H151" s="564">
        <f>VLOOKUP(D151,'CNKT '!$D$101:$Z$164,23,0)</f>
        <v>1415860</v>
      </c>
      <c r="I151" s="564">
        <f t="shared" si="11"/>
        <v>8454754</v>
      </c>
      <c r="J151" s="564"/>
      <c r="K151" s="564">
        <f>VLOOKUP(D151,'CNKT '!$D$101:$AC$164,24,0)</f>
        <v>8454754</v>
      </c>
      <c r="L151" s="564"/>
      <c r="M151" s="566">
        <f t="shared" si="12"/>
        <v>8454754</v>
      </c>
      <c r="N151" s="629"/>
    </row>
    <row r="152" spans="1:14" s="113" customFormat="1" ht="21.75" customHeight="1">
      <c r="A152" s="795">
        <v>137</v>
      </c>
      <c r="B152" s="220">
        <v>54</v>
      </c>
      <c r="C152" s="628" t="str">
        <f>'Chấm công KT'!C148</f>
        <v>04082</v>
      </c>
      <c r="D152" s="565" t="str">
        <f>'CNKT '!D154</f>
        <v>T Bun Xi</v>
      </c>
      <c r="E152" s="565" t="s">
        <v>26</v>
      </c>
      <c r="F152" s="564">
        <f>VLOOKUP(D152,'CNKT '!$D$101:$G$164,4,0)</f>
        <v>0</v>
      </c>
      <c r="G152" s="564">
        <f>VLOOKUP(D152,'CNKT '!$D$101:$O$164,12,0)</f>
        <v>7334000</v>
      </c>
      <c r="H152" s="564">
        <f>VLOOKUP(D152,'CNKT '!$D$101:$Z$164,23,0)</f>
        <v>1385436</v>
      </c>
      <c r="I152" s="564">
        <f t="shared" si="11"/>
        <v>8719436</v>
      </c>
      <c r="J152" s="564"/>
      <c r="K152" s="564">
        <f>VLOOKUP(D152,'CNKT '!$D$101:$AC$164,24,0)</f>
        <v>8719436</v>
      </c>
      <c r="L152" s="564"/>
      <c r="M152" s="566">
        <f t="shared" si="12"/>
        <v>8719436</v>
      </c>
      <c r="N152" s="629"/>
    </row>
    <row r="153" spans="1:14" s="113" customFormat="1" ht="21.75" customHeight="1">
      <c r="A153" s="795">
        <v>138</v>
      </c>
      <c r="B153" s="220">
        <v>55</v>
      </c>
      <c r="C153" s="628" t="str">
        <f>'Chấm công KT'!C149</f>
        <v>04083</v>
      </c>
      <c r="D153" s="565" t="str">
        <f>'CNKT '!D155</f>
        <v>N. Bù</v>
      </c>
      <c r="E153" s="565" t="s">
        <v>26</v>
      </c>
      <c r="F153" s="564">
        <f>VLOOKUP(D153,'CNKT '!$D$101:$G$164,4,0)</f>
        <v>0</v>
      </c>
      <c r="G153" s="564">
        <f>VLOOKUP(D153,'CNKT '!$D$101:$O$164,12,0)</f>
        <v>6680602</v>
      </c>
      <c r="H153" s="564">
        <f>VLOOKUP(D153,'CNKT '!$D$101:$Z$164,23,0)</f>
        <v>1385436</v>
      </c>
      <c r="I153" s="564">
        <f t="shared" si="11"/>
        <v>8066038</v>
      </c>
      <c r="J153" s="564"/>
      <c r="K153" s="564">
        <f>VLOOKUP(D153,'CNKT '!$D$101:$AC$164,24,0)</f>
        <v>8066038</v>
      </c>
      <c r="L153" s="564"/>
      <c r="M153" s="566">
        <f t="shared" si="12"/>
        <v>8066038</v>
      </c>
      <c r="N153" s="629"/>
    </row>
    <row r="154" spans="1:14" s="113" customFormat="1" ht="21.75" customHeight="1">
      <c r="A154" s="795">
        <v>139</v>
      </c>
      <c r="B154" s="220">
        <v>56</v>
      </c>
      <c r="C154" s="628" t="str">
        <f>'Chấm công KT'!C150</f>
        <v>03642</v>
      </c>
      <c r="D154" s="565" t="str">
        <f>'CNKT '!D156</f>
        <v>T. Xơn</v>
      </c>
      <c r="E154" s="565" t="s">
        <v>26</v>
      </c>
      <c r="F154" s="564">
        <f>VLOOKUP(D154,'CNKT '!$D$101:$G$164,4,0)</f>
        <v>0</v>
      </c>
      <c r="G154" s="564">
        <f>VLOOKUP(D154,'CNKT '!$D$101:$O$164,12,0)</f>
        <v>6895647</v>
      </c>
      <c r="H154" s="564">
        <f>VLOOKUP(D154,'CNKT '!$D$101:$Z$164,23,0)</f>
        <v>1415860</v>
      </c>
      <c r="I154" s="564">
        <f t="shared" si="11"/>
        <v>8311507</v>
      </c>
      <c r="J154" s="564"/>
      <c r="K154" s="564">
        <f>VLOOKUP(D154,'CNKT '!$D$101:$AC$164,24,0)</f>
        <v>8311507</v>
      </c>
      <c r="L154" s="564"/>
      <c r="M154" s="566">
        <f t="shared" si="12"/>
        <v>8311507</v>
      </c>
      <c r="N154" s="629"/>
    </row>
    <row r="155" spans="1:14" s="113" customFormat="1" ht="21.75" customHeight="1">
      <c r="A155" s="795">
        <v>140</v>
      </c>
      <c r="B155" s="220">
        <v>57</v>
      </c>
      <c r="C155" s="628" t="str">
        <f>'Chấm công KT'!C151</f>
        <v>04084</v>
      </c>
      <c r="D155" s="565" t="str">
        <f>'CNKT '!D157</f>
        <v>T. Thi</v>
      </c>
      <c r="E155" s="565" t="s">
        <v>26</v>
      </c>
      <c r="F155" s="564">
        <f>VLOOKUP(D155,'CNKT '!$D$101:$G$164,4,0)</f>
        <v>0</v>
      </c>
      <c r="G155" s="564">
        <f>VLOOKUP(D155,'CNKT '!$D$101:$O$164,12,0)</f>
        <v>8110401</v>
      </c>
      <c r="H155" s="564">
        <f>VLOOKUP(D155,'CNKT '!$D$101:$Z$164,23,0)</f>
        <v>1415860</v>
      </c>
      <c r="I155" s="564">
        <f t="shared" si="11"/>
        <v>9526261</v>
      </c>
      <c r="J155" s="564"/>
      <c r="K155" s="564">
        <f>VLOOKUP(D155,'CNKT '!$D$101:$AC$164,24,0)</f>
        <v>9526261</v>
      </c>
      <c r="L155" s="564"/>
      <c r="M155" s="566">
        <f t="shared" si="12"/>
        <v>9526261</v>
      </c>
      <c r="N155" s="629"/>
    </row>
    <row r="156" spans="1:14" s="113" customFormat="1" ht="21.75" customHeight="1">
      <c r="A156" s="795">
        <v>141</v>
      </c>
      <c r="B156" s="220">
        <v>58</v>
      </c>
      <c r="C156" s="628" t="str">
        <f>'Chấm công KT'!C152</f>
        <v>04085</v>
      </c>
      <c r="D156" s="565" t="str">
        <f>'CNKT '!D158</f>
        <v>On chay</v>
      </c>
      <c r="E156" s="565" t="s">
        <v>26</v>
      </c>
      <c r="F156" s="564">
        <f>VLOOKUP(D156,'CNKT '!$D$101:$G$164,4,0)</f>
        <v>0</v>
      </c>
      <c r="G156" s="564">
        <f>VLOOKUP(D156,'CNKT '!$D$101:$O$164,12,0)</f>
        <v>5263572</v>
      </c>
      <c r="H156" s="564">
        <f>VLOOKUP(D156,'CNKT '!$D$101:$Z$164,23,0)</f>
        <v>1415860</v>
      </c>
      <c r="I156" s="564">
        <f t="shared" si="11"/>
        <v>6679432</v>
      </c>
      <c r="J156" s="564"/>
      <c r="K156" s="564">
        <f>VLOOKUP(D156,'CNKT '!$D$101:$AC$164,24,0)</f>
        <v>6679432</v>
      </c>
      <c r="L156" s="564"/>
      <c r="M156" s="566">
        <f t="shared" si="12"/>
        <v>6679432</v>
      </c>
      <c r="N156" s="629"/>
    </row>
    <row r="157" spans="1:14" s="113" customFormat="1" ht="21.75" customHeight="1">
      <c r="A157" s="795">
        <v>142</v>
      </c>
      <c r="B157" s="220">
        <v>59</v>
      </c>
      <c r="C157" s="628"/>
      <c r="D157" s="565" t="str">
        <f>'CNKT '!D159</f>
        <v>T. Thong</v>
      </c>
      <c r="E157" s="565" t="s">
        <v>26</v>
      </c>
      <c r="F157" s="564">
        <f>VLOOKUP(D157,'CNKT '!$D$101:$G$164,4,0)</f>
        <v>0</v>
      </c>
      <c r="G157" s="564">
        <f>VLOOKUP(D157,'CNKT '!$D$101:$O$164,12,0)</f>
        <v>2448613</v>
      </c>
      <c r="H157" s="564">
        <f>VLOOKUP(D157,'CNKT '!$D$101:$Z$164,23,0)</f>
        <v>1324588</v>
      </c>
      <c r="I157" s="564">
        <f t="shared" ref="I157:I161" si="13">SUM(F157:H157)</f>
        <v>3773201</v>
      </c>
      <c r="J157" s="564"/>
      <c r="K157" s="564">
        <f>VLOOKUP(D157,'CNKT '!$D$101:$AC$164,24,0)</f>
        <v>3773201</v>
      </c>
      <c r="L157" s="564"/>
      <c r="M157" s="566">
        <f t="shared" ref="M157:M161" si="14">K157-J157</f>
        <v>3773201</v>
      </c>
      <c r="N157" s="629"/>
    </row>
    <row r="158" spans="1:14" s="113" customFormat="1" ht="21.75" customHeight="1">
      <c r="A158" s="795">
        <v>143</v>
      </c>
      <c r="B158" s="220">
        <v>60</v>
      </c>
      <c r="C158" s="628"/>
      <c r="D158" s="565" t="str">
        <f>'CNKT '!D160</f>
        <v>T. Khách</v>
      </c>
      <c r="E158" s="565" t="s">
        <v>26</v>
      </c>
      <c r="F158" s="564">
        <f>VLOOKUP(D158,'CNKT '!$D$101:$G$164,4,0)</f>
        <v>0</v>
      </c>
      <c r="G158" s="564">
        <f>VLOOKUP(D158,'CNKT '!$D$101:$O$164,12,0)</f>
        <v>1622094</v>
      </c>
      <c r="H158" s="564">
        <f>VLOOKUP(D158,'CNKT '!$D$101:$Z$164,23,0)</f>
        <v>1142043</v>
      </c>
      <c r="I158" s="564">
        <f t="shared" si="13"/>
        <v>2764137</v>
      </c>
      <c r="J158" s="564"/>
      <c r="K158" s="564">
        <f>VLOOKUP(D158,'CNKT '!$D$101:$AC$164,24,0)</f>
        <v>2764137</v>
      </c>
      <c r="L158" s="564"/>
      <c r="M158" s="566">
        <f t="shared" si="14"/>
        <v>2764137</v>
      </c>
      <c r="N158" s="629"/>
    </row>
    <row r="159" spans="1:14" s="113" customFormat="1" ht="21.75" customHeight="1">
      <c r="A159" s="795">
        <v>144</v>
      </c>
      <c r="B159" s="220">
        <v>61</v>
      </c>
      <c r="C159" s="628"/>
      <c r="D159" s="565" t="str">
        <f>'CNKT '!D161</f>
        <v>Nang On Xi</v>
      </c>
      <c r="E159" s="565" t="s">
        <v>26</v>
      </c>
      <c r="F159" s="564">
        <f>VLOOKUP(D159,'CNKT '!$D$101:$G$164,4,0)</f>
        <v>0</v>
      </c>
      <c r="G159" s="564">
        <f>VLOOKUP(D159,'CNKT '!$D$101:$O$164,12,0)</f>
        <v>689668</v>
      </c>
      <c r="H159" s="564">
        <f>VLOOKUP(D159,'CNKT '!$D$101:$Z$164,23,0)</f>
        <v>849269</v>
      </c>
      <c r="I159" s="564">
        <f t="shared" si="13"/>
        <v>1538937</v>
      </c>
      <c r="J159" s="564"/>
      <c r="K159" s="564">
        <f>VLOOKUP(D159,'CNKT '!$D$101:$AC$164,24,0)</f>
        <v>1538937</v>
      </c>
      <c r="L159" s="564"/>
      <c r="M159" s="566">
        <f t="shared" si="14"/>
        <v>1538937</v>
      </c>
      <c r="N159" s="629"/>
    </row>
    <row r="160" spans="1:14" s="113" customFormat="1" ht="21.75" customHeight="1">
      <c r="A160" s="795">
        <v>145</v>
      </c>
      <c r="B160" s="220">
        <v>62</v>
      </c>
      <c r="C160" s="628"/>
      <c r="D160" s="565" t="str">
        <f>'CNKT '!D162</f>
        <v>Thảo Túc</v>
      </c>
      <c r="E160" s="565" t="s">
        <v>26</v>
      </c>
      <c r="F160" s="564">
        <f>VLOOKUP(D160,'CNKT '!$D$101:$G$164,4,0)</f>
        <v>0</v>
      </c>
      <c r="G160" s="564">
        <f>VLOOKUP(D160,'CNKT '!$D$101:$O$164,12,0)</f>
        <v>539706</v>
      </c>
      <c r="H160" s="564">
        <f>VLOOKUP(D160,'CNKT '!$D$101:$Z$164,23,0)</f>
        <v>737669</v>
      </c>
      <c r="I160" s="564">
        <f t="shared" si="13"/>
        <v>1277375</v>
      </c>
      <c r="J160" s="564"/>
      <c r="K160" s="564">
        <f>VLOOKUP(D160,'CNKT '!$D$101:$AC$164,24,0)</f>
        <v>1277375</v>
      </c>
      <c r="L160" s="564"/>
      <c r="M160" s="566">
        <f t="shared" si="14"/>
        <v>1277375</v>
      </c>
      <c r="N160" s="629"/>
    </row>
    <row r="161" spans="1:16" s="113" customFormat="1" ht="21.75" customHeight="1">
      <c r="A161" s="795">
        <v>146</v>
      </c>
      <c r="B161" s="220">
        <v>63</v>
      </c>
      <c r="C161" s="628"/>
      <c r="D161" s="565" t="str">
        <f>'CNKT '!D163</f>
        <v>Mủ Xi Rum 2</v>
      </c>
      <c r="E161" s="565" t="s">
        <v>328</v>
      </c>
      <c r="F161" s="564">
        <f>VLOOKUP(D161,'CNKT '!$D$101:$G$164,4,0)</f>
        <v>0</v>
      </c>
      <c r="G161" s="564">
        <f>VLOOKUP(D161,'CNKT '!$D$101:$O$164,12,0)</f>
        <v>965997</v>
      </c>
      <c r="H161" s="564">
        <f>VLOOKUP(D161,'CNKT '!$D$101:$Z$164,23,0)</f>
        <v>0</v>
      </c>
      <c r="I161" s="564">
        <f t="shared" si="13"/>
        <v>965997</v>
      </c>
      <c r="J161" s="564"/>
      <c r="K161" s="564">
        <f>VLOOKUP(D161,'CNKT '!$D$101:$AC$164,24,0)</f>
        <v>965997</v>
      </c>
      <c r="L161" s="564"/>
      <c r="M161" s="566">
        <f t="shared" si="14"/>
        <v>965997</v>
      </c>
      <c r="N161" s="629"/>
    </row>
    <row r="162" spans="1:16" s="873" customFormat="1" ht="21.75" customHeight="1">
      <c r="A162" s="795">
        <v>147</v>
      </c>
      <c r="B162" s="220">
        <v>64</v>
      </c>
      <c r="C162" s="869"/>
      <c r="D162" s="867" t="str">
        <f>'CNKT '!D164</f>
        <v>Mon (3)</v>
      </c>
      <c r="E162" s="867" t="s">
        <v>328</v>
      </c>
      <c r="F162" s="864">
        <f>VLOOKUP(D162,'CNKT '!$D$101:$G$164,4,0)</f>
        <v>0</v>
      </c>
      <c r="G162" s="864">
        <f>VLOOKUP(D162,'CNKT '!$D$101:$O$164,10,0)</f>
        <v>0</v>
      </c>
      <c r="H162" s="864">
        <f>VLOOKUP(D162,'CNKT '!$D$101:$Z$164,21,0)</f>
        <v>0</v>
      </c>
      <c r="I162" s="864">
        <f t="shared" ref="I162:I163" si="15">SUM(F162:H162)</f>
        <v>0</v>
      </c>
      <c r="J162" s="864"/>
      <c r="K162" s="864">
        <f>VLOOKUP(D162,'CNKT '!$D$101:$AC$164,24,0)</f>
        <v>0</v>
      </c>
      <c r="L162" s="864"/>
      <c r="M162" s="866">
        <f t="shared" ref="M162:M163" si="16">K162-J162</f>
        <v>0</v>
      </c>
      <c r="N162" s="872"/>
    </row>
    <row r="163" spans="1:16" s="873" customFormat="1" ht="21.75" customHeight="1">
      <c r="A163" s="795">
        <v>148</v>
      </c>
      <c r="B163" s="220">
        <v>65</v>
      </c>
      <c r="C163" s="869"/>
      <c r="D163" s="867" t="str">
        <f>'CNKT '!D165</f>
        <v>T. Huân</v>
      </c>
      <c r="E163" s="867" t="s">
        <v>328</v>
      </c>
      <c r="F163" s="864">
        <f>VLOOKUP(D163,'CNKT '!$D$101:$G$165,4,0)</f>
        <v>0</v>
      </c>
      <c r="G163" s="864">
        <f>VLOOKUP(D163,'CNKT '!$D$101:$O$165,10,0)</f>
        <v>0</v>
      </c>
      <c r="H163" s="864">
        <f>VLOOKUP(D163,'CNKT '!$D$101:$Z$165,21,0)</f>
        <v>0</v>
      </c>
      <c r="I163" s="864">
        <f t="shared" si="15"/>
        <v>0</v>
      </c>
      <c r="J163" s="864"/>
      <c r="K163" s="864">
        <f>VLOOKUP(D163,'CNKT '!$D$101:$AC$165,24,0)</f>
        <v>0</v>
      </c>
      <c r="L163" s="864"/>
      <c r="M163" s="866">
        <f t="shared" si="16"/>
        <v>0</v>
      </c>
      <c r="N163" s="872"/>
    </row>
    <row r="164" spans="1:16" s="873" customFormat="1" ht="21.75" hidden="1" customHeight="1">
      <c r="A164" s="795">
        <v>149</v>
      </c>
      <c r="B164" s="220">
        <v>66</v>
      </c>
      <c r="C164" s="869"/>
      <c r="D164" s="867" t="str">
        <f>'CNKT '!D166</f>
        <v>Chuyển 2</v>
      </c>
      <c r="E164" s="867" t="s">
        <v>328</v>
      </c>
      <c r="F164" s="864">
        <f>VLOOKUP(D164,'CNKT '!$D$101:$G$166,4,0)</f>
        <v>0</v>
      </c>
      <c r="G164" s="864">
        <f>VLOOKUP(D164,'CNKT '!$D$101:$O$166,10,0)</f>
        <v>0</v>
      </c>
      <c r="H164" s="864">
        <f>VLOOKUP(D164,'CNKT '!$D$101:$Z$166,21,0)</f>
        <v>0</v>
      </c>
      <c r="I164" s="864">
        <f t="shared" ref="I164" si="17">SUM(F164:H164)</f>
        <v>0</v>
      </c>
      <c r="J164" s="864"/>
      <c r="K164" s="864">
        <f>VLOOKUP(D164,'CNKT '!$D$101:$AC$166,24,0)</f>
        <v>0</v>
      </c>
      <c r="L164" s="864"/>
      <c r="M164" s="866">
        <f t="shared" ref="M164" si="18">K164-J164</f>
        <v>0</v>
      </c>
      <c r="N164" s="872"/>
    </row>
    <row r="165" spans="1:16" s="112" customFormat="1" ht="21.6" customHeight="1">
      <c r="A165" s="1590" t="s">
        <v>763</v>
      </c>
      <c r="B165" s="1591"/>
      <c r="C165" s="1591"/>
      <c r="D165" s="1591"/>
      <c r="E165" s="1174">
        <v>3</v>
      </c>
      <c r="F165" s="627">
        <f>SUM(F166:F168)</f>
        <v>6000000</v>
      </c>
      <c r="G165" s="627"/>
      <c r="H165" s="627">
        <f t="shared" ref="H165:J165" si="19">SUM(H166:H168)</f>
        <v>1860000</v>
      </c>
      <c r="I165" s="627">
        <f t="shared" si="19"/>
        <v>7860000</v>
      </c>
      <c r="J165" s="627">
        <f t="shared" si="19"/>
        <v>66000</v>
      </c>
      <c r="K165" s="627">
        <f>SUM(K166:K168)</f>
        <v>7794000</v>
      </c>
      <c r="L165" s="627">
        <f>SUM(L170:L173)</f>
        <v>0</v>
      </c>
      <c r="M165" s="627">
        <f>SUM(M170:M173)</f>
        <v>15145642.069322575</v>
      </c>
      <c r="N165" s="631"/>
      <c r="O165" s="111"/>
      <c r="P165" s="114"/>
    </row>
    <row r="166" spans="1:16" s="112" customFormat="1" ht="21.6" customHeight="1">
      <c r="A166" s="955"/>
      <c r="B166" s="956"/>
      <c r="C166" s="956"/>
      <c r="D166" s="262" t="str">
        <f>'LƯƠNG CB.CNV LÀO'!B13</f>
        <v>Pôn</v>
      </c>
      <c r="E166" s="262" t="s">
        <v>745</v>
      </c>
      <c r="F166" s="564">
        <f>'LƯƠNG CB.CNV LÀO'!E13</f>
        <v>2000000</v>
      </c>
      <c r="G166" s="564"/>
      <c r="H166" s="564">
        <f>'LƯƠNG CB.CNV LÀO'!H13</f>
        <v>620000</v>
      </c>
      <c r="I166" s="564">
        <f>'LƯƠNG CB.CNV LÀO'!I13</f>
        <v>2620000</v>
      </c>
      <c r="J166" s="564"/>
      <c r="K166" s="564">
        <f>I166-J166</f>
        <v>2620000</v>
      </c>
      <c r="L166" s="627"/>
      <c r="M166" s="627"/>
      <c r="N166" s="631"/>
      <c r="O166" s="111"/>
      <c r="P166" s="114"/>
    </row>
    <row r="167" spans="1:16" s="112" customFormat="1" ht="21.6" customHeight="1">
      <c r="A167" s="955"/>
      <c r="B167" s="956"/>
      <c r="C167" s="956"/>
      <c r="D167" s="262" t="str">
        <f>'LƯƠNG CB.CNV LÀO'!B14</f>
        <v>Đô La</v>
      </c>
      <c r="E167" s="262" t="s">
        <v>745</v>
      </c>
      <c r="F167" s="564">
        <f>'LƯƠNG CB.CNV LÀO'!E14</f>
        <v>2000000</v>
      </c>
      <c r="G167" s="564"/>
      <c r="H167" s="564">
        <f>'LƯƠNG CB.CNV LÀO'!H14</f>
        <v>620000</v>
      </c>
      <c r="I167" s="564">
        <f>'LƯƠNG CB.CNV LÀO'!I14</f>
        <v>2620000</v>
      </c>
      <c r="J167" s="564"/>
      <c r="K167" s="564">
        <f t="shared" ref="K167:K168" si="20">I167-J167</f>
        <v>2620000</v>
      </c>
      <c r="L167" s="627"/>
      <c r="M167" s="627"/>
      <c r="N167" s="631"/>
      <c r="O167" s="111"/>
      <c r="P167" s="114"/>
    </row>
    <row r="168" spans="1:16" s="112" customFormat="1" ht="21.6" customHeight="1">
      <c r="A168" s="955"/>
      <c r="B168" s="956"/>
      <c r="C168" s="956"/>
      <c r="D168" s="262" t="str">
        <f>'LƯƠNG CB.CNV LÀO'!B15</f>
        <v xml:space="preserve">Thảo Mét </v>
      </c>
      <c r="E168" s="262" t="s">
        <v>745</v>
      </c>
      <c r="F168" s="564">
        <f>'LƯƠNG CB.CNV LÀO'!E15</f>
        <v>2000000</v>
      </c>
      <c r="G168" s="564"/>
      <c r="H168" s="564">
        <f>'LƯƠNG CB.CNV LÀO'!H15</f>
        <v>620000</v>
      </c>
      <c r="I168" s="564">
        <f>'LƯƠNG CB.CNV LÀO'!I15</f>
        <v>2620000</v>
      </c>
      <c r="J168" s="564">
        <f>'LƯƠNG CB.CNV LÀO'!J15</f>
        <v>66000</v>
      </c>
      <c r="K168" s="564">
        <f t="shared" si="20"/>
        <v>2554000</v>
      </c>
      <c r="L168" s="627"/>
      <c r="M168" s="627"/>
      <c r="N168" s="631"/>
      <c r="O168" s="111"/>
      <c r="P168" s="114"/>
    </row>
    <row r="169" spans="1:16" s="112" customFormat="1" ht="21.6" customHeight="1">
      <c r="A169" s="1590" t="s">
        <v>764</v>
      </c>
      <c r="B169" s="1591"/>
      <c r="C169" s="1591"/>
      <c r="D169" s="1592"/>
      <c r="E169" s="414">
        <v>2</v>
      </c>
      <c r="F169" s="627">
        <f>SUM(F170:F171)</f>
        <v>0</v>
      </c>
      <c r="G169" s="627"/>
      <c r="H169" s="627"/>
      <c r="I169" s="627">
        <f t="shared" ref="I169:K169" si="21">SUM(I170:I171)</f>
        <v>13945157.854802858</v>
      </c>
      <c r="J169" s="627">
        <f t="shared" si="21"/>
        <v>764515.78548028588</v>
      </c>
      <c r="K169" s="627">
        <f t="shared" si="21"/>
        <v>13180642.069322575</v>
      </c>
      <c r="L169" s="627"/>
      <c r="M169" s="627"/>
      <c r="N169" s="631"/>
      <c r="O169" s="111"/>
      <c r="P169" s="114"/>
    </row>
    <row r="170" spans="1:16" s="112" customFormat="1" ht="26.25" customHeight="1">
      <c r="A170" s="797"/>
      <c r="B170" s="269"/>
      <c r="C170" s="312"/>
      <c r="D170" s="262" t="str">
        <f>'LƯƠNG CB.CNV LÀO'!B17</f>
        <v>Thảo Văn Vông</v>
      </c>
      <c r="E170" s="262" t="s">
        <v>393</v>
      </c>
      <c r="F170" s="227">
        <f>VLOOKUP(D170,'LƯƠNG CB.CNV LÀO'!B17:K18,7,0)</f>
        <v>0</v>
      </c>
      <c r="G170" s="564"/>
      <c r="H170" s="564"/>
      <c r="I170" s="630">
        <f>VLOOKUP(D170,'LƯƠNG CB.CNV LÀO'!B17:K18,8,0)</f>
        <v>7105899.0793324765</v>
      </c>
      <c r="J170" s="564">
        <f>VLOOKUP(D170,'LƯƠNG CB.CNV LÀO'!B17:K18,9,0)</f>
        <v>395589.90793324762</v>
      </c>
      <c r="K170" s="630">
        <f>I170-J170</f>
        <v>6710309.1713992292</v>
      </c>
      <c r="L170" s="227"/>
      <c r="M170" s="566">
        <f>K170</f>
        <v>6710309.1713992292</v>
      </c>
      <c r="N170" s="631"/>
      <c r="O170" s="111"/>
      <c r="P170" s="114"/>
    </row>
    <row r="171" spans="1:16" s="112" customFormat="1" ht="26.25" customHeight="1">
      <c r="A171" s="797"/>
      <c r="B171" s="269"/>
      <c r="C171" s="312"/>
      <c r="D171" s="262" t="str">
        <f>'LƯƠNG CB.CNV LÀO'!B18</f>
        <v>Thảo Phôn Chay</v>
      </c>
      <c r="E171" s="262" t="s">
        <v>393</v>
      </c>
      <c r="F171" s="227">
        <f>VLOOKUP(D171,'LƯƠNG CB.CNV LÀO'!B18:K19,7,0)</f>
        <v>0</v>
      </c>
      <c r="G171" s="564"/>
      <c r="H171" s="564"/>
      <c r="I171" s="630">
        <f>VLOOKUP(D171,'LƯƠNG CB.CNV LÀO'!B18:K19,8,0)</f>
        <v>6839258.7754703825</v>
      </c>
      <c r="J171" s="564">
        <f>VLOOKUP(D171,'LƯƠNG CB.CNV LÀO'!B18:K19,9,0)</f>
        <v>368925.87754703825</v>
      </c>
      <c r="K171" s="630">
        <f>I171-J171</f>
        <v>6470332.8979233447</v>
      </c>
      <c r="L171" s="227"/>
      <c r="M171" s="566">
        <f>K171</f>
        <v>6470332.8979233447</v>
      </c>
      <c r="N171" s="631"/>
      <c r="O171" s="111"/>
      <c r="P171" s="114"/>
    </row>
    <row r="172" spans="1:16" s="112" customFormat="1" ht="26.25" customHeight="1">
      <c r="A172" s="1593" t="s">
        <v>137</v>
      </c>
      <c r="B172" s="1594"/>
      <c r="C172" s="1594"/>
      <c r="D172" s="1595"/>
      <c r="E172" s="414">
        <v>1</v>
      </c>
      <c r="F172" s="560">
        <f>F173</f>
        <v>2000000</v>
      </c>
      <c r="G172" s="560"/>
      <c r="H172" s="560"/>
      <c r="I172" s="560">
        <f t="shared" ref="I172:K172" si="22">I173</f>
        <v>2000000</v>
      </c>
      <c r="J172" s="560">
        <f t="shared" si="22"/>
        <v>35000</v>
      </c>
      <c r="K172" s="560">
        <f t="shared" si="22"/>
        <v>1965000</v>
      </c>
      <c r="L172" s="227"/>
      <c r="M172" s="566"/>
      <c r="N172" s="631"/>
      <c r="O172" s="111"/>
      <c r="P172" s="114"/>
    </row>
    <row r="173" spans="1:16" s="112" customFormat="1" ht="26.25" customHeight="1">
      <c r="A173" s="797"/>
      <c r="B173" s="269"/>
      <c r="C173" s="312"/>
      <c r="D173" s="262" t="str">
        <f>'LƯƠNG CB.CNV LÀO'!B20</f>
        <v>N. Nhung  ( VP)</v>
      </c>
      <c r="E173" s="262" t="s">
        <v>138</v>
      </c>
      <c r="F173" s="227">
        <f>'LƯƠNG CB.CNV LÀO'!E20</f>
        <v>2000000</v>
      </c>
      <c r="G173" s="564"/>
      <c r="H173" s="564"/>
      <c r="I173" s="630">
        <f>F173</f>
        <v>2000000</v>
      </c>
      <c r="J173" s="564">
        <f>'LƯƠNG CB.CNV LÀO'!J20</f>
        <v>35000</v>
      </c>
      <c r="K173" s="630">
        <f t="shared" ref="K173" si="23">I173-J173</f>
        <v>1965000</v>
      </c>
      <c r="L173" s="227"/>
      <c r="M173" s="566">
        <f t="shared" ref="M173" si="24">K173</f>
        <v>1965000</v>
      </c>
      <c r="N173" s="631"/>
      <c r="O173" s="111"/>
      <c r="P173" s="114"/>
    </row>
    <row r="174" spans="1:16" s="112" customFormat="1" ht="26.25" customHeight="1">
      <c r="A174" s="1578" t="s">
        <v>765</v>
      </c>
      <c r="B174" s="1579"/>
      <c r="C174" s="1579"/>
      <c r="D174" s="1579"/>
      <c r="E174" s="1580"/>
      <c r="F174" s="953">
        <f t="shared" ref="F174:M174" si="25">F13+F98</f>
        <v>0</v>
      </c>
      <c r="G174" s="953">
        <f t="shared" si="25"/>
        <v>914581401</v>
      </c>
      <c r="H174" s="953">
        <f t="shared" si="25"/>
        <v>159901109</v>
      </c>
      <c r="I174" s="953">
        <f t="shared" si="25"/>
        <v>1074482510</v>
      </c>
      <c r="J174" s="953">
        <f t="shared" si="25"/>
        <v>0</v>
      </c>
      <c r="K174" s="953">
        <f t="shared" si="25"/>
        <v>1074482510</v>
      </c>
      <c r="L174" s="627">
        <f t="shared" si="25"/>
        <v>0</v>
      </c>
      <c r="M174" s="627">
        <f t="shared" si="25"/>
        <v>1074482510</v>
      </c>
      <c r="N174" s="632"/>
      <c r="O174" s="115">
        <f>'CNKT '!AC167</f>
        <v>1074482510</v>
      </c>
      <c r="P174" s="917">
        <f>O174-I174</f>
        <v>0</v>
      </c>
    </row>
    <row r="175" spans="1:16" s="112" customFormat="1" ht="26.25" customHeight="1">
      <c r="A175" s="1578" t="s">
        <v>766</v>
      </c>
      <c r="B175" s="1579"/>
      <c r="C175" s="1579"/>
      <c r="D175" s="1579"/>
      <c r="E175" s="1580"/>
      <c r="F175" s="953">
        <f>F165</f>
        <v>6000000</v>
      </c>
      <c r="G175" s="953"/>
      <c r="H175" s="953">
        <f t="shared" ref="H175:K175" si="26">H165</f>
        <v>1860000</v>
      </c>
      <c r="I175" s="953">
        <f t="shared" si="26"/>
        <v>7860000</v>
      </c>
      <c r="J175" s="953">
        <f t="shared" si="26"/>
        <v>66000</v>
      </c>
      <c r="K175" s="953">
        <f t="shared" si="26"/>
        <v>7794000</v>
      </c>
      <c r="L175" s="627"/>
      <c r="M175" s="627"/>
      <c r="N175" s="632"/>
      <c r="O175" s="115"/>
      <c r="P175" s="917"/>
    </row>
    <row r="176" spans="1:16" s="112" customFormat="1" ht="26.25" customHeight="1">
      <c r="A176" s="1578" t="s">
        <v>767</v>
      </c>
      <c r="B176" s="1579"/>
      <c r="C176" s="1579"/>
      <c r="D176" s="1579"/>
      <c r="E176" s="1580"/>
      <c r="F176" s="953">
        <f>F169</f>
        <v>0</v>
      </c>
      <c r="G176" s="953"/>
      <c r="H176" s="953"/>
      <c r="I176" s="953">
        <f t="shared" ref="I176:K176" si="27">I169</f>
        <v>13945157.854802858</v>
      </c>
      <c r="J176" s="953">
        <f t="shared" si="27"/>
        <v>764515.78548028588</v>
      </c>
      <c r="K176" s="953">
        <f t="shared" si="27"/>
        <v>13180642.069322575</v>
      </c>
      <c r="L176" s="627"/>
      <c r="M176" s="627"/>
      <c r="N176" s="632"/>
      <c r="O176" s="115"/>
      <c r="P176" s="917"/>
    </row>
    <row r="177" spans="1:17" s="112" customFormat="1" ht="21.75" customHeight="1">
      <c r="A177" s="1578" t="s">
        <v>768</v>
      </c>
      <c r="B177" s="1579"/>
      <c r="C177" s="1579"/>
      <c r="D177" s="1579"/>
      <c r="E177" s="1580"/>
      <c r="F177" s="953">
        <f>F172</f>
        <v>2000000</v>
      </c>
      <c r="G177" s="953"/>
      <c r="H177" s="953"/>
      <c r="I177" s="953">
        <f t="shared" ref="I177:K177" si="28">I172</f>
        <v>2000000</v>
      </c>
      <c r="J177" s="953">
        <f t="shared" si="28"/>
        <v>35000</v>
      </c>
      <c r="K177" s="953">
        <f t="shared" si="28"/>
        <v>1965000</v>
      </c>
      <c r="L177" s="627">
        <f>L165</f>
        <v>0</v>
      </c>
      <c r="M177" s="627">
        <f>M165</f>
        <v>15145642.069322575</v>
      </c>
      <c r="N177" s="632"/>
      <c r="O177" s="115"/>
    </row>
    <row r="178" spans="1:17" s="112" customFormat="1" ht="21.75" customHeight="1">
      <c r="A178" s="1596" t="s">
        <v>770</v>
      </c>
      <c r="B178" s="1597"/>
      <c r="C178" s="1597"/>
      <c r="D178" s="1597"/>
      <c r="E178" s="1598"/>
      <c r="F178" s="953">
        <f>SUM(F174:F177)</f>
        <v>8000000</v>
      </c>
      <c r="G178" s="953">
        <f t="shared" ref="G178:K178" si="29">SUM(G174:G177)</f>
        <v>914581401</v>
      </c>
      <c r="H178" s="953">
        <f t="shared" si="29"/>
        <v>161761109</v>
      </c>
      <c r="I178" s="954">
        <f t="shared" si="29"/>
        <v>1098287667.8548028</v>
      </c>
      <c r="J178" s="953">
        <f t="shared" si="29"/>
        <v>865515.78548028588</v>
      </c>
      <c r="K178" s="953">
        <f t="shared" si="29"/>
        <v>1097422152.0693226</v>
      </c>
      <c r="L178" s="627">
        <f t="shared" ref="L178:M178" si="30">SUM(L174:L177)</f>
        <v>0</v>
      </c>
      <c r="M178" s="627">
        <f t="shared" si="30"/>
        <v>1089628152.0693226</v>
      </c>
      <c r="N178" s="633"/>
      <c r="O178" s="111"/>
      <c r="P178" s="114"/>
    </row>
    <row r="179" spans="1:17" s="112" customFormat="1" ht="21.75" customHeight="1">
      <c r="A179" s="796"/>
      <c r="B179" s="1599" t="s">
        <v>873</v>
      </c>
      <c r="C179" s="1600"/>
      <c r="D179" s="1600"/>
      <c r="E179" s="1600"/>
      <c r="F179" s="1600"/>
      <c r="G179" s="1600"/>
      <c r="H179" s="1600"/>
      <c r="I179" s="1600"/>
      <c r="J179" s="1600"/>
      <c r="K179" s="1600"/>
      <c r="L179" s="1600"/>
      <c r="M179" s="1600"/>
      <c r="N179" s="1601"/>
      <c r="O179" s="111"/>
      <c r="P179" s="114"/>
    </row>
    <row r="180" spans="1:17" ht="16.5">
      <c r="B180" s="655"/>
      <c r="C180" s="596"/>
      <c r="D180" s="137"/>
      <c r="E180" s="137"/>
      <c r="F180" s="144"/>
      <c r="G180" s="137"/>
      <c r="H180" s="137"/>
      <c r="I180" s="1609" t="s">
        <v>749</v>
      </c>
      <c r="J180" s="1609"/>
      <c r="K180" s="1609"/>
      <c r="L180" s="1609"/>
      <c r="M180" s="1609"/>
      <c r="N180" s="1609"/>
      <c r="O180" s="35"/>
      <c r="Q180" s="37"/>
    </row>
    <row r="181" spans="1:17" s="29" customFormat="1" ht="16.5">
      <c r="B181" s="656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656"/>
      <c r="N181" s="216"/>
      <c r="O181" s="37"/>
      <c r="P181" s="117"/>
    </row>
    <row r="182" spans="1:17" s="29" customFormat="1" ht="16.5">
      <c r="A182" s="1610" t="s">
        <v>29</v>
      </c>
      <c r="B182" s="1610"/>
      <c r="C182" s="1610"/>
      <c r="D182" s="1610"/>
      <c r="E182" s="1610" t="s">
        <v>28</v>
      </c>
      <c r="F182" s="1610"/>
      <c r="G182" s="1610" t="s">
        <v>27</v>
      </c>
      <c r="H182" s="1610"/>
      <c r="I182" s="1610" t="s">
        <v>512</v>
      </c>
      <c r="J182" s="1610"/>
      <c r="K182" s="1610" t="s">
        <v>723</v>
      </c>
      <c r="L182" s="1610"/>
      <c r="M182" s="1610"/>
      <c r="N182" s="1610"/>
      <c r="O182" s="36"/>
      <c r="P182" s="117"/>
    </row>
    <row r="183" spans="1:17" s="29" customFormat="1" ht="16.5">
      <c r="B183" s="656"/>
      <c r="C183" s="634"/>
      <c r="D183" s="656"/>
      <c r="E183" s="656"/>
      <c r="F183" s="659"/>
      <c r="G183" s="635"/>
      <c r="H183" s="635"/>
      <c r="I183" s="636"/>
      <c r="J183" s="656"/>
      <c r="K183" s="656"/>
      <c r="L183" s="656"/>
      <c r="M183" s="637"/>
      <c r="N183" s="656"/>
      <c r="O183" s="2"/>
    </row>
    <row r="184" spans="1:17" ht="16.5">
      <c r="B184" s="655"/>
      <c r="C184" s="596"/>
      <c r="D184" s="137"/>
      <c r="E184" s="137"/>
      <c r="F184" s="139"/>
      <c r="G184" s="139"/>
      <c r="H184" s="139"/>
      <c r="I184" s="139"/>
      <c r="J184" s="139"/>
      <c r="K184" s="139"/>
      <c r="L184" s="139"/>
      <c r="M184" s="139"/>
      <c r="N184" s="638"/>
      <c r="O184" s="37"/>
    </row>
    <row r="185" spans="1:17" ht="16.5">
      <c r="B185" s="655"/>
      <c r="C185" s="596"/>
      <c r="D185" s="137"/>
      <c r="E185" s="137"/>
      <c r="F185" s="139"/>
      <c r="G185" s="139"/>
      <c r="H185" s="139"/>
      <c r="I185" s="139"/>
      <c r="J185" s="139"/>
      <c r="K185" s="139"/>
      <c r="L185" s="139"/>
      <c r="M185" s="139"/>
      <c r="N185" s="638"/>
      <c r="O185" s="37"/>
    </row>
    <row r="186" spans="1:17" ht="16.5">
      <c r="B186" s="655"/>
      <c r="C186" s="596"/>
      <c r="D186" s="137"/>
      <c r="E186" s="137"/>
      <c r="F186" s="139"/>
      <c r="G186" s="139"/>
      <c r="H186" s="139"/>
      <c r="I186" s="139"/>
      <c r="J186" s="139"/>
      <c r="K186" s="139"/>
      <c r="L186" s="139"/>
      <c r="M186" s="139"/>
      <c r="N186" s="638"/>
      <c r="O186" s="37"/>
    </row>
    <row r="187" spans="1:17" ht="16.5">
      <c r="B187" s="655"/>
      <c r="C187" s="596"/>
      <c r="D187" s="137"/>
      <c r="E187" s="137"/>
      <c r="F187" s="657"/>
      <c r="G187" s="657"/>
      <c r="H187" s="639"/>
      <c r="I187" s="639"/>
      <c r="J187" s="657"/>
      <c r="K187" s="657"/>
      <c r="L187" s="657"/>
      <c r="M187" s="657"/>
      <c r="N187" s="137"/>
    </row>
    <row r="188" spans="1:17" ht="16.5">
      <c r="B188" s="655"/>
      <c r="C188" s="1566"/>
      <c r="D188" s="1566"/>
      <c r="E188" s="216"/>
      <c r="F188" s="1608"/>
      <c r="G188" s="1608"/>
      <c r="H188" s="637"/>
      <c r="I188" s="216"/>
      <c r="J188" s="577"/>
      <c r="K188" s="216"/>
      <c r="L188" s="216"/>
      <c r="M188" s="656"/>
      <c r="N188" s="137"/>
    </row>
    <row r="189" spans="1:17" ht="16.5">
      <c r="B189" s="655"/>
      <c r="C189" s="2"/>
      <c r="F189" s="2"/>
      <c r="N189" s="2"/>
      <c r="O189" s="36"/>
    </row>
    <row r="190" spans="1:17" ht="16.5">
      <c r="B190" s="655"/>
      <c r="C190" s="596"/>
      <c r="D190" s="137"/>
      <c r="E190" s="137"/>
      <c r="F190" s="144"/>
      <c r="G190" s="640"/>
      <c r="H190" s="641"/>
      <c r="I190" s="137"/>
      <c r="J190" s="144"/>
      <c r="K190" s="137"/>
      <c r="L190" s="137"/>
      <c r="M190" s="137"/>
      <c r="N190" s="137"/>
    </row>
    <row r="191" spans="1:17" ht="16.5">
      <c r="B191" s="655"/>
      <c r="C191" s="596"/>
      <c r="D191" s="137"/>
      <c r="E191" s="137"/>
      <c r="F191" s="642"/>
      <c r="G191" s="643"/>
      <c r="H191" s="643"/>
      <c r="I191" s="385"/>
      <c r="J191" s="1606"/>
      <c r="K191" s="1606"/>
      <c r="L191" s="137"/>
      <c r="M191" s="139"/>
      <c r="N191" s="137"/>
    </row>
    <row r="192" spans="1:17">
      <c r="F192" s="661"/>
      <c r="G192" s="1471"/>
      <c r="H192" s="1471"/>
      <c r="I192" s="35"/>
      <c r="K192" s="36"/>
      <c r="O192" s="37" t="e">
        <f>+I178-#REF!</f>
        <v>#REF!</v>
      </c>
      <c r="P192" s="37">
        <f>+I178-J178</f>
        <v>1097422152.0693226</v>
      </c>
    </row>
    <row r="193" spans="6:13">
      <c r="F193" s="661"/>
      <c r="G193" s="1607"/>
      <c r="H193" s="1605"/>
      <c r="I193" s="662"/>
      <c r="J193" s="662"/>
    </row>
    <row r="194" spans="6:13" ht="18.75">
      <c r="F194" s="660"/>
      <c r="G194" s="1602"/>
      <c r="H194" s="1603"/>
      <c r="I194" s="73"/>
      <c r="J194" s="35"/>
      <c r="K194" s="31"/>
    </row>
    <row r="195" spans="6:13">
      <c r="G195" s="1604"/>
      <c r="H195" s="1605"/>
      <c r="I195" s="37"/>
      <c r="K195" s="35"/>
    </row>
    <row r="196" spans="6:13">
      <c r="H196" s="36"/>
      <c r="I196" s="73"/>
      <c r="K196" s="72"/>
    </row>
    <row r="197" spans="6:13">
      <c r="H197" s="37"/>
      <c r="I197" s="37"/>
      <c r="J197" s="35"/>
      <c r="K197" s="35"/>
      <c r="M197" s="661"/>
    </row>
    <row r="198" spans="6:13">
      <c r="H198" s="73"/>
      <c r="I198" s="36"/>
      <c r="M198" s="34"/>
    </row>
    <row r="199" spans="6:13">
      <c r="F199" s="661"/>
      <c r="K199" s="37"/>
      <c r="M199" s="36"/>
    </row>
    <row r="200" spans="6:13">
      <c r="F200" s="661"/>
      <c r="G200" s="36"/>
      <c r="K200" s="37"/>
      <c r="M200" s="36"/>
    </row>
    <row r="201" spans="6:13">
      <c r="F201" s="661"/>
      <c r="H201" s="35"/>
      <c r="L201" s="36"/>
    </row>
    <row r="202" spans="6:13">
      <c r="M202" s="183"/>
    </row>
    <row r="209" spans="6:6">
      <c r="F209" s="34" t="s">
        <v>132</v>
      </c>
    </row>
  </sheetData>
  <mergeCells count="41">
    <mergeCell ref="A177:E177"/>
    <mergeCell ref="A178:E178"/>
    <mergeCell ref="B179:N179"/>
    <mergeCell ref="G194:H194"/>
    <mergeCell ref="G195:H195"/>
    <mergeCell ref="J191:K191"/>
    <mergeCell ref="G192:H192"/>
    <mergeCell ref="G193:H193"/>
    <mergeCell ref="F188:G188"/>
    <mergeCell ref="C188:D188"/>
    <mergeCell ref="I180:N180"/>
    <mergeCell ref="E182:F182"/>
    <mergeCell ref="G182:H182"/>
    <mergeCell ref="I182:J182"/>
    <mergeCell ref="K182:N182"/>
    <mergeCell ref="A182:D182"/>
    <mergeCell ref="A11:B12"/>
    <mergeCell ref="C11:C12"/>
    <mergeCell ref="A174:E174"/>
    <mergeCell ref="D11:D12"/>
    <mergeCell ref="A13:D13"/>
    <mergeCell ref="A98:D98"/>
    <mergeCell ref="A165:D165"/>
    <mergeCell ref="A169:D169"/>
    <mergeCell ref="A172:D172"/>
    <mergeCell ref="A175:E175"/>
    <mergeCell ref="A176:E176"/>
    <mergeCell ref="B1:N1"/>
    <mergeCell ref="B2:N2"/>
    <mergeCell ref="B5:I5"/>
    <mergeCell ref="B6:I6"/>
    <mergeCell ref="B3:N3"/>
    <mergeCell ref="B8:N8"/>
    <mergeCell ref="E11:E12"/>
    <mergeCell ref="F11:H11"/>
    <mergeCell ref="I11:I12"/>
    <mergeCell ref="N11:N12"/>
    <mergeCell ref="M11:M12"/>
    <mergeCell ref="J11:J12"/>
    <mergeCell ref="K11:K12"/>
    <mergeCell ref="L11:L12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83" fitToHeight="0" orientation="landscape" r:id="rId1"/>
  <headerFooter>
    <oddFooter>&amp;R&amp;P</oddFooter>
  </headerFooter>
  <colBreaks count="1" manualBreakCount="1">
    <brk id="14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51"/>
  <sheetViews>
    <sheetView topLeftCell="A10" zoomScale="70" zoomScaleNormal="70" workbookViewId="0">
      <selection activeCell="A21" sqref="A21:V21"/>
    </sheetView>
  </sheetViews>
  <sheetFormatPr defaultColWidth="9.140625" defaultRowHeight="15"/>
  <cols>
    <col min="1" max="1" width="3.85546875" style="2" customWidth="1"/>
    <col min="2" max="2" width="4.28515625" style="658" customWidth="1"/>
    <col min="3" max="3" width="9.85546875" style="71" hidden="1" customWidth="1"/>
    <col min="4" max="4" width="20.140625" style="2" customWidth="1"/>
    <col min="5" max="5" width="7.85546875" style="2" customWidth="1"/>
    <col min="6" max="6" width="11.42578125" style="2" customWidth="1"/>
    <col min="7" max="7" width="15.7109375" style="2" customWidth="1"/>
    <col min="8" max="9" width="13.140625" style="34" customWidth="1"/>
    <col min="10" max="10" width="13.140625" style="2" customWidth="1"/>
    <col min="11" max="11" width="14.42578125" style="2" customWidth="1"/>
    <col min="12" max="12" width="12.7109375" style="2" customWidth="1"/>
    <col min="13" max="13" width="11.42578125" style="2" customWidth="1"/>
    <col min="14" max="14" width="11.7109375" style="2" customWidth="1"/>
    <col min="15" max="15" width="13" style="2" customWidth="1"/>
    <col min="16" max="16" width="16.28515625" style="2" customWidth="1"/>
    <col min="17" max="17" width="19.28515625" style="2" customWidth="1"/>
    <col min="18" max="18" width="14.85546875" style="2" customWidth="1"/>
    <col min="19" max="19" width="25.28515625" style="2" customWidth="1"/>
    <col min="20" max="20" width="9.140625" style="2" hidden="1" customWidth="1"/>
    <col min="21" max="21" width="0.140625" style="2" customWidth="1"/>
    <col min="22" max="22" width="19.7109375" style="11" customWidth="1"/>
    <col min="23" max="23" width="22.7109375" style="2" customWidth="1"/>
    <col min="24" max="24" width="16.5703125" style="2" bestFit="1" customWidth="1"/>
    <col min="25" max="16384" width="9.140625" style="2"/>
  </cols>
  <sheetData>
    <row r="1" spans="1:26" ht="22.5">
      <c r="B1" s="1581" t="s">
        <v>51</v>
      </c>
      <c r="C1" s="1581"/>
      <c r="D1" s="1581"/>
      <c r="E1" s="1581"/>
      <c r="F1" s="1581"/>
      <c r="G1" s="1581"/>
      <c r="H1" s="1581"/>
      <c r="I1" s="1581"/>
      <c r="J1" s="1581"/>
      <c r="K1" s="1581"/>
      <c r="L1" s="1581"/>
      <c r="M1" s="1581"/>
      <c r="N1" s="1581"/>
      <c r="O1" s="1581"/>
      <c r="P1" s="1581"/>
      <c r="Q1" s="1581"/>
      <c r="R1" s="1581"/>
      <c r="S1" s="1581"/>
      <c r="T1" s="1581"/>
      <c r="U1" s="1581"/>
      <c r="V1" s="1581"/>
      <c r="W1" s="625"/>
      <c r="X1" s="625"/>
      <c r="Y1" s="625"/>
      <c r="Z1" s="625"/>
    </row>
    <row r="2" spans="1:26" ht="22.5">
      <c r="B2" s="1581" t="s">
        <v>38</v>
      </c>
      <c r="C2" s="1581"/>
      <c r="D2" s="1581"/>
      <c r="E2" s="1581"/>
      <c r="F2" s="1581"/>
      <c r="G2" s="1581"/>
      <c r="H2" s="1581"/>
      <c r="I2" s="1581"/>
      <c r="J2" s="1581"/>
      <c r="K2" s="1581"/>
      <c r="L2" s="1581"/>
      <c r="M2" s="1581"/>
      <c r="N2" s="1581"/>
      <c r="O2" s="1581"/>
      <c r="P2" s="1581"/>
      <c r="Q2" s="1581"/>
      <c r="R2" s="1581"/>
      <c r="S2" s="1581"/>
      <c r="T2" s="1581"/>
      <c r="U2" s="1581"/>
      <c r="V2" s="1581"/>
      <c r="W2" s="625"/>
      <c r="X2" s="625"/>
      <c r="Y2" s="625"/>
      <c r="Z2" s="625"/>
    </row>
    <row r="3" spans="1:26" ht="22.5">
      <c r="B3" s="1583" t="s">
        <v>254</v>
      </c>
      <c r="C3" s="1583"/>
      <c r="D3" s="1583"/>
      <c r="E3" s="1583"/>
      <c r="F3" s="1583"/>
      <c r="G3" s="1583"/>
      <c r="H3" s="1583"/>
      <c r="I3" s="1583"/>
      <c r="J3" s="1583"/>
      <c r="K3" s="1583"/>
      <c r="L3" s="1583"/>
      <c r="M3" s="1583"/>
      <c r="N3" s="1583"/>
      <c r="O3" s="1583"/>
      <c r="P3" s="1583"/>
      <c r="Q3" s="1583"/>
      <c r="R3" s="1583"/>
      <c r="S3" s="1583"/>
      <c r="T3" s="1583"/>
      <c r="U3" s="1583"/>
      <c r="V3" s="1583"/>
      <c r="W3" s="625"/>
      <c r="X3" s="625"/>
      <c r="Y3" s="625"/>
      <c r="Z3" s="625"/>
    </row>
    <row r="5" spans="1:26" s="137" customFormat="1" ht="16.5">
      <c r="B5" s="1582" t="s">
        <v>510</v>
      </c>
      <c r="C5" s="1582"/>
      <c r="D5" s="1582"/>
      <c r="E5" s="1582"/>
      <c r="F5" s="1582"/>
      <c r="G5" s="1582"/>
      <c r="H5" s="1582"/>
      <c r="I5" s="1582"/>
      <c r="J5" s="1582"/>
      <c r="K5" s="4"/>
      <c r="L5" s="4"/>
      <c r="M5" s="4"/>
      <c r="N5" s="4"/>
      <c r="O5" s="4"/>
      <c r="P5" s="4"/>
      <c r="Q5" s="4"/>
      <c r="R5" s="106"/>
      <c r="S5" s="106"/>
      <c r="T5" s="106"/>
      <c r="U5" s="106"/>
      <c r="V5" s="106"/>
    </row>
    <row r="6" spans="1:26" s="137" customFormat="1" ht="16.5">
      <c r="B6" s="1457" t="s">
        <v>500</v>
      </c>
      <c r="C6" s="1457"/>
      <c r="D6" s="1457"/>
      <c r="E6" s="1457"/>
      <c r="F6" s="1457"/>
      <c r="G6" s="1457"/>
      <c r="H6" s="1457"/>
      <c r="I6" s="1457"/>
      <c r="J6" s="1457"/>
      <c r="K6" s="3"/>
      <c r="L6" s="3"/>
      <c r="M6" s="3"/>
      <c r="N6" s="3"/>
      <c r="O6" s="3"/>
      <c r="P6" s="3"/>
      <c r="Q6" s="3"/>
      <c r="R6" s="106"/>
      <c r="S6" s="106"/>
      <c r="T6" s="106"/>
      <c r="U6" s="106"/>
      <c r="V6" s="106"/>
    </row>
    <row r="7" spans="1:26" s="137" customFormat="1" ht="16.5">
      <c r="H7" s="144"/>
      <c r="I7" s="144"/>
      <c r="V7" s="11"/>
    </row>
    <row r="8" spans="1:26" s="137" customFormat="1" ht="28.9" customHeight="1">
      <c r="B8" s="1617" t="s">
        <v>850</v>
      </c>
      <c r="C8" s="1617"/>
      <c r="D8" s="1617"/>
      <c r="E8" s="1617"/>
      <c r="F8" s="1617"/>
      <c r="G8" s="1617"/>
      <c r="H8" s="1617"/>
      <c r="I8" s="1617"/>
      <c r="J8" s="1617"/>
      <c r="K8" s="1617"/>
      <c r="L8" s="1617"/>
      <c r="M8" s="1617"/>
      <c r="N8" s="1617"/>
      <c r="O8" s="1617"/>
      <c r="P8" s="1617"/>
      <c r="Q8" s="1617"/>
      <c r="R8" s="1617"/>
      <c r="S8" s="1617"/>
      <c r="T8" s="1617"/>
      <c r="U8" s="1617"/>
      <c r="V8" s="1617"/>
    </row>
    <row r="9" spans="1:26" ht="18.75"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</row>
    <row r="10" spans="1:26">
      <c r="B10" s="24"/>
      <c r="C10" s="108"/>
      <c r="D10" s="11"/>
      <c r="E10" s="11"/>
      <c r="F10" s="11"/>
      <c r="G10" s="11"/>
      <c r="H10" s="109"/>
      <c r="I10" s="109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6" ht="29.25" customHeight="1">
      <c r="A11" s="1622" t="s">
        <v>4</v>
      </c>
      <c r="B11" s="1623"/>
      <c r="C11" s="1563" t="s">
        <v>80</v>
      </c>
      <c r="D11" s="1619" t="s">
        <v>5</v>
      </c>
      <c r="E11" s="1585" t="s">
        <v>832</v>
      </c>
      <c r="F11" s="1593" t="s">
        <v>847</v>
      </c>
      <c r="G11" s="1594"/>
      <c r="H11" s="1594"/>
      <c r="I11" s="1594"/>
      <c r="J11" s="1594"/>
      <c r="K11" s="1594"/>
      <c r="L11" s="1594"/>
      <c r="M11" s="1594"/>
      <c r="N11" s="1594"/>
      <c r="O11" s="1594"/>
      <c r="P11" s="1595"/>
      <c r="Q11" s="1614" t="s">
        <v>848</v>
      </c>
      <c r="R11" s="1614" t="s">
        <v>9</v>
      </c>
      <c r="S11" s="1614" t="s">
        <v>323</v>
      </c>
      <c r="T11" s="1563" t="s">
        <v>10</v>
      </c>
      <c r="U11" s="1563" t="s">
        <v>11</v>
      </c>
      <c r="V11" s="1563" t="s">
        <v>62</v>
      </c>
    </row>
    <row r="12" spans="1:26" ht="36.75" customHeight="1">
      <c r="A12" s="1624"/>
      <c r="B12" s="1625"/>
      <c r="C12" s="1563"/>
      <c r="D12" s="1620"/>
      <c r="E12" s="1618"/>
      <c r="F12" s="1628" t="s">
        <v>833</v>
      </c>
      <c r="G12" s="1629"/>
      <c r="H12" s="1630" t="s">
        <v>21</v>
      </c>
      <c r="I12" s="1631"/>
      <c r="J12" s="1631"/>
      <c r="K12" s="1632"/>
      <c r="L12" s="1630" t="s">
        <v>839</v>
      </c>
      <c r="M12" s="1631"/>
      <c r="N12" s="1631"/>
      <c r="O12" s="1631"/>
      <c r="P12" s="1632"/>
      <c r="Q12" s="1615"/>
      <c r="R12" s="1615"/>
      <c r="S12" s="1615"/>
      <c r="T12" s="1562"/>
      <c r="U12" s="1562"/>
      <c r="V12" s="1562"/>
    </row>
    <row r="13" spans="1:26" ht="74.45" customHeight="1">
      <c r="A13" s="1626"/>
      <c r="B13" s="1627"/>
      <c r="C13" s="1165"/>
      <c r="D13" s="1621"/>
      <c r="E13" s="1586"/>
      <c r="F13" s="414" t="s">
        <v>33</v>
      </c>
      <c r="G13" s="414" t="s">
        <v>16</v>
      </c>
      <c r="H13" s="626" t="s">
        <v>834</v>
      </c>
      <c r="I13" s="1172" t="s">
        <v>849</v>
      </c>
      <c r="J13" s="468" t="s">
        <v>835</v>
      </c>
      <c r="K13" s="414" t="s">
        <v>16</v>
      </c>
      <c r="L13" s="468" t="s">
        <v>836</v>
      </c>
      <c r="M13" s="468" t="s">
        <v>837</v>
      </c>
      <c r="N13" s="468" t="s">
        <v>841</v>
      </c>
      <c r="O13" s="468" t="s">
        <v>838</v>
      </c>
      <c r="P13" s="414" t="s">
        <v>16</v>
      </c>
      <c r="Q13" s="1616"/>
      <c r="R13" s="1616"/>
      <c r="S13" s="1616"/>
      <c r="T13" s="414"/>
      <c r="U13" s="414"/>
      <c r="V13" s="414"/>
    </row>
    <row r="14" spans="1:26" ht="24.75" customHeight="1">
      <c r="A14" s="1611" t="s">
        <v>498</v>
      </c>
      <c r="B14" s="1612"/>
      <c r="C14" s="1612"/>
      <c r="D14" s="1613"/>
      <c r="E14" s="220">
        <f>'Trạm 1'!A99</f>
        <v>83</v>
      </c>
      <c r="F14" s="220">
        <f>'Trạm 1'!E100</f>
        <v>0</v>
      </c>
      <c r="G14" s="1166">
        <f>'Trạm 1'!F100</f>
        <v>0</v>
      </c>
      <c r="H14" s="564">
        <f>'Trạm 1'!G100</f>
        <v>292536</v>
      </c>
      <c r="I14" s="864">
        <f>'Trạm 1'!I100</f>
        <v>300</v>
      </c>
      <c r="J14" s="564">
        <f>'Trạm 1'!J100</f>
        <v>129301.20099999997</v>
      </c>
      <c r="K14" s="564">
        <f>'Trạm 1'!N100</f>
        <v>510467925</v>
      </c>
      <c r="L14" s="564">
        <f>'Trạm 1'!O100</f>
        <v>1974</v>
      </c>
      <c r="M14" s="564">
        <f>'Trạm 1'!P100</f>
        <v>294</v>
      </c>
      <c r="N14" s="564"/>
      <c r="O14" s="564"/>
      <c r="P14" s="564">
        <f>'Trạm 1'!Y100</f>
        <v>74978068</v>
      </c>
      <c r="Q14" s="564">
        <f>G14+K14+P14</f>
        <v>585445993</v>
      </c>
      <c r="R14" s="564"/>
      <c r="S14" s="564">
        <f>Q14-R14</f>
        <v>585445993</v>
      </c>
      <c r="T14" s="627" t="e">
        <f>SUM(#REF!)</f>
        <v>#REF!</v>
      </c>
      <c r="U14" s="627" t="e">
        <f>SUM(#REF!)</f>
        <v>#REF!</v>
      </c>
      <c r="V14" s="414"/>
    </row>
    <row r="15" spans="1:26" s="794" customFormat="1" ht="21.75" customHeight="1">
      <c r="A15" s="1611" t="s">
        <v>499</v>
      </c>
      <c r="B15" s="1612"/>
      <c r="C15" s="1612"/>
      <c r="D15" s="1613"/>
      <c r="E15" s="220">
        <f>'Trạm 2'!A81</f>
        <v>65</v>
      </c>
      <c r="F15" s="220">
        <f>'Trạm 2'!E83</f>
        <v>0</v>
      </c>
      <c r="G15" s="1166">
        <f>'Trạm 2'!F83</f>
        <v>0</v>
      </c>
      <c r="H15" s="564">
        <f>'Trạm 2'!G83</f>
        <v>231746</v>
      </c>
      <c r="I15" s="864">
        <f>'Trạm 2'!I83</f>
        <v>485</v>
      </c>
      <c r="J15" s="564">
        <f>'Trạm 2'!J83</f>
        <v>101630.75899999999</v>
      </c>
      <c r="K15" s="564">
        <f>'Trạm 2'!N83</f>
        <v>404113476</v>
      </c>
      <c r="L15" s="564">
        <f>'Trạm 2'!O83</f>
        <v>1557</v>
      </c>
      <c r="M15" s="564">
        <f>'Trạm 2'!P83</f>
        <v>61</v>
      </c>
      <c r="N15" s="564">
        <f>'Trạm 2'!R83</f>
        <v>171</v>
      </c>
      <c r="O15" s="564">
        <f>'Trạm 2'!V83</f>
        <v>171</v>
      </c>
      <c r="P15" s="564">
        <f>'Trạm 2'!Y83</f>
        <v>84923041</v>
      </c>
      <c r="Q15" s="564">
        <f>G15+K15+P15</f>
        <v>489036517</v>
      </c>
      <c r="R15" s="564"/>
      <c r="S15" s="564">
        <f t="shared" ref="S15:S18" si="0">Q15-R15</f>
        <v>489036517</v>
      </c>
      <c r="T15" s="627" t="e">
        <f>SUM(#REF!)</f>
        <v>#REF!</v>
      </c>
      <c r="U15" s="627" t="e">
        <f>SUM(#REF!)</f>
        <v>#REF!</v>
      </c>
      <c r="V15" s="791"/>
      <c r="W15" s="792" t="e">
        <f>Q15-#REF!-#REF!-T15</f>
        <v>#REF!</v>
      </c>
      <c r="X15" s="793" t="e">
        <f>#REF!-W15</f>
        <v>#REF!</v>
      </c>
    </row>
    <row r="16" spans="1:26" s="794" customFormat="1" ht="21.75" customHeight="1">
      <c r="A16" s="1611" t="s">
        <v>340</v>
      </c>
      <c r="B16" s="1612"/>
      <c r="C16" s="1612"/>
      <c r="D16" s="1612"/>
      <c r="E16" s="1148">
        <f>E14+E15</f>
        <v>148</v>
      </c>
      <c r="F16" s="1168">
        <f t="shared" ref="F16:K16" si="1">F14+F15</f>
        <v>0</v>
      </c>
      <c r="G16" s="1167">
        <f t="shared" si="1"/>
        <v>0</v>
      </c>
      <c r="H16" s="1167">
        <f t="shared" si="1"/>
        <v>524282</v>
      </c>
      <c r="I16" s="1173">
        <f t="shared" si="1"/>
        <v>785</v>
      </c>
      <c r="J16" s="1167">
        <f t="shared" si="1"/>
        <v>230931.95999999996</v>
      </c>
      <c r="K16" s="1167">
        <f t="shared" si="1"/>
        <v>914581401</v>
      </c>
      <c r="L16" s="1167">
        <f t="shared" ref="L16" si="2">L14+L15</f>
        <v>3531</v>
      </c>
      <c r="M16" s="1167">
        <f t="shared" ref="M16" si="3">M14+M15</f>
        <v>355</v>
      </c>
      <c r="N16" s="1167">
        <f t="shared" ref="N16" si="4">N14+N15</f>
        <v>171</v>
      </c>
      <c r="O16" s="1167">
        <f t="shared" ref="O16:Q16" si="5">O14+O15</f>
        <v>171</v>
      </c>
      <c r="P16" s="1167">
        <f t="shared" si="5"/>
        <v>159901109</v>
      </c>
      <c r="Q16" s="1167">
        <f t="shared" si="5"/>
        <v>1074482510</v>
      </c>
      <c r="R16" s="1167"/>
      <c r="S16" s="1167">
        <f t="shared" ref="S16" si="6">S14+S15</f>
        <v>1074482510</v>
      </c>
      <c r="T16" s="627"/>
      <c r="U16" s="627"/>
      <c r="V16" s="791"/>
      <c r="W16" s="792"/>
      <c r="X16" s="793"/>
    </row>
    <row r="17" spans="1:25" s="112" customFormat="1" ht="21.6" customHeight="1">
      <c r="A17" s="1635" t="s">
        <v>763</v>
      </c>
      <c r="B17" s="1636"/>
      <c r="C17" s="1636"/>
      <c r="D17" s="1636"/>
      <c r="E17" s="957">
        <v>3</v>
      </c>
      <c r="F17" s="957">
        <f>'LƯƠNG CB.CNV LÀO'!D12</f>
        <v>93</v>
      </c>
      <c r="G17" s="1169">
        <f>'LƯƠNG CB.CNV LÀO'!I12</f>
        <v>7860000</v>
      </c>
      <c r="H17" s="564"/>
      <c r="I17" s="564"/>
      <c r="J17" s="564"/>
      <c r="K17" s="564"/>
      <c r="L17" s="564"/>
      <c r="M17" s="564"/>
      <c r="N17" s="564"/>
      <c r="O17" s="564"/>
      <c r="P17" s="564"/>
      <c r="Q17" s="564">
        <f>G17</f>
        <v>7860000</v>
      </c>
      <c r="R17" s="564">
        <f>'LƯƠNG CB.CNV LÀO'!J12</f>
        <v>66000</v>
      </c>
      <c r="S17" s="564">
        <f t="shared" si="0"/>
        <v>7794000</v>
      </c>
      <c r="T17" s="627">
        <f>SUM(T19:T19)</f>
        <v>0</v>
      </c>
      <c r="U17" s="627">
        <f>SUM(U19:U19)</f>
        <v>0</v>
      </c>
      <c r="V17" s="631"/>
      <c r="W17" s="111"/>
      <c r="X17" s="114"/>
    </row>
    <row r="18" spans="1:25" s="112" customFormat="1" ht="21.6" customHeight="1">
      <c r="A18" s="1635" t="s">
        <v>764</v>
      </c>
      <c r="B18" s="1636"/>
      <c r="C18" s="1636"/>
      <c r="D18" s="1637"/>
      <c r="E18" s="220">
        <v>2</v>
      </c>
      <c r="F18" s="220">
        <f>'LƯƠNG CB.CNV LÀO'!D16</f>
        <v>62</v>
      </c>
      <c r="G18" s="1166">
        <f>'LƯƠNG CB.CNV LÀO'!I16</f>
        <v>13945157.854802858</v>
      </c>
      <c r="H18" s="564"/>
      <c r="I18" s="564"/>
      <c r="J18" s="564"/>
      <c r="K18" s="564"/>
      <c r="L18" s="564"/>
      <c r="M18" s="564"/>
      <c r="N18" s="564"/>
      <c r="O18" s="564"/>
      <c r="P18" s="564"/>
      <c r="Q18" s="564">
        <f t="shared" ref="Q18:Q19" si="7">G18</f>
        <v>13945157.854802858</v>
      </c>
      <c r="R18" s="564">
        <f>'LƯƠNG CB.CNV LÀO'!J16</f>
        <v>764515.78548028588</v>
      </c>
      <c r="S18" s="564">
        <f t="shared" si="0"/>
        <v>13180642.069322573</v>
      </c>
      <c r="T18" s="627"/>
      <c r="U18" s="627"/>
      <c r="V18" s="631"/>
      <c r="W18" s="111"/>
      <c r="X18" s="114"/>
    </row>
    <row r="19" spans="1:25" s="112" customFormat="1" ht="26.25" customHeight="1">
      <c r="A19" s="1611" t="s">
        <v>137</v>
      </c>
      <c r="B19" s="1612"/>
      <c r="C19" s="1612"/>
      <c r="D19" s="1613"/>
      <c r="E19" s="220">
        <v>1</v>
      </c>
      <c r="F19" s="220">
        <f>'LƯƠNG CB.CNV LÀO'!D19</f>
        <v>31</v>
      </c>
      <c r="G19" s="1166">
        <f>'LƯƠNG CB.CNV LÀO'!I19</f>
        <v>2000000</v>
      </c>
      <c r="H19" s="227"/>
      <c r="I19" s="227"/>
      <c r="J19" s="227"/>
      <c r="K19" s="227"/>
      <c r="L19" s="227"/>
      <c r="M19" s="227"/>
      <c r="N19" s="227"/>
      <c r="O19" s="227"/>
      <c r="P19" s="227"/>
      <c r="Q19" s="564">
        <f t="shared" si="7"/>
        <v>2000000</v>
      </c>
      <c r="R19" s="227">
        <f>'LƯƠNG CB.CNV LÀO'!J19</f>
        <v>35000</v>
      </c>
      <c r="S19" s="564">
        <f>Q19-R19</f>
        <v>1965000</v>
      </c>
      <c r="T19" s="227"/>
      <c r="U19" s="566"/>
      <c r="V19" s="631"/>
      <c r="W19" s="111"/>
      <c r="X19" s="114"/>
    </row>
    <row r="20" spans="1:25" s="112" customFormat="1" ht="21.75" customHeight="1">
      <c r="A20" s="1633" t="s">
        <v>770</v>
      </c>
      <c r="B20" s="1634"/>
      <c r="C20" s="1634"/>
      <c r="D20" s="1634"/>
      <c r="E20" s="954">
        <f>SUM(E16:E19)</f>
        <v>154</v>
      </c>
      <c r="F20" s="954">
        <f t="shared" ref="F20:G20" si="8">SUM(F16:F19)</f>
        <v>186</v>
      </c>
      <c r="G20" s="954">
        <f t="shared" si="8"/>
        <v>23805157.854802858</v>
      </c>
      <c r="H20" s="954">
        <f>SUM(H16:H19)</f>
        <v>524282</v>
      </c>
      <c r="I20" s="954">
        <f>SUM(I16:I19)</f>
        <v>785</v>
      </c>
      <c r="J20" s="954">
        <f t="shared" ref="J20:S20" si="9">SUM(J16:J19)</f>
        <v>230931.95999999996</v>
      </c>
      <c r="K20" s="954">
        <f t="shared" si="9"/>
        <v>914581401</v>
      </c>
      <c r="L20" s="954">
        <f t="shared" si="9"/>
        <v>3531</v>
      </c>
      <c r="M20" s="954">
        <f t="shared" si="9"/>
        <v>355</v>
      </c>
      <c r="N20" s="954">
        <f t="shared" si="9"/>
        <v>171</v>
      </c>
      <c r="O20" s="954">
        <f t="shared" si="9"/>
        <v>171</v>
      </c>
      <c r="P20" s="954">
        <f t="shared" si="9"/>
        <v>159901109</v>
      </c>
      <c r="Q20" s="627">
        <f>SUM(Q16:Q19)</f>
        <v>1098287667.8548028</v>
      </c>
      <c r="R20" s="954">
        <f t="shared" si="9"/>
        <v>865515.78548028588</v>
      </c>
      <c r="S20" s="954">
        <f t="shared" si="9"/>
        <v>1097422152.0693226</v>
      </c>
      <c r="T20" s="627" t="e">
        <f>SUM(#REF!)</f>
        <v>#REF!</v>
      </c>
      <c r="U20" s="627" t="e">
        <f>SUM(#REF!)</f>
        <v>#REF!</v>
      </c>
      <c r="V20" s="633"/>
      <c r="W20" s="111">
        <f>Q20-R20</f>
        <v>1097422152.0693226</v>
      </c>
      <c r="X20" s="114"/>
    </row>
    <row r="21" spans="1:25" s="112" customFormat="1" ht="21.75" customHeight="1">
      <c r="A21" s="1638" t="s">
        <v>874</v>
      </c>
      <c r="B21" s="1639"/>
      <c r="C21" s="1639"/>
      <c r="D21" s="1639"/>
      <c r="E21" s="1639"/>
      <c r="F21" s="1639"/>
      <c r="G21" s="1639"/>
      <c r="H21" s="1639"/>
      <c r="I21" s="1639"/>
      <c r="J21" s="1639"/>
      <c r="K21" s="1639"/>
      <c r="L21" s="1639"/>
      <c r="M21" s="1639"/>
      <c r="N21" s="1639"/>
      <c r="O21" s="1639"/>
      <c r="P21" s="1639"/>
      <c r="Q21" s="1639"/>
      <c r="R21" s="1639"/>
      <c r="S21" s="1639"/>
      <c r="T21" s="1639"/>
      <c r="U21" s="1639"/>
      <c r="V21" s="1640"/>
      <c r="W21" s="111"/>
      <c r="X21" s="114"/>
    </row>
    <row r="22" spans="1:25" ht="16.5">
      <c r="B22" s="655"/>
      <c r="C22" s="596"/>
      <c r="D22" s="137"/>
      <c r="E22" s="137"/>
      <c r="F22" s="137"/>
      <c r="G22" s="137"/>
      <c r="H22" s="144"/>
      <c r="I22" s="144"/>
      <c r="J22" s="137"/>
      <c r="K22" s="137"/>
      <c r="L22" s="137"/>
      <c r="M22" s="137"/>
      <c r="N22" s="137"/>
      <c r="O22" s="137"/>
      <c r="P22" s="137"/>
      <c r="Q22" s="1609" t="s">
        <v>813</v>
      </c>
      <c r="R22" s="1609"/>
      <c r="S22" s="1609"/>
      <c r="T22" s="1609"/>
      <c r="U22" s="1609"/>
      <c r="V22" s="1609"/>
      <c r="W22" s="35"/>
      <c r="Y22" s="37"/>
    </row>
    <row r="23" spans="1:25" s="29" customFormat="1" ht="16.5">
      <c r="B23" s="65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656"/>
      <c r="V23" s="216"/>
      <c r="W23" s="37"/>
      <c r="X23" s="117"/>
    </row>
    <row r="24" spans="1:25" s="29" customFormat="1" ht="16.5">
      <c r="A24" s="1610" t="s">
        <v>29</v>
      </c>
      <c r="B24" s="1610"/>
      <c r="C24" s="1610"/>
      <c r="D24" s="1610"/>
      <c r="F24" s="1170"/>
      <c r="G24" s="1170"/>
      <c r="H24" s="1170" t="s">
        <v>28</v>
      </c>
      <c r="I24" s="1170"/>
      <c r="K24" s="1170"/>
      <c r="L24" s="1170" t="s">
        <v>27</v>
      </c>
      <c r="M24" s="669"/>
      <c r="N24" s="669"/>
      <c r="O24" s="1170" t="s">
        <v>512</v>
      </c>
      <c r="Q24" s="1610" t="s">
        <v>846</v>
      </c>
      <c r="R24" s="1610"/>
      <c r="S24" s="1610"/>
      <c r="T24" s="1610"/>
      <c r="U24" s="1610"/>
      <c r="V24" s="1610"/>
      <c r="W24" s="36"/>
      <c r="X24" s="117"/>
    </row>
    <row r="25" spans="1:25" s="29" customFormat="1" ht="16.5">
      <c r="B25" s="656"/>
      <c r="C25" s="634"/>
      <c r="D25" s="656"/>
      <c r="E25" s="656"/>
      <c r="F25" s="656"/>
      <c r="G25" s="656"/>
      <c r="H25" s="659"/>
      <c r="I25" s="659"/>
      <c r="J25" s="635"/>
      <c r="K25" s="635"/>
      <c r="L25" s="635"/>
      <c r="M25" s="635"/>
      <c r="N25" s="635"/>
      <c r="O25" s="635"/>
      <c r="P25" s="635"/>
      <c r="Q25" s="636"/>
      <c r="R25" s="656"/>
      <c r="S25" s="656"/>
      <c r="T25" s="656"/>
      <c r="U25" s="637"/>
      <c r="V25" s="656"/>
      <c r="W25" s="2"/>
    </row>
    <row r="26" spans="1:25" ht="16.5">
      <c r="B26" s="655"/>
      <c r="C26" s="596"/>
      <c r="D26" s="137"/>
      <c r="E26" s="137"/>
      <c r="F26" s="137"/>
      <c r="G26" s="137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638"/>
      <c r="W26" s="37"/>
    </row>
    <row r="27" spans="1:25" ht="16.5">
      <c r="B27" s="655"/>
      <c r="C27" s="596"/>
      <c r="D27" s="137"/>
      <c r="E27" s="137"/>
      <c r="F27" s="137"/>
      <c r="G27" s="137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638"/>
      <c r="W27" s="37"/>
    </row>
    <row r="28" spans="1:25" ht="16.5">
      <c r="B28" s="655"/>
      <c r="C28" s="596"/>
      <c r="D28" s="137"/>
      <c r="E28" s="137"/>
      <c r="F28" s="137"/>
      <c r="G28" s="137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638"/>
      <c r="W28" s="37"/>
    </row>
    <row r="29" spans="1:25" ht="16.5">
      <c r="B29" s="655"/>
      <c r="C29" s="596"/>
      <c r="D29" s="137"/>
      <c r="E29" s="137"/>
      <c r="F29" s="137"/>
      <c r="G29" s="137"/>
      <c r="H29" s="657"/>
      <c r="I29" s="657"/>
      <c r="J29" s="657"/>
      <c r="K29" s="639"/>
      <c r="L29" s="639"/>
      <c r="M29" s="639"/>
      <c r="N29" s="639"/>
      <c r="O29" s="639"/>
      <c r="P29" s="639"/>
      <c r="Q29" s="639"/>
      <c r="R29" s="657"/>
      <c r="S29" s="657"/>
      <c r="T29" s="657"/>
      <c r="U29" s="657"/>
      <c r="V29" s="137"/>
    </row>
    <row r="30" spans="1:25" ht="16.5">
      <c r="B30" s="655"/>
      <c r="C30" s="1566"/>
      <c r="D30" s="1566"/>
      <c r="E30" s="216"/>
      <c r="F30" s="216"/>
      <c r="G30" s="216"/>
      <c r="H30" s="1608"/>
      <c r="I30" s="1608"/>
      <c r="J30" s="1608"/>
      <c r="K30" s="637"/>
      <c r="L30" s="637"/>
      <c r="M30" s="637"/>
      <c r="N30" s="637"/>
      <c r="O30" s="637"/>
      <c r="P30" s="637"/>
      <c r="Q30" s="216"/>
      <c r="R30" s="577"/>
      <c r="S30" s="216"/>
      <c r="T30" s="216"/>
      <c r="U30" s="656"/>
      <c r="V30" s="137"/>
    </row>
    <row r="31" spans="1:25" ht="16.5">
      <c r="B31" s="655"/>
      <c r="C31" s="2"/>
      <c r="H31" s="2"/>
      <c r="I31" s="2"/>
      <c r="V31" s="2"/>
      <c r="W31" s="36"/>
    </row>
    <row r="32" spans="1:25" ht="16.5">
      <c r="B32" s="655"/>
      <c r="C32" s="596"/>
      <c r="D32" s="137"/>
      <c r="E32" s="137"/>
      <c r="F32" s="137"/>
      <c r="G32" s="137"/>
      <c r="H32" s="144"/>
      <c r="I32" s="144"/>
      <c r="J32" s="640"/>
      <c r="K32" s="641"/>
      <c r="L32" s="641"/>
      <c r="M32" s="641"/>
      <c r="N32" s="641"/>
      <c r="O32" s="641"/>
      <c r="P32" s="641"/>
      <c r="Q32" s="137"/>
      <c r="R32" s="144"/>
      <c r="S32" s="137"/>
      <c r="T32" s="137"/>
      <c r="U32" s="137"/>
      <c r="V32" s="137"/>
    </row>
    <row r="33" spans="2:24" ht="16.5">
      <c r="B33" s="655"/>
      <c r="C33" s="596"/>
      <c r="D33" s="137"/>
      <c r="E33" s="137"/>
      <c r="F33" s="137"/>
      <c r="G33" s="137"/>
      <c r="H33" s="642"/>
      <c r="I33" s="642"/>
      <c r="J33" s="643"/>
      <c r="K33" s="643"/>
      <c r="L33" s="643"/>
      <c r="M33" s="643"/>
      <c r="N33" s="643"/>
      <c r="O33" s="643"/>
      <c r="P33" s="643"/>
      <c r="Q33" s="385"/>
      <c r="R33" s="1606"/>
      <c r="S33" s="1606"/>
      <c r="T33" s="137"/>
      <c r="U33" s="139"/>
      <c r="V33" s="137"/>
    </row>
    <row r="34" spans="2:24">
      <c r="H34" s="661"/>
      <c r="I34" s="661"/>
      <c r="J34" s="1471"/>
      <c r="K34" s="1471"/>
      <c r="L34" s="1147"/>
      <c r="M34" s="1147"/>
      <c r="N34" s="1147"/>
      <c r="O34" s="1147"/>
      <c r="P34" s="1147"/>
      <c r="Q34" s="35"/>
      <c r="S34" s="36"/>
      <c r="W34" s="37" t="e">
        <f>+Q20-#REF!</f>
        <v>#REF!</v>
      </c>
      <c r="X34" s="37">
        <f>+Q20-R20</f>
        <v>1097422152.0693226</v>
      </c>
    </row>
    <row r="35" spans="2:24">
      <c r="H35" s="661"/>
      <c r="I35" s="661"/>
      <c r="J35" s="1607"/>
      <c r="K35" s="1605"/>
      <c r="L35" s="658"/>
      <c r="M35" s="658"/>
      <c r="N35" s="658"/>
      <c r="O35" s="658"/>
      <c r="P35" s="658"/>
      <c r="Q35" s="662"/>
      <c r="R35" s="662"/>
    </row>
    <row r="36" spans="2:24" ht="18.75">
      <c r="H36" s="660"/>
      <c r="I36" s="660"/>
      <c r="J36" s="1602"/>
      <c r="K36" s="1603"/>
      <c r="L36" s="660"/>
      <c r="M36" s="660"/>
      <c r="N36" s="660"/>
      <c r="O36" s="660"/>
      <c r="P36" s="660"/>
      <c r="Q36" s="73"/>
      <c r="R36" s="35"/>
      <c r="S36" s="31"/>
    </row>
    <row r="37" spans="2:24">
      <c r="J37" s="1604"/>
      <c r="K37" s="1605"/>
      <c r="L37" s="658"/>
      <c r="M37" s="658"/>
      <c r="N37" s="658"/>
      <c r="O37" s="658"/>
      <c r="P37" s="658"/>
      <c r="Q37" s="37"/>
      <c r="S37" s="35"/>
    </row>
    <row r="38" spans="2:24">
      <c r="K38" s="36"/>
      <c r="L38" s="36"/>
      <c r="M38" s="36"/>
      <c r="N38" s="36"/>
      <c r="O38" s="36"/>
      <c r="P38" s="36"/>
      <c r="Q38" s="73"/>
      <c r="S38" s="72"/>
    </row>
    <row r="39" spans="2:24">
      <c r="K39" s="37"/>
      <c r="L39" s="37"/>
      <c r="M39" s="37"/>
      <c r="N39" s="37"/>
      <c r="O39" s="37"/>
      <c r="P39" s="37"/>
      <c r="Q39" s="37"/>
      <c r="R39" s="35"/>
      <c r="S39" s="35"/>
      <c r="U39" s="661"/>
    </row>
    <row r="40" spans="2:24">
      <c r="K40" s="73"/>
      <c r="L40" s="73"/>
      <c r="M40" s="73"/>
      <c r="N40" s="73"/>
      <c r="O40" s="73"/>
      <c r="P40" s="73"/>
      <c r="Q40" s="36"/>
      <c r="U40" s="34"/>
    </row>
    <row r="41" spans="2:24">
      <c r="H41" s="661"/>
      <c r="I41" s="661"/>
      <c r="S41" s="37"/>
      <c r="U41" s="36"/>
    </row>
    <row r="42" spans="2:24">
      <c r="H42" s="661"/>
      <c r="I42" s="661"/>
      <c r="J42" s="36"/>
      <c r="S42" s="37"/>
      <c r="U42" s="36"/>
    </row>
    <row r="43" spans="2:24">
      <c r="H43" s="661"/>
      <c r="I43" s="661"/>
      <c r="K43" s="35"/>
      <c r="L43" s="35"/>
      <c r="M43" s="35"/>
      <c r="N43" s="35"/>
      <c r="O43" s="35"/>
      <c r="P43" s="35"/>
      <c r="T43" s="36"/>
    </row>
    <row r="44" spans="2:24">
      <c r="U44" s="183"/>
    </row>
    <row r="51" spans="8:8">
      <c r="H51" s="34" t="s">
        <v>132</v>
      </c>
    </row>
  </sheetData>
  <mergeCells count="38">
    <mergeCell ref="J37:K37"/>
    <mergeCell ref="A21:V21"/>
    <mergeCell ref="C30:D30"/>
    <mergeCell ref="H30:J30"/>
    <mergeCell ref="R33:S33"/>
    <mergeCell ref="J34:K34"/>
    <mergeCell ref="J35:K35"/>
    <mergeCell ref="J36:K36"/>
    <mergeCell ref="Q24:V24"/>
    <mergeCell ref="Q22:V22"/>
    <mergeCell ref="A24:D24"/>
    <mergeCell ref="A20:D20"/>
    <mergeCell ref="A15:D15"/>
    <mergeCell ref="A17:D17"/>
    <mergeCell ref="A18:D18"/>
    <mergeCell ref="A19:D19"/>
    <mergeCell ref="A16:D16"/>
    <mergeCell ref="A11:B13"/>
    <mergeCell ref="F12:G12"/>
    <mergeCell ref="H12:K12"/>
    <mergeCell ref="F11:P11"/>
    <mergeCell ref="L12:P12"/>
    <mergeCell ref="A14:D14"/>
    <mergeCell ref="C11:C12"/>
    <mergeCell ref="S11:S13"/>
    <mergeCell ref="B8:V8"/>
    <mergeCell ref="B1:V1"/>
    <mergeCell ref="B2:V2"/>
    <mergeCell ref="B3:V3"/>
    <mergeCell ref="B5:J5"/>
    <mergeCell ref="B6:J6"/>
    <mergeCell ref="Q11:Q13"/>
    <mergeCell ref="R11:R13"/>
    <mergeCell ref="T11:T12"/>
    <mergeCell ref="U11:U12"/>
    <mergeCell ref="V11:V12"/>
    <mergeCell ref="E11:E13"/>
    <mergeCell ref="D11:D13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53" fitToHeight="0" orientation="landscape" r:id="rId1"/>
  <headerFooter>
    <oddFooter>&amp;R&amp;P</oddFooter>
  </headerFooter>
  <colBreaks count="1" manualBreakCount="1">
    <brk id="22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N46"/>
  <sheetViews>
    <sheetView topLeftCell="A28" zoomScale="90" zoomScaleNormal="90" zoomScaleSheetLayoutView="100" workbookViewId="0">
      <selection activeCell="A26" sqref="A26:XFD27"/>
    </sheetView>
  </sheetViews>
  <sheetFormatPr defaultColWidth="9.140625" defaultRowHeight="15.75"/>
  <cols>
    <col min="1" max="1" width="5.85546875" style="4" customWidth="1"/>
    <col min="2" max="2" width="41.28515625" style="4" customWidth="1"/>
    <col min="3" max="3" width="9.7109375" style="19" customWidth="1"/>
    <col min="4" max="4" width="16.140625" style="191" customWidth="1"/>
    <col min="5" max="5" width="17.7109375" style="683" customWidth="1"/>
    <col min="6" max="6" width="18.42578125" style="116" customWidth="1"/>
    <col min="7" max="7" width="19.28515625" style="116" customWidth="1"/>
    <col min="8" max="8" width="19.42578125" style="116" hidden="1" customWidth="1"/>
    <col min="9" max="9" width="24.42578125" style="201" customWidth="1"/>
    <col min="10" max="10" width="15" style="4" customWidth="1"/>
    <col min="11" max="11" width="18.42578125" style="4" customWidth="1"/>
    <col min="12" max="12" width="21.28515625" style="4" bestFit="1" customWidth="1"/>
    <col min="13" max="13" width="15.5703125" style="4" bestFit="1" customWidth="1"/>
    <col min="14" max="14" width="11.85546875" style="4" customWidth="1"/>
    <col min="15" max="16384" width="9.140625" style="4"/>
  </cols>
  <sheetData>
    <row r="2" spans="1:13">
      <c r="A2" s="1457" t="s">
        <v>51</v>
      </c>
      <c r="B2" s="1457"/>
      <c r="C2" s="1457"/>
      <c r="D2" s="1457"/>
      <c r="E2" s="1457"/>
      <c r="F2" s="1457"/>
      <c r="G2" s="1457"/>
      <c r="H2" s="1457"/>
      <c r="I2" s="1457"/>
    </row>
    <row r="3" spans="1:13">
      <c r="A3" s="1457" t="s">
        <v>0</v>
      </c>
      <c r="B3" s="1457"/>
      <c r="C3" s="1457"/>
      <c r="D3" s="1457"/>
      <c r="E3" s="1457"/>
      <c r="F3" s="1457"/>
      <c r="G3" s="1457"/>
      <c r="H3" s="1457"/>
      <c r="I3" s="1457"/>
    </row>
    <row r="4" spans="1:13">
      <c r="A4" s="1652" t="s">
        <v>255</v>
      </c>
      <c r="B4" s="1457"/>
      <c r="C4" s="1457"/>
      <c r="D4" s="1457"/>
      <c r="E4" s="1457"/>
      <c r="F4" s="1457"/>
      <c r="G4" s="1457"/>
      <c r="H4" s="1457"/>
      <c r="I4" s="1457"/>
    </row>
    <row r="5" spans="1:13" ht="13.5" customHeight="1">
      <c r="H5" s="191"/>
      <c r="I5" s="21"/>
    </row>
    <row r="6" spans="1:13" ht="18" customHeight="1">
      <c r="A6" s="1582" t="s">
        <v>510</v>
      </c>
      <c r="B6" s="1582"/>
      <c r="C6" s="1582"/>
      <c r="H6" s="191"/>
      <c r="I6" s="21"/>
    </row>
    <row r="7" spans="1:13" ht="15" customHeight="1">
      <c r="A7" s="1457" t="s">
        <v>500</v>
      </c>
      <c r="B7" s="1457"/>
      <c r="C7" s="1457"/>
      <c r="H7" s="191"/>
      <c r="I7" s="21"/>
    </row>
    <row r="8" spans="1:13" ht="15" customHeight="1">
      <c r="A8" s="386"/>
      <c r="B8" s="386"/>
      <c r="C8" s="386"/>
      <c r="H8" s="191"/>
      <c r="I8" s="21"/>
    </row>
    <row r="9" spans="1:13" s="3" customFormat="1" ht="20.25" customHeight="1">
      <c r="A9" s="1584" t="s">
        <v>816</v>
      </c>
      <c r="B9" s="1584"/>
      <c r="C9" s="1584"/>
      <c r="D9" s="1584"/>
      <c r="E9" s="1584"/>
      <c r="F9" s="1584"/>
      <c r="G9" s="1584"/>
      <c r="H9" s="1584"/>
      <c r="I9" s="1584"/>
    </row>
    <row r="10" spans="1:13" ht="15.75" customHeight="1">
      <c r="A10" s="1642" t="s">
        <v>817</v>
      </c>
      <c r="B10" s="1643"/>
      <c r="C10" s="1643"/>
      <c r="D10" s="1643"/>
      <c r="E10" s="1643"/>
      <c r="F10" s="1643"/>
      <c r="G10" s="1643"/>
      <c r="H10" s="1643"/>
      <c r="I10" s="1643"/>
      <c r="J10" s="4">
        <v>611</v>
      </c>
    </row>
    <row r="11" spans="1:13" ht="15.75" customHeight="1">
      <c r="A11" s="302"/>
      <c r="B11" s="302"/>
      <c r="F11" s="191"/>
      <c r="G11" s="191"/>
      <c r="H11" s="1644" t="s">
        <v>376</v>
      </c>
      <c r="I11" s="1644"/>
      <c r="J11" s="4">
        <f>'CNKT '!F11</f>
        <v>659.96</v>
      </c>
    </row>
    <row r="12" spans="1:13" s="163" customFormat="1" ht="53.25" customHeight="1">
      <c r="A12" s="303" t="s">
        <v>4</v>
      </c>
      <c r="B12" s="303" t="s">
        <v>141</v>
      </c>
      <c r="C12" s="162" t="s">
        <v>7</v>
      </c>
      <c r="D12" s="192" t="s">
        <v>142</v>
      </c>
      <c r="E12" s="192" t="s">
        <v>143</v>
      </c>
      <c r="F12" s="192" t="s">
        <v>144</v>
      </c>
      <c r="G12" s="192" t="s">
        <v>361</v>
      </c>
      <c r="H12" s="192" t="s">
        <v>362</v>
      </c>
      <c r="I12" s="198" t="s">
        <v>62</v>
      </c>
    </row>
    <row r="13" spans="1:13" ht="20.100000000000001" customHeight="1">
      <c r="A13" s="684" t="s">
        <v>65</v>
      </c>
      <c r="B13" s="685" t="s">
        <v>509</v>
      </c>
      <c r="C13" s="686"/>
      <c r="D13" s="193"/>
      <c r="E13" s="193"/>
      <c r="F13" s="193"/>
      <c r="G13" s="194">
        <f>G14+G31</f>
        <v>1082342510.0079999</v>
      </c>
      <c r="H13" s="194">
        <f>H14+H31</f>
        <v>1079907005.1013455</v>
      </c>
      <c r="I13" s="199"/>
      <c r="K13" s="687"/>
      <c r="L13" s="688"/>
    </row>
    <row r="14" spans="1:13" ht="22.5" customHeight="1">
      <c r="A14" s="689">
        <v>1</v>
      </c>
      <c r="B14" s="181" t="s">
        <v>146</v>
      </c>
      <c r="C14" s="690"/>
      <c r="D14" s="193"/>
      <c r="E14" s="193"/>
      <c r="F14" s="193"/>
      <c r="G14" s="193">
        <f>G15+G21+G30</f>
        <v>1074482510.0079999</v>
      </c>
      <c r="H14" s="193">
        <f>H15+H21+H30</f>
        <v>1072047005.1013455</v>
      </c>
      <c r="I14" s="200"/>
      <c r="K14" s="691"/>
    </row>
    <row r="15" spans="1:13" ht="22.5" customHeight="1">
      <c r="A15" s="164" t="s">
        <v>277</v>
      </c>
      <c r="B15" s="692" t="s">
        <v>147</v>
      </c>
      <c r="C15" s="693"/>
      <c r="D15" s="193"/>
      <c r="E15" s="193">
        <f>SUM(E16:E20)</f>
        <v>249192.9599999999</v>
      </c>
      <c r="F15" s="193"/>
      <c r="G15" s="193">
        <f>SUM(G16:G20)</f>
        <v>914581401</v>
      </c>
      <c r="H15" s="193">
        <f>SUM(H16:H19)</f>
        <v>912145916.23734558</v>
      </c>
      <c r="I15" s="200"/>
      <c r="K15" s="165"/>
      <c r="L15" s="694"/>
      <c r="M15" s="695"/>
    </row>
    <row r="16" spans="1:13" ht="22.5" customHeight="1">
      <c r="A16" s="689"/>
      <c r="B16" s="181" t="s">
        <v>262</v>
      </c>
      <c r="C16" s="696" t="s">
        <v>148</v>
      </c>
      <c r="D16" s="193"/>
      <c r="E16" s="193">
        <f>SUMIF('SẢN LƯỢNG'!AR17:AR161,"A",'SẢN LƯỢNG'!AQ17:AQ161)</f>
        <v>171857.68655334561</v>
      </c>
      <c r="F16" s="697">
        <f>6.1*$J$10</f>
        <v>3727.1</v>
      </c>
      <c r="G16" s="697">
        <f>ROUND((E16*F16),0)</f>
        <v>640530784</v>
      </c>
      <c r="H16" s="193">
        <f>E16*F16</f>
        <v>640530783.55297446</v>
      </c>
      <c r="I16" s="200"/>
      <c r="K16" s="548">
        <f>'LƯƠNG CN TRỰC TIẾP '!M174</f>
        <v>1074482510</v>
      </c>
      <c r="L16" s="146"/>
    </row>
    <row r="17" spans="1:14" ht="22.5" customHeight="1">
      <c r="A17" s="689"/>
      <c r="B17" s="181" t="s">
        <v>263</v>
      </c>
      <c r="C17" s="693" t="s">
        <v>148</v>
      </c>
      <c r="D17" s="193"/>
      <c r="E17" s="193">
        <f>SUMIF('SẢN LƯỢNG'!AR17:AR160,"B",'SẢN LƯỢNG'!AQ17:AQ160)</f>
        <v>71769.280212162528</v>
      </c>
      <c r="F17" s="697">
        <f>5.8*$J$10</f>
        <v>3543.7999999999997</v>
      </c>
      <c r="G17" s="697">
        <f>ROUND((E17*F17),0)</f>
        <v>254335975</v>
      </c>
      <c r="H17" s="193">
        <f>E17*F17</f>
        <v>254335975.21586156</v>
      </c>
      <c r="I17" s="200"/>
      <c r="K17" s="548">
        <f>K16-G14</f>
        <v>-7.9998970031738281E-3</v>
      </c>
      <c r="L17" s="4">
        <f>'Trạm 1'!AB97+'Trạm 2'!AB79</f>
        <v>1820624</v>
      </c>
    </row>
    <row r="18" spans="1:14" ht="22.5" customHeight="1">
      <c r="A18" s="689"/>
      <c r="B18" s="181" t="s">
        <v>264</v>
      </c>
      <c r="C18" s="693" t="s">
        <v>148</v>
      </c>
      <c r="D18" s="193"/>
      <c r="E18" s="193">
        <f>SUMIF('SẢN LƯỢNG'!AR17:AR160,"C",'SẢN LƯỢNG'!AQ17:AQ160)+SUMIF('SẢN LƯỢNG'!AR17:AR160,"C.",'SẢN LƯỢNG'!AQ17:AQ160)</f>
        <v>5141.8412344917651</v>
      </c>
      <c r="F18" s="697">
        <f>5.5*$J$10</f>
        <v>3360.5</v>
      </c>
      <c r="G18" s="697">
        <f>ROUND((E18*F18),0)+854628</f>
        <v>18133785</v>
      </c>
      <c r="H18" s="193">
        <f>E18*F18</f>
        <v>17279157.468509577</v>
      </c>
      <c r="I18" s="200"/>
      <c r="K18" s="193"/>
      <c r="L18" s="279">
        <f>L17-G20</f>
        <v>239767</v>
      </c>
    </row>
    <row r="19" spans="1:14" ht="22.5" hidden="1" customHeight="1">
      <c r="A19" s="689"/>
      <c r="B19" s="181" t="s">
        <v>265</v>
      </c>
      <c r="C19" s="693" t="s">
        <v>148</v>
      </c>
      <c r="D19" s="193"/>
      <c r="E19" s="193">
        <f>SUMIF('SẢN LƯỢNG'!AR17:AR160,"D",'SẢN LƯỢNG'!AQ17:AQ160)</f>
        <v>0</v>
      </c>
      <c r="F19" s="697">
        <f>5.2*$J$11</f>
        <v>3431.7920000000004</v>
      </c>
      <c r="G19" s="697">
        <f t="shared" ref="G19" si="0">E19*F19</f>
        <v>0</v>
      </c>
      <c r="H19" s="193">
        <f>E19*F19</f>
        <v>0</v>
      </c>
      <c r="I19" s="200"/>
    </row>
    <row r="20" spans="1:14" ht="22.5" customHeight="1">
      <c r="A20" s="689"/>
      <c r="B20" s="181" t="s">
        <v>439</v>
      </c>
      <c r="C20" s="693" t="s">
        <v>148</v>
      </c>
      <c r="D20" s="193"/>
      <c r="E20" s="193">
        <f>'MỦ SERUM'!AJ20</f>
        <v>424.15200000000004</v>
      </c>
      <c r="F20" s="697">
        <f>6.1*$J$10</f>
        <v>3727.1</v>
      </c>
      <c r="G20" s="697">
        <f>ROUND((E20*F20),0)</f>
        <v>1580857</v>
      </c>
      <c r="H20" s="193"/>
      <c r="I20" s="200"/>
    </row>
    <row r="21" spans="1:14" ht="22.5" customHeight="1">
      <c r="A21" s="164" t="s">
        <v>278</v>
      </c>
      <c r="B21" s="692" t="s">
        <v>149</v>
      </c>
      <c r="C21" s="686" t="s">
        <v>101</v>
      </c>
      <c r="D21" s="193"/>
      <c r="E21" s="698"/>
      <c r="F21" s="697"/>
      <c r="G21" s="193">
        <f>SUM(G22:G29)</f>
        <v>159901109.00800002</v>
      </c>
      <c r="H21" s="193">
        <f t="shared" ref="H21" si="1">SUM(H22:H29)</f>
        <v>159901088.86400002</v>
      </c>
      <c r="I21" s="193"/>
      <c r="K21" s="165">
        <f>'LƯƠNG CN TRỰC TIẾP '!H174</f>
        <v>159901109</v>
      </c>
      <c r="L21" s="688"/>
      <c r="M21" s="146"/>
    </row>
    <row r="22" spans="1:14" ht="22.5" customHeight="1">
      <c r="A22" s="689"/>
      <c r="B22" s="181" t="s">
        <v>387</v>
      </c>
      <c r="C22" s="686" t="s">
        <v>101</v>
      </c>
      <c r="D22" s="697">
        <f>'CNKT '!P167</f>
        <v>3531</v>
      </c>
      <c r="E22" s="698"/>
      <c r="F22" s="697">
        <f>46.1*$J$11</f>
        <v>30424.156000000003</v>
      </c>
      <c r="G22" s="697">
        <f>ROUND((D22*F22),0)+10</f>
        <v>107427705</v>
      </c>
      <c r="H22" s="193">
        <f>D22*F22</f>
        <v>107427694.83600001</v>
      </c>
      <c r="I22" s="193"/>
      <c r="K22" s="691">
        <f>K21-G21</f>
        <v>-8.0000162124633789E-3</v>
      </c>
      <c r="M22" s="691"/>
    </row>
    <row r="23" spans="1:14" ht="22.5" customHeight="1">
      <c r="A23" s="689"/>
      <c r="B23" s="181" t="s">
        <v>229</v>
      </c>
      <c r="C23" s="686" t="s">
        <v>101</v>
      </c>
      <c r="D23" s="697">
        <f>'CNKT '!Q167</f>
        <v>355</v>
      </c>
      <c r="E23" s="698"/>
      <c r="F23" s="697">
        <f>76.9*$J$11</f>
        <v>50750.924000000006</v>
      </c>
      <c r="G23" s="697">
        <f>ROUND((D23*F23),0)+10</f>
        <v>18016588</v>
      </c>
      <c r="H23" s="193">
        <f>D23*F23</f>
        <v>18016578.020000003</v>
      </c>
      <c r="I23" s="193"/>
      <c r="K23" s="691"/>
      <c r="L23" s="691"/>
      <c r="M23" s="691"/>
    </row>
    <row r="24" spans="1:14" ht="22.5" hidden="1" customHeight="1">
      <c r="A24" s="689"/>
      <c r="B24" s="181" t="s">
        <v>416</v>
      </c>
      <c r="C24" s="686" t="s">
        <v>101</v>
      </c>
      <c r="D24" s="697">
        <f>'CNKT '!R167</f>
        <v>0</v>
      </c>
      <c r="E24" s="193"/>
      <c r="F24" s="697">
        <f>92.2*$J$11</f>
        <v>60848.312000000005</v>
      </c>
      <c r="G24" s="697">
        <f>D24*F24</f>
        <v>0</v>
      </c>
      <c r="H24" s="193">
        <f>D24*F24</f>
        <v>0</v>
      </c>
      <c r="I24" s="193"/>
      <c r="K24" s="279"/>
    </row>
    <row r="25" spans="1:14" ht="21.75" customHeight="1">
      <c r="A25" s="689"/>
      <c r="B25" s="181" t="s">
        <v>388</v>
      </c>
      <c r="C25" s="686" t="s">
        <v>101</v>
      </c>
      <c r="D25" s="697">
        <f>'CNKT '!S167</f>
        <v>171</v>
      </c>
      <c r="E25" s="193"/>
      <c r="F25" s="697">
        <f>153.8*$J$11</f>
        <v>101501.84800000001</v>
      </c>
      <c r="G25" s="697">
        <f t="shared" ref="G25:G27" si="2">D25*F25</f>
        <v>17356816.008000001</v>
      </c>
      <c r="H25" s="193">
        <f t="shared" ref="H25:H27" si="3">D25*F25</f>
        <v>17356816.008000001</v>
      </c>
      <c r="I25" s="193"/>
      <c r="K25" s="279"/>
    </row>
    <row r="26" spans="1:14" ht="22.5" hidden="1" customHeight="1">
      <c r="A26" s="689"/>
      <c r="B26" s="181" t="s">
        <v>417</v>
      </c>
      <c r="C26" s="686" t="s">
        <v>101</v>
      </c>
      <c r="D26" s="697">
        <f>'CNKT '!T167</f>
        <v>0</v>
      </c>
      <c r="E26" s="193"/>
      <c r="F26" s="697">
        <f>92.2*$J$11</f>
        <v>60848.312000000005</v>
      </c>
      <c r="G26" s="697">
        <f>ROUND((D26*F26),0)</f>
        <v>0</v>
      </c>
      <c r="H26" s="193">
        <f t="shared" si="3"/>
        <v>0</v>
      </c>
      <c r="I26" s="193"/>
      <c r="K26" s="279">
        <v>1793573709</v>
      </c>
    </row>
    <row r="27" spans="1:14" ht="22.5" hidden="1" customHeight="1">
      <c r="A27" s="689"/>
      <c r="B27" s="181" t="s">
        <v>414</v>
      </c>
      <c r="C27" s="686" t="s">
        <v>101</v>
      </c>
      <c r="D27" s="697">
        <f>'CNKT '!U167</f>
        <v>0</v>
      </c>
      <c r="E27" s="193"/>
      <c r="F27" s="697">
        <f>153.8*$J$11</f>
        <v>101501.84800000001</v>
      </c>
      <c r="G27" s="697">
        <f t="shared" si="2"/>
        <v>0</v>
      </c>
      <c r="H27" s="193">
        <f t="shared" si="3"/>
        <v>0</v>
      </c>
      <c r="I27" s="193"/>
      <c r="K27" s="279">
        <v>27159261</v>
      </c>
    </row>
    <row r="28" spans="1:14" ht="20.25" customHeight="1">
      <c r="A28" s="689"/>
      <c r="B28" s="181" t="s">
        <v>758</v>
      </c>
      <c r="C28" s="686" t="s">
        <v>101</v>
      </c>
      <c r="D28" s="697">
        <f>'CNKT '!W167</f>
        <v>171</v>
      </c>
      <c r="E28" s="193"/>
      <c r="F28" s="697">
        <v>100000</v>
      </c>
      <c r="G28" s="697">
        <f>ROUND((D28*F28),0)</f>
        <v>17100000</v>
      </c>
      <c r="H28" s="193">
        <f>D28*F28</f>
        <v>17100000</v>
      </c>
      <c r="I28" s="193"/>
      <c r="K28" s="279">
        <v>30253740</v>
      </c>
    </row>
    <row r="29" spans="1:14" ht="20.25" hidden="1" customHeight="1">
      <c r="A29" s="689"/>
      <c r="B29" s="181" t="s">
        <v>466</v>
      </c>
      <c r="C29" s="686" t="s">
        <v>101</v>
      </c>
      <c r="D29" s="697">
        <f>'CNKT '!X167</f>
        <v>0</v>
      </c>
      <c r="E29" s="193"/>
      <c r="F29" s="697">
        <v>30000</v>
      </c>
      <c r="G29" s="697">
        <f>ROUND((D29*F29),0)</f>
        <v>0</v>
      </c>
      <c r="H29" s="193">
        <f>D29*F29</f>
        <v>0</v>
      </c>
      <c r="I29" s="193"/>
      <c r="K29" s="279">
        <v>21672401</v>
      </c>
    </row>
    <row r="30" spans="1:14" ht="22.5" customHeight="1">
      <c r="A30" s="164" t="s">
        <v>279</v>
      </c>
      <c r="B30" s="181" t="s">
        <v>150</v>
      </c>
      <c r="C30" s="686" t="s">
        <v>101</v>
      </c>
      <c r="D30" s="699">
        <f>'CNKT '!F167</f>
        <v>0</v>
      </c>
      <c r="E30" s="193"/>
      <c r="F30" s="697">
        <v>25000</v>
      </c>
      <c r="G30" s="697">
        <f>ROUND((D30*F30),0)</f>
        <v>0</v>
      </c>
      <c r="H30" s="193">
        <f>'CNKT '!G167</f>
        <v>0</v>
      </c>
      <c r="I30" s="193"/>
      <c r="K30" s="691"/>
      <c r="L30" s="700"/>
    </row>
    <row r="31" spans="1:14" s="3" customFormat="1" ht="22.5" customHeight="1">
      <c r="A31" s="689">
        <v>2</v>
      </c>
      <c r="B31" s="181" t="s">
        <v>152</v>
      </c>
      <c r="C31" s="686" t="s">
        <v>101</v>
      </c>
      <c r="D31" s="697">
        <f>H31/F31</f>
        <v>314.39999999999998</v>
      </c>
      <c r="E31" s="193"/>
      <c r="F31" s="697">
        <v>25000</v>
      </c>
      <c r="G31" s="697">
        <f>ROUND((D31*F31),0)</f>
        <v>7860000</v>
      </c>
      <c r="H31" s="193">
        <f>'LƯƠNG CB.CNV LÀO'!I12</f>
        <v>7860000</v>
      </c>
      <c r="I31" s="193"/>
      <c r="K31" s="116"/>
      <c r="L31" s="701"/>
      <c r="N31" s="701"/>
    </row>
    <row r="32" spans="1:14" s="386" customFormat="1" ht="22.5" customHeight="1">
      <c r="A32" s="702" t="s">
        <v>79</v>
      </c>
      <c r="B32" s="703" t="s">
        <v>396</v>
      </c>
      <c r="C32" s="702"/>
      <c r="D32" s="194"/>
      <c r="E32" s="194"/>
      <c r="F32" s="194"/>
      <c r="G32" s="704">
        <f>SUM(G33:G34)</f>
        <v>15945157.854802858</v>
      </c>
      <c r="H32" s="194" t="e">
        <f>SUM(H33:H34)</f>
        <v>#REF!</v>
      </c>
      <c r="I32" s="199"/>
      <c r="J32" s="118"/>
      <c r="K32" s="119"/>
      <c r="L32" s="705"/>
      <c r="N32" s="705"/>
    </row>
    <row r="33" spans="1:14" ht="22.5" customHeight="1">
      <c r="A33" s="94">
        <v>1</v>
      </c>
      <c r="B33" s="228" t="s">
        <v>395</v>
      </c>
      <c r="C33" s="186" t="s">
        <v>87</v>
      </c>
      <c r="D33" s="200"/>
      <c r="E33" s="193"/>
      <c r="F33" s="697"/>
      <c r="G33" s="697">
        <f>'LƯƠNG CB.CNV LÀO'!I16</f>
        <v>13945157.854802858</v>
      </c>
      <c r="H33" s="193" t="e">
        <f>'LƯƠNG CB.CNV LÀO'!#REF!</f>
        <v>#REF!</v>
      </c>
      <c r="I33" s="200"/>
      <c r="M33" s="146"/>
    </row>
    <row r="34" spans="1:14" s="3" customFormat="1" ht="22.5" customHeight="1">
      <c r="A34" s="689">
        <v>2</v>
      </c>
      <c r="B34" s="692" t="s">
        <v>316</v>
      </c>
      <c r="C34" s="186" t="s">
        <v>87</v>
      </c>
      <c r="D34" s="193"/>
      <c r="E34" s="193"/>
      <c r="F34" s="193"/>
      <c r="G34" s="193">
        <f>'LƯƠNG CB.CNV LÀO'!I19</f>
        <v>2000000</v>
      </c>
      <c r="H34" s="193">
        <f>'LƯƠNG CB.CNV LÀO'!K20</f>
        <v>1965000</v>
      </c>
      <c r="I34" s="200"/>
      <c r="K34" s="706"/>
      <c r="L34" s="701"/>
      <c r="N34" s="701"/>
    </row>
    <row r="35" spans="1:14" ht="16.5" customHeight="1">
      <c r="A35" s="1645" t="s">
        <v>155</v>
      </c>
      <c r="B35" s="1645"/>
      <c r="C35" s="188"/>
      <c r="D35" s="193"/>
      <c r="E35" s="194"/>
      <c r="F35" s="193"/>
      <c r="G35" s="194">
        <f>G13+G32</f>
        <v>1098287667.8628027</v>
      </c>
      <c r="H35" s="194" t="e">
        <f>H13+H32</f>
        <v>#REF!</v>
      </c>
      <c r="I35" s="199"/>
      <c r="K35" s="165">
        <f>'LƯƠNG CN TRỰC TIẾP '!I178</f>
        <v>1098287667.8548028</v>
      </c>
      <c r="L35" s="116" t="e">
        <f>SUM(#REF!)</f>
        <v>#REF!</v>
      </c>
      <c r="M35" s="146"/>
    </row>
    <row r="36" spans="1:14" ht="21" customHeight="1">
      <c r="A36" s="1646" t="s">
        <v>875</v>
      </c>
      <c r="B36" s="1647"/>
      <c r="C36" s="1647"/>
      <c r="D36" s="1647"/>
      <c r="E36" s="1647"/>
      <c r="F36" s="1647"/>
      <c r="G36" s="1647"/>
      <c r="H36" s="1647"/>
      <c r="I36" s="1648"/>
      <c r="K36" s="146">
        <f>G35-K35</f>
        <v>7.9998970031738281E-3</v>
      </c>
      <c r="L36" s="280"/>
    </row>
    <row r="37" spans="1:14" s="145" customFormat="1" ht="18.75">
      <c r="A37" s="166"/>
      <c r="B37" s="166"/>
      <c r="C37" s="707"/>
      <c r="D37" s="708"/>
      <c r="E37" s="709"/>
      <c r="F37" s="1649" t="s">
        <v>818</v>
      </c>
      <c r="G37" s="1649"/>
      <c r="H37" s="1649"/>
      <c r="I37" s="1649"/>
      <c r="K37" s="177"/>
      <c r="L37" s="167"/>
      <c r="M37" s="168"/>
    </row>
    <row r="38" spans="1:14" s="145" customFormat="1" ht="18.75">
      <c r="A38" s="178"/>
      <c r="B38" s="178"/>
      <c r="C38" s="189"/>
      <c r="D38" s="195"/>
      <c r="E38" s="709"/>
      <c r="F38" s="1649"/>
      <c r="G38" s="1649"/>
      <c r="H38" s="1649"/>
      <c r="I38" s="1649"/>
      <c r="K38" s="167"/>
      <c r="L38" s="692"/>
    </row>
    <row r="39" spans="1:14" s="170" customFormat="1" ht="18.75">
      <c r="A39" s="1641" t="s">
        <v>513</v>
      </c>
      <c r="B39" s="1641"/>
      <c r="C39" s="1650" t="s">
        <v>514</v>
      </c>
      <c r="D39" s="1650"/>
      <c r="E39" s="1603" t="s">
        <v>515</v>
      </c>
      <c r="F39" s="1603"/>
      <c r="G39" s="1651" t="s">
        <v>516</v>
      </c>
      <c r="H39" s="1651"/>
      <c r="I39" s="1651"/>
      <c r="K39" s="182"/>
      <c r="L39" s="171"/>
    </row>
    <row r="40" spans="1:14" s="145" customFormat="1" ht="18.75">
      <c r="A40" s="178"/>
      <c r="B40" s="178"/>
      <c r="C40" s="189"/>
      <c r="D40" s="195"/>
      <c r="E40" s="709"/>
      <c r="F40" s="710"/>
      <c r="G40" s="710"/>
      <c r="H40" s="195"/>
      <c r="I40" s="202"/>
      <c r="K40" s="711"/>
    </row>
    <row r="41" spans="1:14" s="145" customFormat="1" ht="18.75">
      <c r="A41" s="178"/>
      <c r="B41" s="178"/>
      <c r="C41" s="189"/>
      <c r="D41" s="195"/>
      <c r="E41" s="709"/>
      <c r="F41" s="710"/>
      <c r="G41" s="710"/>
      <c r="H41" s="195"/>
      <c r="I41" s="202"/>
    </row>
    <row r="42" spans="1:14" s="145" customFormat="1" ht="18.75">
      <c r="A42" s="178"/>
      <c r="B42" s="178"/>
      <c r="C42" s="189"/>
      <c r="D42" s="195"/>
      <c r="E42" s="709"/>
      <c r="F42" s="710"/>
      <c r="G42" s="710"/>
      <c r="H42" s="195"/>
      <c r="I42" s="202"/>
    </row>
    <row r="43" spans="1:14" s="145" customFormat="1" ht="18.75">
      <c r="A43" s="178"/>
      <c r="B43" s="178"/>
      <c r="C43" s="189"/>
      <c r="D43" s="195"/>
      <c r="E43" s="709"/>
      <c r="F43" s="710"/>
      <c r="G43" s="710"/>
      <c r="H43" s="195"/>
      <c r="I43" s="202"/>
    </row>
    <row r="44" spans="1:14" s="145" customFormat="1" ht="18.75">
      <c r="A44" s="178"/>
      <c r="B44" s="178"/>
      <c r="C44" s="189"/>
      <c r="D44" s="195"/>
      <c r="E44" s="709"/>
      <c r="F44" s="1641"/>
      <c r="G44" s="1641"/>
      <c r="H44" s="1641"/>
      <c r="I44" s="1641"/>
    </row>
    <row r="45" spans="1:14">
      <c r="A45" s="179"/>
      <c r="B45" s="179"/>
      <c r="C45" s="190"/>
      <c r="D45" s="196"/>
      <c r="E45" s="196"/>
      <c r="F45" s="196"/>
      <c r="G45" s="196"/>
      <c r="H45" s="196"/>
      <c r="I45" s="203"/>
    </row>
    <row r="46" spans="1:14">
      <c r="A46" s="179"/>
      <c r="B46" s="180"/>
      <c r="C46" s="190"/>
      <c r="D46" s="196"/>
      <c r="E46" s="197"/>
      <c r="F46" s="197"/>
      <c r="G46" s="197"/>
      <c r="H46" s="197"/>
      <c r="I46" s="204"/>
    </row>
  </sheetData>
  <mergeCells count="17">
    <mergeCell ref="A9:I9"/>
    <mergeCell ref="A2:I2"/>
    <mergeCell ref="A3:I3"/>
    <mergeCell ref="A4:I4"/>
    <mergeCell ref="A6:C6"/>
    <mergeCell ref="A7:C7"/>
    <mergeCell ref="F44:I44"/>
    <mergeCell ref="A10:I10"/>
    <mergeCell ref="H11:I11"/>
    <mergeCell ref="A35:B35"/>
    <mergeCell ref="A36:I36"/>
    <mergeCell ref="F38:I38"/>
    <mergeCell ref="A39:B39"/>
    <mergeCell ref="C39:D39"/>
    <mergeCell ref="F37:I37"/>
    <mergeCell ref="E39:F39"/>
    <mergeCell ref="G39:I39"/>
  </mergeCells>
  <printOptions horizontalCentered="1"/>
  <pageMargins left="0.196850393700787" right="0" top="0.196850393700787" bottom="0.196850393700787" header="0.2" footer="0.31496062992126"/>
  <pageSetup paperSize="9" scale="90" fitToHeight="0" orientation="landscape" r:id="rId1"/>
  <colBreaks count="1" manualBreakCount="1">
    <brk id="9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15"/>
  <sheetViews>
    <sheetView topLeftCell="A1289" zoomScale="70" zoomScaleNormal="70" workbookViewId="0">
      <selection activeCell="H1307" sqref="H1307"/>
    </sheetView>
  </sheetViews>
  <sheetFormatPr defaultColWidth="17.85546875" defaultRowHeight="21" customHeight="1"/>
  <cols>
    <col min="1" max="1" width="28.5703125" style="11" customWidth="1"/>
    <col min="2" max="2" width="27.85546875" style="11" customWidth="1"/>
    <col min="3" max="3" width="7.42578125" style="11" customWidth="1"/>
    <col min="4" max="4" width="10.5703125" style="11" customWidth="1"/>
    <col min="5" max="5" width="12.85546875" style="11" customWidth="1"/>
    <col min="6" max="6" width="0.85546875" style="11" customWidth="1"/>
    <col min="7" max="7" width="26.5703125" style="11" customWidth="1"/>
    <col min="8" max="8" width="26.7109375" style="11" customWidth="1"/>
    <col min="9" max="9" width="6.5703125" style="11" customWidth="1"/>
    <col min="10" max="10" width="11.28515625" style="11" customWidth="1"/>
    <col min="11" max="11" width="12.28515625" style="11" customWidth="1"/>
    <col min="12" max="16384" width="17.85546875" style="11"/>
  </cols>
  <sheetData>
    <row r="1" spans="1:12" ht="15.75" customHeight="1"/>
    <row r="2" spans="1:12" ht="15.75" customHeight="1">
      <c r="A2" s="11" t="s">
        <v>355</v>
      </c>
      <c r="B2" s="11">
        <f>'CNKT '!F11</f>
        <v>659.96</v>
      </c>
    </row>
    <row r="3" spans="1:12" ht="6" customHeight="1"/>
    <row r="4" spans="1:12" s="23" customFormat="1" ht="15.75" customHeight="1">
      <c r="A4" s="1653" t="s">
        <v>779</v>
      </c>
      <c r="B4" s="1656"/>
      <c r="C4" s="1656"/>
      <c r="D4" s="1656"/>
      <c r="E4" s="996">
        <v>1</v>
      </c>
      <c r="F4" s="997"/>
      <c r="G4" s="1653" t="str">
        <f>A4</f>
        <v>LƯƠNG THÁNG 09/2025</v>
      </c>
      <c r="H4" s="1656"/>
      <c r="I4" s="1656"/>
      <c r="J4" s="1656"/>
      <c r="K4" s="998">
        <v>2</v>
      </c>
      <c r="L4" s="999"/>
    </row>
    <row r="5" spans="1:12" s="23" customFormat="1" ht="15.75" customHeight="1">
      <c r="A5" s="1000" t="s">
        <v>13</v>
      </c>
      <c r="B5" s="1000" t="str">
        <f>'CNKT '!D16</f>
        <v xml:space="preserve">T. Lăm  </v>
      </c>
      <c r="C5" s="1001"/>
      <c r="D5" s="1002" t="s">
        <v>353</v>
      </c>
      <c r="E5" s="1002" t="s">
        <v>16</v>
      </c>
      <c r="F5" s="1003"/>
      <c r="G5" s="1000" t="s">
        <v>13</v>
      </c>
      <c r="H5" s="1000" t="str">
        <f>'CNKT '!D17</f>
        <v>T. Feng</v>
      </c>
      <c r="I5" s="1001"/>
      <c r="J5" s="1002" t="s">
        <v>353</v>
      </c>
      <c r="K5" s="1002" t="s">
        <v>16</v>
      </c>
      <c r="L5" s="999"/>
    </row>
    <row r="6" spans="1:12" s="23" customFormat="1" ht="15.75" customHeight="1">
      <c r="A6" s="1004" t="s">
        <v>354</v>
      </c>
      <c r="B6" s="1005" t="s">
        <v>454</v>
      </c>
      <c r="C6" s="1006">
        <f>VLOOKUP(B5,'SẢN LƯỢNG'!$D$17:$AR$94,37,0)</f>
        <v>3874</v>
      </c>
      <c r="D6" s="1007"/>
      <c r="E6" s="1007"/>
      <c r="F6" s="1003"/>
      <c r="G6" s="1004" t="s">
        <v>354</v>
      </c>
      <c r="H6" s="1005" t="s">
        <v>454</v>
      </c>
      <c r="I6" s="1006">
        <f>VLOOKUP(H5,'SẢN LƯỢNG'!$D$17:$AR$94,37,0)</f>
        <v>3883</v>
      </c>
      <c r="J6" s="1007"/>
      <c r="K6" s="1007"/>
      <c r="L6" s="999"/>
    </row>
    <row r="7" spans="1:12" s="23" customFormat="1" ht="15.75" customHeight="1">
      <c r="A7" s="1004" t="s">
        <v>68</v>
      </c>
      <c r="B7" s="1008" t="s">
        <v>380</v>
      </c>
      <c r="C7" s="581">
        <f>VLOOKUP(B5,'CNKT '!$D$16:$AC$96,3,0)</f>
        <v>0</v>
      </c>
      <c r="D7" s="582">
        <v>25000</v>
      </c>
      <c r="E7" s="1007">
        <f>C7*D7</f>
        <v>0</v>
      </c>
      <c r="F7" s="1003"/>
      <c r="G7" s="1004" t="s">
        <v>68</v>
      </c>
      <c r="H7" s="1008" t="s">
        <v>380</v>
      </c>
      <c r="I7" s="581">
        <f>VLOOKUP(H5,'CNKT '!$D$16:$AC$96,3,0)</f>
        <v>0</v>
      </c>
      <c r="J7" s="582">
        <v>25000</v>
      </c>
      <c r="K7" s="1007">
        <f>I7*J7</f>
        <v>0</v>
      </c>
      <c r="L7" s="999"/>
    </row>
    <row r="8" spans="1:12" s="23" customFormat="1" ht="15.75" customHeight="1">
      <c r="A8" s="1004" t="s">
        <v>269</v>
      </c>
      <c r="B8" s="1009" t="s">
        <v>455</v>
      </c>
      <c r="C8" s="1010" t="str">
        <f>VLOOKUP(B5,'CNKT '!$D$16:$AC$96,11,0)</f>
        <v>B</v>
      </c>
      <c r="D8" s="583">
        <f>46.1*$B$2</f>
        <v>30424.156000000003</v>
      </c>
      <c r="E8" s="1007" t="e">
        <f>C8*D8</f>
        <v>#VALUE!</v>
      </c>
      <c r="F8" s="1003"/>
      <c r="G8" s="1004" t="s">
        <v>269</v>
      </c>
      <c r="H8" s="1009" t="s">
        <v>455</v>
      </c>
      <c r="I8" s="1010" t="str">
        <f>VLOOKUP(H5,'CNKT '!$D$16:$AC$96,11,0)</f>
        <v>B</v>
      </c>
      <c r="J8" s="583">
        <f>46.1*$B$2</f>
        <v>30424.156000000003</v>
      </c>
      <c r="K8" s="1007" t="e">
        <f>I8*J8</f>
        <v>#VALUE!</v>
      </c>
      <c r="L8" s="999"/>
    </row>
    <row r="9" spans="1:12" s="23" customFormat="1" ht="15.75" customHeight="1">
      <c r="A9" s="1004" t="s">
        <v>356</v>
      </c>
      <c r="B9" s="1009" t="s">
        <v>456</v>
      </c>
      <c r="C9" s="1010">
        <f>VLOOKUP(B5,'CNKT '!$D$16:$AC$96,12,0)</f>
        <v>6901776</v>
      </c>
      <c r="D9" s="582">
        <f>76.9*$B$2</f>
        <v>50750.924000000006</v>
      </c>
      <c r="E9" s="1007">
        <f t="shared" ref="E9:E12" si="0">C9*D9</f>
        <v>350271509241.02405</v>
      </c>
      <c r="F9" s="1003"/>
      <c r="G9" s="1004" t="s">
        <v>356</v>
      </c>
      <c r="H9" s="1009" t="s">
        <v>456</v>
      </c>
      <c r="I9" s="1010">
        <f>VLOOKUP(H5,'CNKT '!$D$16:$AC$96,12,0)</f>
        <v>7040522</v>
      </c>
      <c r="J9" s="582">
        <f>76.9*$B$2</f>
        <v>50750.924000000006</v>
      </c>
      <c r="K9" s="1007">
        <f t="shared" ref="K9:K10" si="1">I9*J9</f>
        <v>357312996942.32806</v>
      </c>
      <c r="L9" s="999"/>
    </row>
    <row r="10" spans="1:12" s="23" customFormat="1" ht="15.75" customHeight="1">
      <c r="A10" s="1004" t="s">
        <v>69</v>
      </c>
      <c r="B10" s="1009" t="s">
        <v>457</v>
      </c>
      <c r="C10" s="1010">
        <f>VLOOKUP(B5,'CNKT '!$D$16:$AC$96,8,0)</f>
        <v>1816.07205381218</v>
      </c>
      <c r="D10" s="582">
        <f>IF(C6="A",6.1,IF(C6="B",5.8,IF(C6="C",5.5,IF(C6="C.",5.5,IF(C6="D",5.2)))))*$B$2</f>
        <v>0</v>
      </c>
      <c r="E10" s="1007">
        <f t="shared" si="0"/>
        <v>0</v>
      </c>
      <c r="F10" s="1003"/>
      <c r="G10" s="1004" t="s">
        <v>69</v>
      </c>
      <c r="H10" s="1009" t="s">
        <v>457</v>
      </c>
      <c r="I10" s="1010">
        <f>VLOOKUP(H5,'CNKT '!$D$16:$AC$96,8,0)</f>
        <v>1854.9185148562908</v>
      </c>
      <c r="J10" s="582">
        <f>IF(I6="A",6.1,IF(I6="B",5.8,IF(I6="C",5.5,IF(I6="C.",5.5,IF(I6="D",5.2)))))*$B$2</f>
        <v>0</v>
      </c>
      <c r="K10" s="1007">
        <f t="shared" si="1"/>
        <v>0</v>
      </c>
      <c r="L10" s="999"/>
    </row>
    <row r="11" spans="1:12" s="23" customFormat="1" ht="27" customHeight="1">
      <c r="A11" s="1004" t="s">
        <v>431</v>
      </c>
      <c r="B11" s="1009" t="s">
        <v>458</v>
      </c>
      <c r="C11" s="1010">
        <f>VLOOKUP(B5,'CNKT '!$D$16:$AC$96,13,0)</f>
        <v>27</v>
      </c>
      <c r="D11" s="583">
        <v>100000</v>
      </c>
      <c r="E11" s="1007">
        <f>C11*D11</f>
        <v>2700000</v>
      </c>
      <c r="F11" s="1003"/>
      <c r="G11" s="1004" t="s">
        <v>431</v>
      </c>
      <c r="H11" s="1009" t="s">
        <v>458</v>
      </c>
      <c r="I11" s="1010">
        <f>VLOOKUP(H5,'CNKT '!$D$16:$AC$96,13,0)</f>
        <v>27</v>
      </c>
      <c r="J11" s="583">
        <v>100000</v>
      </c>
      <c r="K11" s="1007">
        <f>I11*J11</f>
        <v>2700000</v>
      </c>
      <c r="L11" s="999"/>
    </row>
    <row r="12" spans="1:12" s="23" customFormat="1" ht="15.75" customHeight="1">
      <c r="A12" s="1073" t="s">
        <v>780</v>
      </c>
      <c r="B12" s="1065" t="s">
        <v>434</v>
      </c>
      <c r="C12" s="1066">
        <f>VLOOKUP(B5,'CNKT '!$D$16:$AC$96,14,0)</f>
        <v>4</v>
      </c>
      <c r="D12" s="1067">
        <f>153.8*$B$2</f>
        <v>101501.84800000001</v>
      </c>
      <c r="E12" s="1068">
        <f t="shared" si="0"/>
        <v>406007.39200000005</v>
      </c>
      <c r="F12" s="1003"/>
      <c r="G12" s="1073" t="s">
        <v>780</v>
      </c>
      <c r="H12" s="1065" t="s">
        <v>434</v>
      </c>
      <c r="I12" s="1066">
        <f>VLOOKUP(H5,'CNKT '!$D$16:$AC$96,14,0)</f>
        <v>4</v>
      </c>
      <c r="J12" s="1067">
        <f>153.8*$B$2</f>
        <v>101501.84800000001</v>
      </c>
      <c r="K12" s="1068">
        <f t="shared" ref="K12" si="2">I12*J12</f>
        <v>406007.39200000005</v>
      </c>
      <c r="L12" s="999"/>
    </row>
    <row r="13" spans="1:12" s="23" customFormat="1" ht="15.75" customHeight="1">
      <c r="A13" s="1073" t="s">
        <v>781</v>
      </c>
      <c r="B13" s="1065" t="s">
        <v>435</v>
      </c>
      <c r="C13" s="1066">
        <f>VLOOKUP(B5,'CNKT '!$D$16:$AC$96,18,0)</f>
        <v>0</v>
      </c>
      <c r="D13" s="1067">
        <v>100000</v>
      </c>
      <c r="E13" s="1068">
        <f>C13*D13</f>
        <v>0</v>
      </c>
      <c r="F13" s="1003"/>
      <c r="G13" s="1073" t="s">
        <v>781</v>
      </c>
      <c r="H13" s="1065" t="s">
        <v>435</v>
      </c>
      <c r="I13" s="1066">
        <f>VLOOKUP(H5,'CNKT '!$D$16:$AC$96,18,0)</f>
        <v>0</v>
      </c>
      <c r="J13" s="1067">
        <v>100000</v>
      </c>
      <c r="K13" s="1068">
        <f>I13*J13</f>
        <v>0</v>
      </c>
      <c r="L13" s="999"/>
    </row>
    <row r="14" spans="1:12" s="23" customFormat="1" ht="15.75" customHeight="1">
      <c r="A14" s="1004" t="s">
        <v>394</v>
      </c>
      <c r="B14" s="1009" t="s">
        <v>435</v>
      </c>
      <c r="C14" s="1010">
        <f>VLOOKUP(B5,'CNKT '!$D$16:$AC$96,19,0)</f>
        <v>0</v>
      </c>
      <c r="D14" s="582">
        <v>20000</v>
      </c>
      <c r="E14" s="1007">
        <f>C14*D14</f>
        <v>0</v>
      </c>
      <c r="F14" s="1003"/>
      <c r="G14" s="1004" t="s">
        <v>394</v>
      </c>
      <c r="H14" s="1009" t="s">
        <v>435</v>
      </c>
      <c r="I14" s="1010">
        <f>VLOOKUP(H5,'CNKT '!$D$16:$AC$96,19,0)</f>
        <v>0</v>
      </c>
      <c r="J14" s="582">
        <v>20000</v>
      </c>
      <c r="K14" s="1007">
        <f>I14*J14</f>
        <v>0</v>
      </c>
      <c r="L14" s="999"/>
    </row>
    <row r="15" spans="1:12" s="23" customFormat="1" ht="15.75" customHeight="1">
      <c r="A15" s="1004" t="s">
        <v>731</v>
      </c>
      <c r="B15" s="1011" t="s">
        <v>732</v>
      </c>
      <c r="C15" s="1010"/>
      <c r="D15" s="582"/>
      <c r="E15" s="1007">
        <f>VLOOKUP(B5,'CNKT '!$D$16:$AG$99,28,0)</f>
        <v>0</v>
      </c>
      <c r="F15" s="1003"/>
      <c r="G15" s="1004" t="s">
        <v>731</v>
      </c>
      <c r="H15" s="1011" t="s">
        <v>732</v>
      </c>
      <c r="I15" s="1010"/>
      <c r="J15" s="582"/>
      <c r="K15" s="1007">
        <f>VLOOKUP(H5,'CNKT '!$D$16:$AG$99,28,0)</f>
        <v>0</v>
      </c>
      <c r="L15" s="999"/>
    </row>
    <row r="16" spans="1:12" s="23" customFormat="1" ht="15.75" customHeight="1">
      <c r="A16" s="1012" t="s">
        <v>70</v>
      </c>
      <c r="B16" s="1013" t="s">
        <v>459</v>
      </c>
      <c r="C16" s="1014"/>
      <c r="D16" s="1015"/>
      <c r="E16" s="1014"/>
      <c r="F16" s="1003"/>
      <c r="G16" s="1012" t="s">
        <v>70</v>
      </c>
      <c r="H16" s="1013" t="s">
        <v>459</v>
      </c>
      <c r="I16" s="1014"/>
      <c r="J16" s="1015"/>
      <c r="K16" s="1014"/>
      <c r="L16" s="999"/>
    </row>
    <row r="17" spans="1:13" s="23" customFormat="1" ht="15.75" customHeight="1">
      <c r="A17" s="1016" t="s">
        <v>71</v>
      </c>
      <c r="B17" s="1017" t="s">
        <v>460</v>
      </c>
      <c r="C17" s="1014"/>
      <c r="D17" s="1014"/>
      <c r="E17" s="1014"/>
      <c r="F17" s="1003"/>
      <c r="G17" s="1016" t="s">
        <v>71</v>
      </c>
      <c r="H17" s="1017" t="s">
        <v>460</v>
      </c>
      <c r="I17" s="1014"/>
      <c r="J17" s="1014"/>
      <c r="K17" s="1014"/>
      <c r="L17" s="999"/>
    </row>
    <row r="18" spans="1:13" s="23" customFormat="1" ht="15.75" customHeight="1">
      <c r="A18" s="1016" t="s">
        <v>72</v>
      </c>
      <c r="B18" s="1018" t="s">
        <v>461</v>
      </c>
      <c r="C18" s="1014"/>
      <c r="D18" s="1014"/>
      <c r="E18" s="1007">
        <f>SUM(E17)</f>
        <v>0</v>
      </c>
      <c r="F18" s="1003"/>
      <c r="G18" s="1016" t="s">
        <v>72</v>
      </c>
      <c r="H18" s="1018" t="s">
        <v>461</v>
      </c>
      <c r="I18" s="1014"/>
      <c r="J18" s="1014"/>
      <c r="K18" s="1007">
        <f>SUM(K17)</f>
        <v>0</v>
      </c>
      <c r="L18" s="999"/>
      <c r="M18" s="1019">
        <f>E18+K18</f>
        <v>0</v>
      </c>
    </row>
    <row r="19" spans="1:13" s="23" customFormat="1" ht="15.75" customHeight="1">
      <c r="A19" s="1020" t="s">
        <v>73</v>
      </c>
      <c r="B19" s="1021" t="s">
        <v>381</v>
      </c>
      <c r="C19" s="1022"/>
      <c r="D19" s="1022"/>
      <c r="E19" s="1022" t="e">
        <f>(E7+E8+E9+E10+E11+E12+E13+E14+E15)-E18</f>
        <v>#VALUE!</v>
      </c>
      <c r="F19" s="1023"/>
      <c r="G19" s="1020" t="s">
        <v>73</v>
      </c>
      <c r="H19" s="1021" t="s">
        <v>381</v>
      </c>
      <c r="I19" s="1022"/>
      <c r="J19" s="1022"/>
      <c r="K19" s="1022" t="e">
        <f>(K7+K8+K9+K10+K11+K12+K13+K14+K15)-K18</f>
        <v>#VALUE!</v>
      </c>
      <c r="L19" s="1024" t="e">
        <f>E19+K19</f>
        <v>#VALUE!</v>
      </c>
    </row>
    <row r="20" spans="1:13" s="23" customFormat="1" ht="15.75" customHeight="1">
      <c r="L20" s="999"/>
      <c r="M20" s="567"/>
    </row>
    <row r="21" spans="1:13" s="1027" customFormat="1" ht="15.75" customHeight="1">
      <c r="A21" s="1653" t="s">
        <v>779</v>
      </c>
      <c r="B21" s="1656"/>
      <c r="C21" s="1656"/>
      <c r="D21" s="1656"/>
      <c r="E21" s="998">
        <v>3</v>
      </c>
      <c r="F21" s="1025"/>
      <c r="G21" s="1653" t="str">
        <f>A21</f>
        <v>LƯƠNG THÁNG 09/2025</v>
      </c>
      <c r="H21" s="1654"/>
      <c r="I21" s="1654"/>
      <c r="J21" s="1655"/>
      <c r="K21" s="1026">
        <v>4</v>
      </c>
      <c r="L21" s="999"/>
    </row>
    <row r="22" spans="1:13" s="1027" customFormat="1" ht="15.75" customHeight="1">
      <c r="A22" s="1028" t="s">
        <v>13</v>
      </c>
      <c r="B22" s="1000" t="str">
        <f>'CNKT '!D18</f>
        <v>T. Sa Văn</v>
      </c>
      <c r="C22" s="1001"/>
      <c r="D22" s="1002" t="s">
        <v>353</v>
      </c>
      <c r="E22" s="1002" t="s">
        <v>16</v>
      </c>
      <c r="F22" s="1029"/>
      <c r="G22" s="1028" t="s">
        <v>13</v>
      </c>
      <c r="H22" s="1000" t="str">
        <f>'CNKT '!D19</f>
        <v>Lăm Ma Thu</v>
      </c>
      <c r="I22" s="1001"/>
      <c r="J22" s="1002" t="s">
        <v>353</v>
      </c>
      <c r="K22" s="1002" t="s">
        <v>16</v>
      </c>
      <c r="L22" s="999"/>
    </row>
    <row r="23" spans="1:13" s="1027" customFormat="1" ht="15.75" customHeight="1">
      <c r="A23" s="1004" t="s">
        <v>354</v>
      </c>
      <c r="B23" s="1005" t="s">
        <v>454</v>
      </c>
      <c r="C23" s="1006">
        <f>VLOOKUP(B22,'SẢN LƯỢNG'!$D$17:$AR$94,37,0)</f>
        <v>5035</v>
      </c>
      <c r="D23" s="1007"/>
      <c r="E23" s="1007"/>
      <c r="F23" s="1029"/>
      <c r="G23" s="1004" t="s">
        <v>354</v>
      </c>
      <c r="H23" s="1005" t="s">
        <v>454</v>
      </c>
      <c r="I23" s="1006">
        <f>VLOOKUP(H22,'SẢN LƯỢNG'!$D$17:$AR$94,37,0)</f>
        <v>3912</v>
      </c>
      <c r="J23" s="1007"/>
      <c r="K23" s="1007"/>
      <c r="L23" s="999"/>
    </row>
    <row r="24" spans="1:13" s="1027" customFormat="1" ht="15.75" customHeight="1">
      <c r="A24" s="1004" t="s">
        <v>68</v>
      </c>
      <c r="B24" s="1008" t="s">
        <v>380</v>
      </c>
      <c r="C24" s="581">
        <f>VLOOKUP(B22,'CNKT '!$D$16:$AC$96,3,0)</f>
        <v>0</v>
      </c>
      <c r="D24" s="582">
        <v>25000</v>
      </c>
      <c r="E24" s="1007">
        <f>C24*D24</f>
        <v>0</v>
      </c>
      <c r="F24" s="1029"/>
      <c r="G24" s="1004" t="s">
        <v>68</v>
      </c>
      <c r="H24" s="1008" t="s">
        <v>380</v>
      </c>
      <c r="I24" s="581">
        <f>VLOOKUP(H22,'CNKT '!$D$16:$AC$96,3,0)</f>
        <v>0</v>
      </c>
      <c r="J24" s="582">
        <v>25000</v>
      </c>
      <c r="K24" s="1007">
        <f>I24*J24</f>
        <v>0</v>
      </c>
      <c r="L24" s="999"/>
    </row>
    <row r="25" spans="1:13" s="23" customFormat="1" ht="15.75" customHeight="1">
      <c r="A25" s="1004" t="s">
        <v>269</v>
      </c>
      <c r="B25" s="1009" t="s">
        <v>455</v>
      </c>
      <c r="C25" s="1010" t="str">
        <f>VLOOKUP(B22,'CNKT '!$D$16:$AC$96,11,0)</f>
        <v>B</v>
      </c>
      <c r="D25" s="583">
        <f>46.1*$B$2</f>
        <v>30424.156000000003</v>
      </c>
      <c r="E25" s="1007" t="e">
        <f>C25*D25</f>
        <v>#VALUE!</v>
      </c>
      <c r="F25" s="1025"/>
      <c r="G25" s="1004" t="s">
        <v>269</v>
      </c>
      <c r="H25" s="1009" t="s">
        <v>455</v>
      </c>
      <c r="I25" s="1010" t="str">
        <f>VLOOKUP(H22,'CNKT '!$D$16:$AC$96,11,0)</f>
        <v>B</v>
      </c>
      <c r="J25" s="583">
        <f>46.1*$B$2</f>
        <v>30424.156000000003</v>
      </c>
      <c r="K25" s="1007" t="e">
        <f>I25*J25</f>
        <v>#VALUE!</v>
      </c>
      <c r="L25" s="999"/>
    </row>
    <row r="26" spans="1:13" s="1027" customFormat="1" ht="15.75" customHeight="1">
      <c r="A26" s="1004" t="s">
        <v>356</v>
      </c>
      <c r="B26" s="1009" t="s">
        <v>456</v>
      </c>
      <c r="C26" s="1010">
        <f>VLOOKUP(B22,'CNKT '!$D$16:$AC$96,12,0)</f>
        <v>7495091</v>
      </c>
      <c r="D26" s="582">
        <f>76.9*$B$2</f>
        <v>50750.924000000006</v>
      </c>
      <c r="E26" s="1007">
        <f t="shared" ref="E26:E27" si="3">C26*D26</f>
        <v>380382793714.08405</v>
      </c>
      <c r="F26" s="1030"/>
      <c r="G26" s="1004" t="s">
        <v>356</v>
      </c>
      <c r="H26" s="1009" t="s">
        <v>456</v>
      </c>
      <c r="I26" s="1010">
        <f>VLOOKUP(H22,'CNKT '!$D$16:$AC$96,12,0)</f>
        <v>5496854</v>
      </c>
      <c r="J26" s="582">
        <f>76.9*$B$2</f>
        <v>50750.924000000006</v>
      </c>
      <c r="K26" s="1007">
        <f t="shared" ref="K26:K27" si="4">I26*J26</f>
        <v>278970419593.09601</v>
      </c>
      <c r="L26" s="999"/>
    </row>
    <row r="27" spans="1:13" s="1031" customFormat="1" ht="15.75" customHeight="1">
      <c r="A27" s="1004" t="s">
        <v>69</v>
      </c>
      <c r="B27" s="1009" t="s">
        <v>457</v>
      </c>
      <c r="C27" s="1010">
        <f>VLOOKUP(B22,'CNKT '!$D$16:$AC$96,8,0)</f>
        <v>1944.0888004348178</v>
      </c>
      <c r="D27" s="582">
        <f>IF(C23="A",6.1,IF(C23="B",5.8,IF(C23="C",5.5,IF(C23="C.",5.5,IF(C23="D",5.2)))))*$B$2</f>
        <v>0</v>
      </c>
      <c r="E27" s="1007">
        <f t="shared" si="3"/>
        <v>0</v>
      </c>
      <c r="F27" s="1025"/>
      <c r="G27" s="1004" t="s">
        <v>69</v>
      </c>
      <c r="H27" s="1009" t="s">
        <v>457</v>
      </c>
      <c r="I27" s="1010">
        <f>VLOOKUP(H22,'CNKT '!$D$16:$AC$96,8,0)</f>
        <v>1418.3372651673637</v>
      </c>
      <c r="J27" s="582">
        <f>IF(I23="A",6.1,IF(I23="B",5.8,IF(I23="C",5.5,IF(I23="C.",5.5,IF(I23="D",5.2)))))*$B$2</f>
        <v>0</v>
      </c>
      <c r="K27" s="1007">
        <f t="shared" si="4"/>
        <v>0</v>
      </c>
      <c r="L27" s="999"/>
    </row>
    <row r="28" spans="1:13" s="1031" customFormat="1" ht="15.75" customHeight="1">
      <c r="A28" s="1004" t="s">
        <v>431</v>
      </c>
      <c r="B28" s="1009" t="s">
        <v>458</v>
      </c>
      <c r="C28" s="1010">
        <f>VLOOKUP(B22,'CNKT '!$D$16:$AC$96,13,0)</f>
        <v>26</v>
      </c>
      <c r="D28" s="583">
        <v>100000</v>
      </c>
      <c r="E28" s="1007">
        <f>C28*D28</f>
        <v>2600000</v>
      </c>
      <c r="F28" s="1025"/>
      <c r="G28" s="1004" t="s">
        <v>431</v>
      </c>
      <c r="H28" s="1009" t="s">
        <v>458</v>
      </c>
      <c r="I28" s="1010">
        <f>VLOOKUP(H22,'CNKT '!$D$16:$AC$96,13,0)</f>
        <v>25</v>
      </c>
      <c r="J28" s="583">
        <v>100000</v>
      </c>
      <c r="K28" s="1007">
        <f>I28*J28</f>
        <v>2500000</v>
      </c>
      <c r="L28" s="999"/>
    </row>
    <row r="29" spans="1:13" s="1031" customFormat="1" ht="15.75" customHeight="1">
      <c r="A29" s="1073" t="s">
        <v>780</v>
      </c>
      <c r="B29" s="1065" t="s">
        <v>434</v>
      </c>
      <c r="C29" s="1066">
        <f>VLOOKUP(B22,'CNKT '!$D$16:$AC$96,14,0)</f>
        <v>4</v>
      </c>
      <c r="D29" s="1067">
        <f>153.8*$B$2</f>
        <v>101501.84800000001</v>
      </c>
      <c r="E29" s="1068">
        <f t="shared" ref="E29" si="5">C29*D29</f>
        <v>406007.39200000005</v>
      </c>
      <c r="F29" s="1025"/>
      <c r="G29" s="1073" t="s">
        <v>780</v>
      </c>
      <c r="H29" s="1065" t="s">
        <v>434</v>
      </c>
      <c r="I29" s="1066">
        <f>VLOOKUP(H22,'CNKT '!$D$16:$AC$96,14,0)</f>
        <v>4</v>
      </c>
      <c r="J29" s="1067">
        <f>153.8*$B$2</f>
        <v>101501.84800000001</v>
      </c>
      <c r="K29" s="1068">
        <f t="shared" ref="K29" si="6">I29*J29</f>
        <v>406007.39200000005</v>
      </c>
      <c r="L29" s="999"/>
    </row>
    <row r="30" spans="1:13" s="1031" customFormat="1" ht="15.75" customHeight="1">
      <c r="A30" s="1073" t="s">
        <v>781</v>
      </c>
      <c r="B30" s="1065" t="s">
        <v>435</v>
      </c>
      <c r="C30" s="1066">
        <f>VLOOKUP(B22,'CNKT '!$D$16:$AC$96,18,0)</f>
        <v>0</v>
      </c>
      <c r="D30" s="1067">
        <v>100000</v>
      </c>
      <c r="E30" s="1068">
        <f>C30*D30</f>
        <v>0</v>
      </c>
      <c r="F30" s="1025"/>
      <c r="G30" s="1073" t="s">
        <v>781</v>
      </c>
      <c r="H30" s="1065" t="s">
        <v>435</v>
      </c>
      <c r="I30" s="1066">
        <f>VLOOKUP(H22,'CNKT '!$D$16:$AC$96,18,0)</f>
        <v>0</v>
      </c>
      <c r="J30" s="1067">
        <v>100000</v>
      </c>
      <c r="K30" s="1068">
        <f>I30*J30</f>
        <v>0</v>
      </c>
      <c r="L30" s="999"/>
    </row>
    <row r="31" spans="1:13" s="1031" customFormat="1" ht="15.75" customHeight="1">
      <c r="A31" s="1004" t="s">
        <v>394</v>
      </c>
      <c r="B31" s="1009" t="s">
        <v>435</v>
      </c>
      <c r="C31" s="1010">
        <f>VLOOKUP(B22,'CNKT '!$D$16:$AC$96,19,0)</f>
        <v>0</v>
      </c>
      <c r="D31" s="582">
        <v>20000</v>
      </c>
      <c r="E31" s="1007">
        <f>C31*D31</f>
        <v>0</v>
      </c>
      <c r="F31" s="1025"/>
      <c r="G31" s="1004" t="s">
        <v>394</v>
      </c>
      <c r="H31" s="1009" t="s">
        <v>435</v>
      </c>
      <c r="I31" s="1010">
        <f>VLOOKUP(H22,'CNKT '!$D$16:$AC$96,19,0)</f>
        <v>0</v>
      </c>
      <c r="J31" s="582">
        <v>20000</v>
      </c>
      <c r="K31" s="1007">
        <f>I31*J31</f>
        <v>0</v>
      </c>
      <c r="L31" s="999"/>
    </row>
    <row r="32" spans="1:13" s="1031" customFormat="1" ht="15.75" customHeight="1">
      <c r="A32" s="1004" t="s">
        <v>731</v>
      </c>
      <c r="B32" s="1011" t="s">
        <v>732</v>
      </c>
      <c r="C32" s="1010"/>
      <c r="D32" s="582"/>
      <c r="E32" s="1007">
        <f>VLOOKUP(B22,'CNKT '!$D$16:$AG$99,28,0)</f>
        <v>0</v>
      </c>
      <c r="F32" s="1025"/>
      <c r="G32" s="1004" t="s">
        <v>731</v>
      </c>
      <c r="H32" s="1011" t="s">
        <v>732</v>
      </c>
      <c r="I32" s="1010"/>
      <c r="J32" s="582"/>
      <c r="K32" s="1007">
        <f>VLOOKUP(H22,'CNKT '!$D$16:$AG$99,28,0)</f>
        <v>0</v>
      </c>
      <c r="L32" s="999"/>
    </row>
    <row r="33" spans="1:13" s="1027" customFormat="1" ht="15.75" customHeight="1">
      <c r="A33" s="1012" t="s">
        <v>70</v>
      </c>
      <c r="B33" s="1013" t="s">
        <v>459</v>
      </c>
      <c r="C33" s="1014"/>
      <c r="D33" s="1015"/>
      <c r="E33" s="1014"/>
      <c r="F33" s="1029"/>
      <c r="G33" s="1012" t="s">
        <v>70</v>
      </c>
      <c r="H33" s="1013" t="s">
        <v>459</v>
      </c>
      <c r="I33" s="1014"/>
      <c r="J33" s="1015"/>
      <c r="K33" s="1014"/>
      <c r="L33" s="999"/>
    </row>
    <row r="34" spans="1:13" s="1027" customFormat="1" ht="15.75" customHeight="1">
      <c r="A34" s="1016" t="s">
        <v>71</v>
      </c>
      <c r="B34" s="1017" t="s">
        <v>460</v>
      </c>
      <c r="C34" s="1014"/>
      <c r="D34" s="1014"/>
      <c r="E34" s="1014"/>
      <c r="F34" s="1029"/>
      <c r="G34" s="1016" t="s">
        <v>71</v>
      </c>
      <c r="H34" s="1017" t="s">
        <v>460</v>
      </c>
      <c r="I34" s="1014"/>
      <c r="J34" s="1014"/>
      <c r="K34" s="1014"/>
      <c r="L34" s="999"/>
    </row>
    <row r="35" spans="1:13" s="23" customFormat="1" ht="15.75" customHeight="1">
      <c r="A35" s="1016" t="s">
        <v>72</v>
      </c>
      <c r="B35" s="1018" t="s">
        <v>461</v>
      </c>
      <c r="C35" s="1014"/>
      <c r="D35" s="1014"/>
      <c r="E35" s="1007">
        <f>SUM(E34)</f>
        <v>0</v>
      </c>
      <c r="F35" s="1029"/>
      <c r="G35" s="1016" t="s">
        <v>72</v>
      </c>
      <c r="H35" s="1018" t="s">
        <v>461</v>
      </c>
      <c r="I35" s="1014"/>
      <c r="J35" s="1014"/>
      <c r="K35" s="1007">
        <f>SUM(K34)</f>
        <v>0</v>
      </c>
      <c r="L35" s="999"/>
      <c r="M35" s="1019">
        <f>E35+K35</f>
        <v>0</v>
      </c>
    </row>
    <row r="36" spans="1:13" s="23" customFormat="1" ht="15.75" customHeight="1">
      <c r="A36" s="1020" t="s">
        <v>73</v>
      </c>
      <c r="B36" s="1021" t="s">
        <v>381</v>
      </c>
      <c r="C36" s="1022"/>
      <c r="D36" s="1022"/>
      <c r="E36" s="1022" t="e">
        <f>(E24+E25+E26+E27+E28+E29+E30+E31+E32)-E35</f>
        <v>#VALUE!</v>
      </c>
      <c r="F36" s="1029"/>
      <c r="G36" s="1020" t="s">
        <v>73</v>
      </c>
      <c r="H36" s="1021" t="s">
        <v>381</v>
      </c>
      <c r="I36" s="1022"/>
      <c r="J36" s="1022"/>
      <c r="K36" s="1022" t="e">
        <f>(K24+K25+K26+K27+K28+K29+K30+K31+K32)-K35</f>
        <v>#VALUE!</v>
      </c>
      <c r="L36" s="1024" t="e">
        <f>E36+K36</f>
        <v>#VALUE!</v>
      </c>
    </row>
    <row r="37" spans="1:13" s="23" customFormat="1" ht="15.75" customHeight="1">
      <c r="A37" s="1019"/>
      <c r="B37" s="1032"/>
      <c r="C37" s="1025"/>
      <c r="D37" s="1025"/>
      <c r="E37" s="1029"/>
      <c r="F37" s="1029"/>
      <c r="G37" s="1019"/>
      <c r="H37" s="1032"/>
      <c r="I37" s="1025"/>
      <c r="J37" s="1029"/>
      <c r="K37" s="1027"/>
      <c r="L37" s="999"/>
    </row>
    <row r="38" spans="1:13" s="23" customFormat="1" ht="15.75" customHeight="1">
      <c r="A38" s="1653" t="str">
        <f>G21</f>
        <v>LƯƠNG THÁNG 09/2025</v>
      </c>
      <c r="B38" s="1656"/>
      <c r="C38" s="1656"/>
      <c r="D38" s="1656"/>
      <c r="E38" s="998">
        <v>5</v>
      </c>
      <c r="F38" s="1029"/>
      <c r="G38" s="1653" t="str">
        <f>G21</f>
        <v>LƯƠNG THÁNG 09/2025</v>
      </c>
      <c r="H38" s="1656"/>
      <c r="I38" s="1656"/>
      <c r="J38" s="1657"/>
      <c r="K38" s="998">
        <v>6</v>
      </c>
      <c r="L38" s="999"/>
    </row>
    <row r="39" spans="1:13" s="23" customFormat="1" ht="15.75" customHeight="1">
      <c r="A39" s="1028" t="s">
        <v>13</v>
      </c>
      <c r="B39" s="1000" t="str">
        <f>'CNKT '!D20</f>
        <v>N. Vạt</v>
      </c>
      <c r="C39" s="1001"/>
      <c r="D39" s="1002" t="s">
        <v>353</v>
      </c>
      <c r="E39" s="1002" t="s">
        <v>16</v>
      </c>
      <c r="F39" s="1029"/>
      <c r="G39" s="1028" t="s">
        <v>13</v>
      </c>
      <c r="H39" s="1000" t="str">
        <f>'CNKT '!D21</f>
        <v>N. Kay Son</v>
      </c>
      <c r="I39" s="1001"/>
      <c r="J39" s="1002" t="s">
        <v>353</v>
      </c>
      <c r="K39" s="1002" t="s">
        <v>16</v>
      </c>
      <c r="L39" s="999"/>
    </row>
    <row r="40" spans="1:13" s="23" customFormat="1" ht="15.75" customHeight="1">
      <c r="A40" s="1004" t="s">
        <v>354</v>
      </c>
      <c r="B40" s="1005" t="s">
        <v>454</v>
      </c>
      <c r="C40" s="1006">
        <f>VLOOKUP(B39,'SẢN LƯỢNG'!$D$17:$AR$94,37,0)</f>
        <v>3471</v>
      </c>
      <c r="D40" s="1007"/>
      <c r="E40" s="1007"/>
      <c r="F40" s="1032"/>
      <c r="G40" s="1004" t="s">
        <v>354</v>
      </c>
      <c r="H40" s="1005" t="s">
        <v>454</v>
      </c>
      <c r="I40" s="1006">
        <f>VLOOKUP(H39,'SẢN LƯỢNG'!$D$17:$AR$94,37,0)</f>
        <v>4292</v>
      </c>
      <c r="J40" s="1007"/>
      <c r="K40" s="1007"/>
      <c r="L40" s="999"/>
    </row>
    <row r="41" spans="1:13" s="23" customFormat="1" ht="15.75" customHeight="1">
      <c r="A41" s="1004" t="s">
        <v>68</v>
      </c>
      <c r="B41" s="1008" t="s">
        <v>380</v>
      </c>
      <c r="C41" s="581">
        <f>VLOOKUP(B39,'CNKT '!$D$16:$AC$96,3,0)</f>
        <v>0</v>
      </c>
      <c r="D41" s="582">
        <v>25000</v>
      </c>
      <c r="E41" s="1007">
        <f>C41*D41</f>
        <v>0</v>
      </c>
      <c r="F41" s="1032"/>
      <c r="G41" s="1004" t="s">
        <v>68</v>
      </c>
      <c r="H41" s="1008" t="s">
        <v>380</v>
      </c>
      <c r="I41" s="581">
        <f>VLOOKUP(H39,'CNKT '!$D$16:$AC$96,3,0)</f>
        <v>0</v>
      </c>
      <c r="J41" s="582">
        <v>25000</v>
      </c>
      <c r="K41" s="1007">
        <f>I41*J41</f>
        <v>0</v>
      </c>
      <c r="L41" s="999"/>
    </row>
    <row r="42" spans="1:13" s="23" customFormat="1" ht="15.75" customHeight="1">
      <c r="A42" s="1004" t="s">
        <v>269</v>
      </c>
      <c r="B42" s="1009" t="s">
        <v>455</v>
      </c>
      <c r="C42" s="1010" t="str">
        <f>VLOOKUP(B39,'CNKT '!$D$16:$AC$96,11,0)</f>
        <v>B</v>
      </c>
      <c r="D42" s="583">
        <f>46.1*$B$2</f>
        <v>30424.156000000003</v>
      </c>
      <c r="E42" s="1007" t="e">
        <f>C42*D42</f>
        <v>#VALUE!</v>
      </c>
      <c r="F42" s="1025"/>
      <c r="G42" s="1004" t="s">
        <v>269</v>
      </c>
      <c r="H42" s="1009" t="s">
        <v>455</v>
      </c>
      <c r="I42" s="1010" t="str">
        <f>VLOOKUP(H39,'CNKT '!$D$16:$AC$96,11,0)</f>
        <v>B</v>
      </c>
      <c r="J42" s="583">
        <f>46.1*$B$2</f>
        <v>30424.156000000003</v>
      </c>
      <c r="K42" s="1007" t="e">
        <f>I42*J42</f>
        <v>#VALUE!</v>
      </c>
      <c r="L42" s="999"/>
    </row>
    <row r="43" spans="1:13" s="23" customFormat="1" ht="15.75" customHeight="1">
      <c r="A43" s="1004" t="s">
        <v>356</v>
      </c>
      <c r="B43" s="1009" t="s">
        <v>456</v>
      </c>
      <c r="C43" s="1010">
        <f>VLOOKUP(B39,'CNKT '!$D$16:$AC$96,12,0)</f>
        <v>6143080</v>
      </c>
      <c r="D43" s="582">
        <f>76.9*$B$2</f>
        <v>50750.924000000006</v>
      </c>
      <c r="E43" s="1007">
        <f t="shared" ref="E43:E44" si="7">C43*D43</f>
        <v>311766986205.92004</v>
      </c>
      <c r="F43" s="1033"/>
      <c r="G43" s="1004" t="s">
        <v>356</v>
      </c>
      <c r="H43" s="1009" t="s">
        <v>456</v>
      </c>
      <c r="I43" s="1010">
        <f>VLOOKUP(H39,'CNKT '!$D$16:$AC$96,12,0)</f>
        <v>7476116</v>
      </c>
      <c r="J43" s="582">
        <f>76.9*$B$2</f>
        <v>50750.924000000006</v>
      </c>
      <c r="K43" s="1007">
        <f t="shared" ref="K43:K44" si="8">I43*J43</f>
        <v>379419794931.18402</v>
      </c>
      <c r="L43" s="999"/>
    </row>
    <row r="44" spans="1:13" s="23" customFormat="1" ht="15.75" customHeight="1">
      <c r="A44" s="1004" t="s">
        <v>69</v>
      </c>
      <c r="B44" s="1009" t="s">
        <v>457</v>
      </c>
      <c r="C44" s="1010">
        <f>VLOOKUP(B39,'CNKT '!$D$16:$AC$96,8,0)</f>
        <v>1615.6596297891538</v>
      </c>
      <c r="D44" s="582">
        <f>IF(C40="A",6.1,IF(C40="B",5.8,IF(C40="C",5.5,IF(C40="C.",5.5,IF(C40="D",5.2)))))*$B$2</f>
        <v>0</v>
      </c>
      <c r="E44" s="1007">
        <f t="shared" si="7"/>
        <v>0</v>
      </c>
      <c r="F44" s="1032"/>
      <c r="G44" s="1004" t="s">
        <v>69</v>
      </c>
      <c r="H44" s="1009" t="s">
        <v>457</v>
      </c>
      <c r="I44" s="1010">
        <f>VLOOKUP(H39,'CNKT '!$D$16:$AC$96,8,0)</f>
        <v>1963.9534680141928</v>
      </c>
      <c r="J44" s="582">
        <f>IF(I40="A",6.1,IF(I40="B",5.8,IF(I40="C",5.5,IF(I40="C.",5.5,IF(I40="D",5.2)))))*$B$2</f>
        <v>0</v>
      </c>
      <c r="K44" s="1007">
        <f t="shared" si="8"/>
        <v>0</v>
      </c>
      <c r="L44" s="999"/>
    </row>
    <row r="45" spans="1:13" s="23" customFormat="1" ht="15.75" customHeight="1">
      <c r="A45" s="1004" t="s">
        <v>431</v>
      </c>
      <c r="B45" s="1009" t="s">
        <v>458</v>
      </c>
      <c r="C45" s="1010">
        <f>VLOOKUP(B39,'CNKT '!$D$16:$AC$96,13,0)</f>
        <v>26</v>
      </c>
      <c r="D45" s="583">
        <v>100000</v>
      </c>
      <c r="E45" s="1007">
        <f>C45*D45</f>
        <v>2600000</v>
      </c>
      <c r="F45" s="1032"/>
      <c r="G45" s="1004" t="s">
        <v>431</v>
      </c>
      <c r="H45" s="1009" t="s">
        <v>458</v>
      </c>
      <c r="I45" s="1010">
        <f>VLOOKUP(H39,'CNKT '!$D$16:$AC$96,13,0)</f>
        <v>27</v>
      </c>
      <c r="J45" s="583">
        <v>100000</v>
      </c>
      <c r="K45" s="1007">
        <f>I45*J45</f>
        <v>2700000</v>
      </c>
      <c r="L45" s="999"/>
    </row>
    <row r="46" spans="1:13" s="23" customFormat="1" ht="15.75" customHeight="1">
      <c r="A46" s="1073" t="s">
        <v>780</v>
      </c>
      <c r="B46" s="1065" t="s">
        <v>434</v>
      </c>
      <c r="C46" s="1066">
        <f>VLOOKUP(B39,'CNKT '!$D$16:$AC$96,14,0)</f>
        <v>3</v>
      </c>
      <c r="D46" s="1067">
        <f>153.8*$B$2</f>
        <v>101501.84800000001</v>
      </c>
      <c r="E46" s="1068">
        <f t="shared" ref="E46" si="9">C46*D46</f>
        <v>304505.54400000005</v>
      </c>
      <c r="F46" s="1032"/>
      <c r="G46" s="1073" t="s">
        <v>780</v>
      </c>
      <c r="H46" s="1065" t="s">
        <v>434</v>
      </c>
      <c r="I46" s="1066">
        <f>VLOOKUP(H39,'CNKT '!$D$16:$AC$96,14,0)</f>
        <v>4</v>
      </c>
      <c r="J46" s="1067">
        <f>153.8*$B$2</f>
        <v>101501.84800000001</v>
      </c>
      <c r="K46" s="1068">
        <f t="shared" ref="K46" si="10">I46*J46</f>
        <v>406007.39200000005</v>
      </c>
      <c r="L46" s="999"/>
    </row>
    <row r="47" spans="1:13" s="23" customFormat="1" ht="15.75" customHeight="1">
      <c r="A47" s="1073" t="s">
        <v>781</v>
      </c>
      <c r="B47" s="1065" t="s">
        <v>435</v>
      </c>
      <c r="C47" s="1066">
        <f>VLOOKUP(B39,'CNKT '!$D$16:$AC$96,18,0)</f>
        <v>0</v>
      </c>
      <c r="D47" s="1067">
        <v>100000</v>
      </c>
      <c r="E47" s="1068">
        <f>C47*D47</f>
        <v>0</v>
      </c>
      <c r="F47" s="1032"/>
      <c r="G47" s="1073" t="s">
        <v>781</v>
      </c>
      <c r="H47" s="1065" t="s">
        <v>435</v>
      </c>
      <c r="I47" s="1066">
        <f>VLOOKUP(H39,'CNKT '!$D$16:$AC$96,18,0)</f>
        <v>0</v>
      </c>
      <c r="J47" s="1067">
        <v>100000</v>
      </c>
      <c r="K47" s="1068">
        <f>I47*J47</f>
        <v>0</v>
      </c>
      <c r="L47" s="999"/>
    </row>
    <row r="48" spans="1:13" s="23" customFormat="1" ht="15.75" customHeight="1">
      <c r="A48" s="1004" t="s">
        <v>394</v>
      </c>
      <c r="B48" s="1009" t="s">
        <v>435</v>
      </c>
      <c r="C48" s="1010">
        <f>VLOOKUP(B39,'CNKT '!$D$16:$AC$96,19,0)</f>
        <v>0</v>
      </c>
      <c r="D48" s="582">
        <v>20000</v>
      </c>
      <c r="E48" s="1007">
        <f>C48*D48</f>
        <v>0</v>
      </c>
      <c r="F48" s="1032"/>
      <c r="G48" s="1004" t="s">
        <v>394</v>
      </c>
      <c r="H48" s="1009" t="s">
        <v>435</v>
      </c>
      <c r="I48" s="1010">
        <f>VLOOKUP(H39,'CNKT '!$D$16:$AC$96,19,0)</f>
        <v>0</v>
      </c>
      <c r="J48" s="582">
        <v>20000</v>
      </c>
      <c r="K48" s="1007">
        <f>I48*J48</f>
        <v>0</v>
      </c>
      <c r="L48" s="999"/>
    </row>
    <row r="49" spans="1:13" s="23" customFormat="1" ht="15.75" customHeight="1">
      <c r="A49" s="1004" t="s">
        <v>731</v>
      </c>
      <c r="B49" s="1011" t="s">
        <v>732</v>
      </c>
      <c r="C49" s="1010"/>
      <c r="D49" s="582"/>
      <c r="E49" s="1007">
        <f>VLOOKUP(B39,'CNKT '!$D$16:$AG$99,28,0)</f>
        <v>0</v>
      </c>
      <c r="F49" s="1032"/>
      <c r="G49" s="1004" t="s">
        <v>731</v>
      </c>
      <c r="H49" s="1011" t="s">
        <v>732</v>
      </c>
      <c r="I49" s="1010"/>
      <c r="J49" s="582"/>
      <c r="K49" s="1007">
        <f>VLOOKUP(H39,'CNKT '!$D$16:$AG$99,28,0)</f>
        <v>0</v>
      </c>
      <c r="L49" s="999"/>
    </row>
    <row r="50" spans="1:13" s="23" customFormat="1" ht="15.75" customHeight="1">
      <c r="A50" s="1012" t="s">
        <v>70</v>
      </c>
      <c r="B50" s="1013" t="s">
        <v>459</v>
      </c>
      <c r="C50" s="1014"/>
      <c r="D50" s="1015"/>
      <c r="E50" s="1014"/>
      <c r="F50" s="1025"/>
      <c r="G50" s="1012" t="s">
        <v>70</v>
      </c>
      <c r="H50" s="1013" t="s">
        <v>459</v>
      </c>
      <c r="I50" s="1014"/>
      <c r="J50" s="1015"/>
      <c r="K50" s="1014"/>
      <c r="L50" s="999"/>
    </row>
    <row r="51" spans="1:13" s="23" customFormat="1" ht="15.75" customHeight="1">
      <c r="A51" s="1016" t="s">
        <v>71</v>
      </c>
      <c r="B51" s="1017" t="s">
        <v>460</v>
      </c>
      <c r="C51" s="1014"/>
      <c r="D51" s="1014"/>
      <c r="E51" s="1014"/>
      <c r="F51" s="1029"/>
      <c r="G51" s="1016" t="s">
        <v>71</v>
      </c>
      <c r="H51" s="1017" t="s">
        <v>460</v>
      </c>
      <c r="I51" s="1014"/>
      <c r="J51" s="1014"/>
      <c r="K51" s="1014"/>
      <c r="L51" s="999"/>
    </row>
    <row r="52" spans="1:13" s="23" customFormat="1" ht="15.75" customHeight="1">
      <c r="A52" s="1016" t="s">
        <v>72</v>
      </c>
      <c r="B52" s="1018" t="s">
        <v>461</v>
      </c>
      <c r="C52" s="1014"/>
      <c r="D52" s="1014"/>
      <c r="E52" s="1007">
        <f>SUM(E51)</f>
        <v>0</v>
      </c>
      <c r="F52" s="1029"/>
      <c r="G52" s="1016" t="s">
        <v>72</v>
      </c>
      <c r="H52" s="1018" t="s">
        <v>461</v>
      </c>
      <c r="I52" s="1014"/>
      <c r="J52" s="1014"/>
      <c r="K52" s="1007">
        <f>SUM(K51)</f>
        <v>0</v>
      </c>
      <c r="L52" s="999"/>
      <c r="M52" s="1019">
        <f>E52+K52</f>
        <v>0</v>
      </c>
    </row>
    <row r="53" spans="1:13" s="23" customFormat="1" ht="15.75" customHeight="1">
      <c r="A53" s="1020" t="s">
        <v>73</v>
      </c>
      <c r="B53" s="1021" t="s">
        <v>381</v>
      </c>
      <c r="C53" s="1022"/>
      <c r="D53" s="1022"/>
      <c r="E53" s="1022" t="e">
        <f>(E41+E42+E43+E44+E45+E46+E47+E48+E49)-E52</f>
        <v>#VALUE!</v>
      </c>
      <c r="F53" s="1029"/>
      <c r="G53" s="1020" t="s">
        <v>73</v>
      </c>
      <c r="H53" s="1021" t="s">
        <v>381</v>
      </c>
      <c r="I53" s="1022"/>
      <c r="J53" s="1022"/>
      <c r="K53" s="1022" t="e">
        <f>(K41+K42+K43+K44+K45+K46+K47+K48+K49)-K52</f>
        <v>#VALUE!</v>
      </c>
      <c r="L53" s="1024" t="e">
        <f>E53+K53</f>
        <v>#VALUE!</v>
      </c>
    </row>
    <row r="54" spans="1:13" s="23" customFormat="1" ht="15.75" customHeight="1">
      <c r="A54" s="1029"/>
      <c r="B54" s="1034"/>
      <c r="C54" s="1035"/>
      <c r="D54" s="1035"/>
      <c r="E54" s="1033"/>
      <c r="F54" s="1029"/>
      <c r="G54" s="1029"/>
      <c r="H54" s="1034"/>
      <c r="I54" s="1035"/>
      <c r="J54" s="1033"/>
      <c r="K54" s="1027"/>
      <c r="L54" s="999"/>
    </row>
    <row r="55" spans="1:13" s="23" customFormat="1" ht="15.75" customHeight="1">
      <c r="A55" s="1653" t="str">
        <f>G38</f>
        <v>LƯƠNG THÁNG 09/2025</v>
      </c>
      <c r="B55" s="1656"/>
      <c r="C55" s="1656"/>
      <c r="D55" s="1656"/>
      <c r="E55" s="998">
        <v>7</v>
      </c>
      <c r="F55" s="1025"/>
      <c r="G55" s="1653" t="str">
        <f>G38</f>
        <v>LƯƠNG THÁNG 09/2025</v>
      </c>
      <c r="H55" s="1656"/>
      <c r="I55" s="1656"/>
      <c r="J55" s="1657"/>
      <c r="K55" s="998">
        <v>8</v>
      </c>
      <c r="L55" s="999"/>
    </row>
    <row r="56" spans="1:13" s="23" customFormat="1" ht="15.75" customHeight="1">
      <c r="A56" s="1028" t="s">
        <v>13</v>
      </c>
      <c r="B56" s="1000" t="str">
        <f>'CNKT '!D22</f>
        <v>T. Đèng 1</v>
      </c>
      <c r="C56" s="1001"/>
      <c r="D56" s="1002" t="s">
        <v>353</v>
      </c>
      <c r="E56" s="1002" t="s">
        <v>16</v>
      </c>
      <c r="F56" s="1033"/>
      <c r="G56" s="1028" t="s">
        <v>13</v>
      </c>
      <c r="H56" s="1000" t="str">
        <f>'CNKT '!D23</f>
        <v>T . Bua Ngân</v>
      </c>
      <c r="I56" s="1001"/>
      <c r="J56" s="1002" t="s">
        <v>353</v>
      </c>
      <c r="K56" s="1002" t="s">
        <v>16</v>
      </c>
      <c r="L56" s="999"/>
    </row>
    <row r="57" spans="1:13" s="23" customFormat="1" ht="15.75" customHeight="1">
      <c r="A57" s="1004" t="s">
        <v>354</v>
      </c>
      <c r="B57" s="1005" t="s">
        <v>454</v>
      </c>
      <c r="C57" s="1006">
        <f>VLOOKUP(B56,'SẢN LƯỢNG'!$D$17:$AR$94,37,0)</f>
        <v>3779</v>
      </c>
      <c r="D57" s="1007"/>
      <c r="E57" s="1007"/>
      <c r="F57" s="1033"/>
      <c r="G57" s="1004" t="s">
        <v>354</v>
      </c>
      <c r="H57" s="1005" t="s">
        <v>454</v>
      </c>
      <c r="I57" s="1006">
        <f>VLOOKUP(H56,'SẢN LƯỢNG'!$D$17:$AR$94,37,0)</f>
        <v>3373</v>
      </c>
      <c r="J57" s="1007"/>
      <c r="K57" s="1007"/>
      <c r="L57" s="999"/>
    </row>
    <row r="58" spans="1:13" s="23" customFormat="1" ht="15.75" customHeight="1">
      <c r="A58" s="1004" t="s">
        <v>68</v>
      </c>
      <c r="B58" s="1008" t="s">
        <v>380</v>
      </c>
      <c r="C58" s="581">
        <f>VLOOKUP(B56,'CNKT '!$D$16:$AC$96,3,0)</f>
        <v>0</v>
      </c>
      <c r="D58" s="582">
        <v>25000</v>
      </c>
      <c r="E58" s="1007">
        <f>C58*D58</f>
        <v>0</v>
      </c>
      <c r="F58" s="1032"/>
      <c r="G58" s="1004" t="s">
        <v>68</v>
      </c>
      <c r="H58" s="1008" t="s">
        <v>380</v>
      </c>
      <c r="I58" s="581">
        <f>VLOOKUP(H56,'CNKT '!$D$16:$AC$96,3,0)</f>
        <v>0</v>
      </c>
      <c r="J58" s="582">
        <v>25000</v>
      </c>
      <c r="K58" s="1007">
        <f>I58*J58</f>
        <v>0</v>
      </c>
      <c r="L58" s="999"/>
    </row>
    <row r="59" spans="1:13" s="23" customFormat="1" ht="15.75" customHeight="1">
      <c r="A59" s="1004" t="s">
        <v>269</v>
      </c>
      <c r="B59" s="1009" t="s">
        <v>455</v>
      </c>
      <c r="C59" s="1010" t="str">
        <f>VLOOKUP(B56,'CNKT '!$D$16:$AC$96,11,0)</f>
        <v>A</v>
      </c>
      <c r="D59" s="583">
        <f>46.1*$B$2</f>
        <v>30424.156000000003</v>
      </c>
      <c r="E59" s="1007" t="e">
        <f>C59*D59</f>
        <v>#VALUE!</v>
      </c>
      <c r="F59" s="1025"/>
      <c r="G59" s="1004" t="s">
        <v>269</v>
      </c>
      <c r="H59" s="1009" t="s">
        <v>455</v>
      </c>
      <c r="I59" s="1010" t="str">
        <f>VLOOKUP(H56,'CNKT '!$D$16:$AC$96,11,0)</f>
        <v>A</v>
      </c>
      <c r="J59" s="583">
        <f>46.1*$B$2</f>
        <v>30424.156000000003</v>
      </c>
      <c r="K59" s="1007" t="e">
        <f>I59*J59</f>
        <v>#VALUE!</v>
      </c>
      <c r="L59" s="999"/>
    </row>
    <row r="60" spans="1:13" s="23" customFormat="1" ht="15.75" customHeight="1">
      <c r="A60" s="1004" t="s">
        <v>356</v>
      </c>
      <c r="B60" s="1009" t="s">
        <v>456</v>
      </c>
      <c r="C60" s="1010">
        <f>VLOOKUP(B56,'CNKT '!$D$16:$AC$96,12,0)</f>
        <v>6981856</v>
      </c>
      <c r="D60" s="582">
        <f>76.9*$B$2</f>
        <v>50750.924000000006</v>
      </c>
      <c r="E60" s="1007">
        <f t="shared" ref="E60:E61" si="11">C60*D60</f>
        <v>354335643234.94403</v>
      </c>
      <c r="F60" s="1029"/>
      <c r="G60" s="1004" t="s">
        <v>356</v>
      </c>
      <c r="H60" s="1009" t="s">
        <v>456</v>
      </c>
      <c r="I60" s="1010">
        <f>VLOOKUP(H56,'CNKT '!$D$16:$AC$96,12,0)</f>
        <v>6380971</v>
      </c>
      <c r="J60" s="582">
        <f>76.9*$B$2</f>
        <v>50750.924000000006</v>
      </c>
      <c r="K60" s="1007">
        <f t="shared" ref="K60:K61" si="12">I60*J60</f>
        <v>323840174267.20404</v>
      </c>
      <c r="L60" s="999"/>
    </row>
    <row r="61" spans="1:13" s="23" customFormat="1" ht="15.75" customHeight="1">
      <c r="A61" s="1004" t="s">
        <v>69</v>
      </c>
      <c r="B61" s="1009" t="s">
        <v>457</v>
      </c>
      <c r="C61" s="1010">
        <f>VLOOKUP(B56,'CNKT '!$D$16:$AC$96,8,0)</f>
        <v>1745.0006875837501</v>
      </c>
      <c r="D61" s="582">
        <f>IF(C57="A",6.1,IF(C57="B",5.8,IF(C57="C",5.5,IF(C57="C.",5.5,IF(C57="D",5.2)))))*$B$2</f>
        <v>0</v>
      </c>
      <c r="E61" s="1007">
        <f t="shared" si="11"/>
        <v>0</v>
      </c>
      <c r="F61" s="1029"/>
      <c r="G61" s="1004" t="s">
        <v>69</v>
      </c>
      <c r="H61" s="1009" t="s">
        <v>457</v>
      </c>
      <c r="I61" s="1010">
        <f>VLOOKUP(H56,'CNKT '!$D$16:$AC$96,8,0)</f>
        <v>1597.5607104390567</v>
      </c>
      <c r="J61" s="582">
        <f>IF(I57="A",6.1,IF(I57="B",5.8,IF(I57="C",5.5,IF(I57="C.",5.5,IF(I57="D",5.2)))))*$B$2</f>
        <v>0</v>
      </c>
      <c r="K61" s="1007">
        <f t="shared" si="12"/>
        <v>0</v>
      </c>
      <c r="L61" s="999"/>
    </row>
    <row r="62" spans="1:13" s="23" customFormat="1" ht="15.75" customHeight="1">
      <c r="A62" s="1004" t="s">
        <v>431</v>
      </c>
      <c r="B62" s="1009" t="s">
        <v>458</v>
      </c>
      <c r="C62" s="1010">
        <f>VLOOKUP(B56,'CNKT '!$D$16:$AC$96,13,0)</f>
        <v>26</v>
      </c>
      <c r="D62" s="583">
        <v>100000</v>
      </c>
      <c r="E62" s="1007">
        <f>C62*D62</f>
        <v>2600000</v>
      </c>
      <c r="F62" s="1029"/>
      <c r="G62" s="1004" t="s">
        <v>431</v>
      </c>
      <c r="H62" s="1009" t="s">
        <v>458</v>
      </c>
      <c r="I62" s="1010">
        <f>VLOOKUP(H56,'CNKT '!$D$16:$AC$96,13,0)</f>
        <v>27</v>
      </c>
      <c r="J62" s="583">
        <v>100000</v>
      </c>
      <c r="K62" s="1007">
        <f>I62*J62</f>
        <v>2700000</v>
      </c>
      <c r="L62" s="999"/>
    </row>
    <row r="63" spans="1:13" s="23" customFormat="1" ht="15.75" customHeight="1">
      <c r="A63" s="1073" t="s">
        <v>780</v>
      </c>
      <c r="B63" s="1065" t="s">
        <v>434</v>
      </c>
      <c r="C63" s="1066">
        <f>VLOOKUP(B56,'CNKT '!$D$16:$AC$96,14,0)</f>
        <v>4</v>
      </c>
      <c r="D63" s="1067">
        <f>153.8*$B$2</f>
        <v>101501.84800000001</v>
      </c>
      <c r="E63" s="1068">
        <f t="shared" ref="E63" si="13">C63*D63</f>
        <v>406007.39200000005</v>
      </c>
      <c r="F63" s="1029"/>
      <c r="G63" s="1073" t="s">
        <v>780</v>
      </c>
      <c r="H63" s="1065" t="s">
        <v>434</v>
      </c>
      <c r="I63" s="1066">
        <f>VLOOKUP(H56,'CNKT '!$D$16:$AC$96,14,0)</f>
        <v>4</v>
      </c>
      <c r="J63" s="1067">
        <f>153.8*$B$2</f>
        <v>101501.84800000001</v>
      </c>
      <c r="K63" s="1068">
        <f t="shared" ref="K63" si="14">I63*J63</f>
        <v>406007.39200000005</v>
      </c>
      <c r="L63" s="999"/>
    </row>
    <row r="64" spans="1:13" s="23" customFormat="1" ht="15.75" customHeight="1">
      <c r="A64" s="1073" t="s">
        <v>781</v>
      </c>
      <c r="B64" s="1065" t="s">
        <v>435</v>
      </c>
      <c r="C64" s="1066">
        <f>VLOOKUP(B56,'CNKT '!$D$16:$AC$96,18,0)</f>
        <v>0</v>
      </c>
      <c r="D64" s="1067">
        <v>100000</v>
      </c>
      <c r="E64" s="1068">
        <f>C64*D64</f>
        <v>0</v>
      </c>
      <c r="F64" s="1029"/>
      <c r="G64" s="1073" t="s">
        <v>781</v>
      </c>
      <c r="H64" s="1065" t="s">
        <v>435</v>
      </c>
      <c r="I64" s="1066">
        <f>VLOOKUP(H56,'CNKT '!$D$16:$AC$96,18,0)</f>
        <v>0</v>
      </c>
      <c r="J64" s="1067">
        <v>100000</v>
      </c>
      <c r="K64" s="1068">
        <f>I64*J64</f>
        <v>0</v>
      </c>
      <c r="L64" s="999"/>
    </row>
    <row r="65" spans="1:13" s="23" customFormat="1" ht="15.75" customHeight="1">
      <c r="A65" s="1004" t="s">
        <v>394</v>
      </c>
      <c r="B65" s="1009" t="s">
        <v>435</v>
      </c>
      <c r="C65" s="1010">
        <f>VLOOKUP(B56,'CNKT '!$D$16:$AC$96,19,0)</f>
        <v>0</v>
      </c>
      <c r="D65" s="582">
        <v>20000</v>
      </c>
      <c r="E65" s="1007">
        <f>C65*D65</f>
        <v>0</v>
      </c>
      <c r="F65" s="1029"/>
      <c r="G65" s="1004" t="s">
        <v>394</v>
      </c>
      <c r="H65" s="1009" t="s">
        <v>435</v>
      </c>
      <c r="I65" s="1010">
        <f>VLOOKUP(H56,'CNKT '!$D$16:$AC$96,19,0)</f>
        <v>0</v>
      </c>
      <c r="J65" s="582">
        <v>20000</v>
      </c>
      <c r="K65" s="1007">
        <f>I65*J65</f>
        <v>0</v>
      </c>
      <c r="L65" s="999"/>
    </row>
    <row r="66" spans="1:13" s="23" customFormat="1" ht="15.75" customHeight="1">
      <c r="A66" s="1004" t="s">
        <v>731</v>
      </c>
      <c r="B66" s="1011" t="s">
        <v>732</v>
      </c>
      <c r="C66" s="1010"/>
      <c r="D66" s="582"/>
      <c r="E66" s="1007">
        <f>VLOOKUP(B56,'CNKT '!$D$16:$AG$99,28,0)</f>
        <v>0</v>
      </c>
      <c r="F66" s="1029"/>
      <c r="G66" s="1004" t="s">
        <v>731</v>
      </c>
      <c r="H66" s="1011" t="s">
        <v>732</v>
      </c>
      <c r="I66" s="1010"/>
      <c r="J66" s="582"/>
      <c r="K66" s="1007">
        <f>VLOOKUP(H56,'CNKT '!$D$16:$AG$99,28,0)</f>
        <v>0</v>
      </c>
      <c r="L66" s="999"/>
    </row>
    <row r="67" spans="1:13" s="23" customFormat="1" ht="15.75" customHeight="1">
      <c r="A67" s="1012" t="s">
        <v>70</v>
      </c>
      <c r="B67" s="1013" t="s">
        <v>459</v>
      </c>
      <c r="C67" s="1014"/>
      <c r="D67" s="1015"/>
      <c r="E67" s="1014"/>
      <c r="F67" s="1029"/>
      <c r="G67" s="1012" t="s">
        <v>70</v>
      </c>
      <c r="H67" s="1013" t="s">
        <v>459</v>
      </c>
      <c r="I67" s="1014"/>
      <c r="J67" s="1015"/>
      <c r="K67" s="1014"/>
      <c r="L67" s="999"/>
    </row>
    <row r="68" spans="1:13" s="23" customFormat="1" ht="15.75" customHeight="1">
      <c r="A68" s="1016" t="s">
        <v>71</v>
      </c>
      <c r="B68" s="1017" t="s">
        <v>460</v>
      </c>
      <c r="C68" s="1014"/>
      <c r="D68" s="1014"/>
      <c r="E68" s="1014"/>
      <c r="F68" s="1029"/>
      <c r="G68" s="1016" t="s">
        <v>71</v>
      </c>
      <c r="H68" s="1017" t="s">
        <v>460</v>
      </c>
      <c r="I68" s="1014"/>
      <c r="J68" s="1014"/>
      <c r="K68" s="1014"/>
      <c r="L68" s="999"/>
    </row>
    <row r="69" spans="1:13" s="23" customFormat="1" ht="15.75" customHeight="1">
      <c r="A69" s="1016" t="s">
        <v>72</v>
      </c>
      <c r="B69" s="1018" t="s">
        <v>461</v>
      </c>
      <c r="C69" s="1014"/>
      <c r="D69" s="1014"/>
      <c r="E69" s="1007">
        <f>SUM(E68)</f>
        <v>0</v>
      </c>
      <c r="F69" s="1029"/>
      <c r="G69" s="1016" t="s">
        <v>72</v>
      </c>
      <c r="H69" s="1018" t="s">
        <v>461</v>
      </c>
      <c r="I69" s="1014"/>
      <c r="J69" s="1014"/>
      <c r="K69" s="1007">
        <f>SUM(K68)</f>
        <v>0</v>
      </c>
      <c r="L69" s="999"/>
      <c r="M69" s="1019">
        <f>E69+K69</f>
        <v>0</v>
      </c>
    </row>
    <row r="70" spans="1:13" s="23" customFormat="1" ht="15.75" customHeight="1">
      <c r="A70" s="1020" t="s">
        <v>73</v>
      </c>
      <c r="B70" s="1021" t="s">
        <v>381</v>
      </c>
      <c r="C70" s="1022"/>
      <c r="D70" s="1022"/>
      <c r="E70" s="1022" t="e">
        <f>(E58+E59+E60+E61+E62+E63+E64+E65+E66)-E69</f>
        <v>#VALUE!</v>
      </c>
      <c r="F70" s="1029"/>
      <c r="G70" s="1020" t="s">
        <v>73</v>
      </c>
      <c r="H70" s="1021" t="s">
        <v>381</v>
      </c>
      <c r="I70" s="1022"/>
      <c r="J70" s="1022"/>
      <c r="K70" s="1022" t="e">
        <f>(K58+K59+K60+K61+K62+K63+K64+K65+K66)-K69</f>
        <v>#VALUE!</v>
      </c>
      <c r="L70" s="1024" t="e">
        <f>E70+K70</f>
        <v>#VALUE!</v>
      </c>
    </row>
    <row r="71" spans="1:13" s="23" customFormat="1" ht="15.75" customHeight="1">
      <c r="A71" s="1029"/>
      <c r="B71" s="1034"/>
      <c r="C71" s="1035"/>
      <c r="D71" s="1035"/>
      <c r="E71" s="1033"/>
      <c r="F71" s="1029"/>
      <c r="G71" s="1029"/>
      <c r="H71" s="1034"/>
      <c r="I71" s="1035"/>
      <c r="J71" s="1033"/>
      <c r="K71" s="1027"/>
      <c r="L71" s="999"/>
    </row>
    <row r="72" spans="1:13" s="23" customFormat="1" ht="15.75" customHeight="1">
      <c r="A72" s="1653" t="str">
        <f>G55</f>
        <v>LƯƠNG THÁNG 09/2025</v>
      </c>
      <c r="B72" s="1656"/>
      <c r="C72" s="1656"/>
      <c r="D72" s="1656"/>
      <c r="E72" s="998">
        <v>9</v>
      </c>
      <c r="F72" s="1025"/>
      <c r="G72" s="1653" t="str">
        <f>A72</f>
        <v>LƯƠNG THÁNG 09/2025</v>
      </c>
      <c r="H72" s="1656"/>
      <c r="I72" s="1656"/>
      <c r="J72" s="1657"/>
      <c r="K72" s="998">
        <v>10</v>
      </c>
      <c r="L72" s="999"/>
    </row>
    <row r="73" spans="1:13" s="23" customFormat="1" ht="15.75" customHeight="1">
      <c r="A73" s="1028" t="s">
        <v>13</v>
      </c>
      <c r="B73" s="1000" t="str">
        <f>'CNKT '!D24</f>
        <v>T Căng</v>
      </c>
      <c r="C73" s="1001"/>
      <c r="D73" s="1002" t="s">
        <v>353</v>
      </c>
      <c r="E73" s="1002" t="s">
        <v>16</v>
      </c>
      <c r="F73" s="1029"/>
      <c r="G73" s="1028" t="s">
        <v>13</v>
      </c>
      <c r="H73" s="1000" t="str">
        <f>'CNKT '!D25</f>
        <v>N. Phôn 1</v>
      </c>
      <c r="I73" s="1001"/>
      <c r="J73" s="1002" t="s">
        <v>353</v>
      </c>
      <c r="K73" s="1002" t="s">
        <v>16</v>
      </c>
      <c r="L73" s="999"/>
    </row>
    <row r="74" spans="1:13" s="23" customFormat="1" ht="15.75" customHeight="1">
      <c r="A74" s="1004" t="s">
        <v>354</v>
      </c>
      <c r="B74" s="1005" t="s">
        <v>454</v>
      </c>
      <c r="C74" s="1006">
        <f>VLOOKUP(B73,'SẢN LƯỢNG'!$D$17:$AR$94,37,0)</f>
        <v>4784</v>
      </c>
      <c r="D74" s="1007"/>
      <c r="E74" s="1007"/>
      <c r="F74" s="1029"/>
      <c r="G74" s="1004" t="s">
        <v>354</v>
      </c>
      <c r="H74" s="1005" t="s">
        <v>454</v>
      </c>
      <c r="I74" s="1006">
        <f>VLOOKUP(H73,'SẢN LƯỢNG'!$D$17:$AR$94,37,0)</f>
        <v>4831</v>
      </c>
      <c r="J74" s="1007"/>
      <c r="K74" s="1007"/>
      <c r="L74" s="999"/>
    </row>
    <row r="75" spans="1:13" s="23" customFormat="1" ht="15.75" customHeight="1">
      <c r="A75" s="1004" t="s">
        <v>68</v>
      </c>
      <c r="B75" s="1008" t="s">
        <v>380</v>
      </c>
      <c r="C75" s="581">
        <f>VLOOKUP(B73,'CNKT '!$D$16:$AC$96,3,0)</f>
        <v>0</v>
      </c>
      <c r="D75" s="582">
        <v>25000</v>
      </c>
      <c r="E75" s="1007">
        <f>C75*D75</f>
        <v>0</v>
      </c>
      <c r="F75" s="1029"/>
      <c r="G75" s="1004" t="s">
        <v>68</v>
      </c>
      <c r="H75" s="1008" t="s">
        <v>380</v>
      </c>
      <c r="I75" s="581">
        <f>VLOOKUP(H73,'CNKT '!$D$16:$AC$96,3,0)</f>
        <v>0</v>
      </c>
      <c r="J75" s="582">
        <v>25000</v>
      </c>
      <c r="K75" s="1007">
        <f>I75*J75</f>
        <v>0</v>
      </c>
      <c r="L75" s="999"/>
    </row>
    <row r="76" spans="1:13" s="23" customFormat="1" ht="15.75" customHeight="1">
      <c r="A76" s="1004" t="s">
        <v>269</v>
      </c>
      <c r="B76" s="1009" t="s">
        <v>455</v>
      </c>
      <c r="C76" s="1010" t="str">
        <f>VLOOKUP(B73,'CNKT '!$D$16:$AC$96,11,0)</f>
        <v>A</v>
      </c>
      <c r="D76" s="583">
        <f>46.1*$B$2</f>
        <v>30424.156000000003</v>
      </c>
      <c r="E76" s="1007" t="e">
        <f>C76*D76</f>
        <v>#VALUE!</v>
      </c>
      <c r="F76" s="1029"/>
      <c r="G76" s="1004" t="s">
        <v>269</v>
      </c>
      <c r="H76" s="1009" t="s">
        <v>455</v>
      </c>
      <c r="I76" s="1010" t="str">
        <f>VLOOKUP(H73,'CNKT '!$D$16:$AC$96,11,0)</f>
        <v>A</v>
      </c>
      <c r="J76" s="583">
        <f>46.1*$B$2</f>
        <v>30424.156000000003</v>
      </c>
      <c r="K76" s="1007" t="e">
        <f>I76*J76</f>
        <v>#VALUE!</v>
      </c>
      <c r="L76" s="999"/>
    </row>
    <row r="77" spans="1:13" s="23" customFormat="1" ht="15.75" customHeight="1">
      <c r="A77" s="1004" t="s">
        <v>356</v>
      </c>
      <c r="B77" s="1009" t="s">
        <v>456</v>
      </c>
      <c r="C77" s="1010">
        <f>VLOOKUP(B73,'CNKT '!$D$16:$AC$96,12,0)</f>
        <v>8260690</v>
      </c>
      <c r="D77" s="582">
        <f>76.9*$B$2</f>
        <v>50750.924000000006</v>
      </c>
      <c r="E77" s="1007">
        <f t="shared" ref="E77:E78" si="15">C77*D77</f>
        <v>419237650377.56006</v>
      </c>
      <c r="F77" s="1032"/>
      <c r="G77" s="1004" t="s">
        <v>356</v>
      </c>
      <c r="H77" s="1009" t="s">
        <v>456</v>
      </c>
      <c r="I77" s="1010">
        <f>VLOOKUP(H73,'CNKT '!$D$16:$AC$96,12,0)</f>
        <v>8483813</v>
      </c>
      <c r="J77" s="582">
        <f>76.9*$B$2</f>
        <v>50750.924000000006</v>
      </c>
      <c r="K77" s="1007">
        <f t="shared" ref="K77:K78" si="16">I77*J77</f>
        <v>430561348793.21204</v>
      </c>
      <c r="L77" s="999"/>
    </row>
    <row r="78" spans="1:13" s="23" customFormat="1" ht="15.75" customHeight="1">
      <c r="A78" s="1004" t="s">
        <v>69</v>
      </c>
      <c r="B78" s="1009" t="s">
        <v>457</v>
      </c>
      <c r="C78" s="1010">
        <f>VLOOKUP(B73,'CNKT '!$D$16:$AC$96,8,0)</f>
        <v>2054.0066277073588</v>
      </c>
      <c r="D78" s="582">
        <f>IF(C74="A",6.1,IF(C74="B",5.8,IF(C74="C",5.5,IF(C74="C.",5.5,IF(C74="D",5.2)))))*$B$2</f>
        <v>0</v>
      </c>
      <c r="E78" s="1007">
        <f t="shared" si="15"/>
        <v>0</v>
      </c>
      <c r="F78" s="1032"/>
      <c r="G78" s="1004" t="s">
        <v>69</v>
      </c>
      <c r="H78" s="1009" t="s">
        <v>457</v>
      </c>
      <c r="I78" s="1010">
        <f>VLOOKUP(H73,'CNKT '!$D$16:$AC$96,8,0)</f>
        <v>2112.2763192735247</v>
      </c>
      <c r="J78" s="582">
        <f>IF(I74="A",6.1,IF(I74="B",5.8,IF(I74="C",5.5,IF(I74="C.",5.5,IF(I74="D",5.2)))))*$B$2</f>
        <v>0</v>
      </c>
      <c r="K78" s="1007">
        <f t="shared" si="16"/>
        <v>0</v>
      </c>
      <c r="L78" s="999"/>
    </row>
    <row r="79" spans="1:13" s="23" customFormat="1" ht="15.75" customHeight="1">
      <c r="A79" s="1004" t="s">
        <v>431</v>
      </c>
      <c r="B79" s="1009" t="s">
        <v>458</v>
      </c>
      <c r="C79" s="1010">
        <f>VLOOKUP(B73,'CNKT '!$D$16:$AC$96,13,0)</f>
        <v>27</v>
      </c>
      <c r="D79" s="583">
        <v>100000</v>
      </c>
      <c r="E79" s="1007">
        <f>C79*D79</f>
        <v>2700000</v>
      </c>
      <c r="F79" s="1032"/>
      <c r="G79" s="1004" t="s">
        <v>431</v>
      </c>
      <c r="H79" s="1009" t="s">
        <v>458</v>
      </c>
      <c r="I79" s="1010">
        <f>VLOOKUP(H73,'CNKT '!$D$16:$AC$96,13,0)</f>
        <v>27</v>
      </c>
      <c r="J79" s="583">
        <v>100000</v>
      </c>
      <c r="K79" s="1007">
        <f>I79*J79</f>
        <v>2700000</v>
      </c>
      <c r="L79" s="999"/>
    </row>
    <row r="80" spans="1:13" s="23" customFormat="1" ht="15.75" customHeight="1">
      <c r="A80" s="1073" t="s">
        <v>780</v>
      </c>
      <c r="B80" s="1065" t="s">
        <v>434</v>
      </c>
      <c r="C80" s="1066">
        <f>VLOOKUP(B73,'CNKT '!$D$16:$AC$96,14,0)</f>
        <v>4</v>
      </c>
      <c r="D80" s="1067">
        <f>153.8*$B$2</f>
        <v>101501.84800000001</v>
      </c>
      <c r="E80" s="1068">
        <f t="shared" ref="E80" si="17">C80*D80</f>
        <v>406007.39200000005</v>
      </c>
      <c r="F80" s="1032"/>
      <c r="G80" s="1073" t="s">
        <v>780</v>
      </c>
      <c r="H80" s="1065" t="s">
        <v>434</v>
      </c>
      <c r="I80" s="1066">
        <f>VLOOKUP(H73,'CNKT '!$D$16:$AC$96,14,0)</f>
        <v>4</v>
      </c>
      <c r="J80" s="1067">
        <f>153.8*$B$2</f>
        <v>101501.84800000001</v>
      </c>
      <c r="K80" s="1068">
        <f t="shared" ref="K80" si="18">I80*J80</f>
        <v>406007.39200000005</v>
      </c>
      <c r="L80" s="999"/>
    </row>
    <row r="81" spans="1:13" s="23" customFormat="1" ht="15.75" customHeight="1">
      <c r="A81" s="1073" t="s">
        <v>781</v>
      </c>
      <c r="B81" s="1065" t="s">
        <v>435</v>
      </c>
      <c r="C81" s="1066">
        <f>VLOOKUP(B73,'CNKT '!$D$16:$AC$96,18,0)</f>
        <v>0</v>
      </c>
      <c r="D81" s="1067">
        <v>100000</v>
      </c>
      <c r="E81" s="1068">
        <f>C81*D81</f>
        <v>0</v>
      </c>
      <c r="F81" s="1032"/>
      <c r="G81" s="1073" t="s">
        <v>781</v>
      </c>
      <c r="H81" s="1065" t="s">
        <v>435</v>
      </c>
      <c r="I81" s="1066">
        <f>VLOOKUP(H73,'CNKT '!$D$16:$AC$96,18,0)</f>
        <v>0</v>
      </c>
      <c r="J81" s="1067">
        <v>100000</v>
      </c>
      <c r="K81" s="1068">
        <f>I81*J81</f>
        <v>0</v>
      </c>
      <c r="L81" s="999"/>
    </row>
    <row r="82" spans="1:13" s="23" customFormat="1" ht="15.75" customHeight="1">
      <c r="A82" s="1004" t="s">
        <v>394</v>
      </c>
      <c r="B82" s="1009" t="s">
        <v>435</v>
      </c>
      <c r="C82" s="1010">
        <f>VLOOKUP(B73,'CNKT '!$D$16:$AC$96,19,0)</f>
        <v>0</v>
      </c>
      <c r="D82" s="582">
        <v>20000</v>
      </c>
      <c r="E82" s="1007">
        <f>C82*D82</f>
        <v>0</v>
      </c>
      <c r="F82" s="1032"/>
      <c r="G82" s="1004" t="s">
        <v>394</v>
      </c>
      <c r="H82" s="1009" t="s">
        <v>435</v>
      </c>
      <c r="I82" s="1010">
        <f>VLOOKUP(H73,'CNKT '!$D$16:$AC$96,19,0)</f>
        <v>0</v>
      </c>
      <c r="J82" s="582">
        <v>20000</v>
      </c>
      <c r="K82" s="1007">
        <f>I82*J82</f>
        <v>0</v>
      </c>
      <c r="L82" s="999"/>
    </row>
    <row r="83" spans="1:13" s="23" customFormat="1" ht="15.75" customHeight="1">
      <c r="A83" s="1004" t="s">
        <v>731</v>
      </c>
      <c r="B83" s="1011" t="s">
        <v>732</v>
      </c>
      <c r="C83" s="1010"/>
      <c r="D83" s="582"/>
      <c r="E83" s="1007">
        <f>VLOOKUP(B73,'CNKT '!$D$16:$AG$99,28,0)</f>
        <v>0</v>
      </c>
      <c r="F83" s="1032"/>
      <c r="G83" s="1004" t="s">
        <v>731</v>
      </c>
      <c r="H83" s="1011" t="s">
        <v>732</v>
      </c>
      <c r="I83" s="1010"/>
      <c r="J83" s="582"/>
      <c r="K83" s="1007">
        <f>VLOOKUP(H73,'CNKT '!$D$16:$AG$99,28,0)</f>
        <v>0</v>
      </c>
      <c r="L83" s="999"/>
    </row>
    <row r="84" spans="1:13" s="23" customFormat="1" ht="15.75" customHeight="1">
      <c r="A84" s="1012" t="s">
        <v>70</v>
      </c>
      <c r="B84" s="1013" t="s">
        <v>459</v>
      </c>
      <c r="C84" s="1014"/>
      <c r="D84" s="1015"/>
      <c r="E84" s="1014"/>
      <c r="F84" s="1025"/>
      <c r="G84" s="1012" t="s">
        <v>70</v>
      </c>
      <c r="H84" s="1013" t="s">
        <v>459</v>
      </c>
      <c r="I84" s="1014"/>
      <c r="J84" s="1015"/>
      <c r="K84" s="1014"/>
      <c r="L84" s="999"/>
    </row>
    <row r="85" spans="1:13" s="23" customFormat="1" ht="15.75" customHeight="1">
      <c r="A85" s="1016" t="s">
        <v>71</v>
      </c>
      <c r="B85" s="1017" t="s">
        <v>460</v>
      </c>
      <c r="C85" s="1014"/>
      <c r="D85" s="1014"/>
      <c r="E85" s="1014"/>
      <c r="F85" s="1033"/>
      <c r="G85" s="1016" t="s">
        <v>71</v>
      </c>
      <c r="H85" s="1017" t="s">
        <v>460</v>
      </c>
      <c r="I85" s="1014"/>
      <c r="J85" s="1014"/>
      <c r="K85" s="1014"/>
      <c r="L85" s="999"/>
    </row>
    <row r="86" spans="1:13" s="23" customFormat="1" ht="15.75" customHeight="1">
      <c r="A86" s="1016" t="s">
        <v>72</v>
      </c>
      <c r="B86" s="1018" t="s">
        <v>461</v>
      </c>
      <c r="C86" s="1014"/>
      <c r="D86" s="1014"/>
      <c r="E86" s="1007">
        <f>SUM(E85)</f>
        <v>0</v>
      </c>
      <c r="F86" s="1033"/>
      <c r="G86" s="1016" t="s">
        <v>72</v>
      </c>
      <c r="H86" s="1018" t="s">
        <v>461</v>
      </c>
      <c r="I86" s="1014"/>
      <c r="J86" s="1014"/>
      <c r="K86" s="1007">
        <f>SUM(K85)</f>
        <v>0</v>
      </c>
      <c r="L86" s="999"/>
      <c r="M86" s="1019">
        <f>E86+K86</f>
        <v>0</v>
      </c>
    </row>
    <row r="87" spans="1:13" s="23" customFormat="1" ht="15.75" customHeight="1">
      <c r="A87" s="1020" t="s">
        <v>73</v>
      </c>
      <c r="B87" s="1021" t="s">
        <v>381</v>
      </c>
      <c r="C87" s="1022"/>
      <c r="D87" s="1022"/>
      <c r="E87" s="1022" t="e">
        <f>(E75+E76+E77+E78+E79+E80+E81+E82+E83)-E86</f>
        <v>#VALUE!</v>
      </c>
      <c r="F87" s="1033"/>
      <c r="G87" s="1020" t="s">
        <v>73</v>
      </c>
      <c r="H87" s="1021" t="s">
        <v>381</v>
      </c>
      <c r="I87" s="1022"/>
      <c r="J87" s="1022"/>
      <c r="K87" s="1022" t="e">
        <f>(K75+K76+K77+K78+K79+K80+K81+K82+K83)-K86</f>
        <v>#VALUE!</v>
      </c>
      <c r="L87" s="1024" t="e">
        <f>E87+K87</f>
        <v>#VALUE!</v>
      </c>
    </row>
    <row r="88" spans="1:13" s="23" customFormat="1" ht="70.5" customHeight="1">
      <c r="A88" s="1029"/>
      <c r="B88" s="1034"/>
      <c r="C88" s="1035"/>
      <c r="D88" s="1035"/>
      <c r="E88" s="1033"/>
      <c r="F88" s="1033"/>
      <c r="G88" s="1029"/>
      <c r="H88" s="1034"/>
      <c r="I88" s="1035"/>
      <c r="J88" s="1033"/>
      <c r="K88" s="1027"/>
      <c r="L88" s="999"/>
    </row>
    <row r="89" spans="1:13" s="23" customFormat="1" ht="17.25" customHeight="1">
      <c r="A89" s="1653" t="str">
        <f>G72</f>
        <v>LƯƠNG THÁNG 09/2025</v>
      </c>
      <c r="B89" s="1656"/>
      <c r="C89" s="1656"/>
      <c r="D89" s="1656"/>
      <c r="E89" s="998">
        <v>11</v>
      </c>
      <c r="F89" s="1029"/>
      <c r="G89" s="1653" t="str">
        <f>A89</f>
        <v>LƯƠNG THÁNG 09/2025</v>
      </c>
      <c r="H89" s="1656"/>
      <c r="I89" s="1656"/>
      <c r="J89" s="1657"/>
      <c r="K89" s="998">
        <v>12</v>
      </c>
      <c r="L89" s="999"/>
    </row>
    <row r="90" spans="1:13" s="23" customFormat="1" ht="17.25" customHeight="1">
      <c r="A90" s="1028" t="s">
        <v>13</v>
      </c>
      <c r="B90" s="1000" t="str">
        <f>'CNKT '!D26</f>
        <v>T. In Păn</v>
      </c>
      <c r="C90" s="1001"/>
      <c r="D90" s="1002" t="s">
        <v>353</v>
      </c>
      <c r="E90" s="1002" t="s">
        <v>16</v>
      </c>
      <c r="F90" s="1032"/>
      <c r="G90" s="1028" t="s">
        <v>13</v>
      </c>
      <c r="H90" s="1000" t="str">
        <f>'CNKT '!D27</f>
        <v>N. Keo</v>
      </c>
      <c r="I90" s="1001"/>
      <c r="J90" s="1002" t="s">
        <v>353</v>
      </c>
      <c r="K90" s="1002" t="s">
        <v>16</v>
      </c>
      <c r="L90" s="999"/>
    </row>
    <row r="91" spans="1:13" s="23" customFormat="1" ht="17.25" customHeight="1">
      <c r="A91" s="1004" t="s">
        <v>354</v>
      </c>
      <c r="B91" s="1005" t="s">
        <v>454</v>
      </c>
      <c r="C91" s="1006">
        <f>VLOOKUP(B90,'SẢN LƯỢNG'!$D$17:$AR$94,37,0)</f>
        <v>3949</v>
      </c>
      <c r="D91" s="1007"/>
      <c r="E91" s="1007"/>
      <c r="F91" s="1032"/>
      <c r="G91" s="1004" t="s">
        <v>354</v>
      </c>
      <c r="H91" s="1005" t="s">
        <v>454</v>
      </c>
      <c r="I91" s="1006">
        <f>VLOOKUP(H90,'SẢN LƯỢNG'!$D$17:$AR$94,37,0)</f>
        <v>4330</v>
      </c>
      <c r="J91" s="1007"/>
      <c r="K91" s="1007"/>
      <c r="L91" s="999"/>
    </row>
    <row r="92" spans="1:13" s="23" customFormat="1" ht="17.25" customHeight="1">
      <c r="A92" s="1004" t="s">
        <v>68</v>
      </c>
      <c r="B92" s="1008" t="s">
        <v>380</v>
      </c>
      <c r="C92" s="581">
        <f>VLOOKUP(B90,'CNKT '!$D$16:$AC$96,3,0)</f>
        <v>0</v>
      </c>
      <c r="D92" s="582">
        <v>25000</v>
      </c>
      <c r="E92" s="1007">
        <f>C92*D92</f>
        <v>0</v>
      </c>
      <c r="F92" s="1025"/>
      <c r="G92" s="1004" t="s">
        <v>68</v>
      </c>
      <c r="H92" s="1008" t="s">
        <v>380</v>
      </c>
      <c r="I92" s="581">
        <f>VLOOKUP(H90,'CNKT '!$D$16:$AC$96,3,0)</f>
        <v>0</v>
      </c>
      <c r="J92" s="582">
        <v>25000</v>
      </c>
      <c r="K92" s="1007">
        <f>I92*J92</f>
        <v>0</v>
      </c>
      <c r="L92" s="999"/>
    </row>
    <row r="93" spans="1:13" s="23" customFormat="1" ht="17.25" customHeight="1">
      <c r="A93" s="1004" t="s">
        <v>269</v>
      </c>
      <c r="B93" s="1009" t="s">
        <v>455</v>
      </c>
      <c r="C93" s="1010" t="str">
        <f>VLOOKUP(B90,'CNKT '!$D$16:$AC$96,11,0)</f>
        <v>A</v>
      </c>
      <c r="D93" s="583">
        <f>46.1*$B$2</f>
        <v>30424.156000000003</v>
      </c>
      <c r="E93" s="1007" t="e">
        <f>C93*D93</f>
        <v>#VALUE!</v>
      </c>
      <c r="F93" s="1033"/>
      <c r="G93" s="1004" t="s">
        <v>269</v>
      </c>
      <c r="H93" s="1009" t="s">
        <v>455</v>
      </c>
      <c r="I93" s="1010" t="str">
        <f>VLOOKUP(H90,'CNKT '!$D$16:$AC$96,11,0)</f>
        <v>A</v>
      </c>
      <c r="J93" s="583">
        <f>46.1*$B$2</f>
        <v>30424.156000000003</v>
      </c>
      <c r="K93" s="1007" t="e">
        <f>I93*J93</f>
        <v>#VALUE!</v>
      </c>
      <c r="L93" s="999"/>
    </row>
    <row r="94" spans="1:13" s="23" customFormat="1" ht="17.25" customHeight="1">
      <c r="A94" s="1004" t="s">
        <v>356</v>
      </c>
      <c r="B94" s="1009" t="s">
        <v>456</v>
      </c>
      <c r="C94" s="1010">
        <f>VLOOKUP(B90,'CNKT '!$D$16:$AC$96,12,0)</f>
        <v>7240282</v>
      </c>
      <c r="D94" s="582">
        <f>76.9*$B$2</f>
        <v>50750.924000000006</v>
      </c>
      <c r="E94" s="1007">
        <f t="shared" ref="E94:E95" si="19">C94*D94</f>
        <v>367451001520.56805</v>
      </c>
      <c r="F94" s="1033"/>
      <c r="G94" s="1004" t="s">
        <v>356</v>
      </c>
      <c r="H94" s="1009" t="s">
        <v>456</v>
      </c>
      <c r="I94" s="1010">
        <f>VLOOKUP(H90,'CNKT '!$D$16:$AC$96,12,0)</f>
        <v>7967981</v>
      </c>
      <c r="J94" s="582">
        <f>76.9*$B$2</f>
        <v>50750.924000000006</v>
      </c>
      <c r="K94" s="1007">
        <f t="shared" ref="K94:K95" si="20">I94*J94</f>
        <v>404382398164.44403</v>
      </c>
      <c r="L94" s="999"/>
    </row>
    <row r="95" spans="1:13" s="23" customFormat="1" ht="17.25" customHeight="1">
      <c r="A95" s="1004" t="s">
        <v>69</v>
      </c>
      <c r="B95" s="1009" t="s">
        <v>457</v>
      </c>
      <c r="C95" s="1010">
        <f>VLOOKUP(B90,'CNKT '!$D$16:$AC$96,8,0)</f>
        <v>1808.5676238377496</v>
      </c>
      <c r="D95" s="582">
        <f>IF(C91="A",6.1,IF(C91="B",5.8,IF(C91="C",5.5,IF(C91="C.",5.5,IF(C91="D",5.2)))))*$B$2</f>
        <v>0</v>
      </c>
      <c r="E95" s="1007">
        <f t="shared" si="19"/>
        <v>0</v>
      </c>
      <c r="F95" s="1033"/>
      <c r="G95" s="1004" t="s">
        <v>69</v>
      </c>
      <c r="H95" s="1009" t="s">
        <v>457</v>
      </c>
      <c r="I95" s="1010">
        <f>VLOOKUP(H90,'CNKT '!$D$16:$AC$96,8,0)</f>
        <v>1990.8811285106785</v>
      </c>
      <c r="J95" s="582">
        <f>IF(I91="A",6.1,IF(I91="B",5.8,IF(I91="C",5.5,IF(I91="C.",5.5,IF(I91="D",5.2)))))*$B$2</f>
        <v>0</v>
      </c>
      <c r="K95" s="1007">
        <f t="shared" si="20"/>
        <v>0</v>
      </c>
      <c r="L95" s="999"/>
    </row>
    <row r="96" spans="1:13" s="23" customFormat="1" ht="17.25" customHeight="1">
      <c r="A96" s="1004" t="s">
        <v>431</v>
      </c>
      <c r="B96" s="1009" t="s">
        <v>458</v>
      </c>
      <c r="C96" s="1010">
        <f>VLOOKUP(B90,'CNKT '!$D$16:$AC$96,13,0)</f>
        <v>26</v>
      </c>
      <c r="D96" s="583">
        <v>100000</v>
      </c>
      <c r="E96" s="1007">
        <f>C96*D96</f>
        <v>2600000</v>
      </c>
      <c r="F96" s="1033"/>
      <c r="G96" s="1004" t="s">
        <v>431</v>
      </c>
      <c r="H96" s="1009" t="s">
        <v>458</v>
      </c>
      <c r="I96" s="1010">
        <f>VLOOKUP(H90,'CNKT '!$D$16:$AC$96,13,0)</f>
        <v>27</v>
      </c>
      <c r="J96" s="583">
        <v>100000</v>
      </c>
      <c r="K96" s="1007">
        <f>I96*J96</f>
        <v>2700000</v>
      </c>
      <c r="L96" s="999"/>
    </row>
    <row r="97" spans="1:13" s="23" customFormat="1" ht="17.25" customHeight="1">
      <c r="A97" s="1073" t="s">
        <v>780</v>
      </c>
      <c r="B97" s="1065" t="s">
        <v>434</v>
      </c>
      <c r="C97" s="1066">
        <f>VLOOKUP(B90,'CNKT '!$D$16:$AC$96,14,0)</f>
        <v>4</v>
      </c>
      <c r="D97" s="1067">
        <f>153.8*$B$2</f>
        <v>101501.84800000001</v>
      </c>
      <c r="E97" s="1068">
        <f t="shared" ref="E97" si="21">C97*D97</f>
        <v>406007.39200000005</v>
      </c>
      <c r="F97" s="1033"/>
      <c r="G97" s="1073" t="s">
        <v>780</v>
      </c>
      <c r="H97" s="1065" t="s">
        <v>434</v>
      </c>
      <c r="I97" s="1066">
        <f>VLOOKUP(H90,'CNKT '!$D$16:$AC$96,14,0)</f>
        <v>4</v>
      </c>
      <c r="J97" s="1067">
        <f>153.8*$B$2</f>
        <v>101501.84800000001</v>
      </c>
      <c r="K97" s="1068">
        <f t="shared" ref="K97" si="22">I97*J97</f>
        <v>406007.39200000005</v>
      </c>
      <c r="L97" s="999"/>
    </row>
    <row r="98" spans="1:13" s="23" customFormat="1" ht="17.25" customHeight="1">
      <c r="A98" s="1073" t="s">
        <v>781</v>
      </c>
      <c r="B98" s="1065" t="s">
        <v>435</v>
      </c>
      <c r="C98" s="1066">
        <f>VLOOKUP(B90,'CNKT '!$D$16:$AC$96,18,0)</f>
        <v>0</v>
      </c>
      <c r="D98" s="1067">
        <v>100000</v>
      </c>
      <c r="E98" s="1068">
        <f>C98*D98</f>
        <v>0</v>
      </c>
      <c r="F98" s="1033"/>
      <c r="G98" s="1073" t="s">
        <v>781</v>
      </c>
      <c r="H98" s="1065" t="s">
        <v>435</v>
      </c>
      <c r="I98" s="1066">
        <f>VLOOKUP(H90,'CNKT '!$D$16:$AC$96,18,0)</f>
        <v>0</v>
      </c>
      <c r="J98" s="1067">
        <v>100000</v>
      </c>
      <c r="K98" s="1068">
        <f>I98*J98</f>
        <v>0</v>
      </c>
      <c r="L98" s="999"/>
    </row>
    <row r="99" spans="1:13" s="23" customFormat="1" ht="17.25" customHeight="1">
      <c r="A99" s="1004" t="s">
        <v>394</v>
      </c>
      <c r="B99" s="1009" t="s">
        <v>435</v>
      </c>
      <c r="C99" s="1010">
        <f>VLOOKUP(B90,'CNKT '!$D$16:$AC$96,19,0)</f>
        <v>0</v>
      </c>
      <c r="D99" s="582">
        <v>20000</v>
      </c>
      <c r="E99" s="1007">
        <f>C99*D99</f>
        <v>0</v>
      </c>
      <c r="F99" s="1033"/>
      <c r="G99" s="1004" t="s">
        <v>394</v>
      </c>
      <c r="H99" s="1009" t="s">
        <v>435</v>
      </c>
      <c r="I99" s="1010">
        <f>VLOOKUP(H90,'CNKT '!$D$16:$AC$96,19,0)</f>
        <v>0</v>
      </c>
      <c r="J99" s="582">
        <v>20000</v>
      </c>
      <c r="K99" s="1007">
        <f>I99*J99</f>
        <v>0</v>
      </c>
      <c r="L99" s="999"/>
    </row>
    <row r="100" spans="1:13" s="23" customFormat="1" ht="17.25" customHeight="1">
      <c r="A100" s="1004" t="s">
        <v>731</v>
      </c>
      <c r="B100" s="1011" t="s">
        <v>732</v>
      </c>
      <c r="C100" s="1010"/>
      <c r="D100" s="582"/>
      <c r="E100" s="1007">
        <f>VLOOKUP(B90,'CNKT '!$D$16:$AG$99,28,0)</f>
        <v>0</v>
      </c>
      <c r="F100" s="1033"/>
      <c r="G100" s="1004" t="s">
        <v>731</v>
      </c>
      <c r="H100" s="1011" t="s">
        <v>732</v>
      </c>
      <c r="I100" s="1010"/>
      <c r="J100" s="582"/>
      <c r="K100" s="1007">
        <f>VLOOKUP(H90,'CNKT '!$D$16:$AG$99,28,0)</f>
        <v>0</v>
      </c>
      <c r="L100" s="999"/>
    </row>
    <row r="101" spans="1:13" s="23" customFormat="1" ht="17.25" customHeight="1">
      <c r="A101" s="1012" t="s">
        <v>70</v>
      </c>
      <c r="B101" s="1013" t="s">
        <v>459</v>
      </c>
      <c r="C101" s="1014"/>
      <c r="D101" s="1015"/>
      <c r="E101" s="1014"/>
      <c r="F101" s="1033"/>
      <c r="G101" s="1012" t="s">
        <v>70</v>
      </c>
      <c r="H101" s="1013" t="s">
        <v>459</v>
      </c>
      <c r="I101" s="1014"/>
      <c r="J101" s="1015"/>
      <c r="K101" s="1014"/>
      <c r="L101" s="999"/>
    </row>
    <row r="102" spans="1:13" s="23" customFormat="1" ht="17.25" customHeight="1">
      <c r="A102" s="1016" t="s">
        <v>71</v>
      </c>
      <c r="B102" s="1017" t="s">
        <v>460</v>
      </c>
      <c r="C102" s="1014"/>
      <c r="D102" s="1014"/>
      <c r="E102" s="1014"/>
      <c r="F102" s="1033"/>
      <c r="G102" s="1016" t="s">
        <v>71</v>
      </c>
      <c r="H102" s="1017" t="s">
        <v>460</v>
      </c>
      <c r="I102" s="1014"/>
      <c r="J102" s="1014"/>
      <c r="K102" s="1014"/>
      <c r="L102" s="999"/>
    </row>
    <row r="103" spans="1:13" s="23" customFormat="1" ht="17.25" customHeight="1">
      <c r="A103" s="1016" t="s">
        <v>72</v>
      </c>
      <c r="B103" s="1018" t="s">
        <v>461</v>
      </c>
      <c r="C103" s="1014"/>
      <c r="D103" s="1014"/>
      <c r="E103" s="1007">
        <f>SUM(E102)</f>
        <v>0</v>
      </c>
      <c r="F103" s="1033"/>
      <c r="G103" s="1016" t="s">
        <v>72</v>
      </c>
      <c r="H103" s="1018" t="s">
        <v>461</v>
      </c>
      <c r="I103" s="1014"/>
      <c r="J103" s="1014"/>
      <c r="K103" s="1007">
        <f>SUM(K102)</f>
        <v>0</v>
      </c>
      <c r="L103" s="999"/>
      <c r="M103" s="1019">
        <f>E103+K103</f>
        <v>0</v>
      </c>
    </row>
    <row r="104" spans="1:13" s="23" customFormat="1" ht="17.25" customHeight="1">
      <c r="A104" s="1020" t="s">
        <v>73</v>
      </c>
      <c r="B104" s="1021" t="s">
        <v>381</v>
      </c>
      <c r="C104" s="1022"/>
      <c r="D104" s="1022"/>
      <c r="E104" s="1022" t="e">
        <f>(E92+E93+E94+E95+E96+E97+E98+E99+E100)-E103</f>
        <v>#VALUE!</v>
      </c>
      <c r="F104" s="1033"/>
      <c r="G104" s="1020" t="s">
        <v>73</v>
      </c>
      <c r="H104" s="1021" t="s">
        <v>381</v>
      </c>
      <c r="I104" s="1022"/>
      <c r="J104" s="1022"/>
      <c r="K104" s="1022" t="e">
        <f>(K92+K93+K94+K95+K96+K97+K98+K99+K100)-K103</f>
        <v>#VALUE!</v>
      </c>
      <c r="L104" s="1024" t="e">
        <f>E104+K104</f>
        <v>#VALUE!</v>
      </c>
    </row>
    <row r="105" spans="1:13" s="23" customFormat="1" ht="17.25" customHeight="1">
      <c r="A105" s="1029"/>
      <c r="B105" s="1034"/>
      <c r="C105" s="1035"/>
      <c r="D105" s="1035"/>
      <c r="E105" s="1033"/>
      <c r="F105" s="1033"/>
      <c r="G105" s="1029"/>
      <c r="H105" s="1034"/>
      <c r="I105" s="1035"/>
      <c r="J105" s="1033"/>
      <c r="K105" s="1036"/>
      <c r="L105" s="999"/>
    </row>
    <row r="106" spans="1:13" s="23" customFormat="1" ht="17.25" customHeight="1">
      <c r="A106" s="1653" t="str">
        <f>G89</f>
        <v>LƯƠNG THÁNG 09/2025</v>
      </c>
      <c r="B106" s="1656"/>
      <c r="C106" s="1656"/>
      <c r="D106" s="1656"/>
      <c r="E106" s="998">
        <v>13</v>
      </c>
      <c r="F106" s="1029"/>
      <c r="G106" s="1653" t="str">
        <f>A106</f>
        <v>LƯƠNG THÁNG 09/2025</v>
      </c>
      <c r="H106" s="1656"/>
      <c r="I106" s="1656"/>
      <c r="J106" s="1657"/>
      <c r="K106" s="998">
        <v>14</v>
      </c>
      <c r="L106" s="999"/>
    </row>
    <row r="107" spans="1:13" s="23" customFormat="1" ht="17.25" customHeight="1">
      <c r="A107" s="1028" t="s">
        <v>13</v>
      </c>
      <c r="B107" s="1000" t="str">
        <f>'CNKT '!D28</f>
        <v>T. Thong Đon</v>
      </c>
      <c r="C107" s="1001"/>
      <c r="D107" s="1002" t="s">
        <v>353</v>
      </c>
      <c r="E107" s="1002" t="s">
        <v>16</v>
      </c>
      <c r="F107" s="1032"/>
      <c r="G107" s="1028" t="s">
        <v>13</v>
      </c>
      <c r="H107" s="1000" t="str">
        <f>'CNKT '!D29</f>
        <v>T. Hin</v>
      </c>
      <c r="I107" s="1001"/>
      <c r="J107" s="1002" t="s">
        <v>353</v>
      </c>
      <c r="K107" s="1002" t="s">
        <v>16</v>
      </c>
      <c r="L107" s="999"/>
    </row>
    <row r="108" spans="1:13" s="23" customFormat="1" ht="17.25" customHeight="1">
      <c r="A108" s="1004" t="s">
        <v>354</v>
      </c>
      <c r="B108" s="1005" t="s">
        <v>454</v>
      </c>
      <c r="C108" s="1006">
        <f>VLOOKUP(B107,'SẢN LƯỢNG'!$D$17:$AR$94,37,0)</f>
        <v>4257</v>
      </c>
      <c r="D108" s="1007"/>
      <c r="E108" s="1007"/>
      <c r="F108" s="1032"/>
      <c r="G108" s="1004" t="s">
        <v>354</v>
      </c>
      <c r="H108" s="1005" t="s">
        <v>454</v>
      </c>
      <c r="I108" s="1006">
        <f>VLOOKUP(H107,'SẢN LƯỢNG'!$D$17:$AR$94,37,0)</f>
        <v>3486</v>
      </c>
      <c r="J108" s="1007"/>
      <c r="K108" s="1007"/>
      <c r="L108" s="999"/>
    </row>
    <row r="109" spans="1:13" s="23" customFormat="1" ht="17.25" customHeight="1">
      <c r="A109" s="1004" t="s">
        <v>68</v>
      </c>
      <c r="B109" s="1008" t="s">
        <v>380</v>
      </c>
      <c r="C109" s="581">
        <f>VLOOKUP(B107,'CNKT '!$D$16:$AC$96,3,0)</f>
        <v>0</v>
      </c>
      <c r="D109" s="582">
        <v>25000</v>
      </c>
      <c r="E109" s="1007">
        <f>C109*D109</f>
        <v>0</v>
      </c>
      <c r="F109" s="1025"/>
      <c r="G109" s="1004" t="s">
        <v>68</v>
      </c>
      <c r="H109" s="1008" t="s">
        <v>380</v>
      </c>
      <c r="I109" s="581">
        <f>VLOOKUP(H107,'CNKT '!$D$16:$AC$96,3,0)</f>
        <v>0</v>
      </c>
      <c r="J109" s="582">
        <v>25000</v>
      </c>
      <c r="K109" s="1007">
        <f>I109*J109</f>
        <v>0</v>
      </c>
      <c r="L109" s="999"/>
    </row>
    <row r="110" spans="1:13" s="23" customFormat="1" ht="17.25" customHeight="1">
      <c r="A110" s="1004" t="s">
        <v>269</v>
      </c>
      <c r="B110" s="1009" t="s">
        <v>455</v>
      </c>
      <c r="C110" s="1010" t="str">
        <f>VLOOKUP(B107,'CNKT '!$D$16:$AC$96,11,0)</f>
        <v>B</v>
      </c>
      <c r="D110" s="583">
        <f>46.1*$B$2</f>
        <v>30424.156000000003</v>
      </c>
      <c r="E110" s="1007" t="e">
        <f>C110*D110</f>
        <v>#VALUE!</v>
      </c>
      <c r="F110" s="1033"/>
      <c r="G110" s="1004" t="s">
        <v>269</v>
      </c>
      <c r="H110" s="1009" t="s">
        <v>455</v>
      </c>
      <c r="I110" s="1010" t="str">
        <f>VLOOKUP(H107,'CNKT '!$D$16:$AC$96,11,0)</f>
        <v>A</v>
      </c>
      <c r="J110" s="583">
        <f>46.1*$B$2</f>
        <v>30424.156000000003</v>
      </c>
      <c r="K110" s="1007" t="e">
        <f>I110*J110</f>
        <v>#VALUE!</v>
      </c>
      <c r="L110" s="999"/>
    </row>
    <row r="111" spans="1:13" s="23" customFormat="1" ht="17.25" customHeight="1">
      <c r="A111" s="1004" t="s">
        <v>356</v>
      </c>
      <c r="B111" s="1009" t="s">
        <v>456</v>
      </c>
      <c r="C111" s="1010">
        <f>VLOOKUP(B107,'CNKT '!$D$16:$AC$96,12,0)</f>
        <v>7786344</v>
      </c>
      <c r="D111" s="582">
        <f>76.9*$B$2</f>
        <v>50750.924000000006</v>
      </c>
      <c r="E111" s="1007">
        <f t="shared" ref="E111:E112" si="23">C111*D111</f>
        <v>395164152581.85608</v>
      </c>
      <c r="F111" s="1033"/>
      <c r="G111" s="1004" t="s">
        <v>356</v>
      </c>
      <c r="H111" s="1009" t="s">
        <v>456</v>
      </c>
      <c r="I111" s="1010">
        <f>VLOOKUP(H107,'CNKT '!$D$16:$AC$96,12,0)</f>
        <v>6561440</v>
      </c>
      <c r="J111" s="582">
        <f>76.9*$B$2</f>
        <v>50750.924000000006</v>
      </c>
      <c r="K111" s="1007">
        <f t="shared" ref="K111:K112" si="24">I111*J111</f>
        <v>332999142770.56006</v>
      </c>
      <c r="L111" s="999"/>
    </row>
    <row r="112" spans="1:13" s="23" customFormat="1" ht="17.25" customHeight="1">
      <c r="A112" s="1004" t="s">
        <v>69</v>
      </c>
      <c r="B112" s="1009" t="s">
        <v>457</v>
      </c>
      <c r="C112" s="1010">
        <f>VLOOKUP(B107,'CNKT '!$D$16:$AC$96,8,0)</f>
        <v>2052.6823165354003</v>
      </c>
      <c r="D112" s="582">
        <f>IF(C108="A",6.1,IF(C108="B",5.8,IF(C108="C",5.5,IF(C108="C.",5.5,IF(C108="D",5.2)))))*$B$2</f>
        <v>0</v>
      </c>
      <c r="E112" s="1007">
        <f t="shared" si="23"/>
        <v>0</v>
      </c>
      <c r="F112" s="1025"/>
      <c r="G112" s="1004" t="s">
        <v>69</v>
      </c>
      <c r="H112" s="1009" t="s">
        <v>457</v>
      </c>
      <c r="I112" s="1010">
        <f>VLOOKUP(H107,'CNKT '!$D$16:$AC$96,8,0)</f>
        <v>1642.1458532283202</v>
      </c>
      <c r="J112" s="582">
        <f>IF(I108="A",6.1,IF(I108="B",5.8,IF(I108="C",5.5,IF(I108="C.",5.5,IF(I108="D",5.2)))))*$B$2</f>
        <v>0</v>
      </c>
      <c r="K112" s="1007">
        <f t="shared" si="24"/>
        <v>0</v>
      </c>
      <c r="L112" s="999"/>
    </row>
    <row r="113" spans="1:13" s="23" customFormat="1" ht="17.25" customHeight="1">
      <c r="A113" s="1004" t="s">
        <v>431</v>
      </c>
      <c r="B113" s="1009" t="s">
        <v>458</v>
      </c>
      <c r="C113" s="1010">
        <f>VLOOKUP(B107,'CNKT '!$D$16:$AC$96,13,0)</f>
        <v>27</v>
      </c>
      <c r="D113" s="583">
        <v>100000</v>
      </c>
      <c r="E113" s="1007">
        <f>C113*D113</f>
        <v>2700000</v>
      </c>
      <c r="F113" s="1025"/>
      <c r="G113" s="1004" t="s">
        <v>431</v>
      </c>
      <c r="H113" s="1009" t="s">
        <v>458</v>
      </c>
      <c r="I113" s="1010">
        <f>VLOOKUP(H107,'CNKT '!$D$16:$AC$96,13,0)</f>
        <v>27</v>
      </c>
      <c r="J113" s="583">
        <v>100000</v>
      </c>
      <c r="K113" s="1007">
        <f>I113*J113</f>
        <v>2700000</v>
      </c>
      <c r="L113" s="999"/>
    </row>
    <row r="114" spans="1:13" s="23" customFormat="1" ht="17.25" customHeight="1">
      <c r="A114" s="1073" t="s">
        <v>780</v>
      </c>
      <c r="B114" s="1065" t="s">
        <v>434</v>
      </c>
      <c r="C114" s="1066">
        <f>VLOOKUP(B107,'CNKT '!$D$16:$AC$96,14,0)</f>
        <v>4</v>
      </c>
      <c r="D114" s="1067">
        <f>153.8*$B$2</f>
        <v>101501.84800000001</v>
      </c>
      <c r="E114" s="1068">
        <f t="shared" ref="E114" si="25">C114*D114</f>
        <v>406007.39200000005</v>
      </c>
      <c r="F114" s="1025"/>
      <c r="G114" s="1073" t="s">
        <v>780</v>
      </c>
      <c r="H114" s="1065" t="s">
        <v>434</v>
      </c>
      <c r="I114" s="1066">
        <f>VLOOKUP(H107,'CNKT '!$D$16:$AC$96,14,0)</f>
        <v>4</v>
      </c>
      <c r="J114" s="1067">
        <f>153.8*$B$2</f>
        <v>101501.84800000001</v>
      </c>
      <c r="K114" s="1068">
        <f t="shared" ref="K114" si="26">I114*J114</f>
        <v>406007.39200000005</v>
      </c>
      <c r="L114" s="999"/>
    </row>
    <row r="115" spans="1:13" s="23" customFormat="1" ht="17.25" customHeight="1">
      <c r="A115" s="1073" t="s">
        <v>781</v>
      </c>
      <c r="B115" s="1065" t="s">
        <v>435</v>
      </c>
      <c r="C115" s="1066">
        <f>VLOOKUP(B107,'CNKT '!$D$16:$AC$96,18,0)</f>
        <v>0</v>
      </c>
      <c r="D115" s="1067">
        <v>100000</v>
      </c>
      <c r="E115" s="1068">
        <f>C115*D115</f>
        <v>0</v>
      </c>
      <c r="F115" s="1025"/>
      <c r="G115" s="1073" t="s">
        <v>781</v>
      </c>
      <c r="H115" s="1065" t="s">
        <v>435</v>
      </c>
      <c r="I115" s="1066">
        <f>VLOOKUP(H107,'CNKT '!$D$16:$AC$96,18,0)</f>
        <v>0</v>
      </c>
      <c r="J115" s="1067">
        <v>100000</v>
      </c>
      <c r="K115" s="1068">
        <f>I115*J115</f>
        <v>0</v>
      </c>
      <c r="L115" s="999"/>
    </row>
    <row r="116" spans="1:13" s="23" customFormat="1" ht="17.25" customHeight="1">
      <c r="A116" s="1004" t="s">
        <v>394</v>
      </c>
      <c r="B116" s="1009" t="s">
        <v>435</v>
      </c>
      <c r="C116" s="1010">
        <f>VLOOKUP(B107,'CNKT '!$D$16:$AC$96,19,0)</f>
        <v>0</v>
      </c>
      <c r="D116" s="582">
        <v>20000</v>
      </c>
      <c r="E116" s="1007">
        <f>C116*D116</f>
        <v>0</v>
      </c>
      <c r="F116" s="1025"/>
      <c r="G116" s="1004" t="s">
        <v>394</v>
      </c>
      <c r="H116" s="1009" t="s">
        <v>435</v>
      </c>
      <c r="I116" s="1010">
        <f>VLOOKUP(H107,'CNKT '!$D$16:$AC$96,19,0)</f>
        <v>0</v>
      </c>
      <c r="J116" s="582">
        <v>20000</v>
      </c>
      <c r="K116" s="1007">
        <f>I116*J116</f>
        <v>0</v>
      </c>
      <c r="L116" s="999"/>
    </row>
    <row r="117" spans="1:13" s="23" customFormat="1" ht="17.25" customHeight="1">
      <c r="A117" s="1004" t="s">
        <v>731</v>
      </c>
      <c r="B117" s="1011" t="s">
        <v>732</v>
      </c>
      <c r="C117" s="1010"/>
      <c r="D117" s="582"/>
      <c r="E117" s="1007">
        <f>VLOOKUP(B107,'CNKT '!$D$16:$AG$99,28,0)</f>
        <v>0</v>
      </c>
      <c r="F117" s="1025"/>
      <c r="G117" s="1004" t="s">
        <v>731</v>
      </c>
      <c r="H117" s="1011" t="s">
        <v>732</v>
      </c>
      <c r="I117" s="1010"/>
      <c r="J117" s="582"/>
      <c r="K117" s="1007">
        <f>VLOOKUP(H107,'CNKT '!$D$16:$AG$99,28,0)</f>
        <v>0</v>
      </c>
      <c r="L117" s="999"/>
    </row>
    <row r="118" spans="1:13" s="23" customFormat="1" ht="17.25" customHeight="1">
      <c r="A118" s="1012" t="s">
        <v>70</v>
      </c>
      <c r="B118" s="1013" t="s">
        <v>459</v>
      </c>
      <c r="C118" s="1014"/>
      <c r="D118" s="1015"/>
      <c r="E118" s="1014"/>
      <c r="F118" s="1029"/>
      <c r="G118" s="1012" t="s">
        <v>70</v>
      </c>
      <c r="H118" s="1013" t="s">
        <v>459</v>
      </c>
      <c r="I118" s="1014"/>
      <c r="J118" s="1015"/>
      <c r="K118" s="1014"/>
      <c r="L118" s="999"/>
    </row>
    <row r="119" spans="1:13" s="23" customFormat="1" ht="17.25" customHeight="1">
      <c r="A119" s="1016" t="s">
        <v>71</v>
      </c>
      <c r="B119" s="1017" t="s">
        <v>460</v>
      </c>
      <c r="C119" s="1014"/>
      <c r="D119" s="1014"/>
      <c r="E119" s="1014"/>
      <c r="F119" s="1029"/>
      <c r="G119" s="1016" t="s">
        <v>71</v>
      </c>
      <c r="H119" s="1017" t="s">
        <v>460</v>
      </c>
      <c r="I119" s="1014"/>
      <c r="J119" s="1014"/>
      <c r="K119" s="1014"/>
      <c r="L119" s="999"/>
    </row>
    <row r="120" spans="1:13" s="23" customFormat="1" ht="17.25" customHeight="1">
      <c r="A120" s="1016" t="s">
        <v>72</v>
      </c>
      <c r="B120" s="1018" t="s">
        <v>461</v>
      </c>
      <c r="C120" s="1014"/>
      <c r="D120" s="1014"/>
      <c r="E120" s="1007">
        <f>SUM(E119)</f>
        <v>0</v>
      </c>
      <c r="F120" s="1029"/>
      <c r="G120" s="1016" t="s">
        <v>72</v>
      </c>
      <c r="H120" s="1018" t="s">
        <v>461</v>
      </c>
      <c r="I120" s="1014"/>
      <c r="J120" s="1014"/>
      <c r="K120" s="1007">
        <f>SUM(K119)</f>
        <v>0</v>
      </c>
      <c r="L120" s="999"/>
      <c r="M120" s="1019">
        <f>E120+K120</f>
        <v>0</v>
      </c>
    </row>
    <row r="121" spans="1:13" s="23" customFormat="1" ht="17.25" customHeight="1">
      <c r="A121" s="1020" t="s">
        <v>73</v>
      </c>
      <c r="B121" s="1021" t="s">
        <v>381</v>
      </c>
      <c r="C121" s="1022"/>
      <c r="D121" s="1022"/>
      <c r="E121" s="1022" t="e">
        <f>(E109+E110+E111+E112+E113+E114+E115+E116+E117)-E120</f>
        <v>#VALUE!</v>
      </c>
      <c r="F121" s="1029"/>
      <c r="G121" s="1020" t="s">
        <v>73</v>
      </c>
      <c r="H121" s="1021" t="s">
        <v>381</v>
      </c>
      <c r="I121" s="1022"/>
      <c r="J121" s="1022"/>
      <c r="K121" s="1022" t="e">
        <f>(K109+K110+K111+K112+K113+K114+K115+K116+K117)-K120</f>
        <v>#VALUE!</v>
      </c>
      <c r="L121" s="1024" t="e">
        <f>E121+K121</f>
        <v>#VALUE!</v>
      </c>
    </row>
    <row r="122" spans="1:13" s="23" customFormat="1" ht="17.25" customHeight="1">
      <c r="A122" s="1029"/>
      <c r="B122" s="1034"/>
      <c r="C122" s="1035"/>
      <c r="D122" s="1035"/>
      <c r="E122" s="1033"/>
      <c r="F122" s="1029"/>
      <c r="G122" s="1029"/>
      <c r="H122" s="1034"/>
      <c r="I122" s="1035"/>
      <c r="J122" s="1033"/>
      <c r="K122" s="1027"/>
      <c r="L122" s="999"/>
    </row>
    <row r="123" spans="1:13" s="23" customFormat="1" ht="17.25" customHeight="1">
      <c r="A123" s="1653" t="str">
        <f>G106</f>
        <v>LƯƠNG THÁNG 09/2025</v>
      </c>
      <c r="B123" s="1656"/>
      <c r="C123" s="1656"/>
      <c r="D123" s="1656"/>
      <c r="E123" s="998">
        <v>15</v>
      </c>
      <c r="F123" s="1033"/>
      <c r="G123" s="1653" t="str">
        <f>A123</f>
        <v>LƯƠNG THÁNG 09/2025</v>
      </c>
      <c r="H123" s="1656"/>
      <c r="I123" s="1656"/>
      <c r="J123" s="1657"/>
      <c r="K123" s="998">
        <v>16</v>
      </c>
      <c r="L123" s="999"/>
    </row>
    <row r="124" spans="1:13" s="23" customFormat="1" ht="17.25" customHeight="1">
      <c r="A124" s="1028" t="s">
        <v>13</v>
      </c>
      <c r="B124" s="1000" t="str">
        <f>'CNKT '!D30</f>
        <v>N. Ly Phon</v>
      </c>
      <c r="C124" s="1001"/>
      <c r="D124" s="1002" t="s">
        <v>353</v>
      </c>
      <c r="E124" s="1002" t="s">
        <v>16</v>
      </c>
      <c r="F124" s="1033"/>
      <c r="G124" s="1028" t="s">
        <v>13</v>
      </c>
      <c r="H124" s="1000" t="str">
        <f>'CNKT '!D31</f>
        <v>T. Xôm Va Nít</v>
      </c>
      <c r="I124" s="1001"/>
      <c r="J124" s="1002" t="s">
        <v>353</v>
      </c>
      <c r="K124" s="1002" t="s">
        <v>16</v>
      </c>
      <c r="L124" s="999"/>
    </row>
    <row r="125" spans="1:13" s="23" customFormat="1" ht="17.25" customHeight="1">
      <c r="A125" s="1004" t="s">
        <v>354</v>
      </c>
      <c r="B125" s="1005" t="s">
        <v>454</v>
      </c>
      <c r="C125" s="1006">
        <f>VLOOKUP(B124,'SẢN LƯỢNG'!$D$17:$AR$94,37,0)</f>
        <v>3436</v>
      </c>
      <c r="D125" s="1007"/>
      <c r="E125" s="1007"/>
      <c r="F125" s="1033"/>
      <c r="G125" s="1004" t="s">
        <v>354</v>
      </c>
      <c r="H125" s="1005" t="s">
        <v>454</v>
      </c>
      <c r="I125" s="1006">
        <f>VLOOKUP(H124,'SẢN LƯỢNG'!$D$17:$AR$94,37,0)</f>
        <v>4353</v>
      </c>
      <c r="J125" s="1007"/>
      <c r="K125" s="1007"/>
      <c r="L125" s="999"/>
    </row>
    <row r="126" spans="1:13" s="23" customFormat="1" ht="17.25" customHeight="1">
      <c r="A126" s="1004" t="s">
        <v>68</v>
      </c>
      <c r="B126" s="1008" t="s">
        <v>380</v>
      </c>
      <c r="C126" s="581">
        <f>VLOOKUP(B124,'CNKT '!$D$16:$AC$96,3,0)</f>
        <v>0</v>
      </c>
      <c r="D126" s="582">
        <v>25000</v>
      </c>
      <c r="E126" s="1007">
        <f>C126*D126</f>
        <v>0</v>
      </c>
      <c r="F126" s="1025"/>
      <c r="G126" s="1004" t="s">
        <v>68</v>
      </c>
      <c r="H126" s="1008" t="s">
        <v>380</v>
      </c>
      <c r="I126" s="581">
        <f>VLOOKUP(H124,'CNKT '!$D$16:$AC$96,3,0)</f>
        <v>0</v>
      </c>
      <c r="J126" s="582">
        <v>25000</v>
      </c>
      <c r="K126" s="1007">
        <f>I126*J126</f>
        <v>0</v>
      </c>
      <c r="L126" s="999"/>
    </row>
    <row r="127" spans="1:13" s="23" customFormat="1" ht="17.25" customHeight="1">
      <c r="A127" s="1004" t="s">
        <v>269</v>
      </c>
      <c r="B127" s="1009" t="s">
        <v>455</v>
      </c>
      <c r="C127" s="1010" t="str">
        <f>VLOOKUP(B124,'CNKT '!$D$16:$AC$96,11,0)</f>
        <v>A</v>
      </c>
      <c r="D127" s="583">
        <f>46.1*$B$2</f>
        <v>30424.156000000003</v>
      </c>
      <c r="E127" s="1007" t="e">
        <f>C127*D127</f>
        <v>#VALUE!</v>
      </c>
      <c r="F127" s="1029"/>
      <c r="G127" s="1004" t="s">
        <v>269</v>
      </c>
      <c r="H127" s="1009" t="s">
        <v>455</v>
      </c>
      <c r="I127" s="1010" t="str">
        <f>VLOOKUP(H124,'CNKT '!$D$16:$AC$96,11,0)</f>
        <v>A</v>
      </c>
      <c r="J127" s="583">
        <f>46.1*$B$2</f>
        <v>30424.156000000003</v>
      </c>
      <c r="K127" s="1007" t="e">
        <f>I127*J127</f>
        <v>#VALUE!</v>
      </c>
      <c r="L127" s="999"/>
    </row>
    <row r="128" spans="1:13" s="23" customFormat="1" ht="17.25" customHeight="1">
      <c r="A128" s="1004" t="s">
        <v>356</v>
      </c>
      <c r="B128" s="1009" t="s">
        <v>456</v>
      </c>
      <c r="C128" s="1010">
        <f>VLOOKUP(B124,'CNKT '!$D$16:$AC$96,12,0)</f>
        <v>6839748</v>
      </c>
      <c r="D128" s="582">
        <f>76.9*$B$2</f>
        <v>50750.924000000006</v>
      </c>
      <c r="E128" s="1007">
        <f t="shared" ref="E128:E129" si="27">C128*D128</f>
        <v>347123530927.15204</v>
      </c>
      <c r="F128" s="1029"/>
      <c r="G128" s="1004" t="s">
        <v>356</v>
      </c>
      <c r="H128" s="1009" t="s">
        <v>456</v>
      </c>
      <c r="I128" s="1010">
        <f>VLOOKUP(H124,'CNKT '!$D$16:$AC$96,12,0)</f>
        <v>7809654</v>
      </c>
      <c r="J128" s="582">
        <f>76.9*$B$2</f>
        <v>50750.924000000006</v>
      </c>
      <c r="K128" s="1007">
        <f t="shared" ref="K128:K129" si="28">I128*J128</f>
        <v>396347156620.29602</v>
      </c>
      <c r="L128" s="999"/>
    </row>
    <row r="129" spans="1:13" s="23" customFormat="1" ht="17.25" customHeight="1">
      <c r="A129" s="1004" t="s">
        <v>69</v>
      </c>
      <c r="B129" s="1009" t="s">
        <v>457</v>
      </c>
      <c r="C129" s="1010">
        <f>VLOOKUP(B124,'CNKT '!$D$16:$AC$96,8,0)</f>
        <v>1718.5144641445836</v>
      </c>
      <c r="D129" s="582">
        <f>IF(C125="A",6.1,IF(C125="B",5.8,IF(C125="C",5.5,IF(C125="C.",5.5,IF(C125="D",5.2)))))*$B$2</f>
        <v>0</v>
      </c>
      <c r="E129" s="1007">
        <f t="shared" si="27"/>
        <v>0</v>
      </c>
      <c r="F129" s="1029"/>
      <c r="G129" s="1004" t="s">
        <v>69</v>
      </c>
      <c r="H129" s="1009" t="s">
        <v>457</v>
      </c>
      <c r="I129" s="1010">
        <f>VLOOKUP(H124,'CNKT '!$D$16:$AC$96,8,0)</f>
        <v>1947.6202968933735</v>
      </c>
      <c r="J129" s="582">
        <f>IF(I125="A",6.1,IF(I125="B",5.8,IF(I125="C",5.5,IF(I125="C.",5.5,IF(I125="D",5.2)))))*$B$2</f>
        <v>0</v>
      </c>
      <c r="K129" s="1007">
        <f t="shared" si="28"/>
        <v>0</v>
      </c>
      <c r="L129" s="999"/>
    </row>
    <row r="130" spans="1:13" s="23" customFormat="1" ht="17.25" customHeight="1">
      <c r="A130" s="1004" t="s">
        <v>431</v>
      </c>
      <c r="B130" s="1009" t="s">
        <v>458</v>
      </c>
      <c r="C130" s="1010">
        <f>VLOOKUP(B124,'CNKT '!$D$16:$AC$96,13,0)</f>
        <v>27</v>
      </c>
      <c r="D130" s="583">
        <v>100000</v>
      </c>
      <c r="E130" s="1007">
        <f>C130*D130</f>
        <v>2700000</v>
      </c>
      <c r="F130" s="1029"/>
      <c r="G130" s="1004" t="s">
        <v>431</v>
      </c>
      <c r="H130" s="1009" t="s">
        <v>458</v>
      </c>
      <c r="I130" s="1010">
        <f>VLOOKUP(H124,'CNKT '!$D$16:$AC$96,13,0)</f>
        <v>26</v>
      </c>
      <c r="J130" s="583">
        <v>100000</v>
      </c>
      <c r="K130" s="1007">
        <f>I130*J130</f>
        <v>2600000</v>
      </c>
      <c r="L130" s="999"/>
    </row>
    <row r="131" spans="1:13" s="23" customFormat="1" ht="17.25" customHeight="1">
      <c r="A131" s="1073" t="s">
        <v>780</v>
      </c>
      <c r="B131" s="1065" t="s">
        <v>434</v>
      </c>
      <c r="C131" s="1066">
        <f>VLOOKUP(B124,'CNKT '!$D$16:$AC$96,14,0)</f>
        <v>4</v>
      </c>
      <c r="D131" s="1067">
        <f>153.8*$B$2</f>
        <v>101501.84800000001</v>
      </c>
      <c r="E131" s="1068">
        <f t="shared" ref="E131" si="29">C131*D131</f>
        <v>406007.39200000005</v>
      </c>
      <c r="F131" s="1029"/>
      <c r="G131" s="1073" t="s">
        <v>780</v>
      </c>
      <c r="H131" s="1065" t="s">
        <v>434</v>
      </c>
      <c r="I131" s="1066">
        <f>VLOOKUP(H124,'CNKT '!$D$16:$AC$96,14,0)</f>
        <v>4</v>
      </c>
      <c r="J131" s="1067">
        <f>153.8*$B$2</f>
        <v>101501.84800000001</v>
      </c>
      <c r="K131" s="1068">
        <f t="shared" ref="K131" si="30">I131*J131</f>
        <v>406007.39200000005</v>
      </c>
      <c r="L131" s="999"/>
    </row>
    <row r="132" spans="1:13" s="23" customFormat="1" ht="17.25" customHeight="1">
      <c r="A132" s="1073" t="s">
        <v>781</v>
      </c>
      <c r="B132" s="1065" t="s">
        <v>435</v>
      </c>
      <c r="C132" s="1066">
        <f>VLOOKUP(B124,'CNKT '!$D$16:$AC$96,18,0)</f>
        <v>0</v>
      </c>
      <c r="D132" s="1067">
        <v>100000</v>
      </c>
      <c r="E132" s="1068">
        <f>C132*D132</f>
        <v>0</v>
      </c>
      <c r="F132" s="1029"/>
      <c r="G132" s="1073" t="s">
        <v>781</v>
      </c>
      <c r="H132" s="1065" t="s">
        <v>435</v>
      </c>
      <c r="I132" s="1066">
        <f>VLOOKUP(H124,'CNKT '!$D$16:$AC$96,18,0)</f>
        <v>0</v>
      </c>
      <c r="J132" s="1067">
        <v>100000</v>
      </c>
      <c r="K132" s="1068">
        <f>I132*J132</f>
        <v>0</v>
      </c>
      <c r="L132" s="999"/>
    </row>
    <row r="133" spans="1:13" s="23" customFormat="1" ht="17.25" customHeight="1">
      <c r="A133" s="1004" t="s">
        <v>394</v>
      </c>
      <c r="B133" s="1009" t="s">
        <v>435</v>
      </c>
      <c r="C133" s="1010">
        <f>VLOOKUP(B124,'CNKT '!$D$16:$AC$96,19,0)</f>
        <v>0</v>
      </c>
      <c r="D133" s="582">
        <v>20000</v>
      </c>
      <c r="E133" s="1007">
        <f>C133*D133</f>
        <v>0</v>
      </c>
      <c r="F133" s="1029"/>
      <c r="G133" s="1004" t="s">
        <v>394</v>
      </c>
      <c r="H133" s="1009" t="s">
        <v>435</v>
      </c>
      <c r="I133" s="1010">
        <f>VLOOKUP(H124,'CNKT '!$D$16:$AC$96,19,0)</f>
        <v>0</v>
      </c>
      <c r="J133" s="582">
        <v>20000</v>
      </c>
      <c r="K133" s="1007">
        <f>I133*J133</f>
        <v>0</v>
      </c>
      <c r="L133" s="999"/>
    </row>
    <row r="134" spans="1:13" s="23" customFormat="1" ht="17.25" customHeight="1">
      <c r="A134" s="1004" t="s">
        <v>731</v>
      </c>
      <c r="B134" s="1011" t="s">
        <v>732</v>
      </c>
      <c r="C134" s="1010"/>
      <c r="D134" s="582"/>
      <c r="E134" s="1007">
        <f>VLOOKUP(B124,'CNKT '!$D$16:$AG$99,28,0)</f>
        <v>0</v>
      </c>
      <c r="F134" s="1029"/>
      <c r="G134" s="1004" t="s">
        <v>731</v>
      </c>
      <c r="H134" s="1011" t="s">
        <v>732</v>
      </c>
      <c r="I134" s="1010"/>
      <c r="J134" s="582"/>
      <c r="K134" s="1007">
        <f>VLOOKUP(H124,'CNKT '!$D$16:$AG$99,28,0)</f>
        <v>0</v>
      </c>
      <c r="L134" s="999"/>
    </row>
    <row r="135" spans="1:13" s="23" customFormat="1" ht="17.25" customHeight="1">
      <c r="A135" s="1012" t="s">
        <v>70</v>
      </c>
      <c r="B135" s="1013" t="s">
        <v>459</v>
      </c>
      <c r="C135" s="1014"/>
      <c r="D135" s="1015"/>
      <c r="E135" s="1014"/>
      <c r="F135" s="1029"/>
      <c r="G135" s="1012" t="s">
        <v>70</v>
      </c>
      <c r="H135" s="1013" t="s">
        <v>459</v>
      </c>
      <c r="I135" s="1014"/>
      <c r="J135" s="1015"/>
      <c r="K135" s="1014"/>
      <c r="L135" s="999"/>
    </row>
    <row r="136" spans="1:13" s="23" customFormat="1" ht="17.25" customHeight="1">
      <c r="A136" s="1016" t="s">
        <v>71</v>
      </c>
      <c r="B136" s="1017" t="s">
        <v>460</v>
      </c>
      <c r="C136" s="1014"/>
      <c r="D136" s="1014"/>
      <c r="E136" s="1014"/>
      <c r="F136" s="1032"/>
      <c r="G136" s="1016" t="s">
        <v>71</v>
      </c>
      <c r="H136" s="1017" t="s">
        <v>460</v>
      </c>
      <c r="I136" s="1014"/>
      <c r="J136" s="1014"/>
      <c r="K136" s="1014"/>
      <c r="L136" s="999"/>
    </row>
    <row r="137" spans="1:13" s="23" customFormat="1" ht="17.25" customHeight="1">
      <c r="A137" s="1016" t="s">
        <v>72</v>
      </c>
      <c r="B137" s="1018" t="s">
        <v>461</v>
      </c>
      <c r="C137" s="1014"/>
      <c r="D137" s="1014"/>
      <c r="E137" s="1007">
        <f>SUM(E136)</f>
        <v>0</v>
      </c>
      <c r="F137" s="1032"/>
      <c r="G137" s="1016" t="s">
        <v>72</v>
      </c>
      <c r="H137" s="1018" t="s">
        <v>461</v>
      </c>
      <c r="I137" s="1014"/>
      <c r="J137" s="1014"/>
      <c r="K137" s="1007">
        <f>SUM(K136)</f>
        <v>0</v>
      </c>
      <c r="L137" s="999"/>
      <c r="M137" s="1019">
        <f>E137+K137</f>
        <v>0</v>
      </c>
    </row>
    <row r="138" spans="1:13" s="23" customFormat="1" ht="17.25" customHeight="1">
      <c r="A138" s="1020" t="s">
        <v>73</v>
      </c>
      <c r="B138" s="1021" t="s">
        <v>381</v>
      </c>
      <c r="C138" s="1022"/>
      <c r="D138" s="1022"/>
      <c r="E138" s="1022" t="e">
        <f>(E126+E127+E128+E129+E130+E131+E132+E133+E134)-E137</f>
        <v>#VALUE!</v>
      </c>
      <c r="F138" s="1032"/>
      <c r="G138" s="1020" t="s">
        <v>73</v>
      </c>
      <c r="H138" s="1021" t="s">
        <v>381</v>
      </c>
      <c r="I138" s="1022"/>
      <c r="J138" s="1022"/>
      <c r="K138" s="1022" t="e">
        <f>(K126+K127+K128+K129+K130+K131+K132+K133+K134)-K137</f>
        <v>#VALUE!</v>
      </c>
      <c r="L138" s="1024" t="e">
        <f>E138+K138</f>
        <v>#VALUE!</v>
      </c>
    </row>
    <row r="139" spans="1:13" s="23" customFormat="1" ht="6.75" customHeight="1">
      <c r="A139" s="1029"/>
      <c r="B139" s="1034"/>
      <c r="C139" s="1035"/>
      <c r="D139" s="1035"/>
      <c r="E139" s="1033"/>
      <c r="F139" s="1032"/>
      <c r="G139" s="1029"/>
      <c r="H139" s="1034"/>
      <c r="I139" s="1035"/>
      <c r="J139" s="1033"/>
      <c r="K139" s="1027"/>
      <c r="L139" s="999"/>
    </row>
    <row r="140" spans="1:13" s="23" customFormat="1" ht="17.25" customHeight="1">
      <c r="A140" s="1653" t="str">
        <f>G123</f>
        <v>LƯƠNG THÁNG 09/2025</v>
      </c>
      <c r="B140" s="1656"/>
      <c r="C140" s="1656"/>
      <c r="D140" s="1656"/>
      <c r="E140" s="998">
        <v>17</v>
      </c>
      <c r="F140" s="1029"/>
      <c r="G140" s="1653" t="str">
        <f>A140</f>
        <v>LƯƠNG THÁNG 09/2025</v>
      </c>
      <c r="H140" s="1656"/>
      <c r="I140" s="1656"/>
      <c r="J140" s="1657"/>
      <c r="K140" s="998">
        <v>18</v>
      </c>
      <c r="L140" s="999"/>
    </row>
    <row r="141" spans="1:13" s="23" customFormat="1" ht="17.25" customHeight="1">
      <c r="A141" s="1028" t="s">
        <v>13</v>
      </c>
      <c r="B141" s="1000" t="str">
        <f>'CNKT '!D32</f>
        <v>T. Lọi</v>
      </c>
      <c r="C141" s="1001"/>
      <c r="D141" s="1002" t="s">
        <v>353</v>
      </c>
      <c r="E141" s="1002" t="s">
        <v>16</v>
      </c>
      <c r="F141" s="1029"/>
      <c r="G141" s="1028" t="s">
        <v>13</v>
      </c>
      <c r="H141" s="1000" t="str">
        <f>'CNKT '!D33</f>
        <v>T. Phô Thong</v>
      </c>
      <c r="I141" s="1001"/>
      <c r="J141" s="1002" t="s">
        <v>353</v>
      </c>
      <c r="K141" s="1002" t="s">
        <v>16</v>
      </c>
      <c r="L141" s="999"/>
    </row>
    <row r="142" spans="1:13" s="23" customFormat="1" ht="17.25" customHeight="1">
      <c r="A142" s="1004" t="s">
        <v>354</v>
      </c>
      <c r="B142" s="1005" t="s">
        <v>454</v>
      </c>
      <c r="C142" s="1006">
        <f>VLOOKUP(B141,'SẢN LƯỢNG'!$D$17:$AR$94,37,0)</f>
        <v>3463</v>
      </c>
      <c r="D142" s="1007"/>
      <c r="E142" s="1007"/>
      <c r="F142" s="1029"/>
      <c r="G142" s="1004" t="s">
        <v>354</v>
      </c>
      <c r="H142" s="1005" t="s">
        <v>454</v>
      </c>
      <c r="I142" s="1006">
        <f>VLOOKUP(H141,'SẢN LƯỢNG'!$D$17:$AR$94,37,0)</f>
        <v>4404</v>
      </c>
      <c r="J142" s="1007"/>
      <c r="K142" s="1007"/>
      <c r="L142" s="999"/>
    </row>
    <row r="143" spans="1:13" s="23" customFormat="1" ht="17.25" customHeight="1">
      <c r="A143" s="1004" t="s">
        <v>68</v>
      </c>
      <c r="B143" s="1008" t="s">
        <v>380</v>
      </c>
      <c r="C143" s="581">
        <f>VLOOKUP(B141,'CNKT '!$D$16:$AC$96,3,0)</f>
        <v>0</v>
      </c>
      <c r="D143" s="582">
        <v>25000</v>
      </c>
      <c r="E143" s="1007">
        <f>C143*D143</f>
        <v>0</v>
      </c>
      <c r="F143" s="1029"/>
      <c r="G143" s="1004" t="s">
        <v>68</v>
      </c>
      <c r="H143" s="1008" t="s">
        <v>380</v>
      </c>
      <c r="I143" s="581">
        <f>VLOOKUP(H141,'CNKT '!$D$16:$AC$96,3,0)</f>
        <v>0</v>
      </c>
      <c r="J143" s="582">
        <v>25000</v>
      </c>
      <c r="K143" s="1007">
        <f>I143*J143</f>
        <v>0</v>
      </c>
      <c r="L143" s="999"/>
    </row>
    <row r="144" spans="1:13" s="23" customFormat="1" ht="17.25" customHeight="1">
      <c r="A144" s="1004" t="s">
        <v>269</v>
      </c>
      <c r="B144" s="1009" t="s">
        <v>455</v>
      </c>
      <c r="C144" s="1010" t="str">
        <f>VLOOKUP(B141,'CNKT '!$D$16:$AC$96,11,0)</f>
        <v>A</v>
      </c>
      <c r="D144" s="583">
        <f>46.1*$B$2</f>
        <v>30424.156000000003</v>
      </c>
      <c r="E144" s="1007" t="e">
        <f>C144*D144</f>
        <v>#VALUE!</v>
      </c>
      <c r="F144" s="1029"/>
      <c r="G144" s="1004" t="s">
        <v>269</v>
      </c>
      <c r="H144" s="1009" t="s">
        <v>455</v>
      </c>
      <c r="I144" s="1010" t="str">
        <f>VLOOKUP(H141,'CNKT '!$D$16:$AC$96,11,0)</f>
        <v>A</v>
      </c>
      <c r="J144" s="583">
        <f>46.1*$B$2</f>
        <v>30424.156000000003</v>
      </c>
      <c r="K144" s="1007" t="e">
        <f>I144*J144</f>
        <v>#VALUE!</v>
      </c>
      <c r="L144" s="999"/>
    </row>
    <row r="145" spans="1:13" s="23" customFormat="1" ht="17.25" customHeight="1">
      <c r="A145" s="1004" t="s">
        <v>356</v>
      </c>
      <c r="B145" s="1009" t="s">
        <v>456</v>
      </c>
      <c r="C145" s="1010">
        <f>VLOOKUP(B141,'CNKT '!$D$16:$AC$96,12,0)</f>
        <v>6487783</v>
      </c>
      <c r="D145" s="582">
        <f>76.9*$B$2</f>
        <v>50750.924000000006</v>
      </c>
      <c r="E145" s="1007">
        <f t="shared" ref="E145:E146" si="31">C145*D145</f>
        <v>329260981961.49207</v>
      </c>
      <c r="F145" s="1032"/>
      <c r="G145" s="1004" t="s">
        <v>356</v>
      </c>
      <c r="H145" s="1009" t="s">
        <v>456</v>
      </c>
      <c r="I145" s="1010">
        <f>VLOOKUP(H141,'CNKT '!$D$16:$AC$96,12,0)</f>
        <v>9053356</v>
      </c>
      <c r="J145" s="582">
        <f>76.9*$B$2</f>
        <v>50750.924000000006</v>
      </c>
      <c r="K145" s="1007">
        <f t="shared" ref="K145:K146" si="32">I145*J145</f>
        <v>459466182300.94403</v>
      </c>
      <c r="L145" s="999"/>
    </row>
    <row r="146" spans="1:13" s="23" customFormat="1" ht="17.25" customHeight="1">
      <c r="A146" s="1004" t="s">
        <v>69</v>
      </c>
      <c r="B146" s="1009" t="s">
        <v>457</v>
      </c>
      <c r="C146" s="1010">
        <f>VLOOKUP(B141,'CNKT '!$D$16:$AC$96,8,0)</f>
        <v>1623.1640597635844</v>
      </c>
      <c r="D146" s="582">
        <f>IF(C142="A",6.1,IF(C142="B",5.8,IF(C142="C",5.5,IF(C142="C.",5.5,IF(C142="D",5.2)))))*$B$2</f>
        <v>0</v>
      </c>
      <c r="E146" s="1007">
        <f t="shared" si="31"/>
        <v>0</v>
      </c>
      <c r="F146" s="1025"/>
      <c r="G146" s="1004" t="s">
        <v>69</v>
      </c>
      <c r="H146" s="1009" t="s">
        <v>457</v>
      </c>
      <c r="I146" s="1010">
        <f>VLOOKUP(H141,'CNKT '!$D$16:$AC$96,8,0)</f>
        <v>2279.5809639975928</v>
      </c>
      <c r="J146" s="582">
        <f>IF(I142="A",6.1,IF(I142="B",5.8,IF(I142="C",5.5,IF(I142="C.",5.5,IF(I142="D",5.2)))))*$B$2</f>
        <v>0</v>
      </c>
      <c r="K146" s="1007">
        <f t="shared" si="32"/>
        <v>0</v>
      </c>
      <c r="L146" s="999"/>
    </row>
    <row r="147" spans="1:13" s="23" customFormat="1" ht="17.25" customHeight="1">
      <c r="A147" s="1004" t="s">
        <v>431</v>
      </c>
      <c r="B147" s="1009" t="s">
        <v>458</v>
      </c>
      <c r="C147" s="1010">
        <f>VLOOKUP(B141,'CNKT '!$D$16:$AC$96,13,0)</f>
        <v>26</v>
      </c>
      <c r="D147" s="583">
        <v>100000</v>
      </c>
      <c r="E147" s="1007">
        <f>C147*D147</f>
        <v>2600000</v>
      </c>
      <c r="F147" s="1025"/>
      <c r="G147" s="1004" t="s">
        <v>431</v>
      </c>
      <c r="H147" s="1009" t="s">
        <v>458</v>
      </c>
      <c r="I147" s="1010">
        <f>VLOOKUP(H141,'CNKT '!$D$16:$AC$96,13,0)</f>
        <v>27</v>
      </c>
      <c r="J147" s="583">
        <v>100000</v>
      </c>
      <c r="K147" s="1007">
        <f>I147*J147</f>
        <v>2700000</v>
      </c>
      <c r="L147" s="999"/>
    </row>
    <row r="148" spans="1:13" s="23" customFormat="1" ht="17.25" customHeight="1">
      <c r="A148" s="1073" t="s">
        <v>780</v>
      </c>
      <c r="B148" s="1065" t="s">
        <v>434</v>
      </c>
      <c r="C148" s="1066">
        <f>VLOOKUP(B141,'CNKT '!$D$16:$AC$96,14,0)</f>
        <v>3</v>
      </c>
      <c r="D148" s="1067">
        <f>153.8*$B$2</f>
        <v>101501.84800000001</v>
      </c>
      <c r="E148" s="1068">
        <f t="shared" ref="E148" si="33">C148*D148</f>
        <v>304505.54400000005</v>
      </c>
      <c r="F148" s="1025"/>
      <c r="G148" s="1073" t="s">
        <v>780</v>
      </c>
      <c r="H148" s="1065" t="s">
        <v>434</v>
      </c>
      <c r="I148" s="1066">
        <f>VLOOKUP(H141,'CNKT '!$D$16:$AC$96,14,0)</f>
        <v>4</v>
      </c>
      <c r="J148" s="1067">
        <f>153.8*$B$2</f>
        <v>101501.84800000001</v>
      </c>
      <c r="K148" s="1068">
        <f t="shared" ref="K148" si="34">I148*J148</f>
        <v>406007.39200000005</v>
      </c>
      <c r="L148" s="999"/>
    </row>
    <row r="149" spans="1:13" s="23" customFormat="1" ht="17.25" customHeight="1">
      <c r="A149" s="1073" t="s">
        <v>781</v>
      </c>
      <c r="B149" s="1065" t="s">
        <v>435</v>
      </c>
      <c r="C149" s="1066">
        <f>VLOOKUP(B141,'CNKT '!$D$16:$AC$96,18,0)</f>
        <v>0</v>
      </c>
      <c r="D149" s="1067">
        <v>100000</v>
      </c>
      <c r="E149" s="1068">
        <f>C149*D149</f>
        <v>0</v>
      </c>
      <c r="F149" s="1025"/>
      <c r="G149" s="1073" t="s">
        <v>781</v>
      </c>
      <c r="H149" s="1065" t="s">
        <v>435</v>
      </c>
      <c r="I149" s="1066">
        <f>VLOOKUP(H141,'CNKT '!$D$16:$AC$96,18,0)</f>
        <v>0</v>
      </c>
      <c r="J149" s="1067">
        <v>100000</v>
      </c>
      <c r="K149" s="1068">
        <f>I149*J149</f>
        <v>0</v>
      </c>
      <c r="L149" s="999"/>
    </row>
    <row r="150" spans="1:13" s="23" customFormat="1" ht="17.25" customHeight="1">
      <c r="A150" s="1004" t="s">
        <v>394</v>
      </c>
      <c r="B150" s="1009" t="s">
        <v>435</v>
      </c>
      <c r="C150" s="1010">
        <f>VLOOKUP(B141,'CNKT '!$D$16:$AC$96,19,0)</f>
        <v>0</v>
      </c>
      <c r="D150" s="582">
        <v>20000</v>
      </c>
      <c r="E150" s="1007">
        <f>C150*D150</f>
        <v>0</v>
      </c>
      <c r="F150" s="1025"/>
      <c r="G150" s="1004" t="s">
        <v>394</v>
      </c>
      <c r="H150" s="1009" t="s">
        <v>435</v>
      </c>
      <c r="I150" s="1010">
        <f>VLOOKUP(H141,'CNKT '!$D$16:$AC$96,19,0)</f>
        <v>0</v>
      </c>
      <c r="J150" s="582">
        <v>20000</v>
      </c>
      <c r="K150" s="1007">
        <f>I150*J150</f>
        <v>0</v>
      </c>
      <c r="L150" s="999"/>
    </row>
    <row r="151" spans="1:13" s="23" customFormat="1" ht="17.25" customHeight="1">
      <c r="A151" s="1004" t="s">
        <v>731</v>
      </c>
      <c r="B151" s="1011" t="s">
        <v>732</v>
      </c>
      <c r="C151" s="1010"/>
      <c r="D151" s="582"/>
      <c r="E151" s="1007">
        <f>VLOOKUP(B141,'CNKT '!$D$16:$AG$99,28,0)</f>
        <v>0</v>
      </c>
      <c r="F151" s="1025"/>
      <c r="G151" s="1004" t="s">
        <v>731</v>
      </c>
      <c r="H151" s="1011" t="s">
        <v>732</v>
      </c>
      <c r="I151" s="1010"/>
      <c r="J151" s="582"/>
      <c r="K151" s="1007">
        <f>VLOOKUP(H141,'CNKT '!$D$16:$AG$99,28,0)</f>
        <v>0</v>
      </c>
      <c r="L151" s="999"/>
    </row>
    <row r="152" spans="1:13" s="23" customFormat="1" ht="17.25" customHeight="1">
      <c r="A152" s="1012" t="s">
        <v>70</v>
      </c>
      <c r="B152" s="1013" t="s">
        <v>459</v>
      </c>
      <c r="C152" s="1014"/>
      <c r="D152" s="1015"/>
      <c r="E152" s="1014"/>
      <c r="F152" s="1033"/>
      <c r="G152" s="1012" t="s">
        <v>70</v>
      </c>
      <c r="H152" s="1013" t="s">
        <v>459</v>
      </c>
      <c r="I152" s="1014"/>
      <c r="J152" s="1015"/>
      <c r="K152" s="1014"/>
      <c r="L152" s="999"/>
    </row>
    <row r="153" spans="1:13" s="23" customFormat="1" ht="17.25" customHeight="1">
      <c r="A153" s="1016" t="s">
        <v>71</v>
      </c>
      <c r="B153" s="1017" t="s">
        <v>460</v>
      </c>
      <c r="C153" s="1014"/>
      <c r="D153" s="1014"/>
      <c r="E153" s="1014"/>
      <c r="F153" s="1033"/>
      <c r="G153" s="1016" t="s">
        <v>71</v>
      </c>
      <c r="H153" s="1017" t="s">
        <v>460</v>
      </c>
      <c r="I153" s="1014"/>
      <c r="J153" s="1014"/>
      <c r="K153" s="1014"/>
      <c r="L153" s="999"/>
    </row>
    <row r="154" spans="1:13" s="23" customFormat="1" ht="17.25" customHeight="1">
      <c r="A154" s="1016" t="s">
        <v>72</v>
      </c>
      <c r="B154" s="1018" t="s">
        <v>461</v>
      </c>
      <c r="C154" s="1014"/>
      <c r="D154" s="1014"/>
      <c r="E154" s="1007">
        <f>SUM(E153)</f>
        <v>0</v>
      </c>
      <c r="F154" s="1033"/>
      <c r="G154" s="1016" t="s">
        <v>72</v>
      </c>
      <c r="H154" s="1018" t="s">
        <v>461</v>
      </c>
      <c r="I154" s="1014"/>
      <c r="J154" s="1014"/>
      <c r="K154" s="1007">
        <f>SUM(K153)</f>
        <v>0</v>
      </c>
      <c r="L154" s="999"/>
      <c r="M154" s="1019">
        <f>E154+K154</f>
        <v>0</v>
      </c>
    </row>
    <row r="155" spans="1:13" s="23" customFormat="1" ht="17.25" customHeight="1">
      <c r="A155" s="1020" t="s">
        <v>73</v>
      </c>
      <c r="B155" s="1021" t="s">
        <v>381</v>
      </c>
      <c r="C155" s="1022"/>
      <c r="D155" s="1022"/>
      <c r="E155" s="1022" t="e">
        <f>(E143+E144+E145+E146+E147+E148+E149+E150+E151)-E154</f>
        <v>#VALUE!</v>
      </c>
      <c r="F155" s="1033"/>
      <c r="G155" s="1020" t="s">
        <v>73</v>
      </c>
      <c r="H155" s="1021" t="s">
        <v>381</v>
      </c>
      <c r="I155" s="1022"/>
      <c r="J155" s="1022"/>
      <c r="K155" s="1022" t="e">
        <f>(K143+K144+K145+K146+K147+K148+K149+K150+K151)-K154</f>
        <v>#VALUE!</v>
      </c>
      <c r="L155" s="1024" t="e">
        <f>E155+K155</f>
        <v>#VALUE!</v>
      </c>
    </row>
    <row r="156" spans="1:13" s="23" customFormat="1" ht="12" customHeight="1">
      <c r="A156" s="1029"/>
      <c r="B156" s="1034"/>
      <c r="C156" s="1035"/>
      <c r="D156" s="1035"/>
      <c r="E156" s="1033"/>
      <c r="F156" s="1033"/>
      <c r="G156" s="1029"/>
      <c r="H156" s="1034"/>
      <c r="I156" s="1035"/>
      <c r="J156" s="1033"/>
      <c r="K156" s="1036"/>
      <c r="L156" s="999"/>
    </row>
    <row r="157" spans="1:13" s="23" customFormat="1" ht="17.25" customHeight="1">
      <c r="A157" s="1653" t="str">
        <f>G140</f>
        <v>LƯƠNG THÁNG 09/2025</v>
      </c>
      <c r="B157" s="1656"/>
      <c r="C157" s="1656"/>
      <c r="D157" s="1656"/>
      <c r="E157" s="998">
        <v>19</v>
      </c>
      <c r="F157" s="1029"/>
      <c r="G157" s="1653" t="str">
        <f>A157</f>
        <v>LƯƠNG THÁNG 09/2025</v>
      </c>
      <c r="H157" s="1656"/>
      <c r="I157" s="1656"/>
      <c r="J157" s="1657"/>
      <c r="K157" s="998">
        <v>20</v>
      </c>
      <c r="L157" s="999"/>
    </row>
    <row r="158" spans="1:13" s="23" customFormat="1" ht="17.25" customHeight="1">
      <c r="A158" s="1028" t="s">
        <v>13</v>
      </c>
      <c r="B158" s="1000" t="str">
        <f>'CNKT '!D34</f>
        <v>N. Soi</v>
      </c>
      <c r="C158" s="1001"/>
      <c r="D158" s="1002" t="s">
        <v>353</v>
      </c>
      <c r="E158" s="1002" t="s">
        <v>16</v>
      </c>
      <c r="F158" s="1032"/>
      <c r="G158" s="1028" t="s">
        <v>13</v>
      </c>
      <c r="H158" s="1000" t="str">
        <f>'CNKT '!D35</f>
        <v>N. Me Kha La</v>
      </c>
      <c r="I158" s="1001"/>
      <c r="J158" s="1002" t="s">
        <v>353</v>
      </c>
      <c r="K158" s="1002" t="s">
        <v>16</v>
      </c>
      <c r="L158" s="999"/>
    </row>
    <row r="159" spans="1:13" s="23" customFormat="1" ht="17.25" customHeight="1">
      <c r="A159" s="1004" t="s">
        <v>354</v>
      </c>
      <c r="B159" s="1005" t="s">
        <v>454</v>
      </c>
      <c r="C159" s="1006">
        <f>VLOOKUP(B158,'SẢN LƯỢNG'!$D$17:$AR$94,37,0)</f>
        <v>3333</v>
      </c>
      <c r="D159" s="1007"/>
      <c r="E159" s="1007"/>
      <c r="F159" s="1032"/>
      <c r="G159" s="1004" t="s">
        <v>354</v>
      </c>
      <c r="H159" s="1005" t="s">
        <v>454</v>
      </c>
      <c r="I159" s="1006">
        <f>VLOOKUP(H158,'SẢN LƯỢNG'!$D$17:$AR$94,37,0)</f>
        <v>4759</v>
      </c>
      <c r="J159" s="1007"/>
      <c r="K159" s="1007"/>
      <c r="L159" s="999"/>
    </row>
    <row r="160" spans="1:13" s="23" customFormat="1" ht="17.25" customHeight="1">
      <c r="A160" s="1004" t="s">
        <v>68</v>
      </c>
      <c r="B160" s="1008" t="s">
        <v>380</v>
      </c>
      <c r="C160" s="581">
        <f>VLOOKUP(B158,'CNKT '!$D$16:$AC$96,3,0)</f>
        <v>0</v>
      </c>
      <c r="D160" s="582">
        <v>25000</v>
      </c>
      <c r="E160" s="1007">
        <f>C160*D160</f>
        <v>0</v>
      </c>
      <c r="F160" s="1025"/>
      <c r="G160" s="1004" t="s">
        <v>68</v>
      </c>
      <c r="H160" s="1008" t="s">
        <v>380</v>
      </c>
      <c r="I160" s="581">
        <f>VLOOKUP(H158,'CNKT '!$D$16:$AC$96,3,0)</f>
        <v>0</v>
      </c>
      <c r="J160" s="582">
        <v>25000</v>
      </c>
      <c r="K160" s="1007">
        <f>I160*J160</f>
        <v>0</v>
      </c>
      <c r="L160" s="999"/>
    </row>
    <row r="161" spans="1:13" s="23" customFormat="1" ht="17.25" customHeight="1">
      <c r="A161" s="1004" t="s">
        <v>269</v>
      </c>
      <c r="B161" s="1009" t="s">
        <v>455</v>
      </c>
      <c r="C161" s="1010" t="str">
        <f>VLOOKUP(B158,'CNKT '!$D$16:$AC$96,11,0)</f>
        <v>A</v>
      </c>
      <c r="D161" s="583">
        <f>46.1*$B$2</f>
        <v>30424.156000000003</v>
      </c>
      <c r="E161" s="1007" t="e">
        <f>C161*D161</f>
        <v>#VALUE!</v>
      </c>
      <c r="F161" s="1033"/>
      <c r="G161" s="1004" t="s">
        <v>269</v>
      </c>
      <c r="H161" s="1009" t="s">
        <v>455</v>
      </c>
      <c r="I161" s="1010" t="str">
        <f>VLOOKUP(H158,'CNKT '!$D$16:$AC$96,11,0)</f>
        <v>A</v>
      </c>
      <c r="J161" s="583">
        <f>46.1*$B$2</f>
        <v>30424.156000000003</v>
      </c>
      <c r="K161" s="1007" t="e">
        <f>I161*J161</f>
        <v>#VALUE!</v>
      </c>
      <c r="L161" s="999"/>
    </row>
    <row r="162" spans="1:13" s="23" customFormat="1" ht="17.25" customHeight="1">
      <c r="A162" s="1004" t="s">
        <v>356</v>
      </c>
      <c r="B162" s="1009" t="s">
        <v>456</v>
      </c>
      <c r="C162" s="1010">
        <f>VLOOKUP(B158,'CNKT '!$D$16:$AC$96,12,0)</f>
        <v>6945178</v>
      </c>
      <c r="D162" s="582">
        <f>76.9*$B$2</f>
        <v>50750.924000000006</v>
      </c>
      <c r="E162" s="1007">
        <f t="shared" ref="E162:E163" si="35">C162*D162</f>
        <v>352474200844.47205</v>
      </c>
      <c r="F162" s="1032"/>
      <c r="G162" s="1004" t="s">
        <v>356</v>
      </c>
      <c r="H162" s="1009" t="s">
        <v>456</v>
      </c>
      <c r="I162" s="1010">
        <f>VLOOKUP(H158,'CNKT '!$D$16:$AC$96,12,0)</f>
        <v>8278916</v>
      </c>
      <c r="J162" s="582">
        <f>76.9*$B$2</f>
        <v>50750.924000000006</v>
      </c>
      <c r="K162" s="1007">
        <f t="shared" ref="K162:K163" si="36">I162*J162</f>
        <v>420162636718.38403</v>
      </c>
      <c r="L162" s="999"/>
    </row>
    <row r="163" spans="1:13" s="23" customFormat="1" ht="17.25" customHeight="1">
      <c r="A163" s="1004" t="s">
        <v>69</v>
      </c>
      <c r="B163" s="1009" t="s">
        <v>457</v>
      </c>
      <c r="C163" s="1010">
        <f>VLOOKUP(B158,'CNKT '!$D$16:$AC$96,8,0)</f>
        <v>1750.2979322715832</v>
      </c>
      <c r="D163" s="582">
        <f>IF(C159="A",6.1,IF(C159="B",5.8,IF(C159="C",5.5,IF(C159="C.",5.5,IF(C159="D",5.2)))))*$B$2</f>
        <v>0</v>
      </c>
      <c r="E163" s="1007">
        <f t="shared" si="35"/>
        <v>0</v>
      </c>
      <c r="F163" s="1025"/>
      <c r="G163" s="1004" t="s">
        <v>69</v>
      </c>
      <c r="H163" s="1009" t="s">
        <v>457</v>
      </c>
      <c r="I163" s="1010">
        <f>VLOOKUP(H158,'CNKT '!$D$16:$AC$96,8,0)</f>
        <v>2059.7453094525113</v>
      </c>
      <c r="J163" s="582">
        <f>IF(I159="A",6.1,IF(I159="B",5.8,IF(I159="C",5.5,IF(I159="C.",5.5,IF(I159="D",5.2)))))*$B$2</f>
        <v>0</v>
      </c>
      <c r="K163" s="1007">
        <f t="shared" si="36"/>
        <v>0</v>
      </c>
      <c r="L163" s="999"/>
    </row>
    <row r="164" spans="1:13" s="23" customFormat="1" ht="17.25" customHeight="1">
      <c r="A164" s="1004" t="s">
        <v>431</v>
      </c>
      <c r="B164" s="1009" t="s">
        <v>458</v>
      </c>
      <c r="C164" s="1010">
        <f>VLOOKUP(B158,'CNKT '!$D$16:$AC$96,13,0)</f>
        <v>26</v>
      </c>
      <c r="D164" s="583">
        <v>100000</v>
      </c>
      <c r="E164" s="1007">
        <f>C164*D164</f>
        <v>2600000</v>
      </c>
      <c r="F164" s="1025"/>
      <c r="G164" s="1004" t="s">
        <v>431</v>
      </c>
      <c r="H164" s="1009" t="s">
        <v>458</v>
      </c>
      <c r="I164" s="1010">
        <f>VLOOKUP(H158,'CNKT '!$D$16:$AC$96,13,0)</f>
        <v>27</v>
      </c>
      <c r="J164" s="583">
        <v>100000</v>
      </c>
      <c r="K164" s="1007">
        <f>I164*J164</f>
        <v>2700000</v>
      </c>
      <c r="L164" s="999"/>
    </row>
    <row r="165" spans="1:13" s="23" customFormat="1" ht="17.25" customHeight="1">
      <c r="A165" s="1073" t="s">
        <v>780</v>
      </c>
      <c r="B165" s="1065" t="s">
        <v>434</v>
      </c>
      <c r="C165" s="1066">
        <f>VLOOKUP(B158,'CNKT '!$D$16:$AC$96,14,0)</f>
        <v>4</v>
      </c>
      <c r="D165" s="1067">
        <f>153.8*$B$2</f>
        <v>101501.84800000001</v>
      </c>
      <c r="E165" s="1068">
        <f t="shared" ref="E165" si="37">C165*D165</f>
        <v>406007.39200000005</v>
      </c>
      <c r="F165" s="1025"/>
      <c r="G165" s="1073" t="s">
        <v>780</v>
      </c>
      <c r="H165" s="1065" t="s">
        <v>434</v>
      </c>
      <c r="I165" s="1066">
        <f>VLOOKUP(H158,'CNKT '!$D$16:$AC$96,14,0)</f>
        <v>4</v>
      </c>
      <c r="J165" s="1067">
        <f>153.8*$B$2</f>
        <v>101501.84800000001</v>
      </c>
      <c r="K165" s="1068">
        <f t="shared" ref="K165" si="38">I165*J165</f>
        <v>406007.39200000005</v>
      </c>
      <c r="L165" s="999"/>
    </row>
    <row r="166" spans="1:13" s="23" customFormat="1" ht="17.25" customHeight="1">
      <c r="A166" s="1073" t="s">
        <v>781</v>
      </c>
      <c r="B166" s="1065" t="s">
        <v>435</v>
      </c>
      <c r="C166" s="1066">
        <f>VLOOKUP(B158,'CNKT '!$D$16:$AC$96,18,0)</f>
        <v>0</v>
      </c>
      <c r="D166" s="1067">
        <v>100000</v>
      </c>
      <c r="E166" s="1068">
        <f>C166*D166</f>
        <v>0</v>
      </c>
      <c r="F166" s="1025"/>
      <c r="G166" s="1073" t="s">
        <v>781</v>
      </c>
      <c r="H166" s="1065" t="s">
        <v>435</v>
      </c>
      <c r="I166" s="1066">
        <f>VLOOKUP(H158,'CNKT '!$D$16:$AC$96,18,0)</f>
        <v>0</v>
      </c>
      <c r="J166" s="1067">
        <v>100000</v>
      </c>
      <c r="K166" s="1068">
        <f>I166*J166</f>
        <v>0</v>
      </c>
      <c r="L166" s="999"/>
    </row>
    <row r="167" spans="1:13" s="23" customFormat="1" ht="17.25" customHeight="1">
      <c r="A167" s="1004" t="s">
        <v>394</v>
      </c>
      <c r="B167" s="1009" t="s">
        <v>435</v>
      </c>
      <c r="C167" s="1010">
        <f>VLOOKUP(B158,'CNKT '!$D$16:$AC$96,19,0)</f>
        <v>0</v>
      </c>
      <c r="D167" s="582">
        <v>20000</v>
      </c>
      <c r="E167" s="1007">
        <f>C167*D167</f>
        <v>0</v>
      </c>
      <c r="F167" s="1025"/>
      <c r="G167" s="1004" t="s">
        <v>394</v>
      </c>
      <c r="H167" s="1009" t="s">
        <v>435</v>
      </c>
      <c r="I167" s="1010">
        <f>VLOOKUP(H158,'CNKT '!$D$16:$AC$96,19,0)</f>
        <v>0</v>
      </c>
      <c r="J167" s="582">
        <v>20000</v>
      </c>
      <c r="K167" s="1007">
        <f>I167*J167</f>
        <v>0</v>
      </c>
      <c r="L167" s="999"/>
    </row>
    <row r="168" spans="1:13" s="23" customFormat="1" ht="17.25" customHeight="1">
      <c r="A168" s="1004" t="s">
        <v>731</v>
      </c>
      <c r="B168" s="1011" t="s">
        <v>732</v>
      </c>
      <c r="C168" s="1010"/>
      <c r="D168" s="582"/>
      <c r="E168" s="1007">
        <f>VLOOKUP(B158,'CNKT '!$D$16:$AG$99,28,0)</f>
        <v>0</v>
      </c>
      <c r="F168" s="1025"/>
      <c r="G168" s="1004" t="s">
        <v>731</v>
      </c>
      <c r="H168" s="1011" t="s">
        <v>732</v>
      </c>
      <c r="I168" s="1010"/>
      <c r="J168" s="582"/>
      <c r="K168" s="1007">
        <f>VLOOKUP(H158,'CNKT '!$D$16:$AG$99,28,0)</f>
        <v>0</v>
      </c>
      <c r="L168" s="999"/>
    </row>
    <row r="169" spans="1:13" s="23" customFormat="1" ht="17.25" customHeight="1">
      <c r="A169" s="1012" t="s">
        <v>70</v>
      </c>
      <c r="B169" s="1013" t="s">
        <v>459</v>
      </c>
      <c r="C169" s="1014"/>
      <c r="D169" s="1015"/>
      <c r="E169" s="1014"/>
      <c r="F169" s="1029"/>
      <c r="G169" s="1012" t="s">
        <v>70</v>
      </c>
      <c r="H169" s="1013" t="s">
        <v>459</v>
      </c>
      <c r="I169" s="1014"/>
      <c r="J169" s="1015"/>
      <c r="K169" s="1014"/>
      <c r="L169" s="999"/>
    </row>
    <row r="170" spans="1:13" s="23" customFormat="1" ht="17.25" customHeight="1">
      <c r="A170" s="1016" t="s">
        <v>71</v>
      </c>
      <c r="B170" s="1017" t="s">
        <v>460</v>
      </c>
      <c r="C170" s="1014"/>
      <c r="D170" s="1014"/>
      <c r="E170" s="1014"/>
      <c r="F170" s="1029"/>
      <c r="G170" s="1016" t="s">
        <v>71</v>
      </c>
      <c r="H170" s="1017" t="s">
        <v>460</v>
      </c>
      <c r="I170" s="1014"/>
      <c r="J170" s="1014"/>
      <c r="K170" s="1014"/>
      <c r="L170" s="999"/>
    </row>
    <row r="171" spans="1:13" s="23" customFormat="1" ht="17.25" customHeight="1">
      <c r="A171" s="1016" t="s">
        <v>72</v>
      </c>
      <c r="B171" s="1018" t="s">
        <v>461</v>
      </c>
      <c r="C171" s="1014"/>
      <c r="D171" s="1014"/>
      <c r="E171" s="1007">
        <f>SUM(E170)</f>
        <v>0</v>
      </c>
      <c r="F171" s="1029"/>
      <c r="G171" s="1016" t="s">
        <v>72</v>
      </c>
      <c r="H171" s="1018" t="s">
        <v>461</v>
      </c>
      <c r="I171" s="1014"/>
      <c r="J171" s="1014"/>
      <c r="K171" s="1007">
        <f>SUM(K170)</f>
        <v>0</v>
      </c>
      <c r="L171" s="999"/>
      <c r="M171" s="1019">
        <f>E171+K171</f>
        <v>0</v>
      </c>
    </row>
    <row r="172" spans="1:13" s="23" customFormat="1" ht="17.25" customHeight="1">
      <c r="A172" s="1020" t="s">
        <v>73</v>
      </c>
      <c r="B172" s="1021" t="s">
        <v>381</v>
      </c>
      <c r="C172" s="1022"/>
      <c r="D172" s="1022"/>
      <c r="E172" s="1022" t="e">
        <f>(E160+E161+E162+E163+E164+E165+E166+E167+E168)-E171</f>
        <v>#VALUE!</v>
      </c>
      <c r="F172" s="1029"/>
      <c r="G172" s="1020" t="s">
        <v>73</v>
      </c>
      <c r="H172" s="1021" t="s">
        <v>381</v>
      </c>
      <c r="I172" s="1022"/>
      <c r="J172" s="1022"/>
      <c r="K172" s="1022" t="e">
        <f>(K160+K161+K162+K163+K164+K165+K166+K167+K168)-K171</f>
        <v>#VALUE!</v>
      </c>
      <c r="L172" s="1024" t="e">
        <f>E172+K172</f>
        <v>#VALUE!</v>
      </c>
    </row>
    <row r="173" spans="1:13" s="23" customFormat="1" ht="63" customHeight="1">
      <c r="A173" s="1037"/>
      <c r="B173" s="1032"/>
      <c r="C173" s="1032"/>
      <c r="D173" s="1032"/>
      <c r="E173" s="1032"/>
      <c r="F173" s="1025"/>
      <c r="G173" s="1037"/>
      <c r="H173" s="1032"/>
      <c r="I173" s="1032"/>
      <c r="J173" s="1032"/>
      <c r="K173" s="1027"/>
      <c r="L173" s="999"/>
    </row>
    <row r="174" spans="1:13" s="23" customFormat="1" ht="17.25" customHeight="1">
      <c r="A174" s="1653" t="str">
        <f>G157</f>
        <v>LƯƠNG THÁNG 09/2025</v>
      </c>
      <c r="B174" s="1656"/>
      <c r="C174" s="1656"/>
      <c r="D174" s="1656"/>
      <c r="E174" s="998">
        <v>21</v>
      </c>
      <c r="F174" s="1033"/>
      <c r="G174" s="1653" t="str">
        <f>A174</f>
        <v>LƯƠNG THÁNG 09/2025</v>
      </c>
      <c r="H174" s="1656"/>
      <c r="I174" s="1656"/>
      <c r="J174" s="1657"/>
      <c r="K174" s="998">
        <v>22</v>
      </c>
      <c r="L174" s="999"/>
    </row>
    <row r="175" spans="1:13" s="23" customFormat="1" ht="17.25" customHeight="1">
      <c r="A175" s="1028" t="s">
        <v>13</v>
      </c>
      <c r="B175" s="1000" t="str">
        <f>'CNKT '!D36</f>
        <v>N. Mon Khăm</v>
      </c>
      <c r="C175" s="1001"/>
      <c r="D175" s="1002" t="s">
        <v>353</v>
      </c>
      <c r="E175" s="1002" t="s">
        <v>16</v>
      </c>
      <c r="F175" s="1033"/>
      <c r="G175" s="1028" t="s">
        <v>13</v>
      </c>
      <c r="H175" s="1000" t="str">
        <f>'CNKT '!D37</f>
        <v>N.Choi</v>
      </c>
      <c r="I175" s="1001"/>
      <c r="J175" s="1002" t="s">
        <v>353</v>
      </c>
      <c r="K175" s="1002" t="s">
        <v>16</v>
      </c>
      <c r="L175" s="999"/>
    </row>
    <row r="176" spans="1:13" s="23" customFormat="1" ht="17.25" customHeight="1">
      <c r="A176" s="1004" t="s">
        <v>354</v>
      </c>
      <c r="B176" s="1005" t="s">
        <v>454</v>
      </c>
      <c r="C176" s="1006">
        <f>VLOOKUP(B175,'SẢN LƯỢNG'!$D$17:$AR$94,37,0)</f>
        <v>3815</v>
      </c>
      <c r="D176" s="1007"/>
      <c r="E176" s="1007"/>
      <c r="F176" s="1033"/>
      <c r="G176" s="1004" t="s">
        <v>354</v>
      </c>
      <c r="H176" s="1005" t="s">
        <v>454</v>
      </c>
      <c r="I176" s="1006">
        <f>VLOOKUP(H175,'SẢN LƯỢNG'!$D$17:$AR$94,37,0)</f>
        <v>3855</v>
      </c>
      <c r="J176" s="1007"/>
      <c r="K176" s="1007"/>
      <c r="L176" s="999"/>
    </row>
    <row r="177" spans="1:13" s="23" customFormat="1" ht="17.25" customHeight="1">
      <c r="A177" s="1004" t="s">
        <v>68</v>
      </c>
      <c r="B177" s="1008" t="s">
        <v>380</v>
      </c>
      <c r="C177" s="581">
        <f>VLOOKUP(B175,'CNKT '!$D$16:$AC$96,3,0)</f>
        <v>0</v>
      </c>
      <c r="D177" s="582">
        <v>25000</v>
      </c>
      <c r="E177" s="1007">
        <f>C177*D177</f>
        <v>0</v>
      </c>
      <c r="F177" s="1033"/>
      <c r="G177" s="1004" t="s">
        <v>68</v>
      </c>
      <c r="H177" s="1008" t="s">
        <v>380</v>
      </c>
      <c r="I177" s="581">
        <f>VLOOKUP(H175,'CNKT '!$D$16:$AC$96,3,0)</f>
        <v>0</v>
      </c>
      <c r="J177" s="582">
        <v>25000</v>
      </c>
      <c r="K177" s="1007">
        <f>I177*J177</f>
        <v>0</v>
      </c>
      <c r="L177" s="999"/>
    </row>
    <row r="178" spans="1:13" s="23" customFormat="1" ht="17.25" customHeight="1">
      <c r="A178" s="1004" t="s">
        <v>269</v>
      </c>
      <c r="B178" s="1009" t="s">
        <v>455</v>
      </c>
      <c r="C178" s="1010" t="str">
        <f>VLOOKUP(B175,'CNKT '!$D$16:$AC$96,11,0)</f>
        <v>B</v>
      </c>
      <c r="D178" s="583">
        <f>46.1*$B$2</f>
        <v>30424.156000000003</v>
      </c>
      <c r="E178" s="1007" t="e">
        <f>C178*D178</f>
        <v>#VALUE!</v>
      </c>
      <c r="F178" s="1033"/>
      <c r="G178" s="1004" t="s">
        <v>269</v>
      </c>
      <c r="H178" s="1009" t="s">
        <v>455</v>
      </c>
      <c r="I178" s="1010" t="str">
        <f>VLOOKUP(H175,'CNKT '!$D$16:$AC$96,11,0)</f>
        <v>A</v>
      </c>
      <c r="J178" s="583">
        <f>46.1*$B$2</f>
        <v>30424.156000000003</v>
      </c>
      <c r="K178" s="1007" t="e">
        <f>I178*J178</f>
        <v>#VALUE!</v>
      </c>
      <c r="L178" s="999"/>
    </row>
    <row r="179" spans="1:13" s="23" customFormat="1" ht="17.25" customHeight="1">
      <c r="A179" s="1004" t="s">
        <v>356</v>
      </c>
      <c r="B179" s="1009" t="s">
        <v>456</v>
      </c>
      <c r="C179" s="1010">
        <f>VLOOKUP(B175,'CNKT '!$D$16:$AC$96,12,0)</f>
        <v>6380003</v>
      </c>
      <c r="D179" s="582">
        <f>76.9*$B$2</f>
        <v>50750.924000000006</v>
      </c>
      <c r="E179" s="1007">
        <f t="shared" ref="E179:E180" si="39">C179*D179</f>
        <v>323791047372.77203</v>
      </c>
      <c r="F179" s="1025"/>
      <c r="G179" s="1004" t="s">
        <v>356</v>
      </c>
      <c r="H179" s="1009" t="s">
        <v>456</v>
      </c>
      <c r="I179" s="1010">
        <f>VLOOKUP(H175,'CNKT '!$D$16:$AC$96,12,0)</f>
        <v>6417268</v>
      </c>
      <c r="J179" s="582">
        <f>76.9*$B$2</f>
        <v>50750.924000000006</v>
      </c>
      <c r="K179" s="1007">
        <f t="shared" ref="K179:K180" si="40">I179*J179</f>
        <v>325682280555.63202</v>
      </c>
      <c r="L179" s="999"/>
    </row>
    <row r="180" spans="1:13" s="23" customFormat="1" ht="17.25" customHeight="1">
      <c r="A180" s="1004" t="s">
        <v>69</v>
      </c>
      <c r="B180" s="1009" t="s">
        <v>457</v>
      </c>
      <c r="C180" s="1010">
        <f>VLOOKUP(B175,'CNKT '!$D$16:$AC$96,8,0)</f>
        <v>1670.8392619540839</v>
      </c>
      <c r="D180" s="582">
        <f>IF(C176="A",6.1,IF(C176="B",5.8,IF(C176="C",5.5,IF(C176="C.",5.5,IF(C176="D",5.2)))))*$B$2</f>
        <v>0</v>
      </c>
      <c r="E180" s="1007">
        <f t="shared" si="39"/>
        <v>0</v>
      </c>
      <c r="F180" s="1029"/>
      <c r="G180" s="1004" t="s">
        <v>69</v>
      </c>
      <c r="H180" s="1009" t="s">
        <v>457</v>
      </c>
      <c r="I180" s="1010">
        <f>VLOOKUP(H175,'CNKT '!$D$16:$AC$96,8,0)</f>
        <v>1590.9391545792651</v>
      </c>
      <c r="J180" s="582">
        <f>IF(I176="A",6.1,IF(I176="B",5.8,IF(I176="C",5.5,IF(I176="C.",5.5,IF(I176="D",5.2)))))*$B$2</f>
        <v>0</v>
      </c>
      <c r="K180" s="1007">
        <f t="shared" si="40"/>
        <v>0</v>
      </c>
      <c r="L180" s="999"/>
    </row>
    <row r="181" spans="1:13" s="23" customFormat="1" ht="17.25" customHeight="1">
      <c r="A181" s="1004" t="s">
        <v>431</v>
      </c>
      <c r="B181" s="1009" t="s">
        <v>458</v>
      </c>
      <c r="C181" s="1010">
        <f>VLOOKUP(B175,'CNKT '!$D$16:$AC$96,13,0)</f>
        <v>24</v>
      </c>
      <c r="D181" s="583">
        <v>100000</v>
      </c>
      <c r="E181" s="1007">
        <f>C181*D181</f>
        <v>2400000</v>
      </c>
      <c r="F181" s="1029"/>
      <c r="G181" s="1004" t="s">
        <v>431</v>
      </c>
      <c r="H181" s="1009" t="s">
        <v>458</v>
      </c>
      <c r="I181" s="1010">
        <f>VLOOKUP(H175,'CNKT '!$D$16:$AC$96,13,0)</f>
        <v>26</v>
      </c>
      <c r="J181" s="583">
        <v>100000</v>
      </c>
      <c r="K181" s="1007">
        <f>I181*J181</f>
        <v>2600000</v>
      </c>
      <c r="L181" s="999"/>
    </row>
    <row r="182" spans="1:13" s="23" customFormat="1" ht="17.25" customHeight="1">
      <c r="A182" s="1073" t="s">
        <v>780</v>
      </c>
      <c r="B182" s="1065" t="s">
        <v>434</v>
      </c>
      <c r="C182" s="1066">
        <f>VLOOKUP(B175,'CNKT '!$D$16:$AC$96,14,0)</f>
        <v>4</v>
      </c>
      <c r="D182" s="1067">
        <f>153.8*$B$2</f>
        <v>101501.84800000001</v>
      </c>
      <c r="E182" s="1068">
        <f t="shared" ref="E182" si="41">C182*D182</f>
        <v>406007.39200000005</v>
      </c>
      <c r="F182" s="1029"/>
      <c r="G182" s="1073" t="s">
        <v>780</v>
      </c>
      <c r="H182" s="1065" t="s">
        <v>434</v>
      </c>
      <c r="I182" s="1066">
        <f>VLOOKUP(H175,'CNKT '!$D$16:$AC$96,14,0)</f>
        <v>4</v>
      </c>
      <c r="J182" s="1067">
        <f>153.8*$B$2</f>
        <v>101501.84800000001</v>
      </c>
      <c r="K182" s="1068">
        <f t="shared" ref="K182" si="42">I182*J182</f>
        <v>406007.39200000005</v>
      </c>
      <c r="L182" s="999"/>
    </row>
    <row r="183" spans="1:13" s="23" customFormat="1" ht="17.25" customHeight="1">
      <c r="A183" s="1073" t="s">
        <v>781</v>
      </c>
      <c r="B183" s="1065" t="s">
        <v>435</v>
      </c>
      <c r="C183" s="1066">
        <f>VLOOKUP(B175,'CNKT '!$D$16:$AC$96,18,0)</f>
        <v>0</v>
      </c>
      <c r="D183" s="1067">
        <v>100000</v>
      </c>
      <c r="E183" s="1068">
        <f>C183*D183</f>
        <v>0</v>
      </c>
      <c r="F183" s="1029"/>
      <c r="G183" s="1073" t="s">
        <v>781</v>
      </c>
      <c r="H183" s="1065" t="s">
        <v>435</v>
      </c>
      <c r="I183" s="1066">
        <f>VLOOKUP(H175,'CNKT '!$D$16:$AC$96,18,0)</f>
        <v>0</v>
      </c>
      <c r="J183" s="1067">
        <v>100000</v>
      </c>
      <c r="K183" s="1068">
        <f>I183*J183</f>
        <v>0</v>
      </c>
      <c r="L183" s="999"/>
    </row>
    <row r="184" spans="1:13" s="23" customFormat="1" ht="17.25" customHeight="1">
      <c r="A184" s="1004" t="s">
        <v>394</v>
      </c>
      <c r="B184" s="1009" t="s">
        <v>435</v>
      </c>
      <c r="C184" s="1010">
        <f>VLOOKUP(B175,'CNKT '!$D$16:$AC$96,19,0)</f>
        <v>0</v>
      </c>
      <c r="D184" s="582">
        <v>20000</v>
      </c>
      <c r="E184" s="1007">
        <f>C184*D184</f>
        <v>0</v>
      </c>
      <c r="F184" s="1029"/>
      <c r="G184" s="1004" t="s">
        <v>394</v>
      </c>
      <c r="H184" s="1009" t="s">
        <v>435</v>
      </c>
      <c r="I184" s="1010">
        <f>VLOOKUP(H175,'CNKT '!$D$16:$AC$96,19,0)</f>
        <v>0</v>
      </c>
      <c r="J184" s="582">
        <v>20000</v>
      </c>
      <c r="K184" s="1007">
        <f>I184*J184</f>
        <v>0</v>
      </c>
      <c r="L184" s="999"/>
    </row>
    <row r="185" spans="1:13" s="23" customFormat="1" ht="17.25" customHeight="1">
      <c r="A185" s="1004" t="s">
        <v>731</v>
      </c>
      <c r="B185" s="1011" t="s">
        <v>732</v>
      </c>
      <c r="C185" s="1010"/>
      <c r="D185" s="582"/>
      <c r="E185" s="1007">
        <f>VLOOKUP(B175,'CNKT '!$D$16:$AG$99,28,0)</f>
        <v>0</v>
      </c>
      <c r="F185" s="1029"/>
      <c r="G185" s="1004" t="s">
        <v>731</v>
      </c>
      <c r="H185" s="1011" t="s">
        <v>732</v>
      </c>
      <c r="I185" s="1010"/>
      <c r="J185" s="582"/>
      <c r="K185" s="1007">
        <f>VLOOKUP(H175,'CNKT '!$D$16:$AG$99,28,0)</f>
        <v>0</v>
      </c>
      <c r="L185" s="999"/>
    </row>
    <row r="186" spans="1:13" s="23" customFormat="1" ht="17.25" customHeight="1">
      <c r="A186" s="1012" t="s">
        <v>70</v>
      </c>
      <c r="B186" s="1013" t="s">
        <v>459</v>
      </c>
      <c r="C186" s="1014"/>
      <c r="D186" s="1015"/>
      <c r="E186" s="1014"/>
      <c r="F186" s="1029"/>
      <c r="G186" s="1012" t="s">
        <v>70</v>
      </c>
      <c r="H186" s="1013" t="s">
        <v>459</v>
      </c>
      <c r="I186" s="1014"/>
      <c r="J186" s="1015"/>
      <c r="K186" s="1014"/>
      <c r="L186" s="999"/>
    </row>
    <row r="187" spans="1:13" s="23" customFormat="1" ht="17.25" customHeight="1">
      <c r="A187" s="1016" t="s">
        <v>71</v>
      </c>
      <c r="B187" s="1017" t="s">
        <v>460</v>
      </c>
      <c r="C187" s="1014"/>
      <c r="D187" s="1014"/>
      <c r="E187" s="1014"/>
      <c r="F187" s="1029"/>
      <c r="G187" s="1016" t="s">
        <v>71</v>
      </c>
      <c r="H187" s="1017" t="s">
        <v>460</v>
      </c>
      <c r="I187" s="1014"/>
      <c r="J187" s="1014"/>
      <c r="K187" s="1014"/>
      <c r="L187" s="999"/>
    </row>
    <row r="188" spans="1:13" s="23" customFormat="1" ht="17.25" customHeight="1">
      <c r="A188" s="1016" t="s">
        <v>72</v>
      </c>
      <c r="B188" s="1018" t="s">
        <v>461</v>
      </c>
      <c r="C188" s="1014"/>
      <c r="D188" s="1014"/>
      <c r="E188" s="1007">
        <f>SUM(E187)</f>
        <v>0</v>
      </c>
      <c r="F188" s="1029"/>
      <c r="G188" s="1016" t="s">
        <v>72</v>
      </c>
      <c r="H188" s="1018" t="s">
        <v>461</v>
      </c>
      <c r="I188" s="1014"/>
      <c r="J188" s="1014"/>
      <c r="K188" s="1007">
        <f>SUM(K187)</f>
        <v>0</v>
      </c>
      <c r="L188" s="999"/>
      <c r="M188" s="1019">
        <f>E188+K188</f>
        <v>0</v>
      </c>
    </row>
    <row r="189" spans="1:13" s="23" customFormat="1" ht="17.25" customHeight="1">
      <c r="A189" s="1020" t="s">
        <v>73</v>
      </c>
      <c r="B189" s="1021" t="s">
        <v>381</v>
      </c>
      <c r="C189" s="1022"/>
      <c r="D189" s="1022"/>
      <c r="E189" s="1022" t="e">
        <f>(E177+E178+E179+E180+E181+E182+E183+E184+E185)-E188</f>
        <v>#VALUE!</v>
      </c>
      <c r="F189" s="1029"/>
      <c r="G189" s="1020" t="s">
        <v>73</v>
      </c>
      <c r="H189" s="1021" t="s">
        <v>381</v>
      </c>
      <c r="I189" s="1022"/>
      <c r="J189" s="1022"/>
      <c r="K189" s="1022" t="e">
        <f>(K177+K178+K179+K180+K181+K182+K183+K184+K185)-K188</f>
        <v>#VALUE!</v>
      </c>
      <c r="L189" s="1024" t="e">
        <f>E189+K189</f>
        <v>#VALUE!</v>
      </c>
    </row>
    <row r="190" spans="1:13" s="23" customFormat="1" ht="17.25" customHeight="1">
      <c r="A190" s="1029"/>
      <c r="B190" s="1034"/>
      <c r="C190" s="1035"/>
      <c r="D190" s="1035"/>
      <c r="E190" s="1033"/>
      <c r="F190" s="1029"/>
      <c r="G190" s="1029"/>
      <c r="H190" s="1034"/>
      <c r="I190" s="1035"/>
      <c r="J190" s="1033"/>
      <c r="K190" s="1027"/>
      <c r="L190" s="999"/>
    </row>
    <row r="191" spans="1:13" s="23" customFormat="1" ht="17.25" customHeight="1">
      <c r="A191" s="1653" t="str">
        <f>G174</f>
        <v>LƯƠNG THÁNG 09/2025</v>
      </c>
      <c r="B191" s="1656"/>
      <c r="C191" s="1656"/>
      <c r="D191" s="1656"/>
      <c r="E191" s="998">
        <v>23</v>
      </c>
      <c r="F191" s="1033"/>
      <c r="G191" s="1653" t="str">
        <f>A191</f>
        <v>LƯƠNG THÁNG 09/2025</v>
      </c>
      <c r="H191" s="1656"/>
      <c r="I191" s="1656"/>
      <c r="J191" s="1657"/>
      <c r="K191" s="998">
        <v>24</v>
      </c>
      <c r="L191" s="999"/>
    </row>
    <row r="192" spans="1:13" s="23" customFormat="1" ht="17.25" customHeight="1">
      <c r="A192" s="1028" t="s">
        <v>13</v>
      </c>
      <c r="B192" s="1000" t="str">
        <f>'CNKT '!D38</f>
        <v>T. Bin Ly.</v>
      </c>
      <c r="C192" s="1001"/>
      <c r="D192" s="1002" t="s">
        <v>353</v>
      </c>
      <c r="E192" s="1002" t="s">
        <v>16</v>
      </c>
      <c r="F192" s="1033"/>
      <c r="G192" s="1028" t="s">
        <v>13</v>
      </c>
      <c r="H192" s="1000" t="str">
        <f>'CNKT '!D39</f>
        <v>N. Tinh</v>
      </c>
      <c r="I192" s="1001"/>
      <c r="J192" s="1002" t="s">
        <v>353</v>
      </c>
      <c r="K192" s="1002" t="s">
        <v>16</v>
      </c>
      <c r="L192" s="999"/>
    </row>
    <row r="193" spans="1:13" s="23" customFormat="1" ht="17.25" customHeight="1">
      <c r="A193" s="1004" t="s">
        <v>354</v>
      </c>
      <c r="B193" s="1005" t="s">
        <v>454</v>
      </c>
      <c r="C193" s="1006">
        <f>VLOOKUP(B192,'SẢN LƯỢNG'!$D$17:$AR$94,37,0)</f>
        <v>4306</v>
      </c>
      <c r="D193" s="1007"/>
      <c r="E193" s="1007"/>
      <c r="F193" s="1025"/>
      <c r="G193" s="1004" t="s">
        <v>354</v>
      </c>
      <c r="H193" s="1005" t="s">
        <v>454</v>
      </c>
      <c r="I193" s="1006">
        <f>VLOOKUP(H192,'SẢN LƯỢNG'!$D$17:$AR$94,37,0)</f>
        <v>3895</v>
      </c>
      <c r="J193" s="1007"/>
      <c r="K193" s="1007"/>
      <c r="L193" s="999"/>
    </row>
    <row r="194" spans="1:13" s="23" customFormat="1" ht="17.25" customHeight="1">
      <c r="A194" s="1004" t="s">
        <v>68</v>
      </c>
      <c r="B194" s="1008" t="s">
        <v>380</v>
      </c>
      <c r="C194" s="581">
        <f>VLOOKUP(B192,'CNKT '!$D$16:$AC$96,3,0)</f>
        <v>0</v>
      </c>
      <c r="D194" s="582">
        <v>25000</v>
      </c>
      <c r="E194" s="1007">
        <f>C194*D194</f>
        <v>0</v>
      </c>
      <c r="F194" s="1029"/>
      <c r="G194" s="1004" t="s">
        <v>68</v>
      </c>
      <c r="H194" s="1008" t="s">
        <v>380</v>
      </c>
      <c r="I194" s="581">
        <f>VLOOKUP(H192,'CNKT '!$D$16:$AC$96,3,0)</f>
        <v>0</v>
      </c>
      <c r="J194" s="582">
        <v>25000</v>
      </c>
      <c r="K194" s="1007">
        <f>I194*J194</f>
        <v>0</v>
      </c>
      <c r="L194" s="999"/>
    </row>
    <row r="195" spans="1:13" s="23" customFormat="1" ht="17.25" customHeight="1">
      <c r="A195" s="1004" t="s">
        <v>269</v>
      </c>
      <c r="B195" s="1009" t="s">
        <v>455</v>
      </c>
      <c r="C195" s="1010" t="str">
        <f>VLOOKUP(B192,'CNKT '!$D$16:$AC$96,11,0)</f>
        <v>A</v>
      </c>
      <c r="D195" s="583">
        <f>46.1*$B$2</f>
        <v>30424.156000000003</v>
      </c>
      <c r="E195" s="1007" t="e">
        <f>C195*D195</f>
        <v>#VALUE!</v>
      </c>
      <c r="F195" s="1029"/>
      <c r="G195" s="1004" t="s">
        <v>269</v>
      </c>
      <c r="H195" s="1009" t="s">
        <v>455</v>
      </c>
      <c r="I195" s="1010" t="str">
        <f>VLOOKUP(H192,'CNKT '!$D$16:$AC$96,11,0)</f>
        <v>A</v>
      </c>
      <c r="J195" s="583">
        <f>46.1*$B$2</f>
        <v>30424.156000000003</v>
      </c>
      <c r="K195" s="1007" t="e">
        <f>I195*J195</f>
        <v>#VALUE!</v>
      </c>
      <c r="L195" s="999"/>
    </row>
    <row r="196" spans="1:13" s="23" customFormat="1" ht="17.25" customHeight="1">
      <c r="A196" s="1004" t="s">
        <v>356</v>
      </c>
      <c r="B196" s="1009" t="s">
        <v>456</v>
      </c>
      <c r="C196" s="1010">
        <f>VLOOKUP(B192,'CNKT '!$D$16:$AC$96,12,0)</f>
        <v>7050170</v>
      </c>
      <c r="D196" s="582">
        <f>76.9*$B$2</f>
        <v>50750.924000000006</v>
      </c>
      <c r="E196" s="1007">
        <f t="shared" ref="E196:E197" si="43">C196*D196</f>
        <v>357802641857.08002</v>
      </c>
      <c r="F196" s="1029"/>
      <c r="G196" s="1004" t="s">
        <v>356</v>
      </c>
      <c r="H196" s="1009" t="s">
        <v>456</v>
      </c>
      <c r="I196" s="1010">
        <f>VLOOKUP(H192,'CNKT '!$D$16:$AC$96,12,0)</f>
        <v>7139670</v>
      </c>
      <c r="J196" s="582">
        <f>76.9*$B$2</f>
        <v>50750.924000000006</v>
      </c>
      <c r="K196" s="1007">
        <f t="shared" ref="K196:K197" si="44">I196*J196</f>
        <v>362344849555.08002</v>
      </c>
      <c r="L196" s="999"/>
    </row>
    <row r="197" spans="1:13" s="23" customFormat="1" ht="17.25" customHeight="1">
      <c r="A197" s="1004" t="s">
        <v>69</v>
      </c>
      <c r="B197" s="1009" t="s">
        <v>457</v>
      </c>
      <c r="C197" s="1010">
        <f>VLOOKUP(B192,'CNKT '!$D$16:$AC$96,8,0)</f>
        <v>1745.4421246410695</v>
      </c>
      <c r="D197" s="582">
        <f>IF(C193="A",6.1,IF(C193="B",5.8,IF(C193="C",5.5,IF(C193="C.",5.5,IF(C193="D",5.2)))))*$B$2</f>
        <v>0</v>
      </c>
      <c r="E197" s="1007">
        <f t="shared" si="43"/>
        <v>0</v>
      </c>
      <c r="F197" s="1029"/>
      <c r="G197" s="1004" t="s">
        <v>69</v>
      </c>
      <c r="H197" s="1009" t="s">
        <v>457</v>
      </c>
      <c r="I197" s="1010">
        <f>VLOOKUP(H192,'CNKT '!$D$16:$AC$96,8,0)</f>
        <v>1783.4057115705414</v>
      </c>
      <c r="J197" s="582">
        <f>IF(I193="A",6.1,IF(I193="B",5.8,IF(I193="C",5.5,IF(I193="C.",5.5,IF(I193="D",5.2)))))*$B$2</f>
        <v>0</v>
      </c>
      <c r="K197" s="1007">
        <f t="shared" si="44"/>
        <v>0</v>
      </c>
      <c r="L197" s="999"/>
    </row>
    <row r="198" spans="1:13" s="23" customFormat="1" ht="17.25" customHeight="1">
      <c r="A198" s="1004" t="s">
        <v>431</v>
      </c>
      <c r="B198" s="1009" t="s">
        <v>458</v>
      </c>
      <c r="C198" s="1010">
        <f>VLOOKUP(B192,'CNKT '!$D$16:$AC$96,13,0)</f>
        <v>27</v>
      </c>
      <c r="D198" s="583">
        <v>100000</v>
      </c>
      <c r="E198" s="1007">
        <f>C198*D198</f>
        <v>2700000</v>
      </c>
      <c r="F198" s="1029"/>
      <c r="G198" s="1004" t="s">
        <v>431</v>
      </c>
      <c r="H198" s="1009" t="s">
        <v>458</v>
      </c>
      <c r="I198" s="1010">
        <f>VLOOKUP(H192,'CNKT '!$D$16:$AC$96,13,0)</f>
        <v>27</v>
      </c>
      <c r="J198" s="583">
        <v>100000</v>
      </c>
      <c r="K198" s="1007">
        <f>I198*J198</f>
        <v>2700000</v>
      </c>
      <c r="L198" s="999"/>
    </row>
    <row r="199" spans="1:13" s="23" customFormat="1" ht="17.25" customHeight="1">
      <c r="A199" s="1073" t="s">
        <v>780</v>
      </c>
      <c r="B199" s="1065" t="s">
        <v>434</v>
      </c>
      <c r="C199" s="1066">
        <f>VLOOKUP(B192,'CNKT '!$D$16:$AC$96,14,0)</f>
        <v>4</v>
      </c>
      <c r="D199" s="1067">
        <f>153.8*$B$2</f>
        <v>101501.84800000001</v>
      </c>
      <c r="E199" s="1068">
        <f t="shared" ref="E199" si="45">C199*D199</f>
        <v>406007.39200000005</v>
      </c>
      <c r="F199" s="1029"/>
      <c r="G199" s="1073" t="s">
        <v>780</v>
      </c>
      <c r="H199" s="1065" t="s">
        <v>434</v>
      </c>
      <c r="I199" s="1066">
        <f>VLOOKUP(H192,'CNKT '!$D$16:$AC$96,14,0)</f>
        <v>4</v>
      </c>
      <c r="J199" s="1067">
        <f>153.8*$B$2</f>
        <v>101501.84800000001</v>
      </c>
      <c r="K199" s="1068">
        <f t="shared" ref="K199" si="46">I199*J199</f>
        <v>406007.39200000005</v>
      </c>
      <c r="L199" s="999"/>
    </row>
    <row r="200" spans="1:13" s="23" customFormat="1" ht="17.25" customHeight="1">
      <c r="A200" s="1073" t="s">
        <v>781</v>
      </c>
      <c r="B200" s="1065" t="s">
        <v>435</v>
      </c>
      <c r="C200" s="1066">
        <f>VLOOKUP(B192,'CNKT '!$D$16:$AC$96,18,0)</f>
        <v>0</v>
      </c>
      <c r="D200" s="1067">
        <v>100000</v>
      </c>
      <c r="E200" s="1068">
        <f>C200*D200</f>
        <v>0</v>
      </c>
      <c r="F200" s="1029"/>
      <c r="G200" s="1073" t="s">
        <v>781</v>
      </c>
      <c r="H200" s="1065" t="s">
        <v>435</v>
      </c>
      <c r="I200" s="1066">
        <f>VLOOKUP(H192,'CNKT '!$D$16:$AC$96,18,0)</f>
        <v>0</v>
      </c>
      <c r="J200" s="1067">
        <v>100000</v>
      </c>
      <c r="K200" s="1068">
        <f>I200*J200</f>
        <v>0</v>
      </c>
      <c r="L200" s="999"/>
    </row>
    <row r="201" spans="1:13" s="23" customFormat="1" ht="17.25" customHeight="1">
      <c r="A201" s="1004" t="s">
        <v>394</v>
      </c>
      <c r="B201" s="1009" t="s">
        <v>435</v>
      </c>
      <c r="C201" s="1010">
        <f>VLOOKUP(B192,'CNKT '!$D$16:$AC$96,19,0)</f>
        <v>0</v>
      </c>
      <c r="D201" s="582">
        <v>20000</v>
      </c>
      <c r="E201" s="1007">
        <f>C201*D201</f>
        <v>0</v>
      </c>
      <c r="F201" s="1029"/>
      <c r="G201" s="1004" t="s">
        <v>394</v>
      </c>
      <c r="H201" s="1009" t="s">
        <v>435</v>
      </c>
      <c r="I201" s="1010">
        <f>VLOOKUP(H192,'CNKT '!$D$16:$AC$96,19,0)</f>
        <v>0</v>
      </c>
      <c r="J201" s="582">
        <v>20000</v>
      </c>
      <c r="K201" s="1007">
        <f>I201*J201</f>
        <v>0</v>
      </c>
      <c r="L201" s="999"/>
    </row>
    <row r="202" spans="1:13" s="23" customFormat="1" ht="17.25" customHeight="1">
      <c r="A202" s="1004" t="s">
        <v>731</v>
      </c>
      <c r="B202" s="1011" t="s">
        <v>732</v>
      </c>
      <c r="C202" s="1010"/>
      <c r="D202" s="582"/>
      <c r="E202" s="1007">
        <f>VLOOKUP(B192,'CNKT '!$D$16:$AG$99,28,0)</f>
        <v>0</v>
      </c>
      <c r="F202" s="1029"/>
      <c r="G202" s="1004" t="s">
        <v>731</v>
      </c>
      <c r="H202" s="1011" t="s">
        <v>732</v>
      </c>
      <c r="I202" s="1010"/>
      <c r="J202" s="582"/>
      <c r="K202" s="1007">
        <f>VLOOKUP(H192,'CNKT '!$D$16:$AG$99,28,0)</f>
        <v>0</v>
      </c>
      <c r="L202" s="999"/>
    </row>
    <row r="203" spans="1:13" s="23" customFormat="1" ht="17.25" customHeight="1">
      <c r="A203" s="1012" t="s">
        <v>70</v>
      </c>
      <c r="B203" s="1013" t="s">
        <v>459</v>
      </c>
      <c r="C203" s="1014"/>
      <c r="D203" s="1015"/>
      <c r="E203" s="1014"/>
      <c r="F203" s="1032"/>
      <c r="G203" s="1012" t="s">
        <v>70</v>
      </c>
      <c r="H203" s="1013" t="s">
        <v>459</v>
      </c>
      <c r="I203" s="1014"/>
      <c r="J203" s="1015"/>
      <c r="K203" s="1014"/>
      <c r="L203" s="999"/>
    </row>
    <row r="204" spans="1:13" s="23" customFormat="1" ht="17.25" customHeight="1">
      <c r="A204" s="1016" t="s">
        <v>71</v>
      </c>
      <c r="B204" s="1017" t="s">
        <v>460</v>
      </c>
      <c r="C204" s="1014"/>
      <c r="D204" s="1014"/>
      <c r="E204" s="1014"/>
      <c r="F204" s="1032"/>
      <c r="G204" s="1016" t="s">
        <v>71</v>
      </c>
      <c r="H204" s="1017" t="s">
        <v>460</v>
      </c>
      <c r="I204" s="1014"/>
      <c r="J204" s="1014"/>
      <c r="K204" s="1014"/>
      <c r="L204" s="999"/>
    </row>
    <row r="205" spans="1:13" s="23" customFormat="1" ht="17.25" customHeight="1">
      <c r="A205" s="1016" t="s">
        <v>72</v>
      </c>
      <c r="B205" s="1018" t="s">
        <v>461</v>
      </c>
      <c r="C205" s="1014"/>
      <c r="D205" s="1014"/>
      <c r="E205" s="1007">
        <f>SUM(E204)</f>
        <v>0</v>
      </c>
      <c r="F205" s="1032"/>
      <c r="G205" s="1016" t="s">
        <v>72</v>
      </c>
      <c r="H205" s="1018" t="s">
        <v>461</v>
      </c>
      <c r="I205" s="1014"/>
      <c r="J205" s="1014"/>
      <c r="K205" s="1007">
        <f>SUM(K204)</f>
        <v>0</v>
      </c>
      <c r="L205" s="999"/>
      <c r="M205" s="1019">
        <f>E205+K205</f>
        <v>0</v>
      </c>
    </row>
    <row r="206" spans="1:13" s="23" customFormat="1" ht="17.25" customHeight="1">
      <c r="A206" s="1020" t="s">
        <v>73</v>
      </c>
      <c r="B206" s="1021" t="s">
        <v>381</v>
      </c>
      <c r="C206" s="1022"/>
      <c r="D206" s="1022"/>
      <c r="E206" s="1022" t="e">
        <f>(E194+E195+E196+E197+E198+E199+E200+E201+E202)-E205</f>
        <v>#VALUE!</v>
      </c>
      <c r="F206" s="1032"/>
      <c r="G206" s="1020" t="s">
        <v>73</v>
      </c>
      <c r="H206" s="1021" t="s">
        <v>381</v>
      </c>
      <c r="I206" s="1022"/>
      <c r="J206" s="1022"/>
      <c r="K206" s="1022" t="e">
        <f>(K194+K195+K196+K197+K198+K199+K200+K201+K202)-K205</f>
        <v>#VALUE!</v>
      </c>
      <c r="L206" s="1024" t="e">
        <f>E206+K206</f>
        <v>#VALUE!</v>
      </c>
    </row>
    <row r="207" spans="1:13" s="23" customFormat="1" ht="17.25" customHeight="1">
      <c r="A207" s="1029"/>
      <c r="B207" s="1034"/>
      <c r="C207" s="1035"/>
      <c r="D207" s="1035"/>
      <c r="E207" s="1033"/>
      <c r="F207" s="1032"/>
      <c r="G207" s="1029"/>
      <c r="H207" s="1034"/>
      <c r="I207" s="1035"/>
      <c r="J207" s="1033"/>
      <c r="K207" s="1027"/>
      <c r="L207" s="999"/>
    </row>
    <row r="208" spans="1:13" s="23" customFormat="1" ht="17.25" customHeight="1">
      <c r="A208" s="1653" t="str">
        <f>G191</f>
        <v>LƯƠNG THÁNG 09/2025</v>
      </c>
      <c r="B208" s="1656"/>
      <c r="C208" s="1656"/>
      <c r="D208" s="1656"/>
      <c r="E208" s="998">
        <v>25</v>
      </c>
      <c r="F208" s="1029"/>
      <c r="G208" s="1653" t="str">
        <f>A208</f>
        <v>LƯƠNG THÁNG 09/2025</v>
      </c>
      <c r="H208" s="1656"/>
      <c r="I208" s="1656"/>
      <c r="J208" s="1657"/>
      <c r="K208" s="998">
        <v>26</v>
      </c>
      <c r="L208" s="999"/>
    </row>
    <row r="209" spans="1:13" s="23" customFormat="1" ht="17.25" customHeight="1">
      <c r="A209" s="1028" t="s">
        <v>13</v>
      </c>
      <c r="B209" s="1000" t="str">
        <f>'CNKT '!D40</f>
        <v>N. Nong</v>
      </c>
      <c r="C209" s="1001"/>
      <c r="D209" s="1002" t="s">
        <v>353</v>
      </c>
      <c r="E209" s="1002" t="s">
        <v>16</v>
      </c>
      <c r="F209" s="1029"/>
      <c r="G209" s="1028" t="s">
        <v>13</v>
      </c>
      <c r="H209" s="1000" t="str">
        <f>'CNKT '!D41</f>
        <v>N. Tun 1</v>
      </c>
      <c r="I209" s="1001"/>
      <c r="J209" s="1002" t="s">
        <v>353</v>
      </c>
      <c r="K209" s="1002" t="s">
        <v>16</v>
      </c>
      <c r="L209" s="999"/>
    </row>
    <row r="210" spans="1:13" s="23" customFormat="1" ht="17.25" customHeight="1">
      <c r="A210" s="1004" t="s">
        <v>354</v>
      </c>
      <c r="B210" s="1005" t="s">
        <v>454</v>
      </c>
      <c r="C210" s="1006">
        <f>VLOOKUP(B209,'SẢN LƯỢNG'!$D$17:$AR$94,37,0)</f>
        <v>4450</v>
      </c>
      <c r="D210" s="1007"/>
      <c r="E210" s="1007"/>
      <c r="F210" s="1029"/>
      <c r="G210" s="1004" t="s">
        <v>354</v>
      </c>
      <c r="H210" s="1005" t="s">
        <v>454</v>
      </c>
      <c r="I210" s="1006">
        <f>VLOOKUP(H209,'SẢN LƯỢNG'!$D$17:$AR$94,37,0)</f>
        <v>4180</v>
      </c>
      <c r="J210" s="1007"/>
      <c r="K210" s="1007"/>
      <c r="L210" s="999"/>
    </row>
    <row r="211" spans="1:13" s="23" customFormat="1" ht="17.25" customHeight="1">
      <c r="A211" s="1004" t="s">
        <v>68</v>
      </c>
      <c r="B211" s="1008" t="s">
        <v>380</v>
      </c>
      <c r="C211" s="581">
        <f>VLOOKUP(B209,'CNKT '!$D$16:$AC$96,3,0)</f>
        <v>0</v>
      </c>
      <c r="D211" s="582">
        <v>25000</v>
      </c>
      <c r="E211" s="1007">
        <f>C211*D211</f>
        <v>0</v>
      </c>
      <c r="F211" s="1029"/>
      <c r="G211" s="1004" t="s">
        <v>68</v>
      </c>
      <c r="H211" s="1008" t="s">
        <v>380</v>
      </c>
      <c r="I211" s="581">
        <f>VLOOKUP(H209,'CNKT '!$D$16:$AC$96,3,0)</f>
        <v>0</v>
      </c>
      <c r="J211" s="582">
        <v>25000</v>
      </c>
      <c r="K211" s="1007">
        <f>I211*J211</f>
        <v>0</v>
      </c>
      <c r="L211" s="999"/>
    </row>
    <row r="212" spans="1:13" s="23" customFormat="1" ht="17.25" customHeight="1">
      <c r="A212" s="1004" t="s">
        <v>269</v>
      </c>
      <c r="B212" s="1009" t="s">
        <v>455</v>
      </c>
      <c r="C212" s="1010" t="str">
        <f>VLOOKUP(B209,'CNKT '!$D$16:$AC$96,11,0)</f>
        <v>A</v>
      </c>
      <c r="D212" s="583">
        <f>46.1*$B$2</f>
        <v>30424.156000000003</v>
      </c>
      <c r="E212" s="1007" t="e">
        <f>C212*D212</f>
        <v>#VALUE!</v>
      </c>
      <c r="F212" s="1032"/>
      <c r="G212" s="1004" t="s">
        <v>269</v>
      </c>
      <c r="H212" s="1009" t="s">
        <v>455</v>
      </c>
      <c r="I212" s="1010" t="str">
        <f>VLOOKUP(H209,'CNKT '!$D$16:$AC$96,11,0)</f>
        <v>B</v>
      </c>
      <c r="J212" s="583">
        <f>46.1*$B$2</f>
        <v>30424.156000000003</v>
      </c>
      <c r="K212" s="1007" t="e">
        <f>I212*J212</f>
        <v>#VALUE!</v>
      </c>
      <c r="L212" s="999"/>
    </row>
    <row r="213" spans="1:13" s="23" customFormat="1" ht="17.25" customHeight="1">
      <c r="A213" s="1004" t="s">
        <v>356</v>
      </c>
      <c r="B213" s="1009" t="s">
        <v>456</v>
      </c>
      <c r="C213" s="1010">
        <f>VLOOKUP(B209,'CNKT '!$D$16:$AC$96,12,0)</f>
        <v>7163813</v>
      </c>
      <c r="D213" s="582">
        <f>76.9*$B$2</f>
        <v>50750.924000000006</v>
      </c>
      <c r="E213" s="1007">
        <f t="shared" ref="E213:E214" si="47">C213*D213</f>
        <v>363570129113.21204</v>
      </c>
      <c r="F213" s="1025"/>
      <c r="G213" s="1004" t="s">
        <v>356</v>
      </c>
      <c r="H213" s="1009" t="s">
        <v>456</v>
      </c>
      <c r="I213" s="1010">
        <f>VLOOKUP(H209,'CNKT '!$D$16:$AC$96,12,0)</f>
        <v>6004657</v>
      </c>
      <c r="J213" s="582">
        <f>76.9*$B$2</f>
        <v>50750.924000000006</v>
      </c>
      <c r="K213" s="1007">
        <f t="shared" ref="K213:K214" si="48">I213*J213</f>
        <v>304741891053.06805</v>
      </c>
      <c r="L213" s="999"/>
    </row>
    <row r="214" spans="1:13" s="23" customFormat="1" ht="17.25" customHeight="1">
      <c r="A214" s="1004" t="s">
        <v>69</v>
      </c>
      <c r="B214" s="1009" t="s">
        <v>457</v>
      </c>
      <c r="C214" s="1010">
        <f>VLOOKUP(B209,'CNKT '!$D$16:$AC$96,8,0)</f>
        <v>1771.045473965597</v>
      </c>
      <c r="D214" s="582">
        <f>IF(C210="A",6.1,IF(C210="B",5.8,IF(C210="C",5.5,IF(C210="C.",5.5,IF(C210="D",5.2)))))*$B$2</f>
        <v>0</v>
      </c>
      <c r="E214" s="1007">
        <f t="shared" si="47"/>
        <v>0</v>
      </c>
      <c r="F214" s="1033"/>
      <c r="G214" s="1004" t="s">
        <v>69</v>
      </c>
      <c r="H214" s="1009" t="s">
        <v>457</v>
      </c>
      <c r="I214" s="1010">
        <f>VLOOKUP(H209,'CNKT '!$D$16:$AC$96,8,0)</f>
        <v>1552.5341305924737</v>
      </c>
      <c r="J214" s="582">
        <f>IF(I210="A",6.1,IF(I210="B",5.8,IF(I210="C",5.5,IF(I210="C.",5.5,IF(I210="D",5.2)))))*$B$2</f>
        <v>0</v>
      </c>
      <c r="K214" s="1007">
        <f t="shared" si="48"/>
        <v>0</v>
      </c>
      <c r="L214" s="999"/>
    </row>
    <row r="215" spans="1:13" s="23" customFormat="1" ht="17.25" customHeight="1">
      <c r="A215" s="1004" t="s">
        <v>431</v>
      </c>
      <c r="B215" s="1009" t="s">
        <v>458</v>
      </c>
      <c r="C215" s="1010">
        <f>VLOOKUP(B209,'CNKT '!$D$16:$AC$96,13,0)</f>
        <v>27</v>
      </c>
      <c r="D215" s="583">
        <v>100000</v>
      </c>
      <c r="E215" s="1007">
        <f>C215*D215</f>
        <v>2700000</v>
      </c>
      <c r="F215" s="1033"/>
      <c r="G215" s="1004" t="s">
        <v>431</v>
      </c>
      <c r="H215" s="1009" t="s">
        <v>458</v>
      </c>
      <c r="I215" s="1010">
        <f>VLOOKUP(H209,'CNKT '!$D$16:$AC$96,13,0)</f>
        <v>25</v>
      </c>
      <c r="J215" s="583">
        <v>100000</v>
      </c>
      <c r="K215" s="1007">
        <f>I215*J215</f>
        <v>2500000</v>
      </c>
      <c r="L215" s="999"/>
    </row>
    <row r="216" spans="1:13" s="23" customFormat="1" ht="17.25" customHeight="1">
      <c r="A216" s="1073" t="s">
        <v>780</v>
      </c>
      <c r="B216" s="1065" t="s">
        <v>434</v>
      </c>
      <c r="C216" s="1066">
        <f>VLOOKUP(B209,'CNKT '!$D$16:$AC$96,14,0)</f>
        <v>4</v>
      </c>
      <c r="D216" s="1067">
        <f>153.8*$B$2</f>
        <v>101501.84800000001</v>
      </c>
      <c r="E216" s="1068">
        <f t="shared" ref="E216" si="49">C216*D216</f>
        <v>406007.39200000005</v>
      </c>
      <c r="F216" s="1033"/>
      <c r="G216" s="1073" t="s">
        <v>780</v>
      </c>
      <c r="H216" s="1065" t="s">
        <v>434</v>
      </c>
      <c r="I216" s="1066">
        <f>VLOOKUP(H209,'CNKT '!$D$16:$AC$96,14,0)</f>
        <v>4</v>
      </c>
      <c r="J216" s="1067">
        <f>153.8*$B$2</f>
        <v>101501.84800000001</v>
      </c>
      <c r="K216" s="1068">
        <f t="shared" ref="K216" si="50">I216*J216</f>
        <v>406007.39200000005</v>
      </c>
      <c r="L216" s="999"/>
    </row>
    <row r="217" spans="1:13" s="23" customFormat="1" ht="17.25" customHeight="1">
      <c r="A217" s="1073" t="s">
        <v>781</v>
      </c>
      <c r="B217" s="1065" t="s">
        <v>435</v>
      </c>
      <c r="C217" s="1066">
        <f>VLOOKUP(B209,'CNKT '!$D$16:$AC$96,18,0)</f>
        <v>0</v>
      </c>
      <c r="D217" s="1067">
        <v>100000</v>
      </c>
      <c r="E217" s="1068">
        <f>C217*D217</f>
        <v>0</v>
      </c>
      <c r="F217" s="1033"/>
      <c r="G217" s="1073" t="s">
        <v>781</v>
      </c>
      <c r="H217" s="1065" t="s">
        <v>435</v>
      </c>
      <c r="I217" s="1066">
        <f>VLOOKUP(H209,'CNKT '!$D$16:$AC$96,18,0)</f>
        <v>0</v>
      </c>
      <c r="J217" s="1067">
        <v>100000</v>
      </c>
      <c r="K217" s="1068">
        <f>I217*J217</f>
        <v>0</v>
      </c>
      <c r="L217" s="999"/>
    </row>
    <row r="218" spans="1:13" s="23" customFormat="1" ht="17.25" customHeight="1">
      <c r="A218" s="1004" t="s">
        <v>394</v>
      </c>
      <c r="B218" s="1009" t="s">
        <v>435</v>
      </c>
      <c r="C218" s="1010">
        <f>VLOOKUP(B209,'CNKT '!$D$16:$AC$96,19,0)</f>
        <v>0</v>
      </c>
      <c r="D218" s="582">
        <v>20000</v>
      </c>
      <c r="E218" s="1007">
        <f>C218*D218</f>
        <v>0</v>
      </c>
      <c r="F218" s="1033"/>
      <c r="G218" s="1004" t="s">
        <v>394</v>
      </c>
      <c r="H218" s="1009" t="s">
        <v>435</v>
      </c>
      <c r="I218" s="1010">
        <f>VLOOKUP(H209,'CNKT '!$D$16:$AC$96,19,0)</f>
        <v>0</v>
      </c>
      <c r="J218" s="582">
        <v>20000</v>
      </c>
      <c r="K218" s="1007">
        <f>I218*J218</f>
        <v>0</v>
      </c>
      <c r="L218" s="999"/>
    </row>
    <row r="219" spans="1:13" s="23" customFormat="1" ht="17.25" customHeight="1">
      <c r="A219" s="1004" t="s">
        <v>731</v>
      </c>
      <c r="B219" s="1011" t="s">
        <v>732</v>
      </c>
      <c r="C219" s="1010"/>
      <c r="D219" s="582"/>
      <c r="E219" s="1007">
        <f>VLOOKUP(B209,'CNKT '!$D$16:$AG$99,28,0)</f>
        <v>0</v>
      </c>
      <c r="F219" s="1033"/>
      <c r="G219" s="1004" t="s">
        <v>731</v>
      </c>
      <c r="H219" s="1011" t="s">
        <v>732</v>
      </c>
      <c r="I219" s="1010"/>
      <c r="J219" s="582"/>
      <c r="K219" s="1007">
        <f>VLOOKUP(H209,'CNKT '!$D$16:$AG$99,28,0)</f>
        <v>0</v>
      </c>
      <c r="L219" s="999"/>
    </row>
    <row r="220" spans="1:13" s="23" customFormat="1" ht="17.25" customHeight="1">
      <c r="A220" s="1012" t="s">
        <v>70</v>
      </c>
      <c r="B220" s="1013" t="s">
        <v>459</v>
      </c>
      <c r="C220" s="1014"/>
      <c r="D220" s="1015"/>
      <c r="E220" s="1014"/>
      <c r="F220" s="1033"/>
      <c r="G220" s="1012" t="s">
        <v>70</v>
      </c>
      <c r="H220" s="1013" t="s">
        <v>459</v>
      </c>
      <c r="I220" s="1014"/>
      <c r="J220" s="1015"/>
      <c r="K220" s="1014"/>
      <c r="L220" s="999"/>
    </row>
    <row r="221" spans="1:13" s="23" customFormat="1" ht="17.25" customHeight="1">
      <c r="A221" s="1016" t="s">
        <v>71</v>
      </c>
      <c r="B221" s="1017" t="s">
        <v>460</v>
      </c>
      <c r="C221" s="1014"/>
      <c r="D221" s="1014"/>
      <c r="E221" s="1014"/>
      <c r="F221" s="1033"/>
      <c r="G221" s="1016" t="s">
        <v>71</v>
      </c>
      <c r="H221" s="1017" t="s">
        <v>460</v>
      </c>
      <c r="I221" s="1014"/>
      <c r="J221" s="1014"/>
      <c r="K221" s="1014"/>
      <c r="L221" s="999"/>
    </row>
    <row r="222" spans="1:13" s="23" customFormat="1" ht="17.25" customHeight="1">
      <c r="A222" s="1016" t="s">
        <v>72</v>
      </c>
      <c r="B222" s="1018" t="s">
        <v>461</v>
      </c>
      <c r="C222" s="1014"/>
      <c r="D222" s="1014"/>
      <c r="E222" s="1007">
        <f>SUM(E221)</f>
        <v>0</v>
      </c>
      <c r="F222" s="1033"/>
      <c r="G222" s="1016" t="s">
        <v>72</v>
      </c>
      <c r="H222" s="1018" t="s">
        <v>461</v>
      </c>
      <c r="I222" s="1014"/>
      <c r="J222" s="1014"/>
      <c r="K222" s="1007">
        <f>SUM(K221)</f>
        <v>0</v>
      </c>
      <c r="L222" s="999"/>
      <c r="M222" s="1019">
        <f>E222+K222</f>
        <v>0</v>
      </c>
    </row>
    <row r="223" spans="1:13" s="23" customFormat="1" ht="17.25" customHeight="1">
      <c r="A223" s="1020" t="s">
        <v>73</v>
      </c>
      <c r="B223" s="1021" t="s">
        <v>381</v>
      </c>
      <c r="C223" s="1022"/>
      <c r="D223" s="1022"/>
      <c r="E223" s="1022" t="e">
        <f>(E211+E212+E213+E214+E215+E216+E217+E218+E219)-E222</f>
        <v>#VALUE!</v>
      </c>
      <c r="F223" s="1033"/>
      <c r="G223" s="1020" t="s">
        <v>73</v>
      </c>
      <c r="H223" s="1021" t="s">
        <v>381</v>
      </c>
      <c r="I223" s="1022"/>
      <c r="J223" s="1022"/>
      <c r="K223" s="1022" t="e">
        <f>(K211+K212+K213+K214+K215+K216+K217+K218+K219)-K222</f>
        <v>#VALUE!</v>
      </c>
      <c r="L223" s="1024" t="e">
        <f>E223+K223</f>
        <v>#VALUE!</v>
      </c>
    </row>
    <row r="224" spans="1:13" s="23" customFormat="1" ht="17.25" customHeight="1">
      <c r="A224" s="1029"/>
      <c r="B224" s="1034"/>
      <c r="C224" s="1035"/>
      <c r="D224" s="1035"/>
      <c r="E224" s="1033"/>
      <c r="F224" s="1033"/>
      <c r="G224" s="1029"/>
      <c r="H224" s="1034"/>
      <c r="I224" s="1035"/>
      <c r="J224" s="1033"/>
      <c r="K224" s="1027"/>
      <c r="L224" s="999"/>
    </row>
    <row r="225" spans="1:13" s="23" customFormat="1" ht="17.25" customHeight="1">
      <c r="A225" s="1019"/>
      <c r="B225" s="1032"/>
      <c r="C225" s="1025"/>
      <c r="D225" s="1025"/>
      <c r="E225" s="1025"/>
      <c r="F225" s="1029"/>
      <c r="G225" s="1019"/>
      <c r="H225" s="1032"/>
      <c r="I225" s="1025"/>
      <c r="J225" s="1025"/>
      <c r="K225" s="1027"/>
      <c r="L225" s="999"/>
    </row>
    <row r="226" spans="1:13" s="23" customFormat="1" ht="17.25" customHeight="1">
      <c r="A226" s="1653" t="str">
        <f>G208</f>
        <v>LƯƠNG THÁNG 09/2025</v>
      </c>
      <c r="B226" s="1656"/>
      <c r="C226" s="1656"/>
      <c r="D226" s="1656"/>
      <c r="E226" s="998">
        <v>27</v>
      </c>
      <c r="F226" s="1029"/>
      <c r="G226" s="1653" t="str">
        <f>A226</f>
        <v>LƯƠNG THÁNG 09/2025</v>
      </c>
      <c r="H226" s="1656"/>
      <c r="I226" s="1656"/>
      <c r="J226" s="1657"/>
      <c r="K226" s="998">
        <v>28</v>
      </c>
      <c r="L226" s="999"/>
    </row>
    <row r="227" spans="1:13" s="23" customFormat="1" ht="17.25" customHeight="1">
      <c r="A227" s="1028" t="s">
        <v>13</v>
      </c>
      <c r="B227" s="1000" t="str">
        <f>'CNKT '!D42</f>
        <v>T . Lốc</v>
      </c>
      <c r="C227" s="1001"/>
      <c r="D227" s="1002" t="s">
        <v>353</v>
      </c>
      <c r="E227" s="1002" t="s">
        <v>16</v>
      </c>
      <c r="F227" s="1032"/>
      <c r="G227" s="1028" t="s">
        <v>13</v>
      </c>
      <c r="H227" s="1000" t="str">
        <f>'CNKT '!D43</f>
        <v>N . Khâm (1)</v>
      </c>
      <c r="I227" s="1001"/>
      <c r="J227" s="1002" t="s">
        <v>353</v>
      </c>
      <c r="K227" s="1002" t="s">
        <v>16</v>
      </c>
      <c r="L227" s="999"/>
    </row>
    <row r="228" spans="1:13" s="23" customFormat="1" ht="17.25" customHeight="1">
      <c r="A228" s="1004" t="s">
        <v>354</v>
      </c>
      <c r="B228" s="1005" t="s">
        <v>454</v>
      </c>
      <c r="C228" s="1006">
        <f>VLOOKUP(B227,'SẢN LƯỢNG'!$D$17:$AR$94,37,0)</f>
        <v>4199</v>
      </c>
      <c r="D228" s="1007"/>
      <c r="E228" s="1007"/>
      <c r="F228" s="1032"/>
      <c r="G228" s="1004" t="s">
        <v>354</v>
      </c>
      <c r="H228" s="1005" t="s">
        <v>454</v>
      </c>
      <c r="I228" s="1006">
        <f>VLOOKUP(H227,'SẢN LƯỢNG'!$D$17:$AR$94,37,0)</f>
        <v>4391</v>
      </c>
      <c r="J228" s="1007"/>
      <c r="K228" s="1007"/>
      <c r="L228" s="999"/>
    </row>
    <row r="229" spans="1:13" s="23" customFormat="1" ht="17.25" customHeight="1">
      <c r="A229" s="1004" t="s">
        <v>68</v>
      </c>
      <c r="B229" s="1008" t="s">
        <v>380</v>
      </c>
      <c r="C229" s="581">
        <f>VLOOKUP(B227,'CNKT '!$D$16:$AC$96,3,0)</f>
        <v>0</v>
      </c>
      <c r="D229" s="582">
        <v>25000</v>
      </c>
      <c r="E229" s="1007">
        <f>C229*D229</f>
        <v>0</v>
      </c>
      <c r="F229" s="1025"/>
      <c r="G229" s="1004" t="s">
        <v>68</v>
      </c>
      <c r="H229" s="1008" t="s">
        <v>380</v>
      </c>
      <c r="I229" s="581">
        <f>VLOOKUP(H227,'CNKT '!$D$16:$AC$96,3,0)</f>
        <v>0</v>
      </c>
      <c r="J229" s="582">
        <v>25000</v>
      </c>
      <c r="K229" s="1007">
        <f>I229*J229</f>
        <v>0</v>
      </c>
      <c r="L229" s="999"/>
    </row>
    <row r="230" spans="1:13" s="23" customFormat="1" ht="17.25" customHeight="1">
      <c r="A230" s="1004" t="s">
        <v>269</v>
      </c>
      <c r="B230" s="1009" t="s">
        <v>455</v>
      </c>
      <c r="C230" s="1010" t="str">
        <f>VLOOKUP(B227,'CNKT '!$D$16:$AC$96,11,0)</f>
        <v>A</v>
      </c>
      <c r="D230" s="583">
        <f>46.1*$B$2</f>
        <v>30424.156000000003</v>
      </c>
      <c r="E230" s="1007" t="e">
        <f>C230*D230</f>
        <v>#VALUE!</v>
      </c>
      <c r="F230" s="1025"/>
      <c r="G230" s="1004" t="s">
        <v>269</v>
      </c>
      <c r="H230" s="1009" t="s">
        <v>455</v>
      </c>
      <c r="I230" s="1010" t="str">
        <f>VLOOKUP(H227,'CNKT '!$D$16:$AC$96,11,0)</f>
        <v>A</v>
      </c>
      <c r="J230" s="583">
        <f>46.1*$B$2</f>
        <v>30424.156000000003</v>
      </c>
      <c r="K230" s="1007" t="e">
        <f>I230*J230</f>
        <v>#VALUE!</v>
      </c>
      <c r="L230" s="999"/>
    </row>
    <row r="231" spans="1:13" s="23" customFormat="1" ht="17.25" customHeight="1">
      <c r="A231" s="1004" t="s">
        <v>356</v>
      </c>
      <c r="B231" s="1009" t="s">
        <v>456</v>
      </c>
      <c r="C231" s="1010">
        <f>VLOOKUP(B227,'CNKT '!$D$16:$AC$96,12,0)</f>
        <v>6424589</v>
      </c>
      <c r="D231" s="582">
        <f>76.9*$B$2</f>
        <v>50750.924000000006</v>
      </c>
      <c r="E231" s="1007">
        <f t="shared" ref="E231:E232" si="51">C231*D231</f>
        <v>326053828070.23602</v>
      </c>
      <c r="G231" s="1004" t="s">
        <v>356</v>
      </c>
      <c r="H231" s="1009" t="s">
        <v>456</v>
      </c>
      <c r="I231" s="1010">
        <f>VLOOKUP(H227,'CNKT '!$D$16:$AC$96,12,0)</f>
        <v>5798993</v>
      </c>
      <c r="J231" s="582">
        <f>76.9*$B$2</f>
        <v>50750.924000000006</v>
      </c>
      <c r="K231" s="1007">
        <f t="shared" ref="K231:K232" si="52">I231*J231</f>
        <v>294304253019.53204</v>
      </c>
      <c r="L231" s="999"/>
    </row>
    <row r="232" spans="1:13" s="23" customFormat="1" ht="17.25" customHeight="1">
      <c r="A232" s="1004" t="s">
        <v>69</v>
      </c>
      <c r="B232" s="1009" t="s">
        <v>457</v>
      </c>
      <c r="C232" s="1010">
        <f>VLOOKUP(B227,'CNKT '!$D$16:$AC$96,8,0)</f>
        <v>1581.2275393182374</v>
      </c>
      <c r="D232" s="582">
        <f>IF(C228="A",6.1,IF(C228="B",5.8,IF(C228="C",5.5,IF(C228="C.",5.5,IF(C228="D",5.2)))))*$B$2</f>
        <v>0</v>
      </c>
      <c r="E232" s="1007">
        <f t="shared" si="51"/>
        <v>0</v>
      </c>
      <c r="F232" s="1025"/>
      <c r="G232" s="1004" t="s">
        <v>69</v>
      </c>
      <c r="H232" s="1009" t="s">
        <v>457</v>
      </c>
      <c r="I232" s="1010">
        <f>VLOOKUP(H227,'CNKT '!$D$16:$AC$96,8,0)</f>
        <v>1406.8599016770584</v>
      </c>
      <c r="J232" s="582">
        <f>IF(I228="A",6.1,IF(I228="B",5.8,IF(I228="C",5.5,IF(I228="C.",5.5,IF(I228="D",5.2)))))*$B$2</f>
        <v>0</v>
      </c>
      <c r="K232" s="1007">
        <f t="shared" si="52"/>
        <v>0</v>
      </c>
      <c r="L232" s="999"/>
    </row>
    <row r="233" spans="1:13" s="23" customFormat="1" ht="17.25" customHeight="1">
      <c r="A233" s="1004" t="s">
        <v>431</v>
      </c>
      <c r="B233" s="1009" t="s">
        <v>458</v>
      </c>
      <c r="C233" s="1010">
        <f>VLOOKUP(B227,'CNKT '!$D$16:$AC$96,13,0)</f>
        <v>25</v>
      </c>
      <c r="D233" s="583">
        <v>100000</v>
      </c>
      <c r="E233" s="1007">
        <f>C233*D233</f>
        <v>2500000</v>
      </c>
      <c r="F233" s="1025"/>
      <c r="G233" s="1004" t="s">
        <v>431</v>
      </c>
      <c r="H233" s="1009" t="s">
        <v>458</v>
      </c>
      <c r="I233" s="1010">
        <f>VLOOKUP(H227,'CNKT '!$D$16:$AC$96,13,0)</f>
        <v>24</v>
      </c>
      <c r="J233" s="583">
        <v>100000</v>
      </c>
      <c r="K233" s="1007">
        <f>I233*J233</f>
        <v>2400000</v>
      </c>
      <c r="L233" s="999"/>
    </row>
    <row r="234" spans="1:13" s="23" customFormat="1" ht="17.25" customHeight="1">
      <c r="A234" s="1073" t="s">
        <v>780</v>
      </c>
      <c r="B234" s="1065" t="s">
        <v>434</v>
      </c>
      <c r="C234" s="1066">
        <f>VLOOKUP(B227,'CNKT '!$D$16:$AC$96,14,0)</f>
        <v>4</v>
      </c>
      <c r="D234" s="1067">
        <f>153.8*$B$2</f>
        <v>101501.84800000001</v>
      </c>
      <c r="E234" s="1068">
        <f t="shared" ref="E234" si="53">C234*D234</f>
        <v>406007.39200000005</v>
      </c>
      <c r="F234" s="1025"/>
      <c r="G234" s="1073" t="s">
        <v>780</v>
      </c>
      <c r="H234" s="1065" t="s">
        <v>434</v>
      </c>
      <c r="I234" s="1066">
        <f>VLOOKUP(H227,'CNKT '!$D$16:$AC$96,14,0)</f>
        <v>3</v>
      </c>
      <c r="J234" s="1067">
        <f>153.8*$B$2</f>
        <v>101501.84800000001</v>
      </c>
      <c r="K234" s="1068">
        <f t="shared" ref="K234" si="54">I234*J234</f>
        <v>304505.54400000005</v>
      </c>
      <c r="L234" s="999"/>
    </row>
    <row r="235" spans="1:13" s="23" customFormat="1" ht="17.25" customHeight="1">
      <c r="A235" s="1073" t="s">
        <v>781</v>
      </c>
      <c r="B235" s="1065" t="s">
        <v>435</v>
      </c>
      <c r="C235" s="1066">
        <f>VLOOKUP(B227,'CNKT '!$D$16:$AC$96,18,0)</f>
        <v>0</v>
      </c>
      <c r="D235" s="1067">
        <v>100000</v>
      </c>
      <c r="E235" s="1068">
        <f>C235*D235</f>
        <v>0</v>
      </c>
      <c r="F235" s="1025"/>
      <c r="G235" s="1073" t="s">
        <v>781</v>
      </c>
      <c r="H235" s="1065" t="s">
        <v>435</v>
      </c>
      <c r="I235" s="1066">
        <f>VLOOKUP(H227,'CNKT '!$D$16:$AC$96,18,0)</f>
        <v>0</v>
      </c>
      <c r="J235" s="1067">
        <v>100000</v>
      </c>
      <c r="K235" s="1068">
        <f>I235*J235</f>
        <v>0</v>
      </c>
      <c r="L235" s="999"/>
    </row>
    <row r="236" spans="1:13" s="23" customFormat="1" ht="17.25" customHeight="1">
      <c r="A236" s="1004" t="s">
        <v>394</v>
      </c>
      <c r="B236" s="1009" t="s">
        <v>435</v>
      </c>
      <c r="C236" s="1010">
        <f>VLOOKUP(B227,'CNKT '!$D$16:$AC$96,19,0)</f>
        <v>0</v>
      </c>
      <c r="D236" s="582">
        <v>20000</v>
      </c>
      <c r="E236" s="1007">
        <f>C236*D236</f>
        <v>0</v>
      </c>
      <c r="F236" s="1025"/>
      <c r="G236" s="1004" t="s">
        <v>394</v>
      </c>
      <c r="H236" s="1009" t="s">
        <v>435</v>
      </c>
      <c r="I236" s="1010">
        <f>VLOOKUP(H227,'CNKT '!$D$16:$AC$96,19,0)</f>
        <v>0</v>
      </c>
      <c r="J236" s="582">
        <v>20000</v>
      </c>
      <c r="K236" s="1007">
        <f>I236*J236</f>
        <v>0</v>
      </c>
      <c r="L236" s="999"/>
    </row>
    <row r="237" spans="1:13" s="23" customFormat="1" ht="17.25" customHeight="1">
      <c r="A237" s="1004" t="s">
        <v>731</v>
      </c>
      <c r="B237" s="1011" t="s">
        <v>732</v>
      </c>
      <c r="C237" s="1010"/>
      <c r="D237" s="582"/>
      <c r="E237" s="1007">
        <f>VLOOKUP(B227,'CNKT '!$D$16:$AG$99,28,0)</f>
        <v>0</v>
      </c>
      <c r="F237" s="1025"/>
      <c r="G237" s="1004" t="s">
        <v>731</v>
      </c>
      <c r="H237" s="1011" t="s">
        <v>732</v>
      </c>
      <c r="I237" s="1010"/>
      <c r="J237" s="582"/>
      <c r="K237" s="1007">
        <f>VLOOKUP(H227,'CNKT '!$D$16:$AG$99,28,0)</f>
        <v>0</v>
      </c>
      <c r="L237" s="999"/>
    </row>
    <row r="238" spans="1:13" s="23" customFormat="1" ht="17.25" customHeight="1">
      <c r="A238" s="1012" t="s">
        <v>70</v>
      </c>
      <c r="B238" s="1013" t="s">
        <v>459</v>
      </c>
      <c r="C238" s="1014"/>
      <c r="D238" s="1015"/>
      <c r="E238" s="1014"/>
      <c r="F238" s="1029"/>
      <c r="G238" s="1012" t="s">
        <v>70</v>
      </c>
      <c r="H238" s="1013" t="s">
        <v>459</v>
      </c>
      <c r="I238" s="1014"/>
      <c r="J238" s="1015"/>
      <c r="K238" s="1014"/>
      <c r="L238" s="999"/>
    </row>
    <row r="239" spans="1:13" s="23" customFormat="1" ht="17.25" customHeight="1">
      <c r="A239" s="1016" t="s">
        <v>71</v>
      </c>
      <c r="B239" s="1017" t="s">
        <v>460</v>
      </c>
      <c r="C239" s="1014"/>
      <c r="D239" s="1014"/>
      <c r="E239" s="1014"/>
      <c r="F239" s="1029"/>
      <c r="G239" s="1016" t="s">
        <v>71</v>
      </c>
      <c r="H239" s="1017" t="s">
        <v>460</v>
      </c>
      <c r="I239" s="1014"/>
      <c r="J239" s="1014"/>
      <c r="K239" s="1014"/>
      <c r="L239" s="999"/>
    </row>
    <row r="240" spans="1:13" s="23" customFormat="1" ht="17.25" customHeight="1">
      <c r="A240" s="1016" t="s">
        <v>72</v>
      </c>
      <c r="B240" s="1018" t="s">
        <v>461</v>
      </c>
      <c r="C240" s="1014"/>
      <c r="D240" s="1014"/>
      <c r="E240" s="1007">
        <f>SUM(E239)</f>
        <v>0</v>
      </c>
      <c r="F240" s="1029"/>
      <c r="G240" s="1016" t="s">
        <v>72</v>
      </c>
      <c r="H240" s="1018" t="s">
        <v>461</v>
      </c>
      <c r="I240" s="1014"/>
      <c r="J240" s="1014"/>
      <c r="K240" s="1007">
        <f>SUM(K239)</f>
        <v>0</v>
      </c>
      <c r="L240" s="999"/>
      <c r="M240" s="1019">
        <f>E240+K240</f>
        <v>0</v>
      </c>
    </row>
    <row r="241" spans="1:12" s="23" customFormat="1" ht="17.25" customHeight="1">
      <c r="A241" s="1020" t="s">
        <v>73</v>
      </c>
      <c r="B241" s="1021" t="s">
        <v>381</v>
      </c>
      <c r="C241" s="1022"/>
      <c r="D241" s="1022"/>
      <c r="E241" s="1022" t="e">
        <f>(E229+E230+E231+E232+E233+E234+E235+E236+E237)-E240</f>
        <v>#VALUE!</v>
      </c>
      <c r="F241" s="1029"/>
      <c r="G241" s="1020" t="s">
        <v>73</v>
      </c>
      <c r="H241" s="1021" t="s">
        <v>381</v>
      </c>
      <c r="I241" s="1022"/>
      <c r="J241" s="1022"/>
      <c r="K241" s="1022" t="e">
        <f>(K229+K230+K231+K232+K233+K234+K235+K236+K237)-K240</f>
        <v>#VALUE!</v>
      </c>
      <c r="L241" s="1024" t="e">
        <f>E241+K241</f>
        <v>#VALUE!</v>
      </c>
    </row>
    <row r="242" spans="1:12" s="23" customFormat="1" ht="192" customHeight="1">
      <c r="A242" s="1029"/>
      <c r="B242" s="1034"/>
      <c r="C242" s="1035"/>
      <c r="D242" s="1035"/>
      <c r="E242" s="1033"/>
      <c r="F242" s="1029"/>
      <c r="G242" s="1029"/>
      <c r="H242" s="1034"/>
      <c r="I242" s="1035"/>
      <c r="J242" s="1033"/>
      <c r="K242" s="1027"/>
      <c r="L242" s="999"/>
    </row>
    <row r="243" spans="1:12" s="23" customFormat="1" ht="17.25" customHeight="1">
      <c r="A243" s="1653" t="str">
        <f>G226</f>
        <v>LƯƠNG THÁNG 09/2025</v>
      </c>
      <c r="B243" s="1656"/>
      <c r="C243" s="1656"/>
      <c r="D243" s="1656"/>
      <c r="E243" s="998">
        <v>29</v>
      </c>
      <c r="F243" s="1025"/>
      <c r="G243" s="1653" t="str">
        <f>A243</f>
        <v>LƯƠNG THÁNG 09/2025</v>
      </c>
      <c r="H243" s="1656"/>
      <c r="I243" s="1656"/>
      <c r="J243" s="1657"/>
      <c r="K243" s="998">
        <v>30</v>
      </c>
      <c r="L243" s="999"/>
    </row>
    <row r="244" spans="1:12" s="23" customFormat="1" ht="17.25" customHeight="1">
      <c r="A244" s="1028" t="s">
        <v>13</v>
      </c>
      <c r="B244" s="1000" t="str">
        <f>'CNKT '!D44</f>
        <v>T . Phết</v>
      </c>
      <c r="C244" s="1001"/>
      <c r="D244" s="1002" t="s">
        <v>353</v>
      </c>
      <c r="E244" s="1002" t="s">
        <v>16</v>
      </c>
      <c r="F244" s="1025"/>
      <c r="G244" s="1028" t="s">
        <v>13</v>
      </c>
      <c r="H244" s="1000" t="str">
        <f>'CNKT '!D45</f>
        <v>T. Viêng Sa Văn</v>
      </c>
      <c r="I244" s="1001"/>
      <c r="J244" s="1002" t="s">
        <v>353</v>
      </c>
      <c r="K244" s="1002" t="s">
        <v>16</v>
      </c>
      <c r="L244" s="999"/>
    </row>
    <row r="245" spans="1:12" s="23" customFormat="1" ht="17.25" customHeight="1">
      <c r="A245" s="1004" t="s">
        <v>354</v>
      </c>
      <c r="B245" s="1005" t="s">
        <v>454</v>
      </c>
      <c r="C245" s="1006">
        <f>VLOOKUP(B244,'SẢN LƯỢNG'!$D$17:$AR$94,37,0)</f>
        <v>4508</v>
      </c>
      <c r="D245" s="1007"/>
      <c r="E245" s="1007"/>
      <c r="F245" s="1033"/>
      <c r="G245" s="1004" t="s">
        <v>354</v>
      </c>
      <c r="H245" s="1005" t="s">
        <v>454</v>
      </c>
      <c r="I245" s="1006">
        <f>VLOOKUP(H244,'SẢN LƯỢNG'!$D$17:$AR$94,37,0)</f>
        <v>4743</v>
      </c>
      <c r="J245" s="1007"/>
      <c r="K245" s="1007"/>
      <c r="L245" s="999"/>
    </row>
    <row r="246" spans="1:12" s="23" customFormat="1" ht="17.25" customHeight="1">
      <c r="A246" s="1004" t="s">
        <v>68</v>
      </c>
      <c r="B246" s="1008" t="s">
        <v>380</v>
      </c>
      <c r="C246" s="581">
        <f>VLOOKUP(B244,'CNKT '!$D$16:$AC$96,3,0)</f>
        <v>0</v>
      </c>
      <c r="D246" s="582">
        <v>25000</v>
      </c>
      <c r="E246" s="1007">
        <f>C246*D246</f>
        <v>0</v>
      </c>
      <c r="F246" s="1025"/>
      <c r="G246" s="1004" t="s">
        <v>68</v>
      </c>
      <c r="H246" s="1008" t="s">
        <v>380</v>
      </c>
      <c r="I246" s="581">
        <f>VLOOKUP(H244,'CNKT '!$D$16:$AC$96,3,0)</f>
        <v>0</v>
      </c>
      <c r="J246" s="582">
        <v>25000</v>
      </c>
      <c r="K246" s="1007">
        <f>I246*J246</f>
        <v>0</v>
      </c>
      <c r="L246" s="999"/>
    </row>
    <row r="247" spans="1:12" s="23" customFormat="1" ht="17.25" customHeight="1">
      <c r="A247" s="1004" t="s">
        <v>269</v>
      </c>
      <c r="B247" s="1009" t="s">
        <v>455</v>
      </c>
      <c r="C247" s="1010" t="str">
        <f>VLOOKUP(B244,'CNKT '!$D$16:$AC$96,11,0)</f>
        <v>A</v>
      </c>
      <c r="D247" s="583">
        <f>46.1*$B$2</f>
        <v>30424.156000000003</v>
      </c>
      <c r="E247" s="1007" t="e">
        <f>C247*D247</f>
        <v>#VALUE!</v>
      </c>
      <c r="F247" s="1029"/>
      <c r="G247" s="1004" t="s">
        <v>269</v>
      </c>
      <c r="H247" s="1009" t="s">
        <v>455</v>
      </c>
      <c r="I247" s="1010" t="str">
        <f>VLOOKUP(H244,'CNKT '!$D$16:$AC$96,11,0)</f>
        <v>A</v>
      </c>
      <c r="J247" s="583">
        <f>46.1*$B$2</f>
        <v>30424.156000000003</v>
      </c>
      <c r="K247" s="1007" t="e">
        <f>I247*J247</f>
        <v>#VALUE!</v>
      </c>
      <c r="L247" s="999"/>
    </row>
    <row r="248" spans="1:12" s="23" customFormat="1" ht="17.25" customHeight="1">
      <c r="A248" s="1004" t="s">
        <v>356</v>
      </c>
      <c r="B248" s="1009" t="s">
        <v>456</v>
      </c>
      <c r="C248" s="1010">
        <f>VLOOKUP(B244,'CNKT '!$D$16:$AC$96,12,0)</f>
        <v>6037552</v>
      </c>
      <c r="D248" s="582">
        <f>76.9*$B$2</f>
        <v>50750.924000000006</v>
      </c>
      <c r="E248" s="1007">
        <f t="shared" ref="E248:E249" si="55">C248*D248</f>
        <v>306411342698.04803</v>
      </c>
      <c r="F248" s="1029"/>
      <c r="G248" s="1004" t="s">
        <v>356</v>
      </c>
      <c r="H248" s="1009" t="s">
        <v>456</v>
      </c>
      <c r="I248" s="1010">
        <f>VLOOKUP(H244,'CNKT '!$D$16:$AC$96,12,0)</f>
        <v>6333816</v>
      </c>
      <c r="J248" s="582">
        <f>76.9*$B$2</f>
        <v>50750.924000000006</v>
      </c>
      <c r="K248" s="1007">
        <f t="shared" ref="K248:K249" si="56">I248*J248</f>
        <v>321447014445.98407</v>
      </c>
      <c r="L248" s="999"/>
    </row>
    <row r="249" spans="1:12" s="23" customFormat="1" ht="17.25" customHeight="1">
      <c r="A249" s="1004" t="s">
        <v>69</v>
      </c>
      <c r="B249" s="1009" t="s">
        <v>457</v>
      </c>
      <c r="C249" s="1010">
        <f>VLOOKUP(B244,'CNKT '!$D$16:$AC$96,8,0)</f>
        <v>1466.8953414725022</v>
      </c>
      <c r="D249" s="582">
        <f>IF(C245="A",6.1,IF(C245="B",5.8,IF(C245="C",5.5,IF(C245="C.",5.5,IF(C245="D",5.2)))))*$B$2</f>
        <v>0</v>
      </c>
      <c r="E249" s="1007">
        <f t="shared" si="55"/>
        <v>0</v>
      </c>
      <c r="F249" s="1029"/>
      <c r="G249" s="1004" t="s">
        <v>69</v>
      </c>
      <c r="H249" s="1009" t="s">
        <v>457</v>
      </c>
      <c r="I249" s="1010">
        <f>VLOOKUP(H244,'CNKT '!$D$16:$AC$96,8,0)</f>
        <v>1538.4081447582516</v>
      </c>
      <c r="J249" s="582">
        <f>IF(I245="A",6.1,IF(I245="B",5.8,IF(I245="C",5.5,IF(I245="C.",5.5,IF(I245="D",5.2)))))*$B$2</f>
        <v>0</v>
      </c>
      <c r="K249" s="1007">
        <f t="shared" si="56"/>
        <v>0</v>
      </c>
      <c r="L249" s="999"/>
    </row>
    <row r="250" spans="1:12" s="23" customFormat="1" ht="17.25" customHeight="1">
      <c r="A250" s="1004" t="s">
        <v>431</v>
      </c>
      <c r="B250" s="1009" t="s">
        <v>458</v>
      </c>
      <c r="C250" s="1010">
        <f>VLOOKUP(B244,'CNKT '!$D$16:$AC$96,13,0)</f>
        <v>24</v>
      </c>
      <c r="D250" s="583">
        <v>100000</v>
      </c>
      <c r="E250" s="1007">
        <f>C250*D250</f>
        <v>2400000</v>
      </c>
      <c r="F250" s="1029"/>
      <c r="G250" s="1004" t="s">
        <v>431</v>
      </c>
      <c r="H250" s="1009" t="s">
        <v>458</v>
      </c>
      <c r="I250" s="1010">
        <f>VLOOKUP(H244,'CNKT '!$D$16:$AC$96,13,0)</f>
        <v>25</v>
      </c>
      <c r="J250" s="583">
        <v>100000</v>
      </c>
      <c r="K250" s="1007">
        <f>I250*J250</f>
        <v>2500000</v>
      </c>
      <c r="L250" s="999"/>
    </row>
    <row r="251" spans="1:12" s="23" customFormat="1" ht="17.25" customHeight="1">
      <c r="A251" s="1073" t="s">
        <v>780</v>
      </c>
      <c r="B251" s="1065" t="s">
        <v>434</v>
      </c>
      <c r="C251" s="1066">
        <f>VLOOKUP(B244,'CNKT '!$D$16:$AC$96,14,0)</f>
        <v>3</v>
      </c>
      <c r="D251" s="1067">
        <f>153.8*$B$2</f>
        <v>101501.84800000001</v>
      </c>
      <c r="E251" s="1068">
        <f t="shared" ref="E251" si="57">C251*D251</f>
        <v>304505.54400000005</v>
      </c>
      <c r="F251" s="1029"/>
      <c r="G251" s="1073" t="s">
        <v>780</v>
      </c>
      <c r="H251" s="1065" t="s">
        <v>434</v>
      </c>
      <c r="I251" s="1066">
        <f>VLOOKUP(H244,'CNKT '!$D$16:$AC$96,14,0)</f>
        <v>4</v>
      </c>
      <c r="J251" s="1067">
        <f>153.8*$B$2</f>
        <v>101501.84800000001</v>
      </c>
      <c r="K251" s="1068">
        <f t="shared" ref="K251" si="58">I251*J251</f>
        <v>406007.39200000005</v>
      </c>
      <c r="L251" s="999"/>
    </row>
    <row r="252" spans="1:12" s="23" customFormat="1" ht="17.25" customHeight="1">
      <c r="A252" s="1073" t="s">
        <v>781</v>
      </c>
      <c r="B252" s="1065" t="s">
        <v>435</v>
      </c>
      <c r="C252" s="1066">
        <f>VLOOKUP(B244,'CNKT '!$D$16:$AC$96,18,0)</f>
        <v>0</v>
      </c>
      <c r="D252" s="1067">
        <v>100000</v>
      </c>
      <c r="E252" s="1068">
        <f>C252*D252</f>
        <v>0</v>
      </c>
      <c r="F252" s="1029"/>
      <c r="G252" s="1073" t="s">
        <v>781</v>
      </c>
      <c r="H252" s="1065" t="s">
        <v>435</v>
      </c>
      <c r="I252" s="1066">
        <f>VLOOKUP(H244,'CNKT '!$D$16:$AC$96,18,0)</f>
        <v>0</v>
      </c>
      <c r="J252" s="1067">
        <v>100000</v>
      </c>
      <c r="K252" s="1068">
        <f>I252*J252</f>
        <v>0</v>
      </c>
      <c r="L252" s="999"/>
    </row>
    <row r="253" spans="1:12" s="23" customFormat="1" ht="17.25" customHeight="1">
      <c r="A253" s="1004" t="s">
        <v>394</v>
      </c>
      <c r="B253" s="1009" t="s">
        <v>435</v>
      </c>
      <c r="C253" s="1010">
        <f>VLOOKUP(B244,'CNKT '!$D$16:$AC$96,19,0)</f>
        <v>0</v>
      </c>
      <c r="D253" s="582">
        <v>20000</v>
      </c>
      <c r="E253" s="1007">
        <f>C253*D253</f>
        <v>0</v>
      </c>
      <c r="F253" s="1029"/>
      <c r="G253" s="1004" t="s">
        <v>394</v>
      </c>
      <c r="H253" s="1009" t="s">
        <v>435</v>
      </c>
      <c r="I253" s="1010">
        <f>VLOOKUP(H244,'CNKT '!$D$16:$AC$96,19,0)</f>
        <v>0</v>
      </c>
      <c r="J253" s="582">
        <v>20000</v>
      </c>
      <c r="K253" s="1007">
        <f>I253*J253</f>
        <v>0</v>
      </c>
      <c r="L253" s="999"/>
    </row>
    <row r="254" spans="1:12" s="23" customFormat="1" ht="17.25" customHeight="1">
      <c r="A254" s="1004" t="s">
        <v>731</v>
      </c>
      <c r="B254" s="1011" t="s">
        <v>732</v>
      </c>
      <c r="C254" s="1010"/>
      <c r="D254" s="582"/>
      <c r="E254" s="1007">
        <f>VLOOKUP(B244,'CNKT '!$D$16:$AG$99,28,0)</f>
        <v>0</v>
      </c>
      <c r="F254" s="1029"/>
      <c r="G254" s="1004" t="s">
        <v>731</v>
      </c>
      <c r="H254" s="1011" t="s">
        <v>732</v>
      </c>
      <c r="I254" s="1010"/>
      <c r="J254" s="582"/>
      <c r="K254" s="1007">
        <f>VLOOKUP(H244,'CNKT '!$D$16:$AG$99,28,0)</f>
        <v>0</v>
      </c>
      <c r="L254" s="999"/>
    </row>
    <row r="255" spans="1:12" s="23" customFormat="1" ht="17.25" customHeight="1">
      <c r="A255" s="1012" t="s">
        <v>70</v>
      </c>
      <c r="B255" s="1013" t="s">
        <v>459</v>
      </c>
      <c r="C255" s="1014"/>
      <c r="D255" s="1015"/>
      <c r="E255" s="1014"/>
      <c r="F255" s="1029"/>
      <c r="G255" s="1012" t="s">
        <v>70</v>
      </c>
      <c r="H255" s="1013" t="s">
        <v>459</v>
      </c>
      <c r="I255" s="1014"/>
      <c r="J255" s="1015"/>
      <c r="K255" s="1014"/>
      <c r="L255" s="999"/>
    </row>
    <row r="256" spans="1:12" s="23" customFormat="1" ht="17.25" customHeight="1">
      <c r="A256" s="1016" t="s">
        <v>71</v>
      </c>
      <c r="B256" s="1017" t="s">
        <v>460</v>
      </c>
      <c r="C256" s="1014"/>
      <c r="D256" s="1014"/>
      <c r="E256" s="1014"/>
      <c r="F256" s="1032"/>
      <c r="G256" s="1016" t="s">
        <v>71</v>
      </c>
      <c r="H256" s="1017" t="s">
        <v>460</v>
      </c>
      <c r="I256" s="1014"/>
      <c r="J256" s="1014"/>
      <c r="K256" s="1014"/>
      <c r="L256" s="999"/>
    </row>
    <row r="257" spans="1:13" s="23" customFormat="1" ht="17.25" customHeight="1">
      <c r="A257" s="1016" t="s">
        <v>72</v>
      </c>
      <c r="B257" s="1018" t="s">
        <v>461</v>
      </c>
      <c r="C257" s="1014"/>
      <c r="D257" s="1014"/>
      <c r="E257" s="1007">
        <f>SUM(E256)</f>
        <v>0</v>
      </c>
      <c r="F257" s="1032"/>
      <c r="G257" s="1016" t="s">
        <v>72</v>
      </c>
      <c r="H257" s="1018" t="s">
        <v>461</v>
      </c>
      <c r="I257" s="1014"/>
      <c r="J257" s="1014"/>
      <c r="K257" s="1007">
        <f>SUM(K256)</f>
        <v>0</v>
      </c>
      <c r="L257" s="999"/>
      <c r="M257" s="1019">
        <f>E257+K257</f>
        <v>0</v>
      </c>
    </row>
    <row r="258" spans="1:13" s="23" customFormat="1" ht="17.25" customHeight="1">
      <c r="A258" s="1020" t="s">
        <v>73</v>
      </c>
      <c r="B258" s="1021" t="s">
        <v>381</v>
      </c>
      <c r="C258" s="1022"/>
      <c r="D258" s="1022"/>
      <c r="E258" s="1022" t="e">
        <f>(E246+E247+E248+E249+E250+E251+E252+E253+E254)-E257</f>
        <v>#VALUE!</v>
      </c>
      <c r="F258" s="1032"/>
      <c r="G258" s="1020" t="s">
        <v>73</v>
      </c>
      <c r="H258" s="1021" t="s">
        <v>381</v>
      </c>
      <c r="I258" s="1022"/>
      <c r="J258" s="1022"/>
      <c r="K258" s="1022" t="e">
        <f>(K246+K247+K248+K249+K250+K251+K252+K253+K254)-K257</f>
        <v>#VALUE!</v>
      </c>
      <c r="L258" s="1024" t="e">
        <f>E258+K258</f>
        <v>#VALUE!</v>
      </c>
    </row>
    <row r="259" spans="1:13" s="23" customFormat="1" ht="15" customHeight="1">
      <c r="A259" s="1029"/>
      <c r="B259" s="1034"/>
      <c r="C259" s="1035"/>
      <c r="D259" s="1035"/>
      <c r="E259" s="1033"/>
      <c r="F259" s="1032"/>
      <c r="G259" s="1029"/>
      <c r="H259" s="1034"/>
      <c r="I259" s="1035"/>
      <c r="J259" s="1033"/>
      <c r="K259" s="1027"/>
      <c r="L259" s="999"/>
    </row>
    <row r="260" spans="1:13" s="23" customFormat="1" ht="17.25" customHeight="1">
      <c r="A260" s="1653" t="str">
        <f>G243</f>
        <v>LƯƠNG THÁNG 09/2025</v>
      </c>
      <c r="B260" s="1656"/>
      <c r="C260" s="1656"/>
      <c r="D260" s="1656"/>
      <c r="E260" s="998">
        <v>31</v>
      </c>
      <c r="F260" s="1033"/>
      <c r="G260" s="1653" t="str">
        <f>A260</f>
        <v>LƯƠNG THÁNG 09/2025</v>
      </c>
      <c r="H260" s="1656"/>
      <c r="I260" s="1656"/>
      <c r="J260" s="1657"/>
      <c r="K260" s="998">
        <v>32</v>
      </c>
      <c r="L260" s="999"/>
    </row>
    <row r="261" spans="1:13" s="23" customFormat="1" ht="17.25" customHeight="1">
      <c r="A261" s="1028" t="s">
        <v>13</v>
      </c>
      <c r="B261" s="1000" t="str">
        <f>'CNKT '!D46</f>
        <v>T. Ca Te</v>
      </c>
      <c r="C261" s="1001"/>
      <c r="D261" s="1002" t="s">
        <v>353</v>
      </c>
      <c r="E261" s="1002" t="s">
        <v>16</v>
      </c>
      <c r="G261" s="1028" t="s">
        <v>13</v>
      </c>
      <c r="H261" s="1000" t="str">
        <f>'CNKT '!D47</f>
        <v>T. Lâm Phon</v>
      </c>
      <c r="I261" s="1001"/>
      <c r="J261" s="1002" t="s">
        <v>353</v>
      </c>
      <c r="K261" s="1002" t="s">
        <v>16</v>
      </c>
      <c r="L261" s="999"/>
    </row>
    <row r="262" spans="1:13" s="23" customFormat="1" ht="17.25" customHeight="1">
      <c r="A262" s="1004" t="s">
        <v>354</v>
      </c>
      <c r="B262" s="1005" t="s">
        <v>454</v>
      </c>
      <c r="C262" s="1006">
        <f>VLOOKUP(B261,'SẢN LƯỢNG'!$D$17:$AR$94,37,0)</f>
        <v>4222</v>
      </c>
      <c r="D262" s="1007"/>
      <c r="E262" s="1007"/>
      <c r="F262" s="1025"/>
      <c r="G262" s="1004" t="s">
        <v>354</v>
      </c>
      <c r="H262" s="1005" t="s">
        <v>454</v>
      </c>
      <c r="I262" s="1006">
        <f>VLOOKUP(H261,'SẢN LƯỢNG'!$D$17:$AR$94,37,0)</f>
        <v>4483</v>
      </c>
      <c r="J262" s="1007"/>
      <c r="K262" s="1007"/>
      <c r="L262" s="999"/>
    </row>
    <row r="263" spans="1:13" s="23" customFormat="1" ht="17.25" customHeight="1">
      <c r="A263" s="1004" t="s">
        <v>68</v>
      </c>
      <c r="B263" s="1008" t="s">
        <v>380</v>
      </c>
      <c r="C263" s="581">
        <f>VLOOKUP(B261,'CNKT '!$D$16:$AC$96,3,0)</f>
        <v>0</v>
      </c>
      <c r="D263" s="582">
        <v>25000</v>
      </c>
      <c r="E263" s="1007">
        <f>C263*D263</f>
        <v>0</v>
      </c>
      <c r="F263" s="1029"/>
      <c r="G263" s="1004" t="s">
        <v>68</v>
      </c>
      <c r="H263" s="1008" t="s">
        <v>380</v>
      </c>
      <c r="I263" s="581">
        <f>VLOOKUP(H261,'CNKT '!$D$16:$AC$96,3,0)</f>
        <v>0</v>
      </c>
      <c r="J263" s="582">
        <v>25000</v>
      </c>
      <c r="K263" s="1007">
        <f>I263*J263</f>
        <v>0</v>
      </c>
      <c r="L263" s="999"/>
    </row>
    <row r="264" spans="1:13" s="23" customFormat="1" ht="17.25" customHeight="1">
      <c r="A264" s="1004" t="s">
        <v>269</v>
      </c>
      <c r="B264" s="1009" t="s">
        <v>455</v>
      </c>
      <c r="C264" s="1010" t="str">
        <f>VLOOKUP(B261,'CNKT '!$D$16:$AC$96,11,0)</f>
        <v>B</v>
      </c>
      <c r="D264" s="583">
        <f>46.1*$B$2</f>
        <v>30424.156000000003</v>
      </c>
      <c r="E264" s="1007" t="e">
        <f>C264*D264</f>
        <v>#VALUE!</v>
      </c>
      <c r="F264" s="1029"/>
      <c r="G264" s="1004" t="s">
        <v>269</v>
      </c>
      <c r="H264" s="1009" t="s">
        <v>455</v>
      </c>
      <c r="I264" s="1010" t="str">
        <f>VLOOKUP(H261,'CNKT '!$D$16:$AC$96,11,0)</f>
        <v>B</v>
      </c>
      <c r="J264" s="583">
        <f>46.1*$B$2</f>
        <v>30424.156000000003</v>
      </c>
      <c r="K264" s="1007" t="e">
        <f>I264*J264</f>
        <v>#VALUE!</v>
      </c>
      <c r="L264" s="999"/>
    </row>
    <row r="265" spans="1:13" s="23" customFormat="1" ht="17.25" customHeight="1">
      <c r="A265" s="1004" t="s">
        <v>356</v>
      </c>
      <c r="B265" s="1009" t="s">
        <v>456</v>
      </c>
      <c r="C265" s="1010">
        <f>VLOOKUP(B261,'CNKT '!$D$16:$AC$96,12,0)</f>
        <v>7187675</v>
      </c>
      <c r="D265" s="582">
        <f>76.9*$B$2</f>
        <v>50750.924000000006</v>
      </c>
      <c r="E265" s="1007">
        <f t="shared" ref="E265:E266" si="59">C265*D265</f>
        <v>364781147661.70007</v>
      </c>
      <c r="F265" s="1029"/>
      <c r="G265" s="1004" t="s">
        <v>356</v>
      </c>
      <c r="H265" s="1009" t="s">
        <v>456</v>
      </c>
      <c r="I265" s="1010">
        <f>VLOOKUP(H261,'CNKT '!$D$16:$AC$96,12,0)</f>
        <v>7918340</v>
      </c>
      <c r="J265" s="582">
        <f>76.9*$B$2</f>
        <v>50750.924000000006</v>
      </c>
      <c r="K265" s="1007">
        <f t="shared" ref="K265:K266" si="60">I265*J265</f>
        <v>401863071546.16003</v>
      </c>
      <c r="L265" s="999"/>
    </row>
    <row r="266" spans="1:13" s="23" customFormat="1" ht="17.25" customHeight="1">
      <c r="A266" s="1004" t="s">
        <v>69</v>
      </c>
      <c r="B266" s="1009" t="s">
        <v>457</v>
      </c>
      <c r="C266" s="1010">
        <f>VLOOKUP(B261,'CNKT '!$D$16:$AC$96,8,0)</f>
        <v>1884.9362347540127</v>
      </c>
      <c r="D266" s="582">
        <f>IF(C262="A",6.1,IF(C262="B",5.8,IF(C262="C",5.5,IF(C262="C.",5.5,IF(C262="D",5.2)))))*$B$2</f>
        <v>0</v>
      </c>
      <c r="E266" s="1007">
        <f t="shared" si="59"/>
        <v>0</v>
      </c>
      <c r="F266" s="1029"/>
      <c r="G266" s="1004" t="s">
        <v>69</v>
      </c>
      <c r="H266" s="1009" t="s">
        <v>457</v>
      </c>
      <c r="I266" s="1010">
        <f>VLOOKUP(H261,'CNKT '!$D$16:$AC$96,8,0)</f>
        <v>2082.258599375803</v>
      </c>
      <c r="J266" s="582">
        <f>IF(I262="A",6.1,IF(I262="B",5.8,IF(I262="C",5.5,IF(I262="C.",5.5,IF(I262="D",5.2)))))*$B$2</f>
        <v>0</v>
      </c>
      <c r="K266" s="1007">
        <f t="shared" si="60"/>
        <v>0</v>
      </c>
      <c r="L266" s="999"/>
    </row>
    <row r="267" spans="1:13" s="23" customFormat="1" ht="17.25" customHeight="1">
      <c r="A267" s="1004" t="s">
        <v>431</v>
      </c>
      <c r="B267" s="1009" t="s">
        <v>458</v>
      </c>
      <c r="C267" s="1010">
        <f>VLOOKUP(B261,'CNKT '!$D$16:$AC$96,13,0)</f>
        <v>27</v>
      </c>
      <c r="D267" s="583">
        <v>100000</v>
      </c>
      <c r="E267" s="1007">
        <f>C267*D267</f>
        <v>2700000</v>
      </c>
      <c r="F267" s="1029"/>
      <c r="G267" s="1004" t="s">
        <v>431</v>
      </c>
      <c r="H267" s="1009" t="s">
        <v>458</v>
      </c>
      <c r="I267" s="1010">
        <f>VLOOKUP(H261,'CNKT '!$D$16:$AC$96,13,0)</f>
        <v>27</v>
      </c>
      <c r="J267" s="583">
        <v>100000</v>
      </c>
      <c r="K267" s="1007">
        <f>I267*J267</f>
        <v>2700000</v>
      </c>
      <c r="L267" s="999"/>
    </row>
    <row r="268" spans="1:13" s="23" customFormat="1" ht="17.25" customHeight="1">
      <c r="A268" s="1073" t="s">
        <v>780</v>
      </c>
      <c r="B268" s="1065" t="s">
        <v>434</v>
      </c>
      <c r="C268" s="1066">
        <f>VLOOKUP(B261,'CNKT '!$D$16:$AC$96,14,0)</f>
        <v>4</v>
      </c>
      <c r="D268" s="1067">
        <f>153.8*$B$2</f>
        <v>101501.84800000001</v>
      </c>
      <c r="E268" s="1068">
        <f t="shared" ref="E268" si="61">C268*D268</f>
        <v>406007.39200000005</v>
      </c>
      <c r="F268" s="1029"/>
      <c r="G268" s="1073" t="s">
        <v>780</v>
      </c>
      <c r="H268" s="1065" t="s">
        <v>434</v>
      </c>
      <c r="I268" s="1066">
        <f>VLOOKUP(H261,'CNKT '!$D$16:$AC$96,14,0)</f>
        <v>4</v>
      </c>
      <c r="J268" s="1067">
        <f>153.8*$B$2</f>
        <v>101501.84800000001</v>
      </c>
      <c r="K268" s="1068">
        <f t="shared" ref="K268" si="62">I268*J268</f>
        <v>406007.39200000005</v>
      </c>
      <c r="L268" s="999"/>
    </row>
    <row r="269" spans="1:13" s="23" customFormat="1" ht="17.25" customHeight="1">
      <c r="A269" s="1073" t="s">
        <v>781</v>
      </c>
      <c r="B269" s="1065" t="s">
        <v>435</v>
      </c>
      <c r="C269" s="1066">
        <f>VLOOKUP(B261,'CNKT '!$D$16:$AC$96,18,0)</f>
        <v>0</v>
      </c>
      <c r="D269" s="1067">
        <v>100000</v>
      </c>
      <c r="E269" s="1068">
        <f>C269*D269</f>
        <v>0</v>
      </c>
      <c r="F269" s="1029"/>
      <c r="G269" s="1073" t="s">
        <v>781</v>
      </c>
      <c r="H269" s="1065" t="s">
        <v>435</v>
      </c>
      <c r="I269" s="1066">
        <f>VLOOKUP(H261,'CNKT '!$D$16:$AC$96,18,0)</f>
        <v>0</v>
      </c>
      <c r="J269" s="1067">
        <v>100000</v>
      </c>
      <c r="K269" s="1068">
        <f>I269*J269</f>
        <v>0</v>
      </c>
      <c r="L269" s="999"/>
    </row>
    <row r="270" spans="1:13" s="23" customFormat="1" ht="17.25" customHeight="1">
      <c r="A270" s="1004" t="s">
        <v>394</v>
      </c>
      <c r="B270" s="1009" t="s">
        <v>435</v>
      </c>
      <c r="C270" s="1010">
        <f>VLOOKUP(B261,'CNKT '!$D$16:$AC$96,19,0)</f>
        <v>0</v>
      </c>
      <c r="D270" s="582">
        <v>20000</v>
      </c>
      <c r="E270" s="1007">
        <f>C270*D270</f>
        <v>0</v>
      </c>
      <c r="F270" s="1029"/>
      <c r="G270" s="1004" t="s">
        <v>394</v>
      </c>
      <c r="H270" s="1009" t="s">
        <v>435</v>
      </c>
      <c r="I270" s="1010">
        <f>VLOOKUP(H261,'CNKT '!$D$16:$AC$96,19,0)</f>
        <v>0</v>
      </c>
      <c r="J270" s="582">
        <v>20000</v>
      </c>
      <c r="K270" s="1007">
        <f>I270*J270</f>
        <v>0</v>
      </c>
      <c r="L270" s="999"/>
    </row>
    <row r="271" spans="1:13" s="23" customFormat="1" ht="17.25" customHeight="1">
      <c r="A271" s="1004" t="s">
        <v>731</v>
      </c>
      <c r="B271" s="1011" t="s">
        <v>732</v>
      </c>
      <c r="C271" s="1010"/>
      <c r="D271" s="582"/>
      <c r="E271" s="1007">
        <f>VLOOKUP(B261,'CNKT '!$D$16:$AG$99,28,0)</f>
        <v>0</v>
      </c>
      <c r="F271" s="1029"/>
      <c r="G271" s="1004" t="s">
        <v>731</v>
      </c>
      <c r="H271" s="1011" t="s">
        <v>732</v>
      </c>
      <c r="I271" s="1010"/>
      <c r="J271" s="582"/>
      <c r="K271" s="1007">
        <f>VLOOKUP(H261,'CNKT '!$D$16:$AG$99,28,0)</f>
        <v>0</v>
      </c>
      <c r="L271" s="999"/>
    </row>
    <row r="272" spans="1:13" s="23" customFormat="1" ht="17.25" customHeight="1">
      <c r="A272" s="1012" t="s">
        <v>70</v>
      </c>
      <c r="B272" s="1013" t="s">
        <v>459</v>
      </c>
      <c r="C272" s="1014"/>
      <c r="D272" s="1015"/>
      <c r="E272" s="1014"/>
      <c r="F272" s="1032"/>
      <c r="G272" s="1012" t="s">
        <v>70</v>
      </c>
      <c r="H272" s="1013" t="s">
        <v>459</v>
      </c>
      <c r="I272" s="1014"/>
      <c r="J272" s="1015"/>
      <c r="K272" s="1014"/>
      <c r="L272" s="999"/>
    </row>
    <row r="273" spans="1:13" s="23" customFormat="1" ht="17.25" customHeight="1">
      <c r="A273" s="1016" t="s">
        <v>71</v>
      </c>
      <c r="B273" s="1017" t="s">
        <v>460</v>
      </c>
      <c r="C273" s="1014"/>
      <c r="D273" s="1014"/>
      <c r="E273" s="1014"/>
      <c r="F273" s="1032"/>
      <c r="G273" s="1016" t="s">
        <v>71</v>
      </c>
      <c r="H273" s="1017" t="s">
        <v>460</v>
      </c>
      <c r="I273" s="1014"/>
      <c r="J273" s="1014"/>
      <c r="K273" s="1014"/>
      <c r="L273" s="999"/>
    </row>
    <row r="274" spans="1:13" s="23" customFormat="1" ht="17.25" customHeight="1">
      <c r="A274" s="1016" t="s">
        <v>72</v>
      </c>
      <c r="B274" s="1018" t="s">
        <v>461</v>
      </c>
      <c r="C274" s="1014"/>
      <c r="D274" s="1014"/>
      <c r="E274" s="1007">
        <f>SUM(E273)</f>
        <v>0</v>
      </c>
      <c r="F274" s="1032"/>
      <c r="G274" s="1016" t="s">
        <v>72</v>
      </c>
      <c r="H274" s="1018" t="s">
        <v>461</v>
      </c>
      <c r="I274" s="1014"/>
      <c r="J274" s="1014"/>
      <c r="K274" s="1007">
        <f>SUM(K273)</f>
        <v>0</v>
      </c>
      <c r="L274" s="999"/>
      <c r="M274" s="1019">
        <f>E274+K274</f>
        <v>0</v>
      </c>
    </row>
    <row r="275" spans="1:13" s="23" customFormat="1" ht="17.25" customHeight="1">
      <c r="A275" s="1020" t="s">
        <v>73</v>
      </c>
      <c r="B275" s="1021" t="s">
        <v>381</v>
      </c>
      <c r="C275" s="1022"/>
      <c r="D275" s="1022"/>
      <c r="E275" s="1022" t="e">
        <f>(E263+E264+E265+E266+E267+E268+E269+E270+E271)-E274</f>
        <v>#VALUE!</v>
      </c>
      <c r="F275" s="1032"/>
      <c r="G275" s="1020" t="s">
        <v>73</v>
      </c>
      <c r="H275" s="1021" t="s">
        <v>381</v>
      </c>
      <c r="I275" s="1022"/>
      <c r="J275" s="1022"/>
      <c r="K275" s="1022" t="e">
        <f>(K263+K264+K265+K266+K267+K268+K269+K270+K271)-K274</f>
        <v>#VALUE!</v>
      </c>
      <c r="L275" s="1024" t="e">
        <f>E275+K275</f>
        <v>#VALUE!</v>
      </c>
    </row>
    <row r="276" spans="1:13" s="23" customFormat="1" ht="17.25" customHeight="1">
      <c r="A276" s="1029"/>
      <c r="B276" s="1034"/>
      <c r="C276" s="1035"/>
      <c r="D276" s="1035"/>
      <c r="E276" s="1033"/>
      <c r="F276" s="1032"/>
      <c r="G276" s="1029"/>
      <c r="H276" s="1034"/>
      <c r="I276" s="1035"/>
      <c r="J276" s="1033"/>
      <c r="K276" s="1027"/>
      <c r="L276" s="999"/>
    </row>
    <row r="277" spans="1:13" s="23" customFormat="1" ht="17.25" customHeight="1">
      <c r="A277" s="1653" t="str">
        <f>G260</f>
        <v>LƯƠNG THÁNG 09/2025</v>
      </c>
      <c r="B277" s="1656"/>
      <c r="C277" s="1656"/>
      <c r="D277" s="1656"/>
      <c r="E277" s="998">
        <v>33</v>
      </c>
      <c r="F277" s="1033"/>
      <c r="G277" s="1653" t="str">
        <f>A277</f>
        <v>LƯƠNG THÁNG 09/2025</v>
      </c>
      <c r="H277" s="1656"/>
      <c r="I277" s="1656"/>
      <c r="J277" s="1657"/>
      <c r="K277" s="998">
        <v>34</v>
      </c>
      <c r="L277" s="999"/>
    </row>
    <row r="278" spans="1:13" s="23" customFormat="1" ht="17.25" customHeight="1">
      <c r="A278" s="1028" t="s">
        <v>13</v>
      </c>
      <c r="B278" s="1000" t="str">
        <f>'CNKT '!D48</f>
        <v>T. Sô Đa</v>
      </c>
      <c r="C278" s="1001"/>
      <c r="D278" s="1002" t="s">
        <v>353</v>
      </c>
      <c r="E278" s="1002" t="s">
        <v>16</v>
      </c>
      <c r="F278" s="1033"/>
      <c r="G278" s="1028" t="s">
        <v>13</v>
      </c>
      <c r="H278" s="1000" t="str">
        <f>'CNKT '!D49</f>
        <v>N. Pheng Mi</v>
      </c>
      <c r="I278" s="1001"/>
      <c r="J278" s="1002" t="s">
        <v>353</v>
      </c>
      <c r="K278" s="1002" t="s">
        <v>16</v>
      </c>
      <c r="L278" s="999"/>
    </row>
    <row r="279" spans="1:13" s="23" customFormat="1" ht="17.25" customHeight="1">
      <c r="A279" s="1004" t="s">
        <v>354</v>
      </c>
      <c r="B279" s="1005" t="s">
        <v>454</v>
      </c>
      <c r="C279" s="1006">
        <f>VLOOKUP(B278,'SẢN LƯỢNG'!$D$17:$AR$94,37,0)</f>
        <v>3989</v>
      </c>
      <c r="D279" s="1007"/>
      <c r="E279" s="1007"/>
      <c r="F279" s="1033"/>
      <c r="G279" s="1004" t="s">
        <v>354</v>
      </c>
      <c r="H279" s="1005" t="s">
        <v>454</v>
      </c>
      <c r="I279" s="1006">
        <f>VLOOKUP(H278,'SẢN LƯỢNG'!$D$17:$AR$94,37,0)</f>
        <v>4457</v>
      </c>
      <c r="J279" s="1007"/>
      <c r="K279" s="1007"/>
      <c r="L279" s="999"/>
    </row>
    <row r="280" spans="1:13" s="23" customFormat="1" ht="17.25" customHeight="1">
      <c r="A280" s="1004" t="s">
        <v>68</v>
      </c>
      <c r="B280" s="1008" t="s">
        <v>380</v>
      </c>
      <c r="C280" s="581">
        <f>VLOOKUP(B278,'CNKT '!$D$16:$AC$96,3,0)</f>
        <v>0</v>
      </c>
      <c r="D280" s="582">
        <v>25000</v>
      </c>
      <c r="E280" s="1007">
        <f>C280*D280</f>
        <v>0</v>
      </c>
      <c r="F280" s="1033"/>
      <c r="G280" s="1004" t="s">
        <v>68</v>
      </c>
      <c r="H280" s="1008" t="s">
        <v>380</v>
      </c>
      <c r="I280" s="581">
        <f>VLOOKUP(H278,'CNKT '!$D$16:$AC$96,3,0)</f>
        <v>0</v>
      </c>
      <c r="J280" s="582">
        <v>25000</v>
      </c>
      <c r="K280" s="1007">
        <f>I280*J280</f>
        <v>0</v>
      </c>
      <c r="L280" s="999"/>
    </row>
    <row r="281" spans="1:13" s="23" customFormat="1" ht="17.25" customHeight="1">
      <c r="A281" s="1004" t="s">
        <v>269</v>
      </c>
      <c r="B281" s="1009" t="s">
        <v>455</v>
      </c>
      <c r="C281" s="1010" t="str">
        <f>VLOOKUP(B278,'CNKT '!$D$16:$AC$96,11,0)</f>
        <v>A</v>
      </c>
      <c r="D281" s="583">
        <f>46.1*$B$2</f>
        <v>30424.156000000003</v>
      </c>
      <c r="E281" s="1007" t="e">
        <f>C281*D281</f>
        <v>#VALUE!</v>
      </c>
      <c r="F281" s="1033"/>
      <c r="G281" s="1004" t="s">
        <v>269</v>
      </c>
      <c r="H281" s="1009" t="s">
        <v>455</v>
      </c>
      <c r="I281" s="1010" t="str">
        <f>VLOOKUP(H278,'CNKT '!$D$16:$AC$96,11,0)</f>
        <v>B</v>
      </c>
      <c r="J281" s="583">
        <f>46.1*$B$2</f>
        <v>30424.156000000003</v>
      </c>
      <c r="K281" s="1007" t="e">
        <f>I281*J281</f>
        <v>#VALUE!</v>
      </c>
      <c r="L281" s="999"/>
    </row>
    <row r="282" spans="1:13" s="23" customFormat="1" ht="17.25" customHeight="1">
      <c r="A282" s="1004" t="s">
        <v>356</v>
      </c>
      <c r="B282" s="1009" t="s">
        <v>456</v>
      </c>
      <c r="C282" s="1010">
        <f>VLOOKUP(B278,'CNKT '!$D$16:$AC$96,12,0)</f>
        <v>7706021</v>
      </c>
      <c r="D282" s="582">
        <f>76.9*$B$2</f>
        <v>50750.924000000006</v>
      </c>
      <c r="E282" s="1007">
        <f t="shared" ref="E282:E283" si="63">C282*D282</f>
        <v>391087686113.40405</v>
      </c>
      <c r="F282" s="1033"/>
      <c r="G282" s="1004" t="s">
        <v>356</v>
      </c>
      <c r="H282" s="1009" t="s">
        <v>456</v>
      </c>
      <c r="I282" s="1010">
        <f>VLOOKUP(H278,'CNKT '!$D$16:$AC$96,12,0)</f>
        <v>7021961</v>
      </c>
      <c r="J282" s="582">
        <f>76.9*$B$2</f>
        <v>50750.924000000006</v>
      </c>
      <c r="K282" s="1007">
        <f t="shared" ref="K282:K283" si="64">I282*J282</f>
        <v>356371009041.96405</v>
      </c>
      <c r="L282" s="999"/>
    </row>
    <row r="283" spans="1:13" s="23" customFormat="1" ht="17.25" customHeight="1">
      <c r="A283" s="1004" t="s">
        <v>69</v>
      </c>
      <c r="B283" s="1009" t="s">
        <v>457</v>
      </c>
      <c r="C283" s="1010">
        <f>VLOOKUP(B278,'CNKT '!$D$16:$AC$96,8,0)</f>
        <v>1932.1699998871929</v>
      </c>
      <c r="D283" s="582">
        <f>IF(C279="A",6.1,IF(C279="B",5.8,IF(C279="C",5.5,IF(C279="C.",5.5,IF(C279="D",5.2)))))*$B$2</f>
        <v>0</v>
      </c>
      <c r="E283" s="1007">
        <f t="shared" si="63"/>
        <v>0</v>
      </c>
      <c r="F283" s="1033"/>
      <c r="G283" s="1004" t="s">
        <v>69</v>
      </c>
      <c r="H283" s="1009" t="s">
        <v>457</v>
      </c>
      <c r="I283" s="1010">
        <f>VLOOKUP(H278,'CNKT '!$D$16:$AC$96,8,0)</f>
        <v>1830.1980396464021</v>
      </c>
      <c r="J283" s="582">
        <f>IF(I279="A",6.1,IF(I279="B",5.8,IF(I279="C",5.5,IF(I279="C.",5.5,IF(I279="D",5.2)))))*$B$2</f>
        <v>0</v>
      </c>
      <c r="K283" s="1007">
        <f t="shared" si="64"/>
        <v>0</v>
      </c>
      <c r="L283" s="999"/>
    </row>
    <row r="284" spans="1:13" s="23" customFormat="1" ht="17.25" customHeight="1">
      <c r="A284" s="1004" t="s">
        <v>431</v>
      </c>
      <c r="B284" s="1009" t="s">
        <v>458</v>
      </c>
      <c r="C284" s="1010">
        <f>VLOOKUP(B278,'CNKT '!$D$16:$AC$96,13,0)</f>
        <v>26</v>
      </c>
      <c r="D284" s="583">
        <v>100000</v>
      </c>
      <c r="E284" s="1007">
        <f>C284*D284</f>
        <v>2600000</v>
      </c>
      <c r="F284" s="1033"/>
      <c r="G284" s="1004" t="s">
        <v>431</v>
      </c>
      <c r="H284" s="1009" t="s">
        <v>458</v>
      </c>
      <c r="I284" s="1010">
        <f>VLOOKUP(H278,'CNKT '!$D$16:$AC$96,13,0)</f>
        <v>26</v>
      </c>
      <c r="J284" s="583">
        <v>100000</v>
      </c>
      <c r="K284" s="1007">
        <f>I284*J284</f>
        <v>2600000</v>
      </c>
      <c r="L284" s="999"/>
    </row>
    <row r="285" spans="1:13" s="23" customFormat="1" ht="17.25" customHeight="1">
      <c r="A285" s="1073" t="s">
        <v>780</v>
      </c>
      <c r="B285" s="1065" t="s">
        <v>434</v>
      </c>
      <c r="C285" s="1066">
        <f>VLOOKUP(B278,'CNKT '!$D$16:$AC$96,14,0)</f>
        <v>4</v>
      </c>
      <c r="D285" s="1067">
        <f>153.8*$B$2</f>
        <v>101501.84800000001</v>
      </c>
      <c r="E285" s="1068">
        <f t="shared" ref="E285" si="65">C285*D285</f>
        <v>406007.39200000005</v>
      </c>
      <c r="F285" s="1033"/>
      <c r="G285" s="1073" t="s">
        <v>780</v>
      </c>
      <c r="H285" s="1065" t="s">
        <v>434</v>
      </c>
      <c r="I285" s="1066">
        <f>VLOOKUP(H278,'CNKT '!$D$16:$AC$96,14,0)</f>
        <v>4</v>
      </c>
      <c r="J285" s="1067">
        <f>153.8*$B$2</f>
        <v>101501.84800000001</v>
      </c>
      <c r="K285" s="1068">
        <f t="shared" ref="K285" si="66">I285*J285</f>
        <v>406007.39200000005</v>
      </c>
      <c r="L285" s="999"/>
    </row>
    <row r="286" spans="1:13" s="23" customFormat="1" ht="17.25" customHeight="1">
      <c r="A286" s="1073" t="s">
        <v>781</v>
      </c>
      <c r="B286" s="1065" t="s">
        <v>435</v>
      </c>
      <c r="C286" s="1066">
        <f>VLOOKUP(B278,'CNKT '!$D$16:$AC$96,18,0)</f>
        <v>0</v>
      </c>
      <c r="D286" s="1067">
        <v>100000</v>
      </c>
      <c r="E286" s="1068">
        <f>C286*D286</f>
        <v>0</v>
      </c>
      <c r="F286" s="1033"/>
      <c r="G286" s="1073" t="s">
        <v>781</v>
      </c>
      <c r="H286" s="1065" t="s">
        <v>435</v>
      </c>
      <c r="I286" s="1066">
        <f>VLOOKUP(H278,'CNKT '!$D$16:$AC$96,18,0)</f>
        <v>0</v>
      </c>
      <c r="J286" s="1067">
        <v>100000</v>
      </c>
      <c r="K286" s="1068">
        <f>I286*J286</f>
        <v>0</v>
      </c>
      <c r="L286" s="999"/>
    </row>
    <row r="287" spans="1:13" s="23" customFormat="1" ht="17.25" customHeight="1">
      <c r="A287" s="1004" t="s">
        <v>394</v>
      </c>
      <c r="B287" s="1009" t="s">
        <v>435</v>
      </c>
      <c r="C287" s="1010">
        <f>VLOOKUP(B278,'CNKT '!$D$16:$AC$96,19,0)</f>
        <v>0</v>
      </c>
      <c r="D287" s="582">
        <v>20000</v>
      </c>
      <c r="E287" s="1007">
        <f>C287*D287</f>
        <v>0</v>
      </c>
      <c r="F287" s="1033"/>
      <c r="G287" s="1004" t="s">
        <v>394</v>
      </c>
      <c r="H287" s="1009" t="s">
        <v>435</v>
      </c>
      <c r="I287" s="1010">
        <f>VLOOKUP(H278,'CNKT '!$D$16:$AC$96,19,0)</f>
        <v>0</v>
      </c>
      <c r="J287" s="582">
        <v>20000</v>
      </c>
      <c r="K287" s="1007">
        <f>I287*J287</f>
        <v>0</v>
      </c>
      <c r="L287" s="999"/>
    </row>
    <row r="288" spans="1:13" s="23" customFormat="1" ht="17.25" customHeight="1">
      <c r="A288" s="1004" t="s">
        <v>731</v>
      </c>
      <c r="B288" s="1011" t="s">
        <v>732</v>
      </c>
      <c r="C288" s="1010"/>
      <c r="D288" s="582"/>
      <c r="E288" s="1007">
        <f>VLOOKUP(B278,'CNKT '!$D$16:$AG$99,28,0)</f>
        <v>0</v>
      </c>
      <c r="F288" s="1033"/>
      <c r="G288" s="1004" t="s">
        <v>731</v>
      </c>
      <c r="H288" s="1011" t="s">
        <v>732</v>
      </c>
      <c r="I288" s="1010"/>
      <c r="J288" s="582"/>
      <c r="K288" s="1007">
        <f>VLOOKUP(H278,'CNKT '!$D$16:$AG$99,28,0)</f>
        <v>0</v>
      </c>
      <c r="L288" s="999"/>
    </row>
    <row r="289" spans="1:13" s="23" customFormat="1" ht="17.25" customHeight="1">
      <c r="A289" s="1012" t="s">
        <v>70</v>
      </c>
      <c r="B289" s="1013" t="s">
        <v>459</v>
      </c>
      <c r="C289" s="1014"/>
      <c r="D289" s="1015"/>
      <c r="E289" s="1014"/>
      <c r="F289" s="1033"/>
      <c r="G289" s="1012" t="s">
        <v>70</v>
      </c>
      <c r="H289" s="1013" t="s">
        <v>459</v>
      </c>
      <c r="I289" s="1014"/>
      <c r="J289" s="1015"/>
      <c r="K289" s="1014"/>
      <c r="L289" s="999"/>
    </row>
    <row r="290" spans="1:13" s="23" customFormat="1" ht="17.25" customHeight="1">
      <c r="A290" s="1016" t="s">
        <v>71</v>
      </c>
      <c r="B290" s="1017" t="s">
        <v>460</v>
      </c>
      <c r="C290" s="1014"/>
      <c r="D290" s="1014"/>
      <c r="E290" s="1014"/>
      <c r="F290" s="1033"/>
      <c r="G290" s="1016" t="s">
        <v>71</v>
      </c>
      <c r="H290" s="1017" t="s">
        <v>460</v>
      </c>
      <c r="I290" s="1014"/>
      <c r="J290" s="1014"/>
      <c r="K290" s="1014"/>
      <c r="L290" s="999"/>
    </row>
    <row r="291" spans="1:13" s="23" customFormat="1" ht="17.25" customHeight="1">
      <c r="A291" s="1016" t="s">
        <v>72</v>
      </c>
      <c r="B291" s="1018" t="s">
        <v>461</v>
      </c>
      <c r="C291" s="1014"/>
      <c r="D291" s="1014"/>
      <c r="E291" s="1007">
        <f>SUM(E290)</f>
        <v>0</v>
      </c>
      <c r="F291" s="1033"/>
      <c r="G291" s="1016" t="s">
        <v>72</v>
      </c>
      <c r="H291" s="1018" t="s">
        <v>461</v>
      </c>
      <c r="I291" s="1014"/>
      <c r="J291" s="1014"/>
      <c r="K291" s="1007">
        <f>SUM(K290)</f>
        <v>0</v>
      </c>
      <c r="L291" s="999"/>
      <c r="M291" s="1019">
        <f>E291+K291</f>
        <v>0</v>
      </c>
    </row>
    <row r="292" spans="1:13" s="23" customFormat="1" ht="17.25" customHeight="1">
      <c r="A292" s="1020" t="s">
        <v>73</v>
      </c>
      <c r="B292" s="1021" t="s">
        <v>381</v>
      </c>
      <c r="C292" s="1022"/>
      <c r="D292" s="1022"/>
      <c r="E292" s="1022" t="e">
        <f>(E280+E281+E282+E283+E284+E285+E286+E287+E288)-E291</f>
        <v>#VALUE!</v>
      </c>
      <c r="F292" s="1033"/>
      <c r="G292" s="1020" t="s">
        <v>73</v>
      </c>
      <c r="H292" s="1021" t="s">
        <v>381</v>
      </c>
      <c r="I292" s="1022"/>
      <c r="J292" s="1022"/>
      <c r="K292" s="1022" t="e">
        <f>(K280+K281+K282+K283+K284+K285+K286+K287+K288)-K291</f>
        <v>#VALUE!</v>
      </c>
      <c r="L292" s="1024" t="e">
        <f>E292+K292</f>
        <v>#VALUE!</v>
      </c>
    </row>
    <row r="293" spans="1:13" s="23" customFormat="1" ht="17.25" customHeight="1">
      <c r="A293" s="1029"/>
      <c r="B293" s="1034"/>
      <c r="C293" s="1035"/>
      <c r="D293" s="1035"/>
      <c r="E293" s="1033"/>
      <c r="F293" s="1033"/>
      <c r="G293" s="1029"/>
      <c r="H293" s="1034"/>
      <c r="I293" s="1035"/>
      <c r="J293" s="1033"/>
      <c r="K293" s="1027"/>
      <c r="L293" s="999"/>
    </row>
    <row r="294" spans="1:13" s="23" customFormat="1" ht="17.25" customHeight="1">
      <c r="A294" s="1653" t="str">
        <f>G277</f>
        <v>LƯƠNG THÁNG 09/2025</v>
      </c>
      <c r="B294" s="1656"/>
      <c r="C294" s="1656"/>
      <c r="D294" s="1656"/>
      <c r="E294" s="998">
        <v>35</v>
      </c>
      <c r="F294" s="1032"/>
      <c r="G294" s="1653" t="str">
        <f>A294</f>
        <v>LƯƠNG THÁNG 09/2025</v>
      </c>
      <c r="H294" s="1656"/>
      <c r="I294" s="1656"/>
      <c r="J294" s="1657"/>
      <c r="K294" s="998">
        <v>36</v>
      </c>
      <c r="L294" s="999"/>
    </row>
    <row r="295" spans="1:13" s="23" customFormat="1" ht="17.25" customHeight="1">
      <c r="A295" s="1028" t="s">
        <v>13</v>
      </c>
      <c r="B295" s="1000" t="str">
        <f>'CNKT '!D50</f>
        <v>N. Tủn</v>
      </c>
      <c r="C295" s="1001"/>
      <c r="D295" s="1002" t="s">
        <v>353</v>
      </c>
      <c r="E295" s="1002" t="s">
        <v>16</v>
      </c>
      <c r="F295" s="1032"/>
      <c r="G295" s="1028" t="s">
        <v>13</v>
      </c>
      <c r="H295" s="1000" t="str">
        <f>'CNKT '!D51</f>
        <v>T. Lung</v>
      </c>
      <c r="I295" s="1001"/>
      <c r="J295" s="1002" t="s">
        <v>353</v>
      </c>
      <c r="K295" s="1002" t="s">
        <v>16</v>
      </c>
      <c r="L295" s="999"/>
    </row>
    <row r="296" spans="1:13" s="23" customFormat="1" ht="17.25" customHeight="1">
      <c r="A296" s="1004" t="s">
        <v>354</v>
      </c>
      <c r="B296" s="1005" t="s">
        <v>454</v>
      </c>
      <c r="C296" s="1006">
        <f>VLOOKUP(B295,'SẢN LƯỢNG'!$D$17:$AR$94,37,0)</f>
        <v>4251</v>
      </c>
      <c r="D296" s="1007"/>
      <c r="E296" s="1007"/>
      <c r="F296" s="1025"/>
      <c r="G296" s="1004" t="s">
        <v>354</v>
      </c>
      <c r="H296" s="1005" t="s">
        <v>454</v>
      </c>
      <c r="I296" s="1006">
        <f>VLOOKUP(H295,'SẢN LƯỢNG'!$D$17:$AR$94,37,0)</f>
        <v>4304</v>
      </c>
      <c r="J296" s="1007"/>
      <c r="K296" s="1007"/>
      <c r="L296" s="999"/>
    </row>
    <row r="297" spans="1:13" s="23" customFormat="1" ht="17.25" customHeight="1">
      <c r="A297" s="1004" t="s">
        <v>68</v>
      </c>
      <c r="B297" s="1008" t="s">
        <v>380</v>
      </c>
      <c r="C297" s="581">
        <f>VLOOKUP(B295,'CNKT '!$D$16:$AC$96,3,0)</f>
        <v>0</v>
      </c>
      <c r="D297" s="582">
        <v>25000</v>
      </c>
      <c r="E297" s="1007">
        <f>C297*D297</f>
        <v>0</v>
      </c>
      <c r="F297" s="1025"/>
      <c r="G297" s="1004" t="s">
        <v>68</v>
      </c>
      <c r="H297" s="1008" t="s">
        <v>380</v>
      </c>
      <c r="I297" s="581">
        <f>VLOOKUP(H295,'CNKT '!$D$16:$AC$96,3,0)</f>
        <v>0</v>
      </c>
      <c r="J297" s="582">
        <v>25000</v>
      </c>
      <c r="K297" s="1007">
        <f>I297*J297</f>
        <v>0</v>
      </c>
      <c r="L297" s="999"/>
    </row>
    <row r="298" spans="1:13" s="23" customFormat="1" ht="17.25" customHeight="1">
      <c r="A298" s="1004" t="s">
        <v>269</v>
      </c>
      <c r="B298" s="1009" t="s">
        <v>455</v>
      </c>
      <c r="C298" s="1010" t="str">
        <f>VLOOKUP(B295,'CNKT '!$D$16:$AC$96,11,0)</f>
        <v>A</v>
      </c>
      <c r="D298" s="583">
        <f>46.1*$B$2</f>
        <v>30424.156000000003</v>
      </c>
      <c r="E298" s="1007" t="e">
        <f>C298*D298</f>
        <v>#VALUE!</v>
      </c>
      <c r="F298" s="1033"/>
      <c r="G298" s="1004" t="s">
        <v>269</v>
      </c>
      <c r="H298" s="1009" t="s">
        <v>455</v>
      </c>
      <c r="I298" s="1010" t="str">
        <f>VLOOKUP(H295,'CNKT '!$D$16:$AC$96,11,0)</f>
        <v>A</v>
      </c>
      <c r="J298" s="583">
        <f>46.1*$B$2</f>
        <v>30424.156000000003</v>
      </c>
      <c r="K298" s="1007" t="e">
        <f>I298*J298</f>
        <v>#VALUE!</v>
      </c>
      <c r="L298" s="999"/>
    </row>
    <row r="299" spans="1:13" s="23" customFormat="1" ht="17.25" customHeight="1">
      <c r="A299" s="1004" t="s">
        <v>356</v>
      </c>
      <c r="B299" s="1009" t="s">
        <v>456</v>
      </c>
      <c r="C299" s="1010">
        <f>VLOOKUP(B295,'CNKT '!$D$16:$AC$96,12,0)</f>
        <v>6561145</v>
      </c>
      <c r="D299" s="582">
        <f>76.9*$B$2</f>
        <v>50750.924000000006</v>
      </c>
      <c r="E299" s="1007">
        <f t="shared" ref="E299:E300" si="67">C299*D299</f>
        <v>332984171247.98004</v>
      </c>
      <c r="F299" s="1025"/>
      <c r="G299" s="1004" t="s">
        <v>356</v>
      </c>
      <c r="H299" s="1009" t="s">
        <v>456</v>
      </c>
      <c r="I299" s="1010">
        <f>VLOOKUP(H295,'CNKT '!$D$16:$AC$96,12,0)</f>
        <v>6727442</v>
      </c>
      <c r="J299" s="582">
        <f>76.9*$B$2</f>
        <v>50750.924000000006</v>
      </c>
      <c r="K299" s="1007">
        <f t="shared" ref="K299:K300" si="68">I299*J299</f>
        <v>341423897656.40802</v>
      </c>
      <c r="L299" s="999"/>
    </row>
    <row r="300" spans="1:13" s="23" customFormat="1" ht="17.25" customHeight="1">
      <c r="A300" s="1004" t="s">
        <v>69</v>
      </c>
      <c r="B300" s="1009" t="s">
        <v>457</v>
      </c>
      <c r="C300" s="1010">
        <f>VLOOKUP(B295,'CNKT '!$D$16:$AC$96,8,0)</f>
        <v>1616.1010668464733</v>
      </c>
      <c r="D300" s="582">
        <f>IF(C296="A",6.1,IF(C296="B",5.8,IF(C296="C",5.5,IF(C296="C.",5.5,IF(C296="D",5.2)))))*$B$2</f>
        <v>0</v>
      </c>
      <c r="E300" s="1007">
        <f t="shared" si="67"/>
        <v>0</v>
      </c>
      <c r="F300" s="1029"/>
      <c r="G300" s="1004" t="s">
        <v>69</v>
      </c>
      <c r="H300" s="1009" t="s">
        <v>457</v>
      </c>
      <c r="I300" s="1010">
        <f>VLOOKUP(H295,'CNKT '!$D$16:$AC$96,8,0)</f>
        <v>1658.920461406459</v>
      </c>
      <c r="J300" s="582">
        <f>IF(I296="A",6.1,IF(I296="B",5.8,IF(I296="C",5.5,IF(I296="C.",5.5,IF(I296="D",5.2)))))*$B$2</f>
        <v>0</v>
      </c>
      <c r="K300" s="1007">
        <f t="shared" si="68"/>
        <v>0</v>
      </c>
      <c r="L300" s="999"/>
    </row>
    <row r="301" spans="1:13" s="23" customFormat="1" ht="17.25" customHeight="1">
      <c r="A301" s="1004" t="s">
        <v>431</v>
      </c>
      <c r="B301" s="1009" t="s">
        <v>458</v>
      </c>
      <c r="C301" s="1010">
        <f>VLOOKUP(B295,'CNKT '!$D$16:$AC$96,13,0)</f>
        <v>26</v>
      </c>
      <c r="D301" s="583">
        <v>100000</v>
      </c>
      <c r="E301" s="1007">
        <f>C301*D301</f>
        <v>2600000</v>
      </c>
      <c r="F301" s="1029"/>
      <c r="G301" s="1004" t="s">
        <v>431</v>
      </c>
      <c r="H301" s="1009" t="s">
        <v>458</v>
      </c>
      <c r="I301" s="1010">
        <f>VLOOKUP(H295,'CNKT '!$D$16:$AC$96,13,0)</f>
        <v>26</v>
      </c>
      <c r="J301" s="583">
        <v>100000</v>
      </c>
      <c r="K301" s="1007">
        <f>I301*J301</f>
        <v>2600000</v>
      </c>
      <c r="L301" s="999"/>
    </row>
    <row r="302" spans="1:13" s="23" customFormat="1" ht="17.25" customHeight="1">
      <c r="A302" s="1073" t="s">
        <v>780</v>
      </c>
      <c r="B302" s="1065" t="s">
        <v>434</v>
      </c>
      <c r="C302" s="1066">
        <f>VLOOKUP(B295,'CNKT '!$D$16:$AC$96,14,0)</f>
        <v>4</v>
      </c>
      <c r="D302" s="1067">
        <f>153.8*$B$2</f>
        <v>101501.84800000001</v>
      </c>
      <c r="E302" s="1068">
        <f t="shared" ref="E302" si="69">C302*D302</f>
        <v>406007.39200000005</v>
      </c>
      <c r="F302" s="1029"/>
      <c r="G302" s="1073" t="s">
        <v>780</v>
      </c>
      <c r="H302" s="1065" t="s">
        <v>434</v>
      </c>
      <c r="I302" s="1066">
        <f>VLOOKUP(H295,'CNKT '!$D$16:$AC$96,14,0)</f>
        <v>4</v>
      </c>
      <c r="J302" s="1067">
        <f>153.8*$B$2</f>
        <v>101501.84800000001</v>
      </c>
      <c r="K302" s="1068">
        <f t="shared" ref="K302" si="70">I302*J302</f>
        <v>406007.39200000005</v>
      </c>
      <c r="L302" s="999"/>
    </row>
    <row r="303" spans="1:13" s="23" customFormat="1" ht="17.25" customHeight="1">
      <c r="A303" s="1073" t="s">
        <v>781</v>
      </c>
      <c r="B303" s="1065" t="s">
        <v>435</v>
      </c>
      <c r="C303" s="1066">
        <f>VLOOKUP(B295,'CNKT '!$D$16:$AC$96,18,0)</f>
        <v>0</v>
      </c>
      <c r="D303" s="1067">
        <v>100000</v>
      </c>
      <c r="E303" s="1068">
        <f>C303*D303</f>
        <v>0</v>
      </c>
      <c r="F303" s="1029"/>
      <c r="G303" s="1073" t="s">
        <v>781</v>
      </c>
      <c r="H303" s="1065" t="s">
        <v>435</v>
      </c>
      <c r="I303" s="1066">
        <f>VLOOKUP(H295,'CNKT '!$D$16:$AC$96,18,0)</f>
        <v>0</v>
      </c>
      <c r="J303" s="1067">
        <v>100000</v>
      </c>
      <c r="K303" s="1068">
        <f>I303*J303</f>
        <v>0</v>
      </c>
      <c r="L303" s="999"/>
    </row>
    <row r="304" spans="1:13" s="23" customFormat="1" ht="17.25" customHeight="1">
      <c r="A304" s="1004" t="s">
        <v>394</v>
      </c>
      <c r="B304" s="1009" t="s">
        <v>435</v>
      </c>
      <c r="C304" s="1010">
        <f>VLOOKUP(B295,'CNKT '!$D$16:$AC$96,19,0)</f>
        <v>0</v>
      </c>
      <c r="D304" s="582">
        <v>20000</v>
      </c>
      <c r="E304" s="1007">
        <f>C304*D304</f>
        <v>0</v>
      </c>
      <c r="F304" s="1029"/>
      <c r="G304" s="1004" t="s">
        <v>394</v>
      </c>
      <c r="H304" s="1009" t="s">
        <v>435</v>
      </c>
      <c r="I304" s="1010">
        <f>VLOOKUP(H295,'CNKT '!$D$16:$AC$96,19,0)</f>
        <v>0</v>
      </c>
      <c r="J304" s="582">
        <v>20000</v>
      </c>
      <c r="K304" s="1007">
        <f>I304*J304</f>
        <v>0</v>
      </c>
      <c r="L304" s="999"/>
    </row>
    <row r="305" spans="1:13" s="23" customFormat="1" ht="17.25" customHeight="1">
      <c r="A305" s="1004" t="s">
        <v>731</v>
      </c>
      <c r="B305" s="1011" t="s">
        <v>732</v>
      </c>
      <c r="C305" s="1010"/>
      <c r="D305" s="582"/>
      <c r="E305" s="1007">
        <f>VLOOKUP(B295,'CNKT '!$D$16:$AG$99,28,0)</f>
        <v>0</v>
      </c>
      <c r="F305" s="1029"/>
      <c r="G305" s="1004" t="s">
        <v>731</v>
      </c>
      <c r="H305" s="1011" t="s">
        <v>732</v>
      </c>
      <c r="I305" s="1010"/>
      <c r="J305" s="582"/>
      <c r="K305" s="1007">
        <f>VLOOKUP(H295,'CNKT '!$D$16:$AG$99,28,0)</f>
        <v>0</v>
      </c>
      <c r="L305" s="999"/>
    </row>
    <row r="306" spans="1:13" s="23" customFormat="1" ht="17.25" customHeight="1">
      <c r="A306" s="1012" t="s">
        <v>70</v>
      </c>
      <c r="B306" s="1013" t="s">
        <v>459</v>
      </c>
      <c r="C306" s="1014"/>
      <c r="D306" s="1015"/>
      <c r="E306" s="1014"/>
      <c r="F306" s="1029"/>
      <c r="G306" s="1012" t="s">
        <v>70</v>
      </c>
      <c r="H306" s="1013" t="s">
        <v>459</v>
      </c>
      <c r="I306" s="1014"/>
      <c r="J306" s="1015"/>
      <c r="K306" s="1014"/>
      <c r="L306" s="999"/>
    </row>
    <row r="307" spans="1:13" s="23" customFormat="1" ht="17.25" customHeight="1">
      <c r="A307" s="1016" t="s">
        <v>71</v>
      </c>
      <c r="B307" s="1017" t="s">
        <v>460</v>
      </c>
      <c r="C307" s="1014"/>
      <c r="D307" s="1014"/>
      <c r="E307" s="1014"/>
      <c r="F307" s="1029"/>
      <c r="G307" s="1016" t="s">
        <v>71</v>
      </c>
      <c r="H307" s="1017" t="s">
        <v>460</v>
      </c>
      <c r="I307" s="1014"/>
      <c r="J307" s="1014"/>
      <c r="K307" s="1014"/>
      <c r="L307" s="999"/>
    </row>
    <row r="308" spans="1:13" s="23" customFormat="1" ht="17.25" customHeight="1">
      <c r="A308" s="1016" t="s">
        <v>72</v>
      </c>
      <c r="B308" s="1018" t="s">
        <v>461</v>
      </c>
      <c r="C308" s="1014"/>
      <c r="D308" s="1014"/>
      <c r="E308" s="1007">
        <f>SUM(E307)</f>
        <v>0</v>
      </c>
      <c r="F308" s="1029"/>
      <c r="G308" s="1016" t="s">
        <v>72</v>
      </c>
      <c r="H308" s="1018" t="s">
        <v>461</v>
      </c>
      <c r="I308" s="1014"/>
      <c r="J308" s="1014"/>
      <c r="K308" s="1007">
        <f>SUM(K307)</f>
        <v>0</v>
      </c>
      <c r="L308" s="999"/>
      <c r="M308" s="1019">
        <f>E308+K308</f>
        <v>0</v>
      </c>
    </row>
    <row r="309" spans="1:13" s="23" customFormat="1" ht="17.25" customHeight="1">
      <c r="A309" s="1020" t="s">
        <v>73</v>
      </c>
      <c r="B309" s="1021" t="s">
        <v>381</v>
      </c>
      <c r="C309" s="1022"/>
      <c r="D309" s="1022"/>
      <c r="E309" s="1022" t="e">
        <f>(E297+E298+E299+E300+E301+E302+E303+E304+E305)-E308</f>
        <v>#VALUE!</v>
      </c>
      <c r="F309" s="1029"/>
      <c r="G309" s="1020" t="s">
        <v>73</v>
      </c>
      <c r="H309" s="1021" t="s">
        <v>381</v>
      </c>
      <c r="I309" s="1022"/>
      <c r="J309" s="1022"/>
      <c r="K309" s="1022" t="e">
        <f>(K297+K298+K299+K300+K301+K302+K303+K304+K305)-K308</f>
        <v>#VALUE!</v>
      </c>
      <c r="L309" s="1024" t="e">
        <f>E309+K309</f>
        <v>#VALUE!</v>
      </c>
    </row>
    <row r="310" spans="1:13" s="23" customFormat="1" ht="12" customHeight="1">
      <c r="A310" s="1029"/>
      <c r="B310" s="1034"/>
      <c r="C310" s="1035"/>
      <c r="D310" s="1035"/>
      <c r="E310" s="1033"/>
      <c r="F310" s="1029"/>
      <c r="G310" s="1029"/>
      <c r="H310" s="1034"/>
      <c r="I310" s="1035"/>
      <c r="J310" s="1033"/>
      <c r="K310" s="1027"/>
      <c r="L310" s="999"/>
    </row>
    <row r="311" spans="1:13" s="23" customFormat="1" ht="17.25" customHeight="1">
      <c r="A311" s="1653" t="str">
        <f>G294</f>
        <v>LƯƠNG THÁNG 09/2025</v>
      </c>
      <c r="B311" s="1656"/>
      <c r="C311" s="1656"/>
      <c r="D311" s="1656"/>
      <c r="E311" s="998">
        <v>37</v>
      </c>
      <c r="F311" s="1033"/>
      <c r="G311" s="1653" t="str">
        <f>A311</f>
        <v>LƯƠNG THÁNG 09/2025</v>
      </c>
      <c r="H311" s="1656"/>
      <c r="I311" s="1656"/>
      <c r="J311" s="1657"/>
      <c r="K311" s="998">
        <v>38</v>
      </c>
      <c r="L311" s="999"/>
    </row>
    <row r="312" spans="1:13" s="23" customFormat="1" ht="17.25" customHeight="1">
      <c r="A312" s="1028" t="s">
        <v>13</v>
      </c>
      <c r="B312" s="1000" t="str">
        <f>'CNKT '!D52</f>
        <v>T. Bi Ly (2)</v>
      </c>
      <c r="C312" s="1001"/>
      <c r="D312" s="1002" t="s">
        <v>353</v>
      </c>
      <c r="E312" s="1002" t="s">
        <v>16</v>
      </c>
      <c r="F312" s="1025"/>
      <c r="G312" s="1028" t="s">
        <v>13</v>
      </c>
      <c r="H312" s="1000" t="str">
        <f>'CNKT '!D53</f>
        <v>N. Ba Say</v>
      </c>
      <c r="I312" s="1001"/>
      <c r="J312" s="1002" t="s">
        <v>353</v>
      </c>
      <c r="K312" s="1002" t="s">
        <v>16</v>
      </c>
      <c r="L312" s="999"/>
    </row>
    <row r="313" spans="1:13" s="23" customFormat="1" ht="17.25" customHeight="1">
      <c r="A313" s="1004" t="s">
        <v>354</v>
      </c>
      <c r="B313" s="1005" t="s">
        <v>454</v>
      </c>
      <c r="C313" s="1006">
        <f>VLOOKUP(B312,'SẢN LƯỢNG'!$D$17:$AR$94,37,0)</f>
        <v>4193</v>
      </c>
      <c r="D313" s="1007"/>
      <c r="E313" s="1007"/>
      <c r="F313" s="1029"/>
      <c r="G313" s="1004" t="s">
        <v>354</v>
      </c>
      <c r="H313" s="1005" t="s">
        <v>454</v>
      </c>
      <c r="I313" s="1006">
        <f>VLOOKUP(H312,'SẢN LƯỢNG'!$D$17:$AR$94,37,0)</f>
        <v>3710</v>
      </c>
      <c r="J313" s="1007"/>
      <c r="K313" s="1007"/>
      <c r="L313" s="999"/>
    </row>
    <row r="314" spans="1:13" s="23" customFormat="1" ht="17.25" customHeight="1">
      <c r="A314" s="1004" t="s">
        <v>68</v>
      </c>
      <c r="B314" s="1008" t="s">
        <v>380</v>
      </c>
      <c r="C314" s="581">
        <f>VLOOKUP(B312,'CNKT '!$D$16:$AC$96,3,0)</f>
        <v>0</v>
      </c>
      <c r="D314" s="582">
        <v>25000</v>
      </c>
      <c r="E314" s="1007">
        <f>C314*D314</f>
        <v>0</v>
      </c>
      <c r="F314" s="1029"/>
      <c r="G314" s="1004" t="s">
        <v>68</v>
      </c>
      <c r="H314" s="1008" t="s">
        <v>380</v>
      </c>
      <c r="I314" s="581">
        <f>VLOOKUP(H312,'CNKT '!$D$16:$AC$96,3,0)</f>
        <v>0</v>
      </c>
      <c r="J314" s="582">
        <v>25000</v>
      </c>
      <c r="K314" s="1007">
        <f>I314*J314</f>
        <v>0</v>
      </c>
      <c r="L314" s="999"/>
    </row>
    <row r="315" spans="1:13" s="23" customFormat="1" ht="17.25" customHeight="1">
      <c r="A315" s="1004" t="s">
        <v>269</v>
      </c>
      <c r="B315" s="1009" t="s">
        <v>455</v>
      </c>
      <c r="C315" s="1010" t="str">
        <f>VLOOKUP(B312,'CNKT '!$D$16:$AC$96,11,0)</f>
        <v>A</v>
      </c>
      <c r="D315" s="583">
        <f>46.1*$B$2</f>
        <v>30424.156000000003</v>
      </c>
      <c r="E315" s="1007" t="e">
        <f>C315*D315</f>
        <v>#VALUE!</v>
      </c>
      <c r="F315" s="1029"/>
      <c r="G315" s="1004" t="s">
        <v>269</v>
      </c>
      <c r="H315" s="1009" t="s">
        <v>455</v>
      </c>
      <c r="I315" s="1010" t="str">
        <f>VLOOKUP(H312,'CNKT '!$D$16:$AC$96,11,0)</f>
        <v>B</v>
      </c>
      <c r="J315" s="583">
        <f>46.1*$B$2</f>
        <v>30424.156000000003</v>
      </c>
      <c r="K315" s="1007" t="e">
        <f>I315*J315</f>
        <v>#VALUE!</v>
      </c>
      <c r="L315" s="999"/>
    </row>
    <row r="316" spans="1:13" s="23" customFormat="1" ht="17.25" customHeight="1">
      <c r="A316" s="1004" t="s">
        <v>356</v>
      </c>
      <c r="B316" s="1009" t="s">
        <v>456</v>
      </c>
      <c r="C316" s="1010">
        <f>VLOOKUP(B312,'CNKT '!$D$16:$AC$96,12,0)</f>
        <v>7389610</v>
      </c>
      <c r="D316" s="582">
        <f>76.9*$B$2</f>
        <v>50750.924000000006</v>
      </c>
      <c r="E316" s="1007">
        <f t="shared" ref="E316:E317" si="71">C316*D316</f>
        <v>375029535499.64008</v>
      </c>
      <c r="F316" s="1029"/>
      <c r="G316" s="1004" t="s">
        <v>356</v>
      </c>
      <c r="H316" s="1009" t="s">
        <v>456</v>
      </c>
      <c r="I316" s="1010">
        <f>VLOOKUP(H312,'CNKT '!$D$16:$AC$96,12,0)</f>
        <v>5578933</v>
      </c>
      <c r="J316" s="582">
        <f>76.9*$B$2</f>
        <v>50750.924000000006</v>
      </c>
      <c r="K316" s="1007">
        <f t="shared" ref="K316:K317" si="72">I316*J316</f>
        <v>283136004684.09204</v>
      </c>
      <c r="L316" s="999"/>
    </row>
    <row r="317" spans="1:13" s="23" customFormat="1" ht="17.25" customHeight="1">
      <c r="A317" s="1004" t="s">
        <v>69</v>
      </c>
      <c r="B317" s="1009" t="s">
        <v>457</v>
      </c>
      <c r="C317" s="1010">
        <f>VLOOKUP(B312,'CNKT '!$D$16:$AC$96,8,0)</f>
        <v>1840.3510919647492</v>
      </c>
      <c r="D317" s="582">
        <f>IF(C313="A",6.1,IF(C313="B",5.8,IF(C313="C",5.5,IF(C313="C.",5.5,IF(C313="D",5.2)))))*$B$2</f>
        <v>0</v>
      </c>
      <c r="E317" s="1007">
        <f t="shared" si="71"/>
        <v>0</v>
      </c>
      <c r="F317" s="1032"/>
      <c r="G317" s="1004" t="s">
        <v>69</v>
      </c>
      <c r="H317" s="1009" t="s">
        <v>457</v>
      </c>
      <c r="I317" s="1010">
        <f>VLOOKUP(H312,'CNKT '!$D$16:$AC$96,8,0)</f>
        <v>1448.3549850650857</v>
      </c>
      <c r="J317" s="582">
        <f>IF(I313="A",6.1,IF(I313="B",5.8,IF(I313="C",5.5,IF(I313="C.",5.5,IF(I313="D",5.2)))))*$B$2</f>
        <v>0</v>
      </c>
      <c r="K317" s="1007">
        <f t="shared" si="72"/>
        <v>0</v>
      </c>
      <c r="L317" s="999"/>
    </row>
    <row r="318" spans="1:13" s="23" customFormat="1" ht="17.25" customHeight="1">
      <c r="A318" s="1004" t="s">
        <v>431</v>
      </c>
      <c r="B318" s="1009" t="s">
        <v>458</v>
      </c>
      <c r="C318" s="1010">
        <f>VLOOKUP(B312,'CNKT '!$D$16:$AC$96,13,0)</f>
        <v>27</v>
      </c>
      <c r="D318" s="583">
        <v>100000</v>
      </c>
      <c r="E318" s="1007">
        <f>C318*D318</f>
        <v>2700000</v>
      </c>
      <c r="F318" s="1032"/>
      <c r="G318" s="1004" t="s">
        <v>431</v>
      </c>
      <c r="H318" s="1009" t="s">
        <v>458</v>
      </c>
      <c r="I318" s="1010">
        <f>VLOOKUP(H312,'CNKT '!$D$16:$AC$96,13,0)</f>
        <v>26</v>
      </c>
      <c r="J318" s="583">
        <v>100000</v>
      </c>
      <c r="K318" s="1007">
        <f>I318*J318</f>
        <v>2600000</v>
      </c>
      <c r="L318" s="999"/>
    </row>
    <row r="319" spans="1:13" s="23" customFormat="1" ht="17.25" customHeight="1">
      <c r="A319" s="1073" t="s">
        <v>780</v>
      </c>
      <c r="B319" s="1065" t="s">
        <v>434</v>
      </c>
      <c r="C319" s="1066">
        <f>VLOOKUP(B312,'CNKT '!$D$16:$AC$96,14,0)</f>
        <v>4</v>
      </c>
      <c r="D319" s="1067">
        <f>153.8*$B$2</f>
        <v>101501.84800000001</v>
      </c>
      <c r="E319" s="1068">
        <f t="shared" ref="E319" si="73">C319*D319</f>
        <v>406007.39200000005</v>
      </c>
      <c r="F319" s="1032"/>
      <c r="G319" s="1073" t="s">
        <v>780</v>
      </c>
      <c r="H319" s="1065" t="s">
        <v>434</v>
      </c>
      <c r="I319" s="1066">
        <f>VLOOKUP(H312,'CNKT '!$D$16:$AC$96,14,0)</f>
        <v>4</v>
      </c>
      <c r="J319" s="1067">
        <f>153.8*$B$2</f>
        <v>101501.84800000001</v>
      </c>
      <c r="K319" s="1068">
        <f t="shared" ref="K319" si="74">I319*J319</f>
        <v>406007.39200000005</v>
      </c>
      <c r="L319" s="999"/>
    </row>
    <row r="320" spans="1:13" s="23" customFormat="1" ht="17.25" customHeight="1">
      <c r="A320" s="1073" t="s">
        <v>781</v>
      </c>
      <c r="B320" s="1065" t="s">
        <v>435</v>
      </c>
      <c r="C320" s="1066">
        <f>VLOOKUP(B312,'CNKT '!$D$16:$AC$96,18,0)</f>
        <v>0</v>
      </c>
      <c r="D320" s="1067">
        <v>100000</v>
      </c>
      <c r="E320" s="1068">
        <f>C320*D320</f>
        <v>0</v>
      </c>
      <c r="F320" s="1032"/>
      <c r="G320" s="1073" t="s">
        <v>781</v>
      </c>
      <c r="H320" s="1065" t="s">
        <v>435</v>
      </c>
      <c r="I320" s="1066">
        <f>VLOOKUP(H312,'CNKT '!$D$16:$AC$96,18,0)</f>
        <v>0</v>
      </c>
      <c r="J320" s="1067">
        <v>100000</v>
      </c>
      <c r="K320" s="1068">
        <f>I320*J320</f>
        <v>0</v>
      </c>
      <c r="L320" s="999"/>
    </row>
    <row r="321" spans="1:13" s="23" customFormat="1" ht="17.25" customHeight="1">
      <c r="A321" s="1004" t="s">
        <v>394</v>
      </c>
      <c r="B321" s="1009" t="s">
        <v>435</v>
      </c>
      <c r="C321" s="1010">
        <f>VLOOKUP(B312,'CNKT '!$D$16:$AC$96,19,0)</f>
        <v>0</v>
      </c>
      <c r="D321" s="582">
        <v>20000</v>
      </c>
      <c r="E321" s="1007">
        <f>C321*D321</f>
        <v>0</v>
      </c>
      <c r="F321" s="1032"/>
      <c r="G321" s="1004" t="s">
        <v>394</v>
      </c>
      <c r="H321" s="1009" t="s">
        <v>435</v>
      </c>
      <c r="I321" s="1010">
        <f>VLOOKUP(H312,'CNKT '!$D$16:$AC$96,19,0)</f>
        <v>0</v>
      </c>
      <c r="J321" s="582">
        <v>20000</v>
      </c>
      <c r="K321" s="1007">
        <f>I321*J321</f>
        <v>0</v>
      </c>
      <c r="L321" s="999"/>
    </row>
    <row r="322" spans="1:13" s="23" customFormat="1" ht="17.25" customHeight="1">
      <c r="A322" s="1004" t="s">
        <v>731</v>
      </c>
      <c r="B322" s="1011" t="s">
        <v>732</v>
      </c>
      <c r="C322" s="1010"/>
      <c r="D322" s="582"/>
      <c r="E322" s="1007">
        <f>VLOOKUP(B312,'CNKT '!$D$16:$AG$99,28,0)</f>
        <v>0</v>
      </c>
      <c r="F322" s="1032"/>
      <c r="G322" s="1004" t="s">
        <v>731</v>
      </c>
      <c r="H322" s="1011" t="s">
        <v>732</v>
      </c>
      <c r="I322" s="1010"/>
      <c r="J322" s="582"/>
      <c r="K322" s="1007">
        <f>VLOOKUP(H312,'CNKT '!$D$16:$AG$99,28,0)</f>
        <v>0</v>
      </c>
      <c r="L322" s="999"/>
    </row>
    <row r="323" spans="1:13" s="23" customFormat="1" ht="17.25" customHeight="1">
      <c r="A323" s="1012" t="s">
        <v>70</v>
      </c>
      <c r="B323" s="1013" t="s">
        <v>459</v>
      </c>
      <c r="C323" s="1014"/>
      <c r="D323" s="1015"/>
      <c r="E323" s="1014"/>
      <c r="F323" s="1032"/>
      <c r="G323" s="1012" t="s">
        <v>70</v>
      </c>
      <c r="H323" s="1013" t="s">
        <v>459</v>
      </c>
      <c r="I323" s="1014"/>
      <c r="J323" s="1015"/>
      <c r="K323" s="1014"/>
      <c r="L323" s="999"/>
    </row>
    <row r="324" spans="1:13" s="23" customFormat="1" ht="17.25" customHeight="1">
      <c r="A324" s="1016" t="s">
        <v>71</v>
      </c>
      <c r="B324" s="1017" t="s">
        <v>460</v>
      </c>
      <c r="C324" s="1014"/>
      <c r="D324" s="1014"/>
      <c r="E324" s="1014"/>
      <c r="F324" s="1025"/>
      <c r="G324" s="1016" t="s">
        <v>71</v>
      </c>
      <c r="H324" s="1017" t="s">
        <v>460</v>
      </c>
      <c r="I324" s="1014"/>
      <c r="J324" s="1014"/>
      <c r="K324" s="1014"/>
      <c r="L324" s="999"/>
    </row>
    <row r="325" spans="1:13" s="23" customFormat="1" ht="17.25" customHeight="1">
      <c r="A325" s="1016" t="s">
        <v>72</v>
      </c>
      <c r="B325" s="1018" t="s">
        <v>461</v>
      </c>
      <c r="C325" s="1014"/>
      <c r="D325" s="1014"/>
      <c r="E325" s="1007">
        <f>SUM(E324)</f>
        <v>0</v>
      </c>
      <c r="F325" s="1025"/>
      <c r="G325" s="1016" t="s">
        <v>72</v>
      </c>
      <c r="H325" s="1018" t="s">
        <v>461</v>
      </c>
      <c r="I325" s="1014"/>
      <c r="J325" s="1014"/>
      <c r="K325" s="1007">
        <f>SUM(K324)</f>
        <v>0</v>
      </c>
      <c r="L325" s="999"/>
      <c r="M325" s="1019">
        <f>E325+K325</f>
        <v>0</v>
      </c>
    </row>
    <row r="326" spans="1:13" s="23" customFormat="1" ht="17.25" customHeight="1">
      <c r="A326" s="1020" t="s">
        <v>73</v>
      </c>
      <c r="B326" s="1021" t="s">
        <v>381</v>
      </c>
      <c r="C326" s="1022"/>
      <c r="D326" s="1022"/>
      <c r="E326" s="1022" t="e">
        <f>(E314+E315+E316+E317+E318+E319+E320+E321+E322)-E325</f>
        <v>#VALUE!</v>
      </c>
      <c r="F326" s="1025"/>
      <c r="G326" s="1020" t="s">
        <v>73</v>
      </c>
      <c r="H326" s="1021" t="s">
        <v>381</v>
      </c>
      <c r="I326" s="1022"/>
      <c r="J326" s="1022"/>
      <c r="K326" s="1022" t="e">
        <f>(K314+K315+K316+K317+K318+K319+K320+K321+K322)-K325</f>
        <v>#VALUE!</v>
      </c>
      <c r="L326" s="1024" t="e">
        <f>E326+K326</f>
        <v>#VALUE!</v>
      </c>
    </row>
    <row r="327" spans="1:13" s="23" customFormat="1" ht="17.25" customHeight="1">
      <c r="A327" s="1029"/>
      <c r="B327" s="1034"/>
      <c r="C327" s="1035"/>
      <c r="D327" s="1035"/>
      <c r="E327" s="1033"/>
      <c r="F327" s="1025"/>
      <c r="G327" s="1029"/>
      <c r="H327" s="1034"/>
      <c r="I327" s="1035"/>
      <c r="J327" s="1033"/>
      <c r="K327" s="1027"/>
      <c r="L327" s="999"/>
    </row>
    <row r="328" spans="1:13" s="23" customFormat="1" ht="17.25" customHeight="1">
      <c r="A328" s="1019"/>
      <c r="B328" s="1038"/>
      <c r="C328" s="584"/>
      <c r="D328" s="584"/>
      <c r="E328" s="1029"/>
      <c r="F328" s="1029"/>
      <c r="G328" s="1019"/>
      <c r="H328" s="1038"/>
      <c r="I328" s="584"/>
      <c r="J328" s="1029"/>
      <c r="K328" s="1027"/>
      <c r="L328" s="999"/>
    </row>
    <row r="329" spans="1:13" s="23" customFormat="1" ht="17.25" customHeight="1">
      <c r="A329" s="1653" t="str">
        <f>G311</f>
        <v>LƯƠNG THÁNG 09/2025</v>
      </c>
      <c r="B329" s="1656"/>
      <c r="C329" s="1656"/>
      <c r="D329" s="1656"/>
      <c r="E329" s="998">
        <v>39</v>
      </c>
      <c r="F329" s="1029"/>
      <c r="G329" s="1653" t="str">
        <f>A329</f>
        <v>LƯƠNG THÁNG 09/2025</v>
      </c>
      <c r="H329" s="1656"/>
      <c r="I329" s="1656"/>
      <c r="J329" s="1657"/>
      <c r="K329" s="998">
        <v>40</v>
      </c>
      <c r="L329" s="999"/>
    </row>
    <row r="330" spans="1:13" s="23" customFormat="1" ht="17.25" customHeight="1">
      <c r="A330" s="1028" t="s">
        <v>13</v>
      </c>
      <c r="B330" s="1000" t="str">
        <f>'CNKT '!D54</f>
        <v>N. Đeng</v>
      </c>
      <c r="C330" s="1001"/>
      <c r="D330" s="1002" t="s">
        <v>353</v>
      </c>
      <c r="E330" s="1002" t="s">
        <v>16</v>
      </c>
      <c r="F330" s="1029"/>
      <c r="G330" s="1028" t="s">
        <v>13</v>
      </c>
      <c r="H330" s="1000" t="str">
        <f>'CNKT '!D55</f>
        <v>T. Tinh</v>
      </c>
      <c r="I330" s="1001"/>
      <c r="J330" s="1002" t="s">
        <v>353</v>
      </c>
      <c r="K330" s="1002" t="s">
        <v>16</v>
      </c>
      <c r="L330" s="999"/>
    </row>
    <row r="331" spans="1:13" s="23" customFormat="1" ht="17.25" customHeight="1">
      <c r="A331" s="1004" t="s">
        <v>354</v>
      </c>
      <c r="B331" s="1005" t="s">
        <v>454</v>
      </c>
      <c r="C331" s="1006">
        <f>VLOOKUP(B330,'SẢN LƯỢNG'!$D$17:$AR$94,37,0)</f>
        <v>4115</v>
      </c>
      <c r="D331" s="1007"/>
      <c r="E331" s="1007"/>
      <c r="F331" s="1029"/>
      <c r="G331" s="1004" t="s">
        <v>354</v>
      </c>
      <c r="H331" s="1005" t="s">
        <v>454</v>
      </c>
      <c r="I331" s="1006">
        <f>VLOOKUP(H330,'SẢN LƯỢNG'!$D$17:$AR$94,37,0)</f>
        <v>3763</v>
      </c>
      <c r="J331" s="1007"/>
      <c r="K331" s="1007"/>
      <c r="L331" s="999"/>
    </row>
    <row r="332" spans="1:13" s="23" customFormat="1" ht="17.25" customHeight="1">
      <c r="A332" s="1004" t="s">
        <v>68</v>
      </c>
      <c r="B332" s="1008" t="s">
        <v>380</v>
      </c>
      <c r="C332" s="581">
        <f>VLOOKUP(B330,'CNKT '!$D$16:$AC$96,3,0)</f>
        <v>0</v>
      </c>
      <c r="D332" s="582">
        <v>25000</v>
      </c>
      <c r="E332" s="1007">
        <f>C332*D332</f>
        <v>0</v>
      </c>
      <c r="F332" s="1032"/>
      <c r="G332" s="1004" t="s">
        <v>68</v>
      </c>
      <c r="H332" s="1008" t="s">
        <v>380</v>
      </c>
      <c r="I332" s="581">
        <f>VLOOKUP(H330,'CNKT '!$D$16:$AC$96,3,0)</f>
        <v>0</v>
      </c>
      <c r="J332" s="582">
        <v>25000</v>
      </c>
      <c r="K332" s="1007">
        <f>I332*J332</f>
        <v>0</v>
      </c>
      <c r="L332" s="999"/>
    </row>
    <row r="333" spans="1:13" s="23" customFormat="1" ht="17.25" customHeight="1">
      <c r="A333" s="1004" t="s">
        <v>269</v>
      </c>
      <c r="B333" s="1009" t="s">
        <v>455</v>
      </c>
      <c r="C333" s="1010" t="str">
        <f>VLOOKUP(B330,'CNKT '!$D$16:$AC$96,11,0)</f>
        <v>A</v>
      </c>
      <c r="D333" s="583">
        <f>46.1*$B$2</f>
        <v>30424.156000000003</v>
      </c>
      <c r="E333" s="1007" t="e">
        <f>C333*D333</f>
        <v>#VALUE!</v>
      </c>
      <c r="F333" s="1032"/>
      <c r="G333" s="1004" t="s">
        <v>269</v>
      </c>
      <c r="H333" s="1009" t="s">
        <v>455</v>
      </c>
      <c r="I333" s="1010" t="str">
        <f>VLOOKUP(H330,'CNKT '!$D$16:$AC$96,11,0)</f>
        <v>A</v>
      </c>
      <c r="J333" s="583">
        <f>46.1*$B$2</f>
        <v>30424.156000000003</v>
      </c>
      <c r="K333" s="1007" t="e">
        <f>I333*J333</f>
        <v>#VALUE!</v>
      </c>
      <c r="L333" s="999"/>
    </row>
    <row r="334" spans="1:13" s="23" customFormat="1" ht="17.25" customHeight="1">
      <c r="A334" s="1004" t="s">
        <v>356</v>
      </c>
      <c r="B334" s="1009" t="s">
        <v>456</v>
      </c>
      <c r="C334" s="1010">
        <f>VLOOKUP(B330,'CNKT '!$D$16:$AC$96,12,0)</f>
        <v>5616002</v>
      </c>
      <c r="D334" s="582">
        <f>76.9*$B$2</f>
        <v>50750.924000000006</v>
      </c>
      <c r="E334" s="1007">
        <f t="shared" ref="E334:E335" si="75">C334*D334</f>
        <v>285017290685.84802</v>
      </c>
      <c r="F334" s="1033"/>
      <c r="G334" s="1004" t="s">
        <v>356</v>
      </c>
      <c r="H334" s="1009" t="s">
        <v>456</v>
      </c>
      <c r="I334" s="1010">
        <f>VLOOKUP(H330,'CNKT '!$D$16:$AC$96,12,0)</f>
        <v>5729419</v>
      </c>
      <c r="J334" s="582">
        <f>76.9*$B$2</f>
        <v>50750.924000000006</v>
      </c>
      <c r="K334" s="1007">
        <f t="shared" ref="K334:K335" si="76">I334*J334</f>
        <v>290773308233.15601</v>
      </c>
      <c r="L334" s="999"/>
    </row>
    <row r="335" spans="1:13" s="23" customFormat="1" ht="17.25" customHeight="1">
      <c r="A335" s="1004" t="s">
        <v>69</v>
      </c>
      <c r="B335" s="1009" t="s">
        <v>457</v>
      </c>
      <c r="C335" s="1010">
        <f>VLOOKUP(B330,'CNKT '!$D$16:$AC$96,8,0)</f>
        <v>1367.1305665183086</v>
      </c>
      <c r="D335" s="582">
        <f>IF(C331="A",6.1,IF(C331="B",5.8,IF(C331="C",5.5,IF(C331="C.",5.5,IF(C331="D",5.2)))))*$B$2</f>
        <v>0</v>
      </c>
      <c r="E335" s="1007">
        <f t="shared" si="75"/>
        <v>0</v>
      </c>
      <c r="F335" s="1033"/>
      <c r="G335" s="1004" t="s">
        <v>69</v>
      </c>
      <c r="H335" s="1009" t="s">
        <v>457</v>
      </c>
      <c r="I335" s="1010">
        <f>VLOOKUP(H330,'CNKT '!$D$16:$AC$96,8,0)</f>
        <v>1409.5085240209748</v>
      </c>
      <c r="J335" s="582">
        <f>IF(I331="A",6.1,IF(I331="B",5.8,IF(I331="C",5.5,IF(I331="C.",5.5,IF(I331="D",5.2)))))*$B$2</f>
        <v>0</v>
      </c>
      <c r="K335" s="1007">
        <f t="shared" si="76"/>
        <v>0</v>
      </c>
      <c r="L335" s="999"/>
    </row>
    <row r="336" spans="1:13" s="23" customFormat="1" ht="17.25" customHeight="1">
      <c r="A336" s="1004" t="s">
        <v>431</v>
      </c>
      <c r="B336" s="1009" t="s">
        <v>458</v>
      </c>
      <c r="C336" s="1010">
        <f>VLOOKUP(B330,'CNKT '!$D$16:$AC$96,13,0)</f>
        <v>22</v>
      </c>
      <c r="D336" s="583">
        <v>100000</v>
      </c>
      <c r="E336" s="1007">
        <f>C336*D336</f>
        <v>2200000</v>
      </c>
      <c r="F336" s="1033"/>
      <c r="G336" s="1004" t="s">
        <v>431</v>
      </c>
      <c r="H336" s="1009" t="s">
        <v>458</v>
      </c>
      <c r="I336" s="1010">
        <f>VLOOKUP(H330,'CNKT '!$D$16:$AC$96,13,0)</f>
        <v>26</v>
      </c>
      <c r="J336" s="583">
        <v>100000</v>
      </c>
      <c r="K336" s="1007">
        <f>I336*J336</f>
        <v>2600000</v>
      </c>
      <c r="L336" s="999"/>
    </row>
    <row r="337" spans="1:13" s="23" customFormat="1" ht="17.25" customHeight="1">
      <c r="A337" s="1073" t="s">
        <v>780</v>
      </c>
      <c r="B337" s="1065" t="s">
        <v>434</v>
      </c>
      <c r="C337" s="1066">
        <f>VLOOKUP(B330,'CNKT '!$D$16:$AC$96,14,0)</f>
        <v>3</v>
      </c>
      <c r="D337" s="1067">
        <f>153.8*$B$2</f>
        <v>101501.84800000001</v>
      </c>
      <c r="E337" s="1068">
        <f t="shared" ref="E337" si="77">C337*D337</f>
        <v>304505.54400000005</v>
      </c>
      <c r="F337" s="1033"/>
      <c r="G337" s="1073" t="s">
        <v>780</v>
      </c>
      <c r="H337" s="1065" t="s">
        <v>434</v>
      </c>
      <c r="I337" s="1066">
        <f>VLOOKUP(H330,'CNKT '!$D$16:$AC$96,14,0)</f>
        <v>4</v>
      </c>
      <c r="J337" s="1067">
        <f>153.8*$B$2</f>
        <v>101501.84800000001</v>
      </c>
      <c r="K337" s="1068">
        <f t="shared" ref="K337" si="78">I337*J337</f>
        <v>406007.39200000005</v>
      </c>
      <c r="L337" s="999"/>
    </row>
    <row r="338" spans="1:13" s="23" customFormat="1" ht="17.25" customHeight="1">
      <c r="A338" s="1073" t="s">
        <v>781</v>
      </c>
      <c r="B338" s="1065" t="s">
        <v>435</v>
      </c>
      <c r="C338" s="1066">
        <f>VLOOKUP(B330,'CNKT '!$D$16:$AC$96,18,0)</f>
        <v>0</v>
      </c>
      <c r="D338" s="1067">
        <v>100000</v>
      </c>
      <c r="E338" s="1068">
        <f>C338*D338</f>
        <v>0</v>
      </c>
      <c r="F338" s="1033"/>
      <c r="G338" s="1073" t="s">
        <v>781</v>
      </c>
      <c r="H338" s="1065" t="s">
        <v>435</v>
      </c>
      <c r="I338" s="1066">
        <f>VLOOKUP(H330,'CNKT '!$D$16:$AC$96,18,0)</f>
        <v>0</v>
      </c>
      <c r="J338" s="1067">
        <v>100000</v>
      </c>
      <c r="K338" s="1068">
        <f>I338*J338</f>
        <v>0</v>
      </c>
      <c r="L338" s="999"/>
    </row>
    <row r="339" spans="1:13" s="23" customFormat="1" ht="17.25" customHeight="1">
      <c r="A339" s="1004" t="s">
        <v>394</v>
      </c>
      <c r="B339" s="1009" t="s">
        <v>435</v>
      </c>
      <c r="C339" s="1010">
        <f>VLOOKUP(B330,'CNKT '!$D$16:$AC$96,19,0)</f>
        <v>0</v>
      </c>
      <c r="D339" s="582">
        <v>20000</v>
      </c>
      <c r="E339" s="1007">
        <f>C339*D339</f>
        <v>0</v>
      </c>
      <c r="F339" s="1033"/>
      <c r="G339" s="1004" t="s">
        <v>394</v>
      </c>
      <c r="H339" s="1009" t="s">
        <v>435</v>
      </c>
      <c r="I339" s="1010">
        <f>VLOOKUP(H330,'CNKT '!$D$16:$AC$96,19,0)</f>
        <v>0</v>
      </c>
      <c r="J339" s="582">
        <v>20000</v>
      </c>
      <c r="K339" s="1007">
        <f>I339*J339</f>
        <v>0</v>
      </c>
      <c r="L339" s="999"/>
    </row>
    <row r="340" spans="1:13" s="23" customFormat="1" ht="17.25" customHeight="1">
      <c r="A340" s="1004" t="s">
        <v>731</v>
      </c>
      <c r="B340" s="1011" t="s">
        <v>732</v>
      </c>
      <c r="C340" s="1010"/>
      <c r="D340" s="582"/>
      <c r="E340" s="1007">
        <f>VLOOKUP(B330,'CNKT '!$D$16:$AG$99,28,0)</f>
        <v>0</v>
      </c>
      <c r="F340" s="1033"/>
      <c r="G340" s="1004" t="s">
        <v>731</v>
      </c>
      <c r="H340" s="1011" t="s">
        <v>732</v>
      </c>
      <c r="I340" s="1010"/>
      <c r="J340" s="582"/>
      <c r="K340" s="1007">
        <f>VLOOKUP(H330,'CNKT '!$D$16:$AG$99,28,0)</f>
        <v>0</v>
      </c>
      <c r="L340" s="999"/>
    </row>
    <row r="341" spans="1:13" s="23" customFormat="1" ht="17.25" customHeight="1">
      <c r="A341" s="1012" t="s">
        <v>70</v>
      </c>
      <c r="B341" s="1013" t="s">
        <v>459</v>
      </c>
      <c r="C341" s="1014"/>
      <c r="D341" s="1015"/>
      <c r="E341" s="1014"/>
      <c r="G341" s="1012" t="s">
        <v>70</v>
      </c>
      <c r="H341" s="1013" t="s">
        <v>459</v>
      </c>
      <c r="I341" s="1014"/>
      <c r="J341" s="1015"/>
      <c r="K341" s="1014"/>
      <c r="L341" s="999"/>
    </row>
    <row r="342" spans="1:13" s="23" customFormat="1" ht="17.25" customHeight="1">
      <c r="A342" s="1016" t="s">
        <v>71</v>
      </c>
      <c r="B342" s="1017" t="s">
        <v>460</v>
      </c>
      <c r="C342" s="1014"/>
      <c r="D342" s="1014"/>
      <c r="E342" s="1014"/>
      <c r="G342" s="1016" t="s">
        <v>71</v>
      </c>
      <c r="H342" s="1017" t="s">
        <v>460</v>
      </c>
      <c r="I342" s="1014"/>
      <c r="J342" s="1014"/>
      <c r="K342" s="1014"/>
      <c r="L342" s="999"/>
    </row>
    <row r="343" spans="1:13" s="23" customFormat="1" ht="17.25" customHeight="1">
      <c r="A343" s="1016" t="s">
        <v>72</v>
      </c>
      <c r="B343" s="1018" t="s">
        <v>461</v>
      </c>
      <c r="C343" s="1014"/>
      <c r="D343" s="1014"/>
      <c r="E343" s="1007">
        <f>SUM(E342)</f>
        <v>0</v>
      </c>
      <c r="G343" s="1016" t="s">
        <v>72</v>
      </c>
      <c r="H343" s="1018" t="s">
        <v>461</v>
      </c>
      <c r="I343" s="1014"/>
      <c r="J343" s="1014"/>
      <c r="K343" s="1007">
        <f>SUM(K342)</f>
        <v>0</v>
      </c>
      <c r="L343" s="999"/>
      <c r="M343" s="1019">
        <f>E343+K343</f>
        <v>0</v>
      </c>
    </row>
    <row r="344" spans="1:13" s="23" customFormat="1" ht="17.25" customHeight="1">
      <c r="A344" s="1020" t="s">
        <v>73</v>
      </c>
      <c r="B344" s="1021" t="s">
        <v>381</v>
      </c>
      <c r="C344" s="1022"/>
      <c r="D344" s="1022"/>
      <c r="E344" s="1022" t="e">
        <f>(E332+E333+E334+E335+E336+E337+E338+E339+E340)-E343</f>
        <v>#VALUE!</v>
      </c>
      <c r="G344" s="1020" t="s">
        <v>73</v>
      </c>
      <c r="H344" s="1021" t="s">
        <v>381</v>
      </c>
      <c r="I344" s="1022"/>
      <c r="J344" s="1022"/>
      <c r="K344" s="1022" t="e">
        <f>(K332+K333+K334+K335+K336+K337+K338+K339+K340)-K343</f>
        <v>#VALUE!</v>
      </c>
      <c r="L344" s="1024" t="e">
        <f>E344+K344</f>
        <v>#VALUE!</v>
      </c>
    </row>
    <row r="345" spans="1:13" s="23" customFormat="1" ht="17.25" customHeight="1">
      <c r="A345" s="1029"/>
      <c r="B345" s="1034"/>
      <c r="C345" s="1035"/>
      <c r="D345" s="1035"/>
      <c r="E345" s="1033"/>
      <c r="G345" s="1029"/>
      <c r="H345" s="1034"/>
      <c r="I345" s="1035"/>
      <c r="J345" s="1033"/>
      <c r="K345" s="1036"/>
      <c r="L345" s="999"/>
    </row>
    <row r="346" spans="1:13" s="23" customFormat="1" ht="34.5" customHeight="1">
      <c r="A346" s="1019"/>
      <c r="B346" s="1032"/>
      <c r="C346" s="1025"/>
      <c r="D346" s="1025"/>
      <c r="E346" s="1029"/>
      <c r="F346" s="1029"/>
      <c r="G346" s="1019"/>
      <c r="H346" s="1032"/>
      <c r="I346" s="1025"/>
      <c r="J346" s="1029">
        <v>0</v>
      </c>
      <c r="K346" s="1027"/>
      <c r="L346" s="999"/>
    </row>
    <row r="347" spans="1:13" s="23" customFormat="1" ht="17.25" customHeight="1">
      <c r="A347" s="1653" t="str">
        <f>G329</f>
        <v>LƯƠNG THÁNG 09/2025</v>
      </c>
      <c r="B347" s="1656"/>
      <c r="C347" s="1656"/>
      <c r="D347" s="1656"/>
      <c r="E347" s="998">
        <v>41</v>
      </c>
      <c r="F347" s="1029"/>
      <c r="G347" s="1653" t="str">
        <f>A347</f>
        <v>LƯƠNG THÁNG 09/2025</v>
      </c>
      <c r="H347" s="1656"/>
      <c r="I347" s="1656"/>
      <c r="J347" s="1657"/>
      <c r="K347" s="998">
        <v>42</v>
      </c>
      <c r="L347" s="999"/>
    </row>
    <row r="348" spans="1:13" s="23" customFormat="1" ht="17.25" customHeight="1">
      <c r="A348" s="1028" t="s">
        <v>13</v>
      </c>
      <c r="B348" s="1000" t="str">
        <f>'CNKT '!D56</f>
        <v>T. Khăm Pỏi</v>
      </c>
      <c r="C348" s="1001"/>
      <c r="D348" s="1002" t="s">
        <v>353</v>
      </c>
      <c r="E348" s="1002" t="s">
        <v>16</v>
      </c>
      <c r="F348" s="1029"/>
      <c r="G348" s="1028" t="s">
        <v>13</v>
      </c>
      <c r="H348" s="1000" t="str">
        <f>'CNKT '!D57</f>
        <v>Lăm Ngân</v>
      </c>
      <c r="I348" s="1001"/>
      <c r="J348" s="1002" t="s">
        <v>353</v>
      </c>
      <c r="K348" s="1002" t="s">
        <v>16</v>
      </c>
      <c r="L348" s="999"/>
    </row>
    <row r="349" spans="1:13" s="23" customFormat="1" ht="17.25" customHeight="1">
      <c r="A349" s="1004" t="s">
        <v>354</v>
      </c>
      <c r="B349" s="1005" t="s">
        <v>454</v>
      </c>
      <c r="C349" s="1006">
        <f>VLOOKUP(B348,'SẢN LƯỢNG'!$D$17:$AR$94,37,0)</f>
        <v>4073</v>
      </c>
      <c r="D349" s="1007"/>
      <c r="E349" s="1007"/>
      <c r="F349" s="1032"/>
      <c r="G349" s="1004" t="s">
        <v>354</v>
      </c>
      <c r="H349" s="1005" t="s">
        <v>454</v>
      </c>
      <c r="I349" s="1006">
        <f>VLOOKUP(H348,'SẢN LƯỢNG'!$D$17:$AR$94,37,0)</f>
        <v>4220</v>
      </c>
      <c r="J349" s="1007"/>
      <c r="K349" s="1007"/>
      <c r="L349" s="999"/>
    </row>
    <row r="350" spans="1:13" s="23" customFormat="1" ht="17.25" customHeight="1">
      <c r="A350" s="1004" t="s">
        <v>68</v>
      </c>
      <c r="B350" s="1008" t="s">
        <v>380</v>
      </c>
      <c r="C350" s="581">
        <f>VLOOKUP(B348,'CNKT '!$D$16:$AC$96,3,0)</f>
        <v>0</v>
      </c>
      <c r="D350" s="582">
        <v>25000</v>
      </c>
      <c r="E350" s="1007">
        <f>C350*D350</f>
        <v>0</v>
      </c>
      <c r="F350" s="1032"/>
      <c r="G350" s="1004" t="s">
        <v>68</v>
      </c>
      <c r="H350" s="1008" t="s">
        <v>380</v>
      </c>
      <c r="I350" s="581">
        <f>VLOOKUP(H348,'CNKT '!$D$16:$AC$96,3,0)</f>
        <v>0</v>
      </c>
      <c r="J350" s="582">
        <v>25000</v>
      </c>
      <c r="K350" s="1007">
        <f>I350*J350</f>
        <v>0</v>
      </c>
      <c r="L350" s="999"/>
    </row>
    <row r="351" spans="1:13" s="23" customFormat="1" ht="17.25" customHeight="1">
      <c r="A351" s="1004" t="s">
        <v>269</v>
      </c>
      <c r="B351" s="1009" t="s">
        <v>455</v>
      </c>
      <c r="C351" s="1010" t="str">
        <f>VLOOKUP(B348,'CNKT '!$D$16:$AC$96,11,0)</f>
        <v>A</v>
      </c>
      <c r="D351" s="583">
        <f>46.1*$B$2</f>
        <v>30424.156000000003</v>
      </c>
      <c r="E351" s="1007" t="e">
        <f>C351*D351</f>
        <v>#VALUE!</v>
      </c>
      <c r="F351" s="1025"/>
      <c r="G351" s="1004" t="s">
        <v>269</v>
      </c>
      <c r="H351" s="1009" t="s">
        <v>455</v>
      </c>
      <c r="I351" s="1010" t="str">
        <f>VLOOKUP(H348,'CNKT '!$D$16:$AC$96,11,0)</f>
        <v>A</v>
      </c>
      <c r="J351" s="583">
        <f>46.1*$B$2</f>
        <v>30424.156000000003</v>
      </c>
      <c r="K351" s="1007" t="e">
        <f>I351*J351</f>
        <v>#VALUE!</v>
      </c>
      <c r="L351" s="999"/>
    </row>
    <row r="352" spans="1:13" s="23" customFormat="1" ht="17.25" customHeight="1">
      <c r="A352" s="1004" t="s">
        <v>356</v>
      </c>
      <c r="B352" s="1009" t="s">
        <v>456</v>
      </c>
      <c r="C352" s="1010">
        <f>VLOOKUP(B348,'CNKT '!$D$16:$AC$96,12,0)</f>
        <v>5796605</v>
      </c>
      <c r="D352" s="582">
        <f>76.9*$B$2</f>
        <v>50750.924000000006</v>
      </c>
      <c r="E352" s="1007">
        <f t="shared" ref="E352:E353" si="79">C352*D352</f>
        <v>294183059813.02002</v>
      </c>
      <c r="F352" s="1033"/>
      <c r="G352" s="1004" t="s">
        <v>356</v>
      </c>
      <c r="H352" s="1009" t="s">
        <v>456</v>
      </c>
      <c r="I352" s="1010">
        <f>VLOOKUP(H348,'CNKT '!$D$16:$AC$96,12,0)</f>
        <v>6677329</v>
      </c>
      <c r="J352" s="582">
        <f>76.9*$B$2</f>
        <v>50750.924000000006</v>
      </c>
      <c r="K352" s="1007">
        <f t="shared" ref="K352:K353" si="80">I352*J352</f>
        <v>338880616601.99603</v>
      </c>
      <c r="L352" s="999"/>
    </row>
    <row r="353" spans="1:13" s="23" customFormat="1" ht="17.25" customHeight="1">
      <c r="A353" s="1004" t="s">
        <v>69</v>
      </c>
      <c r="B353" s="1009" t="s">
        <v>457</v>
      </c>
      <c r="C353" s="1010">
        <f>VLOOKUP(B348,'CNKT '!$D$16:$AC$96,8,0)</f>
        <v>1417.0129539954055</v>
      </c>
      <c r="D353" s="582">
        <f>IF(C349="A",6.1,IF(C349="B",5.8,IF(C349="C",5.5,IF(C349="C.",5.5,IF(C349="D",5.2)))))*$B$2</f>
        <v>0</v>
      </c>
      <c r="E353" s="1007">
        <f t="shared" si="79"/>
        <v>0</v>
      </c>
      <c r="F353" s="1033"/>
      <c r="G353" s="1004" t="s">
        <v>69</v>
      </c>
      <c r="H353" s="1009" t="s">
        <v>457</v>
      </c>
      <c r="I353" s="1010">
        <f>VLOOKUP(H348,'CNKT '!$D$16:$AC$96,8,0)</f>
        <v>1648.3259720307924</v>
      </c>
      <c r="J353" s="582">
        <f>IF(I349="A",6.1,IF(I349="B",5.8,IF(I349="C",5.5,IF(I349="C.",5.5,IF(I349="D",5.2)))))*$B$2</f>
        <v>0</v>
      </c>
      <c r="K353" s="1007">
        <f t="shared" si="80"/>
        <v>0</v>
      </c>
      <c r="L353" s="999"/>
    </row>
    <row r="354" spans="1:13" s="23" customFormat="1" ht="17.25" customHeight="1">
      <c r="A354" s="1004" t="s">
        <v>431</v>
      </c>
      <c r="B354" s="1009" t="s">
        <v>458</v>
      </c>
      <c r="C354" s="1010">
        <f>VLOOKUP(B348,'CNKT '!$D$16:$AC$96,13,0)</f>
        <v>26</v>
      </c>
      <c r="D354" s="583">
        <v>100000</v>
      </c>
      <c r="E354" s="1007">
        <f>C354*D354</f>
        <v>2600000</v>
      </c>
      <c r="F354" s="1033"/>
      <c r="G354" s="1004" t="s">
        <v>431</v>
      </c>
      <c r="H354" s="1009" t="s">
        <v>458</v>
      </c>
      <c r="I354" s="1010">
        <f>VLOOKUP(H348,'CNKT '!$D$16:$AC$96,13,0)</f>
        <v>26</v>
      </c>
      <c r="J354" s="583">
        <v>100000</v>
      </c>
      <c r="K354" s="1007">
        <f>I354*J354</f>
        <v>2600000</v>
      </c>
      <c r="L354" s="999"/>
    </row>
    <row r="355" spans="1:13" s="23" customFormat="1" ht="17.25" customHeight="1">
      <c r="A355" s="1073" t="s">
        <v>780</v>
      </c>
      <c r="B355" s="1065" t="s">
        <v>434</v>
      </c>
      <c r="C355" s="1066">
        <f>VLOOKUP(B348,'CNKT '!$D$16:$AC$96,14,0)</f>
        <v>4</v>
      </c>
      <c r="D355" s="1067">
        <f>153.8*$B$2</f>
        <v>101501.84800000001</v>
      </c>
      <c r="E355" s="1068">
        <f t="shared" ref="E355" si="81">C355*D355</f>
        <v>406007.39200000005</v>
      </c>
      <c r="F355" s="1033"/>
      <c r="G355" s="1073" t="s">
        <v>780</v>
      </c>
      <c r="H355" s="1065" t="s">
        <v>434</v>
      </c>
      <c r="I355" s="1066">
        <f>VLOOKUP(H348,'CNKT '!$D$16:$AC$96,14,0)</f>
        <v>4</v>
      </c>
      <c r="J355" s="1067">
        <f>153.8*$B$2</f>
        <v>101501.84800000001</v>
      </c>
      <c r="K355" s="1068">
        <f t="shared" ref="K355" si="82">I355*J355</f>
        <v>406007.39200000005</v>
      </c>
      <c r="L355" s="999"/>
    </row>
    <row r="356" spans="1:13" s="23" customFormat="1" ht="17.25" customHeight="1">
      <c r="A356" s="1073" t="s">
        <v>781</v>
      </c>
      <c r="B356" s="1065" t="s">
        <v>435</v>
      </c>
      <c r="C356" s="1066">
        <f>VLOOKUP(B348,'CNKT '!$D$16:$AC$96,18,0)</f>
        <v>0</v>
      </c>
      <c r="D356" s="1067">
        <v>100000</v>
      </c>
      <c r="E356" s="1068">
        <f>C356*D356</f>
        <v>0</v>
      </c>
      <c r="F356" s="1033"/>
      <c r="G356" s="1073" t="s">
        <v>781</v>
      </c>
      <c r="H356" s="1065" t="s">
        <v>435</v>
      </c>
      <c r="I356" s="1066">
        <f>VLOOKUP(H348,'CNKT '!$D$16:$AC$96,18,0)</f>
        <v>0</v>
      </c>
      <c r="J356" s="1067">
        <v>100000</v>
      </c>
      <c r="K356" s="1068">
        <f>I356*J356</f>
        <v>0</v>
      </c>
      <c r="L356" s="999"/>
    </row>
    <row r="357" spans="1:13" s="23" customFormat="1" ht="17.25" customHeight="1">
      <c r="A357" s="1004" t="s">
        <v>394</v>
      </c>
      <c r="B357" s="1009" t="s">
        <v>435</v>
      </c>
      <c r="C357" s="1010">
        <f>VLOOKUP(B348,'CNKT '!$D$16:$AC$96,19,0)</f>
        <v>0</v>
      </c>
      <c r="D357" s="582">
        <v>20000</v>
      </c>
      <c r="E357" s="1007">
        <f>C357*D357</f>
        <v>0</v>
      </c>
      <c r="F357" s="1033"/>
      <c r="G357" s="1004" t="s">
        <v>394</v>
      </c>
      <c r="H357" s="1009" t="s">
        <v>435</v>
      </c>
      <c r="I357" s="1010">
        <f>VLOOKUP(H348,'CNKT '!$D$16:$AC$96,19,0)</f>
        <v>0</v>
      </c>
      <c r="J357" s="582">
        <v>20000</v>
      </c>
      <c r="K357" s="1007">
        <f>I357*J357</f>
        <v>0</v>
      </c>
      <c r="L357" s="999"/>
    </row>
    <row r="358" spans="1:13" s="23" customFormat="1" ht="17.25" customHeight="1">
      <c r="A358" s="1004" t="s">
        <v>731</v>
      </c>
      <c r="B358" s="1011" t="s">
        <v>732</v>
      </c>
      <c r="C358" s="1010"/>
      <c r="D358" s="582"/>
      <c r="E358" s="1007">
        <f>VLOOKUP(B348,'CNKT '!$D$16:$AG$99,28,0)</f>
        <v>0</v>
      </c>
      <c r="F358" s="1033"/>
      <c r="G358" s="1004" t="s">
        <v>731</v>
      </c>
      <c r="H358" s="1011" t="s">
        <v>732</v>
      </c>
      <c r="I358" s="1010"/>
      <c r="J358" s="582"/>
      <c r="K358" s="1007">
        <f>VLOOKUP(H348,'CNKT '!$D$16:$AG$99,28,0)</f>
        <v>0</v>
      </c>
      <c r="L358" s="999"/>
    </row>
    <row r="359" spans="1:13" s="23" customFormat="1" ht="17.25" customHeight="1">
      <c r="A359" s="1012" t="s">
        <v>70</v>
      </c>
      <c r="B359" s="1013" t="s">
        <v>459</v>
      </c>
      <c r="C359" s="1014"/>
      <c r="D359" s="1015"/>
      <c r="E359" s="1014"/>
      <c r="F359" s="1025"/>
      <c r="G359" s="1012" t="s">
        <v>70</v>
      </c>
      <c r="H359" s="1013" t="s">
        <v>459</v>
      </c>
      <c r="I359" s="1014"/>
      <c r="J359" s="1015"/>
      <c r="K359" s="1014"/>
      <c r="L359" s="999"/>
    </row>
    <row r="360" spans="1:13" s="23" customFormat="1" ht="17.25" customHeight="1">
      <c r="A360" s="1016" t="s">
        <v>71</v>
      </c>
      <c r="B360" s="1017" t="s">
        <v>460</v>
      </c>
      <c r="C360" s="1014"/>
      <c r="D360" s="1014"/>
      <c r="E360" s="1014"/>
      <c r="F360" s="1029"/>
      <c r="G360" s="1016" t="s">
        <v>71</v>
      </c>
      <c r="H360" s="1017" t="s">
        <v>460</v>
      </c>
      <c r="I360" s="1014"/>
      <c r="J360" s="1014"/>
      <c r="K360" s="1014"/>
      <c r="L360" s="999"/>
    </row>
    <row r="361" spans="1:13" s="23" customFormat="1" ht="17.25" customHeight="1">
      <c r="A361" s="1016" t="s">
        <v>72</v>
      </c>
      <c r="B361" s="1018" t="s">
        <v>461</v>
      </c>
      <c r="C361" s="1014"/>
      <c r="D361" s="1014"/>
      <c r="E361" s="1007">
        <f>SUM(E360)</f>
        <v>0</v>
      </c>
      <c r="F361" s="1029"/>
      <c r="G361" s="1016" t="s">
        <v>72</v>
      </c>
      <c r="H361" s="1018" t="s">
        <v>461</v>
      </c>
      <c r="I361" s="1014"/>
      <c r="J361" s="1014"/>
      <c r="K361" s="1007">
        <f>SUM(K360)</f>
        <v>0</v>
      </c>
      <c r="L361" s="999"/>
      <c r="M361" s="1019">
        <f>E361+K361</f>
        <v>0</v>
      </c>
    </row>
    <row r="362" spans="1:13" s="23" customFormat="1" ht="17.25" customHeight="1">
      <c r="A362" s="1020" t="s">
        <v>73</v>
      </c>
      <c r="B362" s="1021" t="s">
        <v>381</v>
      </c>
      <c r="C362" s="1022"/>
      <c r="D362" s="1022"/>
      <c r="E362" s="1022" t="e">
        <f>(E350+E351+E352+E353+E354+E355+E356+E357+E358)-E361</f>
        <v>#VALUE!</v>
      </c>
      <c r="F362" s="1029"/>
      <c r="G362" s="1020" t="s">
        <v>73</v>
      </c>
      <c r="H362" s="1021" t="s">
        <v>381</v>
      </c>
      <c r="I362" s="1022"/>
      <c r="J362" s="1022"/>
      <c r="K362" s="1022" t="e">
        <f>(K350+K351+K352+K353+K354+K355+K356+K357+K358)-K361</f>
        <v>#VALUE!</v>
      </c>
      <c r="L362" s="1024" t="e">
        <f>E362+K362</f>
        <v>#VALUE!</v>
      </c>
    </row>
    <row r="363" spans="1:13" s="23" customFormat="1" ht="17.25" customHeight="1">
      <c r="A363" s="1019"/>
      <c r="B363" s="1025"/>
      <c r="C363" s="1039"/>
      <c r="D363" s="1039"/>
      <c r="E363" s="1040"/>
      <c r="F363" s="1032"/>
      <c r="G363" s="1019"/>
      <c r="H363" s="1025"/>
      <c r="I363" s="1039"/>
      <c r="J363" s="1040"/>
      <c r="K363" s="1027"/>
      <c r="L363" s="999"/>
    </row>
    <row r="364" spans="1:13" s="23" customFormat="1" ht="17.25" customHeight="1">
      <c r="A364" s="1653" t="str">
        <f>G347</f>
        <v>LƯƠNG THÁNG 09/2025</v>
      </c>
      <c r="B364" s="1656"/>
      <c r="C364" s="1656"/>
      <c r="D364" s="1656"/>
      <c r="E364" s="998">
        <v>43</v>
      </c>
      <c r="F364" s="1025"/>
      <c r="G364" s="1653" t="str">
        <f>A364</f>
        <v>LƯƠNG THÁNG 09/2025</v>
      </c>
      <c r="H364" s="1656"/>
      <c r="I364" s="1656"/>
      <c r="J364" s="1657"/>
      <c r="K364" s="998">
        <v>44</v>
      </c>
      <c r="L364" s="999"/>
    </row>
    <row r="365" spans="1:13" s="23" customFormat="1" ht="17.25" customHeight="1">
      <c r="A365" s="1028" t="s">
        <v>13</v>
      </c>
      <c r="B365" s="1000" t="str">
        <f>'CNKT '!D58</f>
        <v>T. Không</v>
      </c>
      <c r="C365" s="1001"/>
      <c r="D365" s="1002" t="s">
        <v>353</v>
      </c>
      <c r="E365" s="1002" t="s">
        <v>16</v>
      </c>
      <c r="F365" s="1033"/>
      <c r="G365" s="1028" t="s">
        <v>13</v>
      </c>
      <c r="H365" s="1000" t="str">
        <f>'CNKT '!D59</f>
        <v>T. Lem</v>
      </c>
      <c r="I365" s="1001"/>
      <c r="J365" s="1002" t="s">
        <v>353</v>
      </c>
      <c r="K365" s="1002" t="s">
        <v>16</v>
      </c>
      <c r="L365" s="999"/>
    </row>
    <row r="366" spans="1:13" s="23" customFormat="1" ht="17.25" customHeight="1">
      <c r="A366" s="1004" t="s">
        <v>354</v>
      </c>
      <c r="B366" s="1005" t="s">
        <v>454</v>
      </c>
      <c r="C366" s="1006">
        <f>VLOOKUP(B365,'SẢN LƯỢNG'!$D$17:$AR$94,37,0)</f>
        <v>3838</v>
      </c>
      <c r="D366" s="1007"/>
      <c r="E366" s="1007"/>
      <c r="F366" s="1033"/>
      <c r="G366" s="1004" t="s">
        <v>354</v>
      </c>
      <c r="H366" s="1005" t="s">
        <v>454</v>
      </c>
      <c r="I366" s="1006">
        <f>VLOOKUP(H365,'SẢN LƯỢNG'!$D$17:$AR$94,37,0)</f>
        <v>4154</v>
      </c>
      <c r="J366" s="1007"/>
      <c r="K366" s="1007"/>
      <c r="L366" s="999"/>
    </row>
    <row r="367" spans="1:13" s="23" customFormat="1" ht="17.25" customHeight="1">
      <c r="A367" s="1004" t="s">
        <v>68</v>
      </c>
      <c r="B367" s="1008" t="s">
        <v>380</v>
      </c>
      <c r="C367" s="581">
        <f>VLOOKUP(B365,'CNKT '!$D$16:$AC$96,3,0)</f>
        <v>0</v>
      </c>
      <c r="D367" s="582">
        <v>25000</v>
      </c>
      <c r="E367" s="1007">
        <f>C367*D367</f>
        <v>0</v>
      </c>
      <c r="G367" s="1004" t="s">
        <v>68</v>
      </c>
      <c r="H367" s="1008" t="s">
        <v>380</v>
      </c>
      <c r="I367" s="581">
        <f>VLOOKUP(H365,'CNKT '!$D$16:$AC$96,3,0)</f>
        <v>0</v>
      </c>
      <c r="J367" s="582">
        <v>25000</v>
      </c>
      <c r="K367" s="1007">
        <f>I367*J367</f>
        <v>0</v>
      </c>
      <c r="L367" s="999"/>
    </row>
    <row r="368" spans="1:13" s="23" customFormat="1" ht="17.25" customHeight="1">
      <c r="A368" s="1004" t="s">
        <v>269</v>
      </c>
      <c r="B368" s="1009" t="s">
        <v>455</v>
      </c>
      <c r="C368" s="1010" t="str">
        <f>VLOOKUP(B365,'CNKT '!$D$16:$AC$96,11,0)</f>
        <v>A</v>
      </c>
      <c r="D368" s="583">
        <f>46.1*$B$2</f>
        <v>30424.156000000003</v>
      </c>
      <c r="E368" s="1007" t="e">
        <f>C368*D368</f>
        <v>#VALUE!</v>
      </c>
      <c r="F368" s="1025"/>
      <c r="G368" s="1004" t="s">
        <v>269</v>
      </c>
      <c r="H368" s="1009" t="s">
        <v>455</v>
      </c>
      <c r="I368" s="1010" t="str">
        <f>VLOOKUP(H365,'CNKT '!$D$16:$AC$96,11,0)</f>
        <v>B</v>
      </c>
      <c r="J368" s="583">
        <f>46.1*$B$2</f>
        <v>30424.156000000003</v>
      </c>
      <c r="K368" s="1007" t="e">
        <f>I368*J368</f>
        <v>#VALUE!</v>
      </c>
      <c r="L368" s="999"/>
    </row>
    <row r="369" spans="1:13" s="23" customFormat="1" ht="17.25" customHeight="1">
      <c r="A369" s="1004" t="s">
        <v>356</v>
      </c>
      <c r="B369" s="1009" t="s">
        <v>456</v>
      </c>
      <c r="C369" s="1010">
        <f>VLOOKUP(B365,'CNKT '!$D$16:$AC$96,12,0)</f>
        <v>7186753</v>
      </c>
      <c r="D369" s="582">
        <f>76.9*$B$2</f>
        <v>50750.924000000006</v>
      </c>
      <c r="E369" s="1007">
        <f t="shared" ref="E369:E370" si="83">C369*D369</f>
        <v>364734355309.77203</v>
      </c>
      <c r="F369" s="1029"/>
      <c r="G369" s="1004" t="s">
        <v>356</v>
      </c>
      <c r="H369" s="1009" t="s">
        <v>456</v>
      </c>
      <c r="I369" s="1010">
        <f>VLOOKUP(H365,'CNKT '!$D$16:$AC$96,12,0)</f>
        <v>6398878</v>
      </c>
      <c r="J369" s="582">
        <f>76.9*$B$2</f>
        <v>50750.924000000006</v>
      </c>
      <c r="K369" s="1007">
        <f t="shared" ref="K369:K370" si="84">I369*J369</f>
        <v>324748971063.27203</v>
      </c>
      <c r="L369" s="999"/>
    </row>
    <row r="370" spans="1:13" s="23" customFormat="1" ht="17.25" customHeight="1">
      <c r="A370" s="1004" t="s">
        <v>69</v>
      </c>
      <c r="B370" s="1009" t="s">
        <v>457</v>
      </c>
      <c r="C370" s="1010">
        <f>VLOOKUP(B365,'CNKT '!$D$16:$AC$96,8,0)</f>
        <v>1797.973134462083</v>
      </c>
      <c r="D370" s="582">
        <f>IF(C366="A",6.1,IF(C366="B",5.8,IF(C366="C",5.5,IF(C366="C.",5.5,IF(C366="D",5.2)))))*$B$2</f>
        <v>0</v>
      </c>
      <c r="E370" s="1007">
        <f t="shared" si="83"/>
        <v>0</v>
      </c>
      <c r="F370" s="1029"/>
      <c r="G370" s="1004" t="s">
        <v>69</v>
      </c>
      <c r="H370" s="1009" t="s">
        <v>457</v>
      </c>
      <c r="I370" s="1010">
        <f>VLOOKUP(H365,'CNKT '!$D$16:$AC$96,8,0)</f>
        <v>1664.6591431516117</v>
      </c>
      <c r="J370" s="582">
        <f>IF(I366="A",6.1,IF(I366="B",5.8,IF(I366="C",5.5,IF(I366="C.",5.5,IF(I366="D",5.2)))))*$B$2</f>
        <v>0</v>
      </c>
      <c r="K370" s="1007">
        <f t="shared" si="84"/>
        <v>0</v>
      </c>
      <c r="L370" s="999"/>
    </row>
    <row r="371" spans="1:13" s="23" customFormat="1" ht="17.25" customHeight="1">
      <c r="A371" s="1004" t="s">
        <v>431</v>
      </c>
      <c r="B371" s="1009" t="s">
        <v>458</v>
      </c>
      <c r="C371" s="1010">
        <f>VLOOKUP(B365,'CNKT '!$D$16:$AC$96,13,0)</f>
        <v>27</v>
      </c>
      <c r="D371" s="583">
        <v>100000</v>
      </c>
      <c r="E371" s="1007">
        <f>C371*D371</f>
        <v>2700000</v>
      </c>
      <c r="F371" s="1029"/>
      <c r="G371" s="1004" t="s">
        <v>431</v>
      </c>
      <c r="H371" s="1009" t="s">
        <v>458</v>
      </c>
      <c r="I371" s="1010">
        <f>VLOOKUP(H365,'CNKT '!$D$16:$AC$96,13,0)</f>
        <v>26</v>
      </c>
      <c r="J371" s="583">
        <v>100000</v>
      </c>
      <c r="K371" s="1007">
        <f>I371*J371</f>
        <v>2600000</v>
      </c>
      <c r="L371" s="999"/>
    </row>
    <row r="372" spans="1:13" s="23" customFormat="1" ht="17.25" customHeight="1">
      <c r="A372" s="1073" t="s">
        <v>780</v>
      </c>
      <c r="B372" s="1065" t="s">
        <v>434</v>
      </c>
      <c r="C372" s="1066">
        <f>VLOOKUP(B365,'CNKT '!$D$16:$AC$96,14,0)</f>
        <v>4</v>
      </c>
      <c r="D372" s="1067">
        <f>153.8*$B$2</f>
        <v>101501.84800000001</v>
      </c>
      <c r="E372" s="1068">
        <f t="shared" ref="E372" si="85">C372*D372</f>
        <v>406007.39200000005</v>
      </c>
      <c r="F372" s="1029"/>
      <c r="G372" s="1073" t="s">
        <v>780</v>
      </c>
      <c r="H372" s="1065" t="s">
        <v>434</v>
      </c>
      <c r="I372" s="1066">
        <f>VLOOKUP(H365,'CNKT '!$D$16:$AC$96,14,0)</f>
        <v>4</v>
      </c>
      <c r="J372" s="1067">
        <f>153.8*$B$2</f>
        <v>101501.84800000001</v>
      </c>
      <c r="K372" s="1068">
        <f t="shared" ref="K372" si="86">I372*J372</f>
        <v>406007.39200000005</v>
      </c>
      <c r="L372" s="999"/>
    </row>
    <row r="373" spans="1:13" s="23" customFormat="1" ht="17.25" customHeight="1">
      <c r="A373" s="1073" t="s">
        <v>781</v>
      </c>
      <c r="B373" s="1065" t="s">
        <v>435</v>
      </c>
      <c r="C373" s="1066">
        <f>VLOOKUP(B365,'CNKT '!$D$16:$AC$96,18,0)</f>
        <v>0</v>
      </c>
      <c r="D373" s="1067">
        <v>100000</v>
      </c>
      <c r="E373" s="1068">
        <f>C373*D373</f>
        <v>0</v>
      </c>
      <c r="F373" s="1029"/>
      <c r="G373" s="1073" t="s">
        <v>781</v>
      </c>
      <c r="H373" s="1065" t="s">
        <v>435</v>
      </c>
      <c r="I373" s="1066">
        <f>VLOOKUP(H365,'CNKT '!$D$16:$AC$96,18,0)</f>
        <v>0</v>
      </c>
      <c r="J373" s="1067">
        <v>100000</v>
      </c>
      <c r="K373" s="1068">
        <f>I373*J373</f>
        <v>0</v>
      </c>
      <c r="L373" s="999"/>
    </row>
    <row r="374" spans="1:13" s="23" customFormat="1" ht="17.25" customHeight="1">
      <c r="A374" s="1004" t="s">
        <v>394</v>
      </c>
      <c r="B374" s="1009" t="s">
        <v>435</v>
      </c>
      <c r="C374" s="1010">
        <f>VLOOKUP(B365,'CNKT '!$D$16:$AC$96,19,0)</f>
        <v>0</v>
      </c>
      <c r="D374" s="582">
        <v>20000</v>
      </c>
      <c r="E374" s="1007">
        <f>C374*D374</f>
        <v>0</v>
      </c>
      <c r="F374" s="1029"/>
      <c r="G374" s="1004" t="s">
        <v>394</v>
      </c>
      <c r="H374" s="1009" t="s">
        <v>435</v>
      </c>
      <c r="I374" s="1010">
        <f>VLOOKUP(H365,'CNKT '!$D$16:$AC$96,19,0)</f>
        <v>0</v>
      </c>
      <c r="J374" s="582">
        <v>20000</v>
      </c>
      <c r="K374" s="1007">
        <f>I374*J374</f>
        <v>0</v>
      </c>
      <c r="L374" s="999"/>
    </row>
    <row r="375" spans="1:13" s="23" customFormat="1" ht="17.25" customHeight="1">
      <c r="A375" s="1004" t="s">
        <v>731</v>
      </c>
      <c r="B375" s="1011" t="s">
        <v>732</v>
      </c>
      <c r="C375" s="1010"/>
      <c r="D375" s="582"/>
      <c r="E375" s="1007">
        <f>VLOOKUP(B365,'CNKT '!$D$16:$AG$99,28,0)</f>
        <v>0</v>
      </c>
      <c r="F375" s="1029"/>
      <c r="G375" s="1004" t="s">
        <v>731</v>
      </c>
      <c r="H375" s="1011" t="s">
        <v>732</v>
      </c>
      <c r="I375" s="1010"/>
      <c r="J375" s="582"/>
      <c r="K375" s="1007">
        <f>VLOOKUP(H365,'CNKT '!$D$16:$AG$99,28,0)</f>
        <v>0</v>
      </c>
      <c r="L375" s="999"/>
    </row>
    <row r="376" spans="1:13" s="23" customFormat="1" ht="17.25" customHeight="1">
      <c r="A376" s="1012" t="s">
        <v>70</v>
      </c>
      <c r="B376" s="1013" t="s">
        <v>459</v>
      </c>
      <c r="C376" s="1014"/>
      <c r="D376" s="1015"/>
      <c r="E376" s="1014"/>
      <c r="F376" s="1029"/>
      <c r="G376" s="1012" t="s">
        <v>70</v>
      </c>
      <c r="H376" s="1013" t="s">
        <v>459</v>
      </c>
      <c r="I376" s="1014"/>
      <c r="J376" s="1015"/>
      <c r="K376" s="1014"/>
      <c r="L376" s="999"/>
    </row>
    <row r="377" spans="1:13" s="23" customFormat="1" ht="17.25" customHeight="1">
      <c r="A377" s="1016" t="s">
        <v>71</v>
      </c>
      <c r="B377" s="1017" t="s">
        <v>460</v>
      </c>
      <c r="C377" s="1014"/>
      <c r="D377" s="1014"/>
      <c r="E377" s="1014"/>
      <c r="F377" s="1029"/>
      <c r="G377" s="1016" t="s">
        <v>71</v>
      </c>
      <c r="H377" s="1017" t="s">
        <v>460</v>
      </c>
      <c r="I377" s="1014"/>
      <c r="J377" s="1014"/>
      <c r="K377" s="1014"/>
      <c r="L377" s="999"/>
      <c r="M377" s="1019">
        <f>E377+K377</f>
        <v>0</v>
      </c>
    </row>
    <row r="378" spans="1:13" s="23" customFormat="1" ht="17.25" customHeight="1">
      <c r="A378" s="1016" t="s">
        <v>72</v>
      </c>
      <c r="B378" s="1018" t="s">
        <v>461</v>
      </c>
      <c r="C378" s="1014"/>
      <c r="D378" s="1014"/>
      <c r="E378" s="1007">
        <f>SUM(E377)</f>
        <v>0</v>
      </c>
      <c r="F378" s="1029"/>
      <c r="G378" s="1016" t="s">
        <v>72</v>
      </c>
      <c r="H378" s="1018" t="s">
        <v>461</v>
      </c>
      <c r="I378" s="1014"/>
      <c r="J378" s="1014"/>
      <c r="K378" s="1007">
        <f>SUM(K377)</f>
        <v>0</v>
      </c>
      <c r="L378" s="1024"/>
    </row>
    <row r="379" spans="1:13" s="23" customFormat="1" ht="17.25" customHeight="1">
      <c r="A379" s="1020" t="s">
        <v>73</v>
      </c>
      <c r="B379" s="1021" t="s">
        <v>381</v>
      </c>
      <c r="C379" s="1022"/>
      <c r="D379" s="1022"/>
      <c r="E379" s="1022" t="e">
        <f>(E367+E368+E369+E370+E371+E372+E373+E374+E375)-E378</f>
        <v>#VALUE!</v>
      </c>
      <c r="F379" s="1029"/>
      <c r="G379" s="1020" t="s">
        <v>73</v>
      </c>
      <c r="H379" s="1021" t="s">
        <v>381</v>
      </c>
      <c r="I379" s="1022"/>
      <c r="J379" s="1022"/>
      <c r="K379" s="1022" t="e">
        <f>(K367+K368+K369+K370+K371+K372+K373+K374+K375)-K378</f>
        <v>#VALUE!</v>
      </c>
      <c r="L379" s="1024" t="e">
        <f>E379+K379</f>
        <v>#VALUE!</v>
      </c>
    </row>
    <row r="380" spans="1:13" s="23" customFormat="1" ht="17.25" customHeight="1">
      <c r="A380" s="1041"/>
      <c r="B380" s="1038"/>
      <c r="C380" s="585"/>
      <c r="D380" s="585"/>
      <c r="E380" s="1029"/>
      <c r="F380" s="1033"/>
      <c r="G380" s="1041"/>
      <c r="H380" s="1038"/>
      <c r="I380" s="585"/>
      <c r="J380" s="1029"/>
      <c r="K380" s="1027"/>
      <c r="L380" s="999"/>
    </row>
    <row r="381" spans="1:13" s="23" customFormat="1" ht="17.25" customHeight="1">
      <c r="A381" s="1653" t="str">
        <f>G364</f>
        <v>LƯƠNG THÁNG 09/2025</v>
      </c>
      <c r="B381" s="1656"/>
      <c r="C381" s="1656"/>
      <c r="D381" s="1656"/>
      <c r="E381" s="998">
        <v>45</v>
      </c>
      <c r="F381" s="1025"/>
      <c r="G381" s="1653" t="str">
        <f>A381</f>
        <v>LƯƠNG THÁNG 09/2025</v>
      </c>
      <c r="H381" s="1656"/>
      <c r="I381" s="1656"/>
      <c r="J381" s="1657"/>
      <c r="K381" s="998">
        <v>46</v>
      </c>
      <c r="L381" s="999"/>
    </row>
    <row r="382" spans="1:13" s="23" customFormat="1" ht="17.25" customHeight="1">
      <c r="A382" s="1028" t="s">
        <v>13</v>
      </c>
      <c r="B382" s="1000" t="str">
        <f>'CNKT '!D60</f>
        <v>T. Pông</v>
      </c>
      <c r="C382" s="1001"/>
      <c r="D382" s="1002" t="s">
        <v>353</v>
      </c>
      <c r="E382" s="1002" t="s">
        <v>16</v>
      </c>
      <c r="F382" s="1029"/>
      <c r="G382" s="1028" t="s">
        <v>13</v>
      </c>
      <c r="H382" s="1000" t="str">
        <f>'CNKT '!D61</f>
        <v>T. Lốp</v>
      </c>
      <c r="I382" s="1001"/>
      <c r="J382" s="1002" t="s">
        <v>353</v>
      </c>
      <c r="K382" s="1002" t="s">
        <v>16</v>
      </c>
      <c r="L382" s="999"/>
    </row>
    <row r="383" spans="1:13" s="23" customFormat="1" ht="17.25" customHeight="1">
      <c r="A383" s="1004" t="s">
        <v>354</v>
      </c>
      <c r="B383" s="1005" t="s">
        <v>454</v>
      </c>
      <c r="C383" s="1006">
        <f>VLOOKUP(B382,'SẢN LƯỢNG'!$D$17:$AR$94,37,0)</f>
        <v>5054</v>
      </c>
      <c r="D383" s="1007"/>
      <c r="E383" s="1007"/>
      <c r="F383" s="1029"/>
      <c r="G383" s="1004" t="s">
        <v>354</v>
      </c>
      <c r="H383" s="1005" t="s">
        <v>454</v>
      </c>
      <c r="I383" s="1006">
        <f>VLOOKUP(H382,'SẢN LƯỢNG'!$D$17:$AR$94,37,0)</f>
        <v>5104</v>
      </c>
      <c r="J383" s="1007"/>
      <c r="K383" s="1007"/>
      <c r="L383" s="999"/>
    </row>
    <row r="384" spans="1:13" s="23" customFormat="1" ht="17.25" customHeight="1">
      <c r="A384" s="1004" t="s">
        <v>68</v>
      </c>
      <c r="B384" s="1008" t="s">
        <v>380</v>
      </c>
      <c r="C384" s="581">
        <f>VLOOKUP(B382,'CNKT '!$D$16:$AC$96,3,0)</f>
        <v>0</v>
      </c>
      <c r="D384" s="582">
        <v>25000</v>
      </c>
      <c r="E384" s="1007">
        <f>C384*D384</f>
        <v>0</v>
      </c>
      <c r="F384" s="1029"/>
      <c r="G384" s="1004" t="s">
        <v>68</v>
      </c>
      <c r="H384" s="1008" t="s">
        <v>380</v>
      </c>
      <c r="I384" s="581">
        <f>VLOOKUP(H382,'CNKT '!$D$16:$AC$96,3,0)</f>
        <v>0</v>
      </c>
      <c r="J384" s="582">
        <v>25000</v>
      </c>
      <c r="K384" s="1007">
        <f>I384*J384</f>
        <v>0</v>
      </c>
      <c r="L384" s="999"/>
    </row>
    <row r="385" spans="1:13" s="23" customFormat="1" ht="17.25" customHeight="1">
      <c r="A385" s="1004" t="s">
        <v>269</v>
      </c>
      <c r="B385" s="1009" t="s">
        <v>455</v>
      </c>
      <c r="C385" s="1010" t="str">
        <f>VLOOKUP(B382,'CNKT '!$D$16:$AC$96,11,0)</f>
        <v>A</v>
      </c>
      <c r="D385" s="583">
        <f>46.1*$B$2</f>
        <v>30424.156000000003</v>
      </c>
      <c r="E385" s="1007" t="e">
        <f>C385*D385</f>
        <v>#VALUE!</v>
      </c>
      <c r="F385" s="1029"/>
      <c r="G385" s="1004" t="s">
        <v>269</v>
      </c>
      <c r="H385" s="1009" t="s">
        <v>455</v>
      </c>
      <c r="I385" s="1010" t="str">
        <f>VLOOKUP(H382,'CNKT '!$D$16:$AC$96,11,0)</f>
        <v>A</v>
      </c>
      <c r="J385" s="583">
        <f>46.1*$B$2</f>
        <v>30424.156000000003</v>
      </c>
      <c r="K385" s="1007" t="e">
        <f>I385*J385</f>
        <v>#VALUE!</v>
      </c>
      <c r="L385" s="999"/>
    </row>
    <row r="386" spans="1:13" s="23" customFormat="1" ht="17.25" customHeight="1">
      <c r="A386" s="1004" t="s">
        <v>356</v>
      </c>
      <c r="B386" s="1009" t="s">
        <v>456</v>
      </c>
      <c r="C386" s="1010">
        <f>VLOOKUP(B382,'CNKT '!$D$16:$AC$96,12,0)</f>
        <v>6710442</v>
      </c>
      <c r="D386" s="582">
        <f>76.9*$B$2</f>
        <v>50750.924000000006</v>
      </c>
      <c r="E386" s="1007">
        <f t="shared" ref="E386:E387" si="87">C386*D386</f>
        <v>340561131948.40802</v>
      </c>
      <c r="F386" s="1032"/>
      <c r="G386" s="1004" t="s">
        <v>356</v>
      </c>
      <c r="H386" s="1009" t="s">
        <v>456</v>
      </c>
      <c r="I386" s="1010">
        <f>VLOOKUP(H382,'CNKT '!$D$16:$AC$96,12,0)</f>
        <v>8123481</v>
      </c>
      <c r="J386" s="582">
        <f>76.9*$B$2</f>
        <v>50750.924000000006</v>
      </c>
      <c r="K386" s="1007">
        <f t="shared" ref="K386:K387" si="88">I386*J386</f>
        <v>412274166846.44403</v>
      </c>
      <c r="L386" s="999"/>
    </row>
    <row r="387" spans="1:13" s="23" customFormat="1" ht="17.25" customHeight="1">
      <c r="A387" s="1004" t="s">
        <v>69</v>
      </c>
      <c r="B387" s="1009" t="s">
        <v>457</v>
      </c>
      <c r="C387" s="1010">
        <f>VLOOKUP(B382,'CNKT '!$D$16:$AC$96,8,0)</f>
        <v>1628.9027415087371</v>
      </c>
      <c r="D387" s="582">
        <f>IF(C383="A",6.1,IF(C383="B",5.8,IF(C383="C",5.5,IF(C383="C.",5.5,IF(C383="D",5.2)))))*$B$2</f>
        <v>0</v>
      </c>
      <c r="E387" s="1007">
        <f t="shared" si="87"/>
        <v>0</v>
      </c>
      <c r="F387" s="1032"/>
      <c r="G387" s="1004" t="s">
        <v>69</v>
      </c>
      <c r="H387" s="1009" t="s">
        <v>457</v>
      </c>
      <c r="I387" s="1010">
        <f>VLOOKUP(H382,'CNKT '!$D$16:$AC$96,8,0)</f>
        <v>2006.3314255168591</v>
      </c>
      <c r="J387" s="582">
        <f>IF(I383="A",6.1,IF(I383="B",5.8,IF(I383="C",5.5,IF(I383="C.",5.5,IF(I383="D",5.2)))))*$B$2</f>
        <v>0</v>
      </c>
      <c r="K387" s="1007">
        <f t="shared" si="88"/>
        <v>0</v>
      </c>
      <c r="L387" s="999"/>
    </row>
    <row r="388" spans="1:13" s="23" customFormat="1" ht="17.25" customHeight="1">
      <c r="A388" s="1004" t="s">
        <v>431</v>
      </c>
      <c r="B388" s="1009" t="s">
        <v>458</v>
      </c>
      <c r="C388" s="1010">
        <f>VLOOKUP(B382,'CNKT '!$D$16:$AC$96,13,0)</f>
        <v>26</v>
      </c>
      <c r="D388" s="583">
        <v>100000</v>
      </c>
      <c r="E388" s="1007">
        <f>C388*D388</f>
        <v>2600000</v>
      </c>
      <c r="F388" s="1032"/>
      <c r="G388" s="1004" t="s">
        <v>431</v>
      </c>
      <c r="H388" s="1009" t="s">
        <v>458</v>
      </c>
      <c r="I388" s="1010">
        <f>VLOOKUP(H382,'CNKT '!$D$16:$AC$96,13,0)</f>
        <v>26</v>
      </c>
      <c r="J388" s="583">
        <v>100000</v>
      </c>
      <c r="K388" s="1007">
        <f>I388*J388</f>
        <v>2600000</v>
      </c>
      <c r="L388" s="999"/>
    </row>
    <row r="389" spans="1:13" s="23" customFormat="1" ht="17.25" customHeight="1">
      <c r="A389" s="1073" t="s">
        <v>780</v>
      </c>
      <c r="B389" s="1065" t="s">
        <v>434</v>
      </c>
      <c r="C389" s="1066">
        <f>VLOOKUP(B382,'CNKT '!$D$16:$AC$96,14,0)</f>
        <v>4</v>
      </c>
      <c r="D389" s="1067">
        <f>153.8*$B$2</f>
        <v>101501.84800000001</v>
      </c>
      <c r="E389" s="1068">
        <f t="shared" ref="E389" si="89">C389*D389</f>
        <v>406007.39200000005</v>
      </c>
      <c r="F389" s="1032"/>
      <c r="G389" s="1073" t="s">
        <v>780</v>
      </c>
      <c r="H389" s="1065" t="s">
        <v>434</v>
      </c>
      <c r="I389" s="1066">
        <f>VLOOKUP(H382,'CNKT '!$D$16:$AC$96,14,0)</f>
        <v>4</v>
      </c>
      <c r="J389" s="1067">
        <f>153.8*$B$2</f>
        <v>101501.84800000001</v>
      </c>
      <c r="K389" s="1068">
        <f t="shared" ref="K389" si="90">I389*J389</f>
        <v>406007.39200000005</v>
      </c>
      <c r="L389" s="999"/>
    </row>
    <row r="390" spans="1:13" s="23" customFormat="1" ht="17.25" customHeight="1">
      <c r="A390" s="1073" t="s">
        <v>781</v>
      </c>
      <c r="B390" s="1065" t="s">
        <v>435</v>
      </c>
      <c r="C390" s="1066">
        <f>VLOOKUP(B382,'CNKT '!$D$16:$AC$96,18,0)</f>
        <v>0</v>
      </c>
      <c r="D390" s="1067">
        <v>100000</v>
      </c>
      <c r="E390" s="1068">
        <f>C390*D390</f>
        <v>0</v>
      </c>
      <c r="F390" s="1032"/>
      <c r="G390" s="1073" t="s">
        <v>781</v>
      </c>
      <c r="H390" s="1065" t="s">
        <v>435</v>
      </c>
      <c r="I390" s="1066">
        <f>VLOOKUP(H382,'CNKT '!$D$16:$AC$96,18,0)</f>
        <v>0</v>
      </c>
      <c r="J390" s="1067">
        <v>100000</v>
      </c>
      <c r="K390" s="1068">
        <f>I390*J390</f>
        <v>0</v>
      </c>
      <c r="L390" s="999"/>
    </row>
    <row r="391" spans="1:13" s="23" customFormat="1" ht="17.25" customHeight="1">
      <c r="A391" s="1004" t="s">
        <v>394</v>
      </c>
      <c r="B391" s="1009" t="s">
        <v>435</v>
      </c>
      <c r="C391" s="1010">
        <f>VLOOKUP(B382,'CNKT '!$D$16:$AC$96,19,0)</f>
        <v>0</v>
      </c>
      <c r="D391" s="582">
        <v>20000</v>
      </c>
      <c r="E391" s="1007">
        <f>C391*D391</f>
        <v>0</v>
      </c>
      <c r="F391" s="1032"/>
      <c r="G391" s="1004" t="s">
        <v>394</v>
      </c>
      <c r="H391" s="1009" t="s">
        <v>435</v>
      </c>
      <c r="I391" s="1010">
        <f>VLOOKUP(H382,'CNKT '!$D$16:$AC$96,19,0)</f>
        <v>0</v>
      </c>
      <c r="J391" s="582">
        <v>20000</v>
      </c>
      <c r="K391" s="1007">
        <f>I391*J391</f>
        <v>0</v>
      </c>
      <c r="L391" s="999"/>
    </row>
    <row r="392" spans="1:13" s="23" customFormat="1" ht="17.25" customHeight="1">
      <c r="A392" s="1004" t="s">
        <v>731</v>
      </c>
      <c r="B392" s="1011" t="s">
        <v>732</v>
      </c>
      <c r="C392" s="1010"/>
      <c r="D392" s="582"/>
      <c r="E392" s="1007">
        <f>VLOOKUP(B382,'CNKT '!$D$16:$AG$99,28,0)</f>
        <v>0</v>
      </c>
      <c r="F392" s="1032"/>
      <c r="G392" s="1004" t="s">
        <v>731</v>
      </c>
      <c r="H392" s="1011" t="s">
        <v>732</v>
      </c>
      <c r="I392" s="1010"/>
      <c r="J392" s="582"/>
      <c r="K392" s="1007">
        <f>VLOOKUP(H382,'CNKT '!$D$16:$AG$99,28,0)</f>
        <v>0</v>
      </c>
      <c r="L392" s="999"/>
    </row>
    <row r="393" spans="1:13" s="23" customFormat="1" ht="17.25" customHeight="1">
      <c r="A393" s="1012" t="s">
        <v>70</v>
      </c>
      <c r="B393" s="1013" t="s">
        <v>459</v>
      </c>
      <c r="C393" s="1014"/>
      <c r="D393" s="1015"/>
      <c r="E393" s="1014"/>
      <c r="F393" s="1025"/>
      <c r="G393" s="1012" t="s">
        <v>70</v>
      </c>
      <c r="H393" s="1013" t="s">
        <v>459</v>
      </c>
      <c r="I393" s="1014"/>
      <c r="J393" s="1015"/>
      <c r="K393" s="1014"/>
      <c r="L393" s="999"/>
    </row>
    <row r="394" spans="1:13" s="23" customFormat="1" ht="17.25" customHeight="1">
      <c r="A394" s="1016" t="s">
        <v>71</v>
      </c>
      <c r="B394" s="1017" t="s">
        <v>460</v>
      </c>
      <c r="C394" s="1014"/>
      <c r="D394" s="1014"/>
      <c r="E394" s="1014"/>
      <c r="F394" s="1033"/>
      <c r="G394" s="1016" t="s">
        <v>71</v>
      </c>
      <c r="H394" s="1017" t="s">
        <v>460</v>
      </c>
      <c r="I394" s="1014"/>
      <c r="J394" s="1014"/>
      <c r="K394" s="1014"/>
      <c r="L394" s="999"/>
    </row>
    <row r="395" spans="1:13" s="23" customFormat="1" ht="17.25" customHeight="1">
      <c r="A395" s="1016" t="s">
        <v>72</v>
      </c>
      <c r="B395" s="1018" t="s">
        <v>461</v>
      </c>
      <c r="C395" s="1014"/>
      <c r="D395" s="1014"/>
      <c r="E395" s="1007">
        <f>SUM(E394)</f>
        <v>0</v>
      </c>
      <c r="F395" s="1033"/>
      <c r="G395" s="1016" t="s">
        <v>72</v>
      </c>
      <c r="H395" s="1018" t="s">
        <v>461</v>
      </c>
      <c r="I395" s="1014"/>
      <c r="J395" s="1014"/>
      <c r="K395" s="1007">
        <f>SUM(K394)</f>
        <v>0</v>
      </c>
      <c r="L395" s="999"/>
      <c r="M395" s="1019">
        <f>E395+K395</f>
        <v>0</v>
      </c>
    </row>
    <row r="396" spans="1:13" s="23" customFormat="1" ht="17.25" customHeight="1">
      <c r="A396" s="1020" t="s">
        <v>73</v>
      </c>
      <c r="B396" s="1021" t="s">
        <v>381</v>
      </c>
      <c r="C396" s="1022"/>
      <c r="D396" s="1022"/>
      <c r="E396" s="1022" t="e">
        <f>(E384+E385+E386+E387+E388+E389+E390+E391+E392)-E395</f>
        <v>#VALUE!</v>
      </c>
      <c r="F396" s="1033"/>
      <c r="G396" s="1020" t="s">
        <v>73</v>
      </c>
      <c r="H396" s="1021" t="s">
        <v>381</v>
      </c>
      <c r="I396" s="1022"/>
      <c r="J396" s="1022"/>
      <c r="K396" s="1022" t="e">
        <f>(K384+K385+K386+K387+K388+K389+K390+K391+K392)-K395</f>
        <v>#VALUE!</v>
      </c>
      <c r="L396" s="1024" t="e">
        <f>E396+K396</f>
        <v>#VALUE!</v>
      </c>
    </row>
    <row r="397" spans="1:13" s="23" customFormat="1" ht="17.25" customHeight="1">
      <c r="A397" s="1029"/>
      <c r="B397" s="1034"/>
      <c r="C397" s="1035"/>
      <c r="D397" s="1035"/>
      <c r="E397" s="1033"/>
      <c r="F397" s="1033"/>
      <c r="G397" s="1029"/>
      <c r="H397" s="1034"/>
      <c r="I397" s="1035"/>
      <c r="J397" s="1033"/>
      <c r="K397" s="1027"/>
      <c r="L397" s="999"/>
    </row>
    <row r="398" spans="1:13" s="23" customFormat="1" ht="185.25" customHeight="1">
      <c r="A398" s="1041"/>
      <c r="B398" s="1032"/>
      <c r="C398" s="1025"/>
      <c r="D398" s="1025"/>
      <c r="E398" s="1029"/>
      <c r="F398" s="1029"/>
      <c r="G398" s="1041"/>
      <c r="H398" s="1032"/>
      <c r="I398" s="1025"/>
      <c r="J398" s="1029"/>
      <c r="K398" s="1027"/>
      <c r="L398" s="999"/>
    </row>
    <row r="399" spans="1:13" s="23" customFormat="1" ht="17.25" customHeight="1">
      <c r="A399" s="1653" t="str">
        <f>G381</f>
        <v>LƯƠNG THÁNG 09/2025</v>
      </c>
      <c r="B399" s="1656"/>
      <c r="C399" s="1656"/>
      <c r="D399" s="1656"/>
      <c r="E399" s="998">
        <v>47</v>
      </c>
      <c r="F399" s="1029"/>
      <c r="G399" s="1653" t="str">
        <f>A399</f>
        <v>LƯƠNG THÁNG 09/2025</v>
      </c>
      <c r="H399" s="1656"/>
      <c r="I399" s="1656"/>
      <c r="J399" s="1657"/>
      <c r="K399" s="998">
        <v>48</v>
      </c>
      <c r="L399" s="999"/>
    </row>
    <row r="400" spans="1:13" s="23" customFormat="1" ht="17.25" customHeight="1">
      <c r="A400" s="1028" t="s">
        <v>13</v>
      </c>
      <c r="B400" s="1000" t="str">
        <f>'CNKT '!D62</f>
        <v>N. Nu Ni</v>
      </c>
      <c r="C400" s="1001"/>
      <c r="D400" s="1002" t="s">
        <v>353</v>
      </c>
      <c r="E400" s="1002" t="s">
        <v>16</v>
      </c>
      <c r="F400" s="1029"/>
      <c r="G400" s="1028" t="s">
        <v>13</v>
      </c>
      <c r="H400" s="1000" t="str">
        <f>'CNKT '!D63</f>
        <v>T. Đi</v>
      </c>
      <c r="I400" s="1001"/>
      <c r="J400" s="1002" t="s">
        <v>353</v>
      </c>
      <c r="K400" s="1002" t="s">
        <v>16</v>
      </c>
      <c r="L400" s="999"/>
    </row>
    <row r="401" spans="1:13" s="23" customFormat="1" ht="17.25" customHeight="1">
      <c r="A401" s="1004" t="s">
        <v>354</v>
      </c>
      <c r="B401" s="1005" t="s">
        <v>454</v>
      </c>
      <c r="C401" s="1006">
        <f>VLOOKUP(B400,'SẢN LƯỢNG'!$D$17:$AR$94,37,0)</f>
        <v>5065</v>
      </c>
      <c r="D401" s="1007"/>
      <c r="E401" s="1007"/>
      <c r="F401" s="1032"/>
      <c r="G401" s="1004" t="s">
        <v>354</v>
      </c>
      <c r="H401" s="1005" t="s">
        <v>454</v>
      </c>
      <c r="I401" s="1006">
        <f>VLOOKUP(H400,'SẢN LƯỢNG'!$D$17:$AR$94,37,0)</f>
        <v>3875</v>
      </c>
      <c r="J401" s="1007"/>
      <c r="K401" s="1007"/>
      <c r="L401" s="999"/>
    </row>
    <row r="402" spans="1:13" s="23" customFormat="1" ht="17.25" customHeight="1">
      <c r="A402" s="1004" t="s">
        <v>68</v>
      </c>
      <c r="B402" s="1008" t="s">
        <v>380</v>
      </c>
      <c r="C402" s="581">
        <f>VLOOKUP(B400,'CNKT '!$D$16:$AC$96,3,0)</f>
        <v>0</v>
      </c>
      <c r="D402" s="582">
        <v>25000</v>
      </c>
      <c r="E402" s="1007">
        <f>C402*D402</f>
        <v>0</v>
      </c>
      <c r="F402" s="1032"/>
      <c r="G402" s="1004" t="s">
        <v>68</v>
      </c>
      <c r="H402" s="1008" t="s">
        <v>380</v>
      </c>
      <c r="I402" s="581">
        <f>VLOOKUP(H400,'CNKT '!$D$16:$AC$96,3,0)</f>
        <v>0</v>
      </c>
      <c r="J402" s="582">
        <v>25000</v>
      </c>
      <c r="K402" s="1007">
        <f>I402*J402</f>
        <v>0</v>
      </c>
      <c r="L402" s="999"/>
    </row>
    <row r="403" spans="1:13" s="23" customFormat="1" ht="17.25" customHeight="1">
      <c r="A403" s="1004" t="s">
        <v>269</v>
      </c>
      <c r="B403" s="1009" t="s">
        <v>455</v>
      </c>
      <c r="C403" s="1010" t="str">
        <f>VLOOKUP(B400,'CNKT '!$D$16:$AC$96,11,0)</f>
        <v>B</v>
      </c>
      <c r="D403" s="583">
        <f>46.1*$B$2</f>
        <v>30424.156000000003</v>
      </c>
      <c r="E403" s="1007" t="e">
        <f>C403*D403</f>
        <v>#VALUE!</v>
      </c>
      <c r="F403" s="1025"/>
      <c r="G403" s="1004" t="s">
        <v>269</v>
      </c>
      <c r="H403" s="1009" t="s">
        <v>455</v>
      </c>
      <c r="I403" s="1010" t="str">
        <f>VLOOKUP(H400,'CNKT '!$D$16:$AC$96,11,0)</f>
        <v>A</v>
      </c>
      <c r="J403" s="583">
        <f>46.1*$B$2</f>
        <v>30424.156000000003</v>
      </c>
      <c r="K403" s="1007" t="e">
        <f>I403*J403</f>
        <v>#VALUE!</v>
      </c>
      <c r="L403" s="999"/>
    </row>
    <row r="404" spans="1:13" s="23" customFormat="1" ht="17.25" customHeight="1">
      <c r="A404" s="1004" t="s">
        <v>356</v>
      </c>
      <c r="B404" s="1009" t="s">
        <v>456</v>
      </c>
      <c r="C404" s="1010">
        <f>VLOOKUP(B400,'CNKT '!$D$16:$AC$96,12,0)</f>
        <v>7875711</v>
      </c>
      <c r="D404" s="582">
        <f>76.9*$B$2</f>
        <v>50750.924000000006</v>
      </c>
      <c r="E404" s="1007">
        <f t="shared" ref="E404:E405" si="91">C404*D404</f>
        <v>399699610406.96405</v>
      </c>
      <c r="F404" s="1033"/>
      <c r="G404" s="1004" t="s">
        <v>356</v>
      </c>
      <c r="H404" s="1009" t="s">
        <v>456</v>
      </c>
      <c r="I404" s="1010">
        <f>VLOOKUP(H400,'CNKT '!$D$16:$AC$96,12,0)</f>
        <v>6258560</v>
      </c>
      <c r="J404" s="582">
        <f>76.9*$B$2</f>
        <v>50750.924000000006</v>
      </c>
      <c r="K404" s="1007">
        <f t="shared" ref="K404:K405" si="92">I404*J404</f>
        <v>317627702909.44006</v>
      </c>
      <c r="L404" s="999"/>
    </row>
    <row r="405" spans="1:13" s="23" customFormat="1" ht="17.25" customHeight="1">
      <c r="A405" s="1004" t="s">
        <v>69</v>
      </c>
      <c r="B405" s="1009" t="s">
        <v>457</v>
      </c>
      <c r="C405" s="1010">
        <f>VLOOKUP(B400,'CNKT '!$D$16:$AC$96,8,0)</f>
        <v>2050.4751312488033</v>
      </c>
      <c r="D405" s="582">
        <f>IF(C401="A",6.1,IF(C401="B",5.8,IF(C401="C",5.5,IF(C401="C.",5.5,IF(C401="D",5.2)))))*$B$2</f>
        <v>0</v>
      </c>
      <c r="E405" s="1007">
        <f t="shared" si="91"/>
        <v>0</v>
      </c>
      <c r="F405" s="1033"/>
      <c r="G405" s="1004" t="s">
        <v>69</v>
      </c>
      <c r="H405" s="1009" t="s">
        <v>457</v>
      </c>
      <c r="I405" s="1010">
        <f>VLOOKUP(H400,'CNKT '!$D$16:$AC$96,8,0)</f>
        <v>1547.67832296196</v>
      </c>
      <c r="J405" s="582">
        <f>IF(I401="A",6.1,IF(I401="B",5.8,IF(I401="C",5.5,IF(I401="C.",5.5,IF(I401="D",5.2)))))*$B$2</f>
        <v>0</v>
      </c>
      <c r="K405" s="1007">
        <f t="shared" si="92"/>
        <v>0</v>
      </c>
      <c r="L405" s="999"/>
    </row>
    <row r="406" spans="1:13" s="23" customFormat="1" ht="17.25" customHeight="1">
      <c r="A406" s="1004" t="s">
        <v>431</v>
      </c>
      <c r="B406" s="1009" t="s">
        <v>458</v>
      </c>
      <c r="C406" s="1010">
        <f>VLOOKUP(B400,'CNKT '!$D$16:$AC$96,13,0)</f>
        <v>26</v>
      </c>
      <c r="D406" s="583">
        <v>100000</v>
      </c>
      <c r="E406" s="1007">
        <f>C406*D406</f>
        <v>2600000</v>
      </c>
      <c r="F406" s="1033"/>
      <c r="G406" s="1004" t="s">
        <v>431</v>
      </c>
      <c r="H406" s="1009" t="s">
        <v>458</v>
      </c>
      <c r="I406" s="1010">
        <f>VLOOKUP(H400,'CNKT '!$D$16:$AC$96,13,0)</f>
        <v>26</v>
      </c>
      <c r="J406" s="583">
        <v>100000</v>
      </c>
      <c r="K406" s="1007">
        <f>I406*J406</f>
        <v>2600000</v>
      </c>
      <c r="L406" s="999"/>
    </row>
    <row r="407" spans="1:13" s="23" customFormat="1" ht="17.25" customHeight="1">
      <c r="A407" s="1073" t="s">
        <v>780</v>
      </c>
      <c r="B407" s="1065" t="s">
        <v>434</v>
      </c>
      <c r="C407" s="1066">
        <f>VLOOKUP(B400,'CNKT '!$D$16:$AC$96,14,0)</f>
        <v>4</v>
      </c>
      <c r="D407" s="1067">
        <f>153.8*$B$2</f>
        <v>101501.84800000001</v>
      </c>
      <c r="E407" s="1068">
        <f t="shared" ref="E407" si="93">C407*D407</f>
        <v>406007.39200000005</v>
      </c>
      <c r="F407" s="1033"/>
      <c r="G407" s="1073" t="s">
        <v>780</v>
      </c>
      <c r="H407" s="1065" t="s">
        <v>434</v>
      </c>
      <c r="I407" s="1066">
        <f>VLOOKUP(H400,'CNKT '!$D$16:$AC$96,14,0)</f>
        <v>4</v>
      </c>
      <c r="J407" s="1067">
        <f>153.8*$B$2</f>
        <v>101501.84800000001</v>
      </c>
      <c r="K407" s="1068">
        <f t="shared" ref="K407" si="94">I407*J407</f>
        <v>406007.39200000005</v>
      </c>
      <c r="L407" s="999"/>
    </row>
    <row r="408" spans="1:13" s="23" customFormat="1" ht="17.25" customHeight="1">
      <c r="A408" s="1073" t="s">
        <v>781</v>
      </c>
      <c r="B408" s="1065" t="s">
        <v>435</v>
      </c>
      <c r="C408" s="1066">
        <f>VLOOKUP(B400,'CNKT '!$D$16:$AC$96,18,0)</f>
        <v>0</v>
      </c>
      <c r="D408" s="1067">
        <v>100000</v>
      </c>
      <c r="E408" s="1068">
        <f>C408*D408</f>
        <v>0</v>
      </c>
      <c r="F408" s="1033"/>
      <c r="G408" s="1073" t="s">
        <v>781</v>
      </c>
      <c r="H408" s="1065" t="s">
        <v>435</v>
      </c>
      <c r="I408" s="1066">
        <f>VLOOKUP(H400,'CNKT '!$D$16:$AC$96,18,0)</f>
        <v>0</v>
      </c>
      <c r="J408" s="1067">
        <v>100000</v>
      </c>
      <c r="K408" s="1068">
        <f>I408*J408</f>
        <v>0</v>
      </c>
      <c r="L408" s="999"/>
    </row>
    <row r="409" spans="1:13" s="23" customFormat="1" ht="17.25" customHeight="1">
      <c r="A409" s="1004" t="s">
        <v>394</v>
      </c>
      <c r="B409" s="1009" t="s">
        <v>435</v>
      </c>
      <c r="C409" s="1010">
        <f>VLOOKUP(B400,'CNKT '!$D$16:$AC$96,19,0)</f>
        <v>0</v>
      </c>
      <c r="D409" s="582">
        <v>20000</v>
      </c>
      <c r="E409" s="1007">
        <f>C409*D409</f>
        <v>0</v>
      </c>
      <c r="F409" s="1033"/>
      <c r="G409" s="1004" t="s">
        <v>394</v>
      </c>
      <c r="H409" s="1009" t="s">
        <v>435</v>
      </c>
      <c r="I409" s="1010">
        <f>VLOOKUP(H400,'CNKT '!$D$16:$AC$96,19,0)</f>
        <v>0</v>
      </c>
      <c r="J409" s="582">
        <v>20000</v>
      </c>
      <c r="K409" s="1007">
        <f>I409*J409</f>
        <v>0</v>
      </c>
      <c r="L409" s="999"/>
    </row>
    <row r="410" spans="1:13" s="23" customFormat="1" ht="17.25" customHeight="1">
      <c r="A410" s="1004" t="s">
        <v>731</v>
      </c>
      <c r="B410" s="1011" t="s">
        <v>732</v>
      </c>
      <c r="C410" s="1010"/>
      <c r="D410" s="582"/>
      <c r="E410" s="1007">
        <f>VLOOKUP(B400,'CNKT '!$D$16:$AG$99,28,0)</f>
        <v>0</v>
      </c>
      <c r="F410" s="1033"/>
      <c r="G410" s="1004" t="s">
        <v>731</v>
      </c>
      <c r="H410" s="1011" t="s">
        <v>732</v>
      </c>
      <c r="I410" s="1010"/>
      <c r="J410" s="582"/>
      <c r="K410" s="1007">
        <f>VLOOKUP(H400,'CNKT '!$D$16:$AG$99,28,0)</f>
        <v>0</v>
      </c>
      <c r="L410" s="999"/>
    </row>
    <row r="411" spans="1:13" s="23" customFormat="1" ht="17.25" customHeight="1">
      <c r="A411" s="1012" t="s">
        <v>70</v>
      </c>
      <c r="B411" s="1013" t="s">
        <v>459</v>
      </c>
      <c r="C411" s="1014"/>
      <c r="D411" s="1015"/>
      <c r="E411" s="1014"/>
      <c r="F411" s="1025"/>
      <c r="G411" s="1012" t="s">
        <v>70</v>
      </c>
      <c r="H411" s="1013" t="s">
        <v>459</v>
      </c>
      <c r="I411" s="1014"/>
      <c r="J411" s="1015"/>
      <c r="K411" s="1014"/>
      <c r="L411" s="999"/>
    </row>
    <row r="412" spans="1:13" s="23" customFormat="1" ht="17.25" customHeight="1">
      <c r="A412" s="1016" t="s">
        <v>71</v>
      </c>
      <c r="B412" s="1017" t="s">
        <v>460</v>
      </c>
      <c r="C412" s="1014"/>
      <c r="D412" s="1014"/>
      <c r="E412" s="1014"/>
      <c r="F412" s="1029"/>
      <c r="G412" s="1016" t="s">
        <v>71</v>
      </c>
      <c r="H412" s="1017" t="s">
        <v>460</v>
      </c>
      <c r="I412" s="1014"/>
      <c r="J412" s="1014"/>
      <c r="K412" s="1014"/>
      <c r="L412" s="999"/>
    </row>
    <row r="413" spans="1:13" s="23" customFormat="1" ht="17.25" customHeight="1">
      <c r="A413" s="1016" t="s">
        <v>72</v>
      </c>
      <c r="B413" s="1018" t="s">
        <v>461</v>
      </c>
      <c r="C413" s="1014"/>
      <c r="D413" s="1014"/>
      <c r="E413" s="1007">
        <f>SUM(E412)</f>
        <v>0</v>
      </c>
      <c r="F413" s="1029"/>
      <c r="G413" s="1016" t="s">
        <v>72</v>
      </c>
      <c r="H413" s="1018" t="s">
        <v>461</v>
      </c>
      <c r="I413" s="1014"/>
      <c r="J413" s="1014"/>
      <c r="K413" s="1007">
        <f>SUM(K412)</f>
        <v>0</v>
      </c>
      <c r="L413" s="999"/>
      <c r="M413" s="1019">
        <f>E413+K413</f>
        <v>0</v>
      </c>
    </row>
    <row r="414" spans="1:13" s="23" customFormat="1" ht="17.25" customHeight="1">
      <c r="A414" s="1020" t="s">
        <v>73</v>
      </c>
      <c r="B414" s="1021" t="s">
        <v>381</v>
      </c>
      <c r="C414" s="1022"/>
      <c r="D414" s="1022"/>
      <c r="E414" s="1022" t="e">
        <f>(E402+E403+E404+E405+E406+E407+E408+E409+E410)-E413</f>
        <v>#VALUE!</v>
      </c>
      <c r="F414" s="1029"/>
      <c r="G414" s="1020" t="s">
        <v>73</v>
      </c>
      <c r="H414" s="1021" t="s">
        <v>381</v>
      </c>
      <c r="I414" s="1022"/>
      <c r="J414" s="1022"/>
      <c r="K414" s="1022" t="e">
        <f>(K402+K403+K404+K405+K406+K407+K408+K409+K410)-K413</f>
        <v>#VALUE!</v>
      </c>
      <c r="L414" s="1024" t="e">
        <f>E414+K414</f>
        <v>#VALUE!</v>
      </c>
    </row>
    <row r="415" spans="1:13" s="23" customFormat="1" ht="17.25" customHeight="1">
      <c r="A415" s="1029"/>
      <c r="B415" s="1034"/>
      <c r="C415" s="1035"/>
      <c r="D415" s="1035"/>
      <c r="E415" s="1033"/>
      <c r="F415" s="1029"/>
      <c r="G415" s="1029"/>
      <c r="H415" s="1034"/>
      <c r="I415" s="1035"/>
      <c r="J415" s="1033"/>
      <c r="K415" s="1027"/>
      <c r="L415" s="999"/>
    </row>
    <row r="416" spans="1:13" s="23" customFormat="1" ht="17.25" customHeight="1">
      <c r="A416" s="1653" t="str">
        <f>G399</f>
        <v>LƯƠNG THÁNG 09/2025</v>
      </c>
      <c r="B416" s="1656"/>
      <c r="C416" s="1656"/>
      <c r="D416" s="1656"/>
      <c r="E416" s="998">
        <v>49</v>
      </c>
      <c r="F416" s="1025"/>
      <c r="G416" s="1653" t="str">
        <f>A416</f>
        <v>LƯƠNG THÁNG 09/2025</v>
      </c>
      <c r="H416" s="1656"/>
      <c r="I416" s="1656"/>
      <c r="J416" s="1657"/>
      <c r="K416" s="998">
        <v>50</v>
      </c>
      <c r="L416" s="999"/>
    </row>
    <row r="417" spans="1:13" s="23" customFormat="1" ht="17.25" customHeight="1">
      <c r="A417" s="1028" t="s">
        <v>13</v>
      </c>
      <c r="B417" s="1000" t="str">
        <f>'CNKT '!D64</f>
        <v>N. On Xi</v>
      </c>
      <c r="C417" s="1001"/>
      <c r="D417" s="1002" t="s">
        <v>353</v>
      </c>
      <c r="E417" s="1002" t="s">
        <v>16</v>
      </c>
      <c r="F417" s="1033"/>
      <c r="G417" s="1028" t="s">
        <v>13</v>
      </c>
      <c r="H417" s="1000" t="str">
        <f>'CNKT '!D65</f>
        <v>N. Thông La</v>
      </c>
      <c r="I417" s="1001"/>
      <c r="J417" s="1002" t="s">
        <v>353</v>
      </c>
      <c r="K417" s="1002" t="s">
        <v>16</v>
      </c>
      <c r="L417" s="999"/>
    </row>
    <row r="418" spans="1:13" s="23" customFormat="1" ht="17.25" customHeight="1">
      <c r="A418" s="1004" t="s">
        <v>354</v>
      </c>
      <c r="B418" s="1005" t="s">
        <v>454</v>
      </c>
      <c r="C418" s="1006">
        <f>VLOOKUP(B417,'SẢN LƯỢNG'!$D$17:$AR$94,37,0)</f>
        <v>3980</v>
      </c>
      <c r="D418" s="1007"/>
      <c r="E418" s="1007"/>
      <c r="F418" s="1033"/>
      <c r="G418" s="1004" t="s">
        <v>354</v>
      </c>
      <c r="H418" s="1005" t="s">
        <v>454</v>
      </c>
      <c r="I418" s="1006">
        <f>VLOOKUP(H417,'SẢN LƯỢNG'!$D$17:$AR$94,37,0)</f>
        <v>4866</v>
      </c>
      <c r="J418" s="1007"/>
      <c r="K418" s="1007"/>
      <c r="L418" s="999"/>
    </row>
    <row r="419" spans="1:13" s="23" customFormat="1" ht="17.25" customHeight="1">
      <c r="A419" s="1004" t="s">
        <v>68</v>
      </c>
      <c r="B419" s="1008" t="s">
        <v>380</v>
      </c>
      <c r="C419" s="581">
        <f>VLOOKUP(B417,'CNKT '!$D$16:$AC$96,3,0)</f>
        <v>0</v>
      </c>
      <c r="D419" s="582">
        <v>25000</v>
      </c>
      <c r="E419" s="1007">
        <f>C419*D419</f>
        <v>0</v>
      </c>
      <c r="F419" s="1033"/>
      <c r="G419" s="1004" t="s">
        <v>68</v>
      </c>
      <c r="H419" s="1008" t="s">
        <v>380</v>
      </c>
      <c r="I419" s="581">
        <f>VLOOKUP(H417,'CNKT '!$D$16:$AC$96,3,0)</f>
        <v>0</v>
      </c>
      <c r="J419" s="582">
        <v>25000</v>
      </c>
      <c r="K419" s="1007">
        <f>I419*J419</f>
        <v>0</v>
      </c>
      <c r="L419" s="999"/>
    </row>
    <row r="420" spans="1:13" s="23" customFormat="1" ht="17.25" customHeight="1">
      <c r="A420" s="1004" t="s">
        <v>269</v>
      </c>
      <c r="B420" s="1009" t="s">
        <v>455</v>
      </c>
      <c r="C420" s="1010" t="str">
        <f>VLOOKUP(B417,'CNKT '!$D$16:$AC$96,11,0)</f>
        <v>A</v>
      </c>
      <c r="D420" s="583">
        <f>46.1*$B$2</f>
        <v>30424.156000000003</v>
      </c>
      <c r="E420" s="1007" t="e">
        <f>C420*D420</f>
        <v>#VALUE!</v>
      </c>
      <c r="F420" s="1033"/>
      <c r="G420" s="1004" t="s">
        <v>269</v>
      </c>
      <c r="H420" s="1009" t="s">
        <v>455</v>
      </c>
      <c r="I420" s="1010" t="str">
        <f>VLOOKUP(H417,'CNKT '!$D$16:$AC$96,11,0)</f>
        <v>B</v>
      </c>
      <c r="J420" s="583">
        <f>46.1*$B$2</f>
        <v>30424.156000000003</v>
      </c>
      <c r="K420" s="1007" t="e">
        <f>I420*J420</f>
        <v>#VALUE!</v>
      </c>
      <c r="L420" s="999"/>
    </row>
    <row r="421" spans="1:13" s="23" customFormat="1" ht="17.25" customHeight="1">
      <c r="A421" s="1004" t="s">
        <v>356</v>
      </c>
      <c r="B421" s="1009" t="s">
        <v>456</v>
      </c>
      <c r="C421" s="1010">
        <f>VLOOKUP(B417,'CNKT '!$D$16:$AC$96,12,0)</f>
        <v>7398860</v>
      </c>
      <c r="D421" s="582">
        <f>76.9*$B$2</f>
        <v>50750.924000000006</v>
      </c>
      <c r="E421" s="1007">
        <f t="shared" ref="E421:E422" si="95">C421*D421</f>
        <v>375498981546.64008</v>
      </c>
      <c r="F421" s="1033"/>
      <c r="G421" s="1004" t="s">
        <v>356</v>
      </c>
      <c r="H421" s="1009" t="s">
        <v>456</v>
      </c>
      <c r="I421" s="1010">
        <f>VLOOKUP(H417,'CNKT '!$D$16:$AC$96,12,0)</f>
        <v>7651536</v>
      </c>
      <c r="J421" s="582">
        <f>76.9*$B$2</f>
        <v>50750.924000000006</v>
      </c>
      <c r="K421" s="1007">
        <f t="shared" ref="K421:K422" si="96">I421*J421</f>
        <v>388322522019.26404</v>
      </c>
      <c r="L421" s="999"/>
    </row>
    <row r="422" spans="1:13" s="23" customFormat="1" ht="17.25" customHeight="1">
      <c r="A422" s="1004" t="s">
        <v>69</v>
      </c>
      <c r="B422" s="1009" t="s">
        <v>457</v>
      </c>
      <c r="C422" s="1010">
        <f>VLOOKUP(B417,'CNKT '!$D$16:$AC$96,8,0)</f>
        <v>1850.0627072257769</v>
      </c>
      <c r="D422" s="582">
        <f>IF(C418="A",6.1,IF(C418="B",5.8,IF(C418="C",5.5,IF(C418="C.",5.5,IF(C418="D",5.2)))))*$B$2</f>
        <v>0</v>
      </c>
      <c r="E422" s="1007">
        <f t="shared" si="95"/>
        <v>0</v>
      </c>
      <c r="F422" s="1025"/>
      <c r="G422" s="1004" t="s">
        <v>69</v>
      </c>
      <c r="H422" s="1009" t="s">
        <v>457</v>
      </c>
      <c r="I422" s="1010">
        <f>VLOOKUP(H417,'CNKT '!$D$16:$AC$96,8,0)</f>
        <v>1993.9711879119147</v>
      </c>
      <c r="J422" s="582">
        <f>IF(I418="A",6.1,IF(I418="B",5.8,IF(I418="C",5.5,IF(I418="C.",5.5,IF(I418="D",5.2)))))*$B$2</f>
        <v>0</v>
      </c>
      <c r="K422" s="1007">
        <f t="shared" si="96"/>
        <v>0</v>
      </c>
      <c r="L422" s="999"/>
    </row>
    <row r="423" spans="1:13" s="23" customFormat="1" ht="17.25" customHeight="1">
      <c r="A423" s="1004" t="s">
        <v>431</v>
      </c>
      <c r="B423" s="1009" t="s">
        <v>458</v>
      </c>
      <c r="C423" s="1010">
        <f>VLOOKUP(B417,'CNKT '!$D$16:$AC$96,13,0)</f>
        <v>27</v>
      </c>
      <c r="D423" s="583">
        <v>100000</v>
      </c>
      <c r="E423" s="1007">
        <f>C423*D423</f>
        <v>2700000</v>
      </c>
      <c r="F423" s="1025"/>
      <c r="G423" s="1004" t="s">
        <v>431</v>
      </c>
      <c r="H423" s="1009" t="s">
        <v>458</v>
      </c>
      <c r="I423" s="1010">
        <f>VLOOKUP(H417,'CNKT '!$D$16:$AC$96,13,0)</f>
        <v>27</v>
      </c>
      <c r="J423" s="583">
        <v>100000</v>
      </c>
      <c r="K423" s="1007">
        <f>I423*J423</f>
        <v>2700000</v>
      </c>
      <c r="L423" s="999"/>
    </row>
    <row r="424" spans="1:13" s="23" customFormat="1" ht="17.25" customHeight="1">
      <c r="A424" s="1073" t="s">
        <v>780</v>
      </c>
      <c r="B424" s="1065" t="s">
        <v>434</v>
      </c>
      <c r="C424" s="1066">
        <f>VLOOKUP(B417,'CNKT '!$D$16:$AC$96,14,0)</f>
        <v>4</v>
      </c>
      <c r="D424" s="1067">
        <f>153.8*$B$2</f>
        <v>101501.84800000001</v>
      </c>
      <c r="E424" s="1068">
        <f t="shared" ref="E424" si="97">C424*D424</f>
        <v>406007.39200000005</v>
      </c>
      <c r="F424" s="1025"/>
      <c r="G424" s="1073" t="s">
        <v>780</v>
      </c>
      <c r="H424" s="1065" t="s">
        <v>434</v>
      </c>
      <c r="I424" s="1066">
        <f>VLOOKUP(H417,'CNKT '!$D$16:$AC$96,14,0)</f>
        <v>4</v>
      </c>
      <c r="J424" s="1067">
        <f>153.8*$B$2</f>
        <v>101501.84800000001</v>
      </c>
      <c r="K424" s="1068">
        <f t="shared" ref="K424" si="98">I424*J424</f>
        <v>406007.39200000005</v>
      </c>
      <c r="L424" s="999"/>
    </row>
    <row r="425" spans="1:13" s="23" customFormat="1" ht="17.25" customHeight="1">
      <c r="A425" s="1073" t="s">
        <v>781</v>
      </c>
      <c r="B425" s="1065" t="s">
        <v>435</v>
      </c>
      <c r="C425" s="1066">
        <f>VLOOKUP(B417,'CNKT '!$D$16:$AC$96,18,0)</f>
        <v>0</v>
      </c>
      <c r="D425" s="1067">
        <v>100000</v>
      </c>
      <c r="E425" s="1068">
        <f>C425*D425</f>
        <v>0</v>
      </c>
      <c r="F425" s="1025"/>
      <c r="G425" s="1073" t="s">
        <v>781</v>
      </c>
      <c r="H425" s="1065" t="s">
        <v>435</v>
      </c>
      <c r="I425" s="1066">
        <f>VLOOKUP(H417,'CNKT '!$D$16:$AC$96,18,0)</f>
        <v>0</v>
      </c>
      <c r="J425" s="1067">
        <v>100000</v>
      </c>
      <c r="K425" s="1068">
        <f>I425*J425</f>
        <v>0</v>
      </c>
      <c r="L425" s="999"/>
    </row>
    <row r="426" spans="1:13" s="23" customFormat="1" ht="17.25" customHeight="1">
      <c r="A426" s="1004" t="s">
        <v>394</v>
      </c>
      <c r="B426" s="1009" t="s">
        <v>435</v>
      </c>
      <c r="C426" s="1010">
        <f>VLOOKUP(B417,'CNKT '!$D$16:$AC$96,19,0)</f>
        <v>0</v>
      </c>
      <c r="D426" s="582">
        <v>20000</v>
      </c>
      <c r="E426" s="1007">
        <f>C426*D426</f>
        <v>0</v>
      </c>
      <c r="F426" s="1025"/>
      <c r="G426" s="1004" t="s">
        <v>394</v>
      </c>
      <c r="H426" s="1009" t="s">
        <v>435</v>
      </c>
      <c r="I426" s="1010">
        <f>VLOOKUP(H417,'CNKT '!$D$16:$AC$96,19,0)</f>
        <v>0</v>
      </c>
      <c r="J426" s="582">
        <v>20000</v>
      </c>
      <c r="K426" s="1007">
        <f>I426*J426</f>
        <v>0</v>
      </c>
      <c r="L426" s="999"/>
    </row>
    <row r="427" spans="1:13" s="23" customFormat="1" ht="17.25" customHeight="1">
      <c r="A427" s="1004" t="s">
        <v>731</v>
      </c>
      <c r="B427" s="1011" t="s">
        <v>732</v>
      </c>
      <c r="C427" s="1010"/>
      <c r="D427" s="582"/>
      <c r="E427" s="1007">
        <f>VLOOKUP(B417,'CNKT '!$D$16:$AG$99,28,0)</f>
        <v>0</v>
      </c>
      <c r="F427" s="1025"/>
      <c r="G427" s="1004" t="s">
        <v>731</v>
      </c>
      <c r="H427" s="1011" t="s">
        <v>732</v>
      </c>
      <c r="I427" s="1010"/>
      <c r="J427" s="582"/>
      <c r="K427" s="1007">
        <f>VLOOKUP(H417,'CNKT '!$D$16:$AG$99,28,0)</f>
        <v>0</v>
      </c>
      <c r="L427" s="999"/>
    </row>
    <row r="428" spans="1:13" s="23" customFormat="1" ht="17.25" customHeight="1">
      <c r="A428" s="1012" t="s">
        <v>70</v>
      </c>
      <c r="B428" s="1013" t="s">
        <v>459</v>
      </c>
      <c r="C428" s="1014"/>
      <c r="D428" s="1015"/>
      <c r="E428" s="1014"/>
      <c r="F428" s="1029"/>
      <c r="G428" s="1012" t="s">
        <v>70</v>
      </c>
      <c r="H428" s="1013" t="s">
        <v>459</v>
      </c>
      <c r="I428" s="1014"/>
      <c r="J428" s="1015"/>
      <c r="K428" s="1014"/>
      <c r="L428" s="999"/>
    </row>
    <row r="429" spans="1:13" s="23" customFormat="1" ht="17.25" customHeight="1">
      <c r="A429" s="1016" t="s">
        <v>71</v>
      </c>
      <c r="B429" s="1017" t="s">
        <v>460</v>
      </c>
      <c r="C429" s="1014"/>
      <c r="D429" s="1014"/>
      <c r="E429" s="1014"/>
      <c r="F429" s="1029"/>
      <c r="G429" s="1016" t="s">
        <v>71</v>
      </c>
      <c r="H429" s="1017" t="s">
        <v>460</v>
      </c>
      <c r="I429" s="1014"/>
      <c r="J429" s="1014"/>
      <c r="K429" s="1014"/>
      <c r="L429" s="999"/>
    </row>
    <row r="430" spans="1:13" s="23" customFormat="1" ht="17.25" customHeight="1">
      <c r="A430" s="1016" t="s">
        <v>72</v>
      </c>
      <c r="B430" s="1018" t="s">
        <v>461</v>
      </c>
      <c r="C430" s="1014"/>
      <c r="D430" s="1014"/>
      <c r="E430" s="1007">
        <f>SUM(E429)</f>
        <v>0</v>
      </c>
      <c r="F430" s="1029"/>
      <c r="G430" s="1016" t="s">
        <v>72</v>
      </c>
      <c r="H430" s="1018" t="s">
        <v>461</v>
      </c>
      <c r="I430" s="1014"/>
      <c r="J430" s="1014"/>
      <c r="K430" s="1007">
        <f>SUM(K429)</f>
        <v>0</v>
      </c>
      <c r="L430" s="999"/>
      <c r="M430" s="1019">
        <f>E430+K430</f>
        <v>0</v>
      </c>
    </row>
    <row r="431" spans="1:13" s="23" customFormat="1" ht="17.25" customHeight="1">
      <c r="A431" s="1020" t="s">
        <v>73</v>
      </c>
      <c r="B431" s="1021" t="s">
        <v>381</v>
      </c>
      <c r="C431" s="1022"/>
      <c r="D431" s="1022"/>
      <c r="E431" s="1022" t="e">
        <f>(E419+E420+E421+E422+E423+E424+E425+E426+E427)-E430</f>
        <v>#VALUE!</v>
      </c>
      <c r="F431" s="1029"/>
      <c r="G431" s="1020" t="s">
        <v>73</v>
      </c>
      <c r="H431" s="1021" t="s">
        <v>381</v>
      </c>
      <c r="I431" s="1022"/>
      <c r="J431" s="1022"/>
      <c r="K431" s="1022" t="e">
        <f>(K419+K420+K421+K422+K423+K424+K425+K426+K427)-K430</f>
        <v>#VALUE!</v>
      </c>
      <c r="L431" s="1024" t="e">
        <f>E431+K431</f>
        <v>#VALUE!</v>
      </c>
    </row>
    <row r="432" spans="1:13" s="23" customFormat="1" ht="17.25" customHeight="1">
      <c r="A432" s="1029"/>
      <c r="B432" s="1034"/>
      <c r="C432" s="1035"/>
      <c r="D432" s="1035"/>
      <c r="E432" s="1033"/>
      <c r="F432" s="1029"/>
      <c r="G432" s="1029"/>
      <c r="H432" s="1034"/>
      <c r="I432" s="1035"/>
      <c r="J432" s="1033"/>
      <c r="K432" s="1027"/>
      <c r="L432" s="999"/>
    </row>
    <row r="433" spans="1:13" s="23" customFormat="1" ht="17.25" customHeight="1">
      <c r="A433" s="1653" t="str">
        <f>G416</f>
        <v>LƯƠNG THÁNG 09/2025</v>
      </c>
      <c r="B433" s="1656"/>
      <c r="C433" s="1656"/>
      <c r="D433" s="1656"/>
      <c r="E433" s="998">
        <v>51</v>
      </c>
      <c r="F433" s="1033"/>
      <c r="G433" s="1653" t="str">
        <f>A433</f>
        <v>LƯƠNG THÁNG 09/2025</v>
      </c>
      <c r="H433" s="1656"/>
      <c r="I433" s="1656"/>
      <c r="J433" s="1657"/>
      <c r="K433" s="998">
        <v>52</v>
      </c>
      <c r="L433" s="999"/>
    </row>
    <row r="434" spans="1:13" s="23" customFormat="1" ht="17.25" customHeight="1">
      <c r="A434" s="1028" t="s">
        <v>13</v>
      </c>
      <c r="B434" s="1000" t="str">
        <f>'CNKT '!D66</f>
        <v>T. Son Xay</v>
      </c>
      <c r="C434" s="1001"/>
      <c r="D434" s="1002" t="s">
        <v>353</v>
      </c>
      <c r="E434" s="1002" t="s">
        <v>16</v>
      </c>
      <c r="F434" s="1033"/>
      <c r="G434" s="1028" t="s">
        <v>13</v>
      </c>
      <c r="H434" s="1000" t="str">
        <f>'CNKT '!D67</f>
        <v>N. Lăm Phay</v>
      </c>
      <c r="I434" s="1001"/>
      <c r="J434" s="1002" t="s">
        <v>353</v>
      </c>
      <c r="K434" s="1002" t="s">
        <v>16</v>
      </c>
      <c r="L434" s="999"/>
    </row>
    <row r="435" spans="1:13" s="23" customFormat="1" ht="17.25" customHeight="1">
      <c r="A435" s="1004" t="s">
        <v>354</v>
      </c>
      <c r="B435" s="1005" t="s">
        <v>454</v>
      </c>
      <c r="C435" s="1006">
        <f>VLOOKUP(B434,'SẢN LƯỢNG'!$D$17:$AR$94,37,0)</f>
        <v>4888</v>
      </c>
      <c r="D435" s="1007"/>
      <c r="E435" s="1007"/>
      <c r="F435" s="1033"/>
      <c r="G435" s="1004" t="s">
        <v>354</v>
      </c>
      <c r="H435" s="1005" t="s">
        <v>454</v>
      </c>
      <c r="I435" s="1006">
        <f>VLOOKUP(H434,'SẢN LƯỢNG'!$D$17:$AR$94,37,0)</f>
        <v>4978</v>
      </c>
      <c r="J435" s="1007"/>
      <c r="K435" s="1007"/>
      <c r="L435" s="999"/>
    </row>
    <row r="436" spans="1:13" s="23" customFormat="1" ht="17.25" customHeight="1">
      <c r="A436" s="1004" t="s">
        <v>68</v>
      </c>
      <c r="B436" s="1008" t="s">
        <v>380</v>
      </c>
      <c r="C436" s="581">
        <f>VLOOKUP(B434,'CNKT '!$D$16:$AC$96,3,0)</f>
        <v>0</v>
      </c>
      <c r="D436" s="582">
        <v>25000</v>
      </c>
      <c r="E436" s="1007">
        <f>C436*D436</f>
        <v>0</v>
      </c>
      <c r="F436" s="1025"/>
      <c r="G436" s="1004" t="s">
        <v>68</v>
      </c>
      <c r="H436" s="1008" t="s">
        <v>380</v>
      </c>
      <c r="I436" s="581">
        <f>VLOOKUP(H434,'CNKT '!$D$16:$AC$96,3,0)</f>
        <v>0</v>
      </c>
      <c r="J436" s="582">
        <v>25000</v>
      </c>
      <c r="K436" s="1007">
        <f>I436*J436</f>
        <v>0</v>
      </c>
      <c r="L436" s="999"/>
    </row>
    <row r="437" spans="1:13" s="23" customFormat="1" ht="17.25" customHeight="1">
      <c r="A437" s="1004" t="s">
        <v>269</v>
      </c>
      <c r="B437" s="1009" t="s">
        <v>455</v>
      </c>
      <c r="C437" s="1010" t="str">
        <f>VLOOKUP(B434,'CNKT '!$D$16:$AC$96,11,0)</f>
        <v>B</v>
      </c>
      <c r="D437" s="583">
        <f>46.1*$B$2</f>
        <v>30424.156000000003</v>
      </c>
      <c r="E437" s="1007" t="e">
        <f>C437*D437</f>
        <v>#VALUE!</v>
      </c>
      <c r="F437" s="1029"/>
      <c r="G437" s="1004" t="s">
        <v>269</v>
      </c>
      <c r="H437" s="1009" t="s">
        <v>455</v>
      </c>
      <c r="I437" s="1010" t="str">
        <f>VLOOKUP(H434,'CNKT '!$D$16:$AC$96,11,0)</f>
        <v>A</v>
      </c>
      <c r="J437" s="583">
        <f>46.1*$B$2</f>
        <v>30424.156000000003</v>
      </c>
      <c r="K437" s="1007" t="e">
        <f>I437*J437</f>
        <v>#VALUE!</v>
      </c>
      <c r="L437" s="999"/>
    </row>
    <row r="438" spans="1:13" s="23" customFormat="1" ht="17.25" customHeight="1">
      <c r="A438" s="1004" t="s">
        <v>356</v>
      </c>
      <c r="B438" s="1009" t="s">
        <v>456</v>
      </c>
      <c r="C438" s="1010">
        <f>VLOOKUP(B434,'CNKT '!$D$16:$AC$96,12,0)</f>
        <v>7654182</v>
      </c>
      <c r="D438" s="582">
        <f>76.9*$B$2</f>
        <v>50750.924000000006</v>
      </c>
      <c r="E438" s="1007">
        <f t="shared" ref="E438:E439" si="99">C438*D438</f>
        <v>388456808964.16803</v>
      </c>
      <c r="F438" s="1029"/>
      <c r="G438" s="1004" t="s">
        <v>356</v>
      </c>
      <c r="H438" s="1009" t="s">
        <v>456</v>
      </c>
      <c r="I438" s="1010">
        <f>VLOOKUP(H434,'CNKT '!$D$16:$AC$96,12,0)</f>
        <v>8066410</v>
      </c>
      <c r="J438" s="582">
        <f>76.9*$B$2</f>
        <v>50750.924000000006</v>
      </c>
      <c r="K438" s="1007">
        <f t="shared" ref="K438:K439" si="100">I438*J438</f>
        <v>409377760862.84003</v>
      </c>
      <c r="L438" s="999"/>
    </row>
    <row r="439" spans="1:13" s="23" customFormat="1" ht="17.25" customHeight="1">
      <c r="A439" s="1004" t="s">
        <v>69</v>
      </c>
      <c r="B439" s="1009" t="s">
        <v>457</v>
      </c>
      <c r="C439" s="1010">
        <f>VLOOKUP(B434,'CNKT '!$D$16:$AC$96,8,0)</f>
        <v>1993.9711879119147</v>
      </c>
      <c r="D439" s="582">
        <f>IF(C435="A",6.1,IF(C435="B",5.8,IF(C435="C",5.5,IF(C435="C.",5.5,IF(C435="D",5.2)))))*$B$2</f>
        <v>0</v>
      </c>
      <c r="E439" s="1007">
        <f t="shared" si="99"/>
        <v>0</v>
      </c>
      <c r="F439" s="1029"/>
      <c r="G439" s="1004" t="s">
        <v>69</v>
      </c>
      <c r="H439" s="1009" t="s">
        <v>457</v>
      </c>
      <c r="I439" s="1010">
        <f>VLOOKUP(H434,'CNKT '!$D$16:$AC$96,8,0)</f>
        <v>1995.295499083873</v>
      </c>
      <c r="J439" s="582">
        <f>IF(I435="A",6.1,IF(I435="B",5.8,IF(I435="C",5.5,IF(I435="C.",5.5,IF(I435="D",5.2)))))*$B$2</f>
        <v>0</v>
      </c>
      <c r="K439" s="1007">
        <f t="shared" si="100"/>
        <v>0</v>
      </c>
      <c r="L439" s="999"/>
    </row>
    <row r="440" spans="1:13" s="23" customFormat="1" ht="17.25" customHeight="1">
      <c r="A440" s="1004" t="s">
        <v>431</v>
      </c>
      <c r="B440" s="1009" t="s">
        <v>458</v>
      </c>
      <c r="C440" s="1010">
        <f>VLOOKUP(B434,'CNKT '!$D$16:$AC$96,13,0)</f>
        <v>26</v>
      </c>
      <c r="D440" s="583">
        <v>100000</v>
      </c>
      <c r="E440" s="1007">
        <f>C440*D440</f>
        <v>2600000</v>
      </c>
      <c r="F440" s="1029"/>
      <c r="G440" s="1004" t="s">
        <v>431</v>
      </c>
      <c r="H440" s="1009" t="s">
        <v>458</v>
      </c>
      <c r="I440" s="1010">
        <f>VLOOKUP(H434,'CNKT '!$D$16:$AC$96,13,0)</f>
        <v>26</v>
      </c>
      <c r="J440" s="583">
        <v>100000</v>
      </c>
      <c r="K440" s="1007">
        <f>I440*J440</f>
        <v>2600000</v>
      </c>
      <c r="L440" s="999"/>
    </row>
    <row r="441" spans="1:13" s="23" customFormat="1" ht="17.25" customHeight="1">
      <c r="A441" s="1073" t="s">
        <v>780</v>
      </c>
      <c r="B441" s="1065" t="s">
        <v>434</v>
      </c>
      <c r="C441" s="1066">
        <f>VLOOKUP(B434,'CNKT '!$D$16:$AC$96,14,0)</f>
        <v>4</v>
      </c>
      <c r="D441" s="1067">
        <f>153.8*$B$2</f>
        <v>101501.84800000001</v>
      </c>
      <c r="E441" s="1068">
        <f t="shared" ref="E441" si="101">C441*D441</f>
        <v>406007.39200000005</v>
      </c>
      <c r="F441" s="1032"/>
      <c r="G441" s="1073" t="s">
        <v>780</v>
      </c>
      <c r="H441" s="1065" t="s">
        <v>434</v>
      </c>
      <c r="I441" s="1066">
        <f>VLOOKUP(H434,'CNKT '!$D$16:$AC$96,14,0)</f>
        <v>4</v>
      </c>
      <c r="J441" s="1067">
        <f>153.8*$B$2</f>
        <v>101501.84800000001</v>
      </c>
      <c r="K441" s="1068">
        <f t="shared" ref="K441" si="102">I441*J441</f>
        <v>406007.39200000005</v>
      </c>
      <c r="L441" s="999"/>
    </row>
    <row r="442" spans="1:13" s="23" customFormat="1" ht="17.25" customHeight="1">
      <c r="A442" s="1073" t="s">
        <v>781</v>
      </c>
      <c r="B442" s="1065" t="s">
        <v>435</v>
      </c>
      <c r="C442" s="1066">
        <f>VLOOKUP(B434,'CNKT '!$D$16:$AC$96,18,0)</f>
        <v>0</v>
      </c>
      <c r="D442" s="1067">
        <v>100000</v>
      </c>
      <c r="E442" s="1068">
        <f>C442*D442</f>
        <v>0</v>
      </c>
      <c r="F442" s="1032"/>
      <c r="G442" s="1073" t="s">
        <v>781</v>
      </c>
      <c r="H442" s="1065" t="s">
        <v>435</v>
      </c>
      <c r="I442" s="1066">
        <f>VLOOKUP(H434,'CNKT '!$D$16:$AC$96,18,0)</f>
        <v>0</v>
      </c>
      <c r="J442" s="1067">
        <v>100000</v>
      </c>
      <c r="K442" s="1068">
        <f>I442*J442</f>
        <v>0</v>
      </c>
      <c r="L442" s="999"/>
    </row>
    <row r="443" spans="1:13" s="23" customFormat="1" ht="17.25" customHeight="1">
      <c r="A443" s="1004" t="s">
        <v>394</v>
      </c>
      <c r="B443" s="1009" t="s">
        <v>435</v>
      </c>
      <c r="C443" s="1010">
        <f>VLOOKUP(B434,'CNKT '!$D$16:$AC$96,19,0)</f>
        <v>0</v>
      </c>
      <c r="D443" s="582">
        <v>20000</v>
      </c>
      <c r="E443" s="1007">
        <f>C443*D443</f>
        <v>0</v>
      </c>
      <c r="F443" s="1032"/>
      <c r="G443" s="1004" t="s">
        <v>394</v>
      </c>
      <c r="H443" s="1009" t="s">
        <v>435</v>
      </c>
      <c r="I443" s="1010">
        <f>VLOOKUP(H434,'CNKT '!$D$16:$AC$96,19,0)</f>
        <v>0</v>
      </c>
      <c r="J443" s="582">
        <v>20000</v>
      </c>
      <c r="K443" s="1007">
        <f>I443*J443</f>
        <v>0</v>
      </c>
      <c r="L443" s="999"/>
    </row>
    <row r="444" spans="1:13" s="23" customFormat="1" ht="17.25" customHeight="1">
      <c r="A444" s="1004" t="s">
        <v>731</v>
      </c>
      <c r="B444" s="1011" t="s">
        <v>732</v>
      </c>
      <c r="C444" s="1010"/>
      <c r="D444" s="582"/>
      <c r="E444" s="1007">
        <f>VLOOKUP(B434,'CNKT '!$D$16:$AG$99,28,0)</f>
        <v>0</v>
      </c>
      <c r="F444" s="1032"/>
      <c r="G444" s="1004" t="s">
        <v>731</v>
      </c>
      <c r="H444" s="1011" t="s">
        <v>732</v>
      </c>
      <c r="I444" s="1010"/>
      <c r="J444" s="582"/>
      <c r="K444" s="1007">
        <f>VLOOKUP(H434,'CNKT '!$D$16:$AG$99,28,0)</f>
        <v>0</v>
      </c>
      <c r="L444" s="999"/>
    </row>
    <row r="445" spans="1:13" s="23" customFormat="1" ht="17.25" customHeight="1">
      <c r="A445" s="1012" t="s">
        <v>70</v>
      </c>
      <c r="B445" s="1013" t="s">
        <v>459</v>
      </c>
      <c r="C445" s="1014"/>
      <c r="D445" s="1015"/>
      <c r="E445" s="1014"/>
      <c r="F445" s="1032"/>
      <c r="G445" s="1012" t="s">
        <v>70</v>
      </c>
      <c r="H445" s="1013" t="s">
        <v>459</v>
      </c>
      <c r="I445" s="1014"/>
      <c r="J445" s="1015"/>
      <c r="K445" s="1014"/>
      <c r="L445" s="999"/>
    </row>
    <row r="446" spans="1:13" s="23" customFormat="1" ht="17.25" customHeight="1">
      <c r="A446" s="1016" t="s">
        <v>71</v>
      </c>
      <c r="B446" s="1017" t="s">
        <v>460</v>
      </c>
      <c r="C446" s="1014"/>
      <c r="D446" s="1014"/>
      <c r="E446" s="1014"/>
      <c r="F446" s="1032"/>
      <c r="G446" s="1016" t="s">
        <v>71</v>
      </c>
      <c r="H446" s="1017" t="s">
        <v>460</v>
      </c>
      <c r="I446" s="1014"/>
      <c r="J446" s="1014"/>
      <c r="K446" s="1014"/>
      <c r="L446" s="1024"/>
    </row>
    <row r="447" spans="1:13" s="23" customFormat="1" ht="17.25" customHeight="1">
      <c r="A447" s="1016" t="s">
        <v>72</v>
      </c>
      <c r="B447" s="1018" t="s">
        <v>461</v>
      </c>
      <c r="C447" s="1014"/>
      <c r="D447" s="1014"/>
      <c r="E447" s="1007">
        <f>SUM(E446)</f>
        <v>0</v>
      </c>
      <c r="F447" s="1032"/>
      <c r="G447" s="1016" t="s">
        <v>72</v>
      </c>
      <c r="H447" s="1018" t="s">
        <v>461</v>
      </c>
      <c r="I447" s="1014"/>
      <c r="J447" s="1014"/>
      <c r="K447" s="1007">
        <f>SUM(K446)</f>
        <v>0</v>
      </c>
      <c r="L447" s="999"/>
      <c r="M447" s="1019">
        <f>E447+K447</f>
        <v>0</v>
      </c>
    </row>
    <row r="448" spans="1:13" s="23" customFormat="1" ht="17.25" customHeight="1">
      <c r="A448" s="1020" t="s">
        <v>73</v>
      </c>
      <c r="B448" s="1021" t="s">
        <v>381</v>
      </c>
      <c r="C448" s="1022"/>
      <c r="D448" s="1022"/>
      <c r="E448" s="1022" t="e">
        <f>(E436+E437+E438+E439+E440+E441+E442+E443+E444)-E447</f>
        <v>#VALUE!</v>
      </c>
      <c r="F448" s="1025"/>
      <c r="G448" s="1020" t="s">
        <v>73</v>
      </c>
      <c r="H448" s="1021" t="s">
        <v>381</v>
      </c>
      <c r="I448" s="1022"/>
      <c r="J448" s="1022"/>
      <c r="K448" s="1022" t="e">
        <f>(K436+K437+K438+K439+K440+K441+K442+K443+K444)-K447</f>
        <v>#VALUE!</v>
      </c>
      <c r="L448" s="1024" t="e">
        <f>E448+K448</f>
        <v>#VALUE!</v>
      </c>
    </row>
    <row r="449" spans="1:13" s="23" customFormat="1" ht="17.25" customHeight="1">
      <c r="A449" s="1653" t="str">
        <f>G433</f>
        <v>LƯƠNG THÁNG 09/2025</v>
      </c>
      <c r="B449" s="1656"/>
      <c r="C449" s="1656"/>
      <c r="D449" s="1656"/>
      <c r="E449" s="998">
        <v>53</v>
      </c>
      <c r="F449" s="1033"/>
      <c r="G449" s="1653" t="str">
        <f>A449</f>
        <v>LƯƠNG THÁNG 09/2025</v>
      </c>
      <c r="H449" s="1656"/>
      <c r="I449" s="1656"/>
      <c r="J449" s="1657"/>
      <c r="K449" s="998">
        <v>54</v>
      </c>
      <c r="L449" s="999"/>
    </row>
    <row r="450" spans="1:13" s="23" customFormat="1" ht="17.25" customHeight="1">
      <c r="A450" s="1028" t="s">
        <v>13</v>
      </c>
      <c r="B450" s="1000" t="str">
        <f>'CNKT '!D68</f>
        <v>T. Nhung</v>
      </c>
      <c r="C450" s="1001"/>
      <c r="D450" s="1002" t="s">
        <v>353</v>
      </c>
      <c r="E450" s="1002" t="s">
        <v>16</v>
      </c>
      <c r="F450" s="1033"/>
      <c r="G450" s="1028" t="s">
        <v>13</v>
      </c>
      <c r="H450" s="1000" t="str">
        <f>'CNKT '!D69</f>
        <v>N. In Ton</v>
      </c>
      <c r="I450" s="1001"/>
      <c r="J450" s="1002" t="s">
        <v>353</v>
      </c>
      <c r="K450" s="1002" t="s">
        <v>16</v>
      </c>
      <c r="L450" s="999"/>
    </row>
    <row r="451" spans="1:13" s="23" customFormat="1" ht="17.25" customHeight="1">
      <c r="A451" s="1004" t="s">
        <v>354</v>
      </c>
      <c r="B451" s="1005" t="s">
        <v>454</v>
      </c>
      <c r="C451" s="1006">
        <f>VLOOKUP(B450,'SẢN LƯỢNG'!$D$17:$AR$94,37,0)</f>
        <v>4751</v>
      </c>
      <c r="D451" s="1007"/>
      <c r="E451" s="1007"/>
      <c r="F451" s="1033"/>
      <c r="G451" s="1004" t="s">
        <v>354</v>
      </c>
      <c r="H451" s="1005" t="s">
        <v>454</v>
      </c>
      <c r="I451" s="1006">
        <f>VLOOKUP(H450,'SẢN LƯỢNG'!$D$17:$AR$94,37,0)</f>
        <v>4111</v>
      </c>
      <c r="J451" s="1007"/>
      <c r="K451" s="1007"/>
      <c r="L451" s="999"/>
    </row>
    <row r="452" spans="1:13" s="23" customFormat="1" ht="17.25" customHeight="1">
      <c r="A452" s="1004" t="s">
        <v>68</v>
      </c>
      <c r="B452" s="1008" t="s">
        <v>380</v>
      </c>
      <c r="C452" s="581">
        <f>VLOOKUP(B450,'CNKT '!$D$16:$AC$96,3,0)</f>
        <v>0</v>
      </c>
      <c r="D452" s="582">
        <v>25000</v>
      </c>
      <c r="E452" s="1007">
        <f>C452*D452</f>
        <v>0</v>
      </c>
      <c r="F452" s="1025"/>
      <c r="G452" s="1004" t="s">
        <v>68</v>
      </c>
      <c r="H452" s="1008" t="s">
        <v>380</v>
      </c>
      <c r="I452" s="581">
        <f>VLOOKUP(H450,'CNKT '!$D$16:$AC$96,3,0)</f>
        <v>0</v>
      </c>
      <c r="J452" s="582">
        <v>25000</v>
      </c>
      <c r="K452" s="1007">
        <f>I452*J452</f>
        <v>0</v>
      </c>
      <c r="L452" s="999"/>
    </row>
    <row r="453" spans="1:13" s="23" customFormat="1" ht="17.25" customHeight="1">
      <c r="A453" s="1004" t="s">
        <v>269</v>
      </c>
      <c r="B453" s="1009" t="s">
        <v>455</v>
      </c>
      <c r="C453" s="1010" t="str">
        <f>VLOOKUP(B450,'CNKT '!$D$16:$AC$96,11,0)</f>
        <v>A</v>
      </c>
      <c r="D453" s="583">
        <f>46.1*$B$2</f>
        <v>30424.156000000003</v>
      </c>
      <c r="E453" s="1007" t="e">
        <f>C453*D453</f>
        <v>#VALUE!</v>
      </c>
      <c r="F453" s="1029"/>
      <c r="G453" s="1004" t="s">
        <v>269</v>
      </c>
      <c r="H453" s="1009" t="s">
        <v>455</v>
      </c>
      <c r="I453" s="1010" t="str">
        <f>VLOOKUP(H450,'CNKT '!$D$16:$AC$96,11,0)</f>
        <v>A</v>
      </c>
      <c r="J453" s="583">
        <f>46.1*$B$2</f>
        <v>30424.156000000003</v>
      </c>
      <c r="K453" s="1007" t="e">
        <f>I453*J453</f>
        <v>#VALUE!</v>
      </c>
      <c r="L453" s="999"/>
    </row>
    <row r="454" spans="1:13" s="23" customFormat="1" ht="17.25" customHeight="1">
      <c r="A454" s="1004" t="s">
        <v>356</v>
      </c>
      <c r="B454" s="1009" t="s">
        <v>456</v>
      </c>
      <c r="C454" s="1010">
        <f>VLOOKUP(B450,'CNKT '!$D$16:$AC$96,12,0)</f>
        <v>7953784</v>
      </c>
      <c r="D454" s="582">
        <f>76.9*$B$2</f>
        <v>50750.924000000006</v>
      </c>
      <c r="E454" s="1007">
        <f t="shared" ref="E454:E455" si="103">C454*D454</f>
        <v>403661887296.41608</v>
      </c>
      <c r="F454" s="1029"/>
      <c r="G454" s="1004" t="s">
        <v>356</v>
      </c>
      <c r="H454" s="1009" t="s">
        <v>456</v>
      </c>
      <c r="I454" s="1010">
        <f>VLOOKUP(H450,'CNKT '!$D$16:$AC$96,12,0)</f>
        <v>6245638</v>
      </c>
      <c r="J454" s="582">
        <f>76.9*$B$2</f>
        <v>50750.924000000006</v>
      </c>
      <c r="K454" s="1007">
        <f t="shared" ref="K454:K455" si="104">I454*J454</f>
        <v>316971899469.51202</v>
      </c>
      <c r="L454" s="999"/>
    </row>
    <row r="455" spans="1:13" s="23" customFormat="1" ht="17.25" customHeight="1">
      <c r="A455" s="1004" t="s">
        <v>69</v>
      </c>
      <c r="B455" s="1009" t="s">
        <v>457</v>
      </c>
      <c r="C455" s="1010">
        <f>VLOOKUP(B450,'CNKT '!$D$16:$AC$96,8,0)</f>
        <v>1972.7822091605815</v>
      </c>
      <c r="D455" s="582">
        <f>IF(C451="A",6.1,IF(C451="B",5.8,IF(C451="C",5.5,IF(C451="C.",5.5,IF(C451="D",5.2)))))*$B$2</f>
        <v>0</v>
      </c>
      <c r="E455" s="1007">
        <f t="shared" si="103"/>
        <v>0</v>
      </c>
      <c r="F455" s="1029"/>
      <c r="G455" s="1004" t="s">
        <v>69</v>
      </c>
      <c r="H455" s="1009" t="s">
        <v>457</v>
      </c>
      <c r="I455" s="1010">
        <f>VLOOKUP(H450,'CNKT '!$D$16:$AC$96,8,0)</f>
        <v>1536.2009594716544</v>
      </c>
      <c r="J455" s="582">
        <f>IF(I451="A",6.1,IF(I451="B",5.8,IF(I451="C",5.5,IF(I451="C.",5.5,IF(I451="D",5.2)))))*$B$2</f>
        <v>0</v>
      </c>
      <c r="K455" s="1007">
        <f t="shared" si="104"/>
        <v>0</v>
      </c>
      <c r="L455" s="999"/>
    </row>
    <row r="456" spans="1:13" s="23" customFormat="1" ht="17.25" customHeight="1">
      <c r="A456" s="1004" t="s">
        <v>431</v>
      </c>
      <c r="B456" s="1009" t="s">
        <v>458</v>
      </c>
      <c r="C456" s="1010">
        <f>VLOOKUP(B450,'CNKT '!$D$16:$AC$96,13,0)</f>
        <v>27</v>
      </c>
      <c r="D456" s="583">
        <v>100000</v>
      </c>
      <c r="E456" s="1007">
        <f>C456*D456</f>
        <v>2700000</v>
      </c>
      <c r="F456" s="1029"/>
      <c r="G456" s="1004" t="s">
        <v>431</v>
      </c>
      <c r="H456" s="1009" t="s">
        <v>458</v>
      </c>
      <c r="I456" s="1010">
        <f>VLOOKUP(H450,'CNKT '!$D$16:$AC$96,13,0)</f>
        <v>27</v>
      </c>
      <c r="J456" s="583">
        <v>100000</v>
      </c>
      <c r="K456" s="1007">
        <f>I456*J456</f>
        <v>2700000</v>
      </c>
      <c r="L456" s="999"/>
    </row>
    <row r="457" spans="1:13" s="23" customFormat="1" ht="17.25" customHeight="1">
      <c r="A457" s="1073" t="s">
        <v>780</v>
      </c>
      <c r="B457" s="1065" t="s">
        <v>434</v>
      </c>
      <c r="C457" s="1066">
        <f>VLOOKUP(B450,'CNKT '!$D$16:$AC$96,14,0)</f>
        <v>4</v>
      </c>
      <c r="D457" s="1067">
        <f>153.8*$B$2</f>
        <v>101501.84800000001</v>
      </c>
      <c r="E457" s="1068">
        <f t="shared" ref="E457" si="105">C457*D457</f>
        <v>406007.39200000005</v>
      </c>
      <c r="F457" s="1029"/>
      <c r="G457" s="1073" t="s">
        <v>780</v>
      </c>
      <c r="H457" s="1065" t="s">
        <v>434</v>
      </c>
      <c r="I457" s="1066">
        <f>VLOOKUP(H450,'CNKT '!$D$16:$AC$96,14,0)</f>
        <v>4</v>
      </c>
      <c r="J457" s="1067">
        <f>153.8*$B$2</f>
        <v>101501.84800000001</v>
      </c>
      <c r="K457" s="1068">
        <f t="shared" ref="K457" si="106">I457*J457</f>
        <v>406007.39200000005</v>
      </c>
      <c r="L457" s="999"/>
    </row>
    <row r="458" spans="1:13" s="23" customFormat="1" ht="17.25" customHeight="1">
      <c r="A458" s="1073" t="s">
        <v>781</v>
      </c>
      <c r="B458" s="1065" t="s">
        <v>435</v>
      </c>
      <c r="C458" s="1066">
        <f>VLOOKUP(B450,'CNKT '!$D$16:$AC$96,18,0)</f>
        <v>0</v>
      </c>
      <c r="D458" s="1067">
        <v>100000</v>
      </c>
      <c r="E458" s="1068">
        <f>C458*D458</f>
        <v>0</v>
      </c>
      <c r="F458" s="1029"/>
      <c r="G458" s="1073" t="s">
        <v>781</v>
      </c>
      <c r="H458" s="1065" t="s">
        <v>435</v>
      </c>
      <c r="I458" s="1066">
        <f>VLOOKUP(H450,'CNKT '!$D$16:$AC$96,18,0)</f>
        <v>0</v>
      </c>
      <c r="J458" s="1067">
        <v>100000</v>
      </c>
      <c r="K458" s="1068">
        <f>I458*J458</f>
        <v>0</v>
      </c>
      <c r="L458" s="999"/>
    </row>
    <row r="459" spans="1:13" s="23" customFormat="1" ht="17.25" customHeight="1">
      <c r="A459" s="1004" t="s">
        <v>394</v>
      </c>
      <c r="B459" s="1009" t="s">
        <v>435</v>
      </c>
      <c r="C459" s="1010">
        <f>VLOOKUP(B450,'CNKT '!$D$16:$AC$96,19,0)</f>
        <v>0</v>
      </c>
      <c r="D459" s="582">
        <v>20000</v>
      </c>
      <c r="E459" s="1007">
        <f>C459*D459</f>
        <v>0</v>
      </c>
      <c r="F459" s="1029"/>
      <c r="G459" s="1004" t="s">
        <v>394</v>
      </c>
      <c r="H459" s="1009" t="s">
        <v>435</v>
      </c>
      <c r="I459" s="1010">
        <f>VLOOKUP(H450,'CNKT '!$D$16:$AC$96,19,0)</f>
        <v>0</v>
      </c>
      <c r="J459" s="582">
        <v>20000</v>
      </c>
      <c r="K459" s="1007">
        <f>I459*J459</f>
        <v>0</v>
      </c>
      <c r="L459" s="999"/>
    </row>
    <row r="460" spans="1:13" s="23" customFormat="1" ht="17.25" customHeight="1">
      <c r="A460" s="1004" t="s">
        <v>731</v>
      </c>
      <c r="B460" s="1011" t="s">
        <v>732</v>
      </c>
      <c r="C460" s="1010"/>
      <c r="D460" s="582"/>
      <c r="E460" s="1007">
        <f>VLOOKUP(B450,'CNKT '!$D$16:$AG$99,28,0)</f>
        <v>0</v>
      </c>
      <c r="F460" s="1029"/>
      <c r="G460" s="1004" t="s">
        <v>731</v>
      </c>
      <c r="H460" s="1011" t="s">
        <v>732</v>
      </c>
      <c r="I460" s="1010"/>
      <c r="J460" s="582"/>
      <c r="K460" s="1007">
        <f>VLOOKUP(H450,'CNKT '!$D$16:$AG$99,28,0)</f>
        <v>0</v>
      </c>
      <c r="L460" s="999"/>
    </row>
    <row r="461" spans="1:13" s="23" customFormat="1" ht="17.25" customHeight="1">
      <c r="A461" s="1012" t="s">
        <v>70</v>
      </c>
      <c r="B461" s="1013" t="s">
        <v>459</v>
      </c>
      <c r="C461" s="1014"/>
      <c r="D461" s="1015"/>
      <c r="E461" s="1014"/>
      <c r="F461" s="1029"/>
      <c r="G461" s="1012" t="s">
        <v>70</v>
      </c>
      <c r="H461" s="1013" t="s">
        <v>459</v>
      </c>
      <c r="I461" s="1014"/>
      <c r="J461" s="1015"/>
      <c r="K461" s="1014"/>
      <c r="L461" s="999"/>
    </row>
    <row r="462" spans="1:13" s="23" customFormat="1" ht="17.25" customHeight="1">
      <c r="A462" s="1016" t="s">
        <v>71</v>
      </c>
      <c r="B462" s="1017" t="s">
        <v>460</v>
      </c>
      <c r="C462" s="1014"/>
      <c r="D462" s="1014"/>
      <c r="E462" s="1014"/>
      <c r="F462" s="1032"/>
      <c r="G462" s="1016" t="s">
        <v>71</v>
      </c>
      <c r="H462" s="1017" t="s">
        <v>460</v>
      </c>
      <c r="I462" s="1014"/>
      <c r="J462" s="1014"/>
      <c r="K462" s="1014"/>
      <c r="L462" s="999"/>
    </row>
    <row r="463" spans="1:13" s="23" customFormat="1" ht="17.25" customHeight="1">
      <c r="A463" s="1016" t="s">
        <v>72</v>
      </c>
      <c r="B463" s="1018" t="s">
        <v>461</v>
      </c>
      <c r="C463" s="1014"/>
      <c r="D463" s="1014"/>
      <c r="E463" s="1007">
        <f>SUM(E462)</f>
        <v>0</v>
      </c>
      <c r="F463" s="1032"/>
      <c r="G463" s="1016" t="s">
        <v>72</v>
      </c>
      <c r="H463" s="1018" t="s">
        <v>461</v>
      </c>
      <c r="I463" s="1014"/>
      <c r="J463" s="1014"/>
      <c r="K463" s="1007">
        <f>SUM(K462)</f>
        <v>0</v>
      </c>
      <c r="L463" s="999"/>
      <c r="M463" s="1019">
        <f>E463+K463</f>
        <v>0</v>
      </c>
    </row>
    <row r="464" spans="1:13" s="23" customFormat="1" ht="17.25" customHeight="1">
      <c r="A464" s="1020" t="s">
        <v>73</v>
      </c>
      <c r="B464" s="1021" t="s">
        <v>381</v>
      </c>
      <c r="C464" s="1022"/>
      <c r="D464" s="1022"/>
      <c r="E464" s="1022" t="e">
        <f>(E452+E453+E454+E455+E456+E457+E458+E459+E460)-E463</f>
        <v>#VALUE!</v>
      </c>
      <c r="F464" s="1032"/>
      <c r="G464" s="1020" t="s">
        <v>73</v>
      </c>
      <c r="H464" s="1021" t="s">
        <v>381</v>
      </c>
      <c r="I464" s="1022"/>
      <c r="J464" s="1022"/>
      <c r="K464" s="1022" t="e">
        <f>(K452+K453+K454+K455+K456+K457+K458+K459+K460)-K463</f>
        <v>#VALUE!</v>
      </c>
      <c r="L464" s="1024" t="e">
        <f>E464+K464</f>
        <v>#VALUE!</v>
      </c>
    </row>
    <row r="465" spans="1:12" s="23" customFormat="1" ht="2.25" customHeight="1">
      <c r="A465" s="1029"/>
      <c r="B465" s="1034"/>
      <c r="C465" s="1035"/>
      <c r="D465" s="1035"/>
      <c r="E465" s="1033"/>
      <c r="F465" s="1032"/>
      <c r="G465" s="1029"/>
      <c r="H465" s="1034"/>
      <c r="I465" s="1035"/>
      <c r="J465" s="1033"/>
      <c r="K465" s="1036"/>
      <c r="L465" s="999"/>
    </row>
    <row r="466" spans="1:12" s="23" customFormat="1" ht="5.25" customHeight="1">
      <c r="A466" s="1041"/>
      <c r="B466" s="1032"/>
      <c r="C466" s="1025"/>
      <c r="D466" s="1025"/>
      <c r="E466" s="1029"/>
      <c r="F466" s="1025"/>
      <c r="G466" s="1041"/>
      <c r="H466" s="1032"/>
      <c r="I466" s="1025"/>
      <c r="J466" s="1029"/>
      <c r="K466" s="1036"/>
      <c r="L466" s="999"/>
    </row>
    <row r="467" spans="1:12" s="23" customFormat="1" ht="17.25" customHeight="1">
      <c r="A467" s="1653" t="str">
        <f>G433</f>
        <v>LƯƠNG THÁNG 09/2025</v>
      </c>
      <c r="B467" s="1656"/>
      <c r="C467" s="1656"/>
      <c r="D467" s="1656"/>
      <c r="E467" s="998">
        <v>55</v>
      </c>
      <c r="F467" s="1029"/>
      <c r="G467" s="1653" t="str">
        <f>A467</f>
        <v>LƯƠNG THÁNG 09/2025</v>
      </c>
      <c r="H467" s="1656"/>
      <c r="I467" s="1656"/>
      <c r="J467" s="1657"/>
      <c r="K467" s="998">
        <v>56</v>
      </c>
      <c r="L467" s="999"/>
    </row>
    <row r="468" spans="1:12" s="23" customFormat="1" ht="17.25" customHeight="1">
      <c r="A468" s="1028" t="s">
        <v>13</v>
      </c>
      <c r="B468" s="1000" t="str">
        <f>'CNKT '!D70</f>
        <v>N. Khay Chăn</v>
      </c>
      <c r="C468" s="1001"/>
      <c r="D468" s="1002" t="s">
        <v>353</v>
      </c>
      <c r="E468" s="1002" t="s">
        <v>16</v>
      </c>
      <c r="F468" s="1029"/>
      <c r="G468" s="1028" t="s">
        <v>13</v>
      </c>
      <c r="H468" s="1000" t="str">
        <f>'CNKT '!D71</f>
        <v>T Dăn</v>
      </c>
      <c r="I468" s="1001"/>
      <c r="J468" s="1002" t="s">
        <v>353</v>
      </c>
      <c r="K468" s="1002" t="s">
        <v>16</v>
      </c>
      <c r="L468" s="999"/>
    </row>
    <row r="469" spans="1:12" s="23" customFormat="1" ht="17.25" customHeight="1">
      <c r="A469" s="1004" t="s">
        <v>354</v>
      </c>
      <c r="B469" s="1005" t="s">
        <v>454</v>
      </c>
      <c r="C469" s="1006">
        <f>VLOOKUP(B468,'SẢN LƯỢNG'!$D$17:$AR$94,37,0)</f>
        <v>4099</v>
      </c>
      <c r="D469" s="1007"/>
      <c r="E469" s="1007"/>
      <c r="F469" s="1029"/>
      <c r="G469" s="1004" t="s">
        <v>354</v>
      </c>
      <c r="H469" s="1005" t="s">
        <v>454</v>
      </c>
      <c r="I469" s="1006">
        <f>VLOOKUP(H468,'SẢN LƯỢNG'!$D$17:$AR$94,37,0)</f>
        <v>3204</v>
      </c>
      <c r="J469" s="1007"/>
      <c r="K469" s="1007"/>
      <c r="L469" s="999"/>
    </row>
    <row r="470" spans="1:12" s="23" customFormat="1" ht="17.25" customHeight="1">
      <c r="A470" s="1004" t="s">
        <v>68</v>
      </c>
      <c r="B470" s="1008" t="s">
        <v>380</v>
      </c>
      <c r="C470" s="581">
        <f>VLOOKUP(B468,'CNKT '!$D$16:$AC$96,3,0)</f>
        <v>0</v>
      </c>
      <c r="D470" s="582">
        <v>25000</v>
      </c>
      <c r="E470" s="1007">
        <f>C470*D470</f>
        <v>0</v>
      </c>
      <c r="F470" s="1029"/>
      <c r="G470" s="1004" t="s">
        <v>68</v>
      </c>
      <c r="H470" s="1008" t="s">
        <v>380</v>
      </c>
      <c r="I470" s="581">
        <f>VLOOKUP(H468,'CNKT '!$D$16:$AC$96,3,0)</f>
        <v>0</v>
      </c>
      <c r="J470" s="582">
        <v>25000</v>
      </c>
      <c r="K470" s="1007">
        <f>I470*J470</f>
        <v>0</v>
      </c>
      <c r="L470" s="999"/>
    </row>
    <row r="471" spans="1:12" s="23" customFormat="1" ht="17.25" customHeight="1">
      <c r="A471" s="1004" t="s">
        <v>269</v>
      </c>
      <c r="B471" s="1009" t="s">
        <v>455</v>
      </c>
      <c r="C471" s="1010" t="str">
        <f>VLOOKUP(B468,'CNKT '!$D$16:$AC$96,11,0)</f>
        <v>A</v>
      </c>
      <c r="D471" s="583">
        <f>46.1*$B$2</f>
        <v>30424.156000000003</v>
      </c>
      <c r="E471" s="1007" t="e">
        <f>C471*D471</f>
        <v>#VALUE!</v>
      </c>
      <c r="F471" s="1029"/>
      <c r="G471" s="1004" t="s">
        <v>269</v>
      </c>
      <c r="H471" s="1009" t="s">
        <v>455</v>
      </c>
      <c r="I471" s="1010" t="str">
        <f>VLOOKUP(H468,'CNKT '!$D$16:$AC$96,11,0)</f>
        <v>B</v>
      </c>
      <c r="J471" s="583">
        <f>46.1*$B$2</f>
        <v>30424.156000000003</v>
      </c>
      <c r="K471" s="1007" t="e">
        <f>I471*J471</f>
        <v>#VALUE!</v>
      </c>
      <c r="L471" s="999"/>
    </row>
    <row r="472" spans="1:12" s="23" customFormat="1" ht="17.25" customHeight="1">
      <c r="A472" s="1004" t="s">
        <v>356</v>
      </c>
      <c r="B472" s="1009" t="s">
        <v>456</v>
      </c>
      <c r="C472" s="1010">
        <f>VLOOKUP(B468,'CNKT '!$D$16:$AC$96,12,0)</f>
        <v>9253337</v>
      </c>
      <c r="D472" s="582">
        <f>76.9*$B$2</f>
        <v>50750.924000000006</v>
      </c>
      <c r="E472" s="1007">
        <f t="shared" ref="E472:E473" si="107">C472*D472</f>
        <v>469615402833.38806</v>
      </c>
      <c r="F472" s="1032"/>
      <c r="G472" s="1004" t="s">
        <v>356</v>
      </c>
      <c r="H472" s="1009" t="s">
        <v>456</v>
      </c>
      <c r="I472" s="1010">
        <f>VLOOKUP(H468,'CNKT '!$D$16:$AC$96,12,0)</f>
        <v>5851279</v>
      </c>
      <c r="J472" s="582">
        <f>76.9*$B$2</f>
        <v>50750.924000000006</v>
      </c>
      <c r="K472" s="1007">
        <f t="shared" ref="K472:K473" si="108">I472*J472</f>
        <v>296957815831.79602</v>
      </c>
      <c r="L472" s="999"/>
    </row>
    <row r="473" spans="1:12" s="23" customFormat="1" ht="17.25" customHeight="1">
      <c r="A473" s="1004" t="s">
        <v>69</v>
      </c>
      <c r="B473" s="1009" t="s">
        <v>457</v>
      </c>
      <c r="C473" s="1010">
        <f>VLOOKUP(B468,'CNKT '!$D$16:$AC$96,8,0)</f>
        <v>2343.589337308912</v>
      </c>
      <c r="D473" s="582">
        <f>IF(C469="A",6.1,IF(C469="B",5.8,IF(C469="C",5.5,IF(C469="C.",5.5,IF(C469="D",5.2)))))*$B$2</f>
        <v>0</v>
      </c>
      <c r="E473" s="1007">
        <f t="shared" si="107"/>
        <v>0</v>
      </c>
      <c r="F473" s="1025"/>
      <c r="G473" s="1004" t="s">
        <v>69</v>
      </c>
      <c r="H473" s="1009" t="s">
        <v>457</v>
      </c>
      <c r="I473" s="1010">
        <f>VLOOKUP(H468,'CNKT '!$D$16:$AC$96,8,0)</f>
        <v>1542.3810782741266</v>
      </c>
      <c r="J473" s="582">
        <f>IF(I469="A",6.1,IF(I469="B",5.8,IF(I469="C",5.5,IF(I469="C.",5.5,IF(I469="D",5.2)))))*$B$2</f>
        <v>0</v>
      </c>
      <c r="K473" s="1007">
        <f t="shared" si="108"/>
        <v>0</v>
      </c>
      <c r="L473" s="999"/>
    </row>
    <row r="474" spans="1:12" s="23" customFormat="1" ht="17.25" customHeight="1">
      <c r="A474" s="1004" t="s">
        <v>431</v>
      </c>
      <c r="B474" s="1009" t="s">
        <v>458</v>
      </c>
      <c r="C474" s="1010">
        <f>VLOOKUP(B468,'CNKT '!$D$16:$AC$96,13,0)</f>
        <v>27</v>
      </c>
      <c r="D474" s="583">
        <v>100000</v>
      </c>
      <c r="E474" s="1007">
        <f>C474*D474</f>
        <v>2700000</v>
      </c>
      <c r="F474" s="1025"/>
      <c r="G474" s="1004" t="s">
        <v>431</v>
      </c>
      <c r="H474" s="1009" t="s">
        <v>458</v>
      </c>
      <c r="I474" s="1010">
        <f>VLOOKUP(H468,'CNKT '!$D$16:$AC$96,13,0)</f>
        <v>26</v>
      </c>
      <c r="J474" s="583">
        <v>100000</v>
      </c>
      <c r="K474" s="1007">
        <f>I474*J474</f>
        <v>2600000</v>
      </c>
      <c r="L474" s="999"/>
    </row>
    <row r="475" spans="1:12" s="23" customFormat="1" ht="17.25" customHeight="1">
      <c r="A475" s="1073" t="s">
        <v>780</v>
      </c>
      <c r="B475" s="1065" t="s">
        <v>434</v>
      </c>
      <c r="C475" s="1066">
        <f>VLOOKUP(B468,'CNKT '!$D$16:$AC$96,14,0)</f>
        <v>4</v>
      </c>
      <c r="D475" s="1067">
        <f>153.8*$B$2</f>
        <v>101501.84800000001</v>
      </c>
      <c r="E475" s="1068">
        <f t="shared" ref="E475" si="109">C475*D475</f>
        <v>406007.39200000005</v>
      </c>
      <c r="F475" s="1025"/>
      <c r="G475" s="1073" t="s">
        <v>780</v>
      </c>
      <c r="H475" s="1065" t="s">
        <v>434</v>
      </c>
      <c r="I475" s="1066">
        <f>VLOOKUP(H468,'CNKT '!$D$16:$AC$96,14,0)</f>
        <v>4</v>
      </c>
      <c r="J475" s="1067">
        <f>153.8*$B$2</f>
        <v>101501.84800000001</v>
      </c>
      <c r="K475" s="1068">
        <f t="shared" ref="K475" si="110">I475*J475</f>
        <v>406007.39200000005</v>
      </c>
      <c r="L475" s="999"/>
    </row>
    <row r="476" spans="1:12" s="23" customFormat="1" ht="17.25" customHeight="1">
      <c r="A476" s="1073" t="s">
        <v>781</v>
      </c>
      <c r="B476" s="1065" t="s">
        <v>435</v>
      </c>
      <c r="C476" s="1066">
        <f>VLOOKUP(B468,'CNKT '!$D$16:$AC$96,18,0)</f>
        <v>0</v>
      </c>
      <c r="D476" s="1067">
        <v>100000</v>
      </c>
      <c r="E476" s="1068">
        <f>C476*D476</f>
        <v>0</v>
      </c>
      <c r="F476" s="1025"/>
      <c r="G476" s="1073" t="s">
        <v>781</v>
      </c>
      <c r="H476" s="1065" t="s">
        <v>435</v>
      </c>
      <c r="I476" s="1066">
        <f>VLOOKUP(H468,'CNKT '!$D$16:$AC$96,18,0)</f>
        <v>0</v>
      </c>
      <c r="J476" s="1067">
        <v>100000</v>
      </c>
      <c r="K476" s="1068">
        <f>I476*J476</f>
        <v>0</v>
      </c>
      <c r="L476" s="999"/>
    </row>
    <row r="477" spans="1:12" s="23" customFormat="1" ht="17.25" customHeight="1">
      <c r="A477" s="1004" t="s">
        <v>394</v>
      </c>
      <c r="B477" s="1009" t="s">
        <v>435</v>
      </c>
      <c r="C477" s="1010">
        <f>VLOOKUP(B468,'CNKT '!$D$16:$AC$96,19,0)</f>
        <v>0</v>
      </c>
      <c r="D477" s="582">
        <v>20000</v>
      </c>
      <c r="E477" s="1007">
        <f>C477*D477</f>
        <v>0</v>
      </c>
      <c r="F477" s="1025"/>
      <c r="G477" s="1004" t="s">
        <v>394</v>
      </c>
      <c r="H477" s="1009" t="s">
        <v>435</v>
      </c>
      <c r="I477" s="1010">
        <f>VLOOKUP(H468,'CNKT '!$D$16:$AC$96,19,0)</f>
        <v>0</v>
      </c>
      <c r="J477" s="582">
        <v>20000</v>
      </c>
      <c r="K477" s="1007">
        <f>I477*J477</f>
        <v>0</v>
      </c>
      <c r="L477" s="999"/>
    </row>
    <row r="478" spans="1:12" s="23" customFormat="1" ht="17.25" customHeight="1">
      <c r="A478" s="1004" t="s">
        <v>731</v>
      </c>
      <c r="B478" s="1011" t="s">
        <v>732</v>
      </c>
      <c r="C478" s="1010"/>
      <c r="D478" s="582"/>
      <c r="E478" s="1007">
        <f>VLOOKUP(B468,'CNKT '!$D$16:$AG$99,28,0)</f>
        <v>0</v>
      </c>
      <c r="F478" s="1025"/>
      <c r="G478" s="1004" t="s">
        <v>731</v>
      </c>
      <c r="H478" s="1011" t="s">
        <v>732</v>
      </c>
      <c r="I478" s="1010"/>
      <c r="J478" s="582"/>
      <c r="K478" s="1007">
        <f>VLOOKUP(H468,'CNKT '!$D$16:$AG$99,28,0)</f>
        <v>0</v>
      </c>
      <c r="L478" s="999"/>
    </row>
    <row r="479" spans="1:12" s="23" customFormat="1" ht="17.25" customHeight="1">
      <c r="A479" s="1012" t="s">
        <v>70</v>
      </c>
      <c r="B479" s="1013" t="s">
        <v>459</v>
      </c>
      <c r="C479" s="1014"/>
      <c r="D479" s="1015"/>
      <c r="E479" s="1014"/>
      <c r="F479" s="1033"/>
      <c r="G479" s="1012" t="s">
        <v>70</v>
      </c>
      <c r="H479" s="1013" t="s">
        <v>459</v>
      </c>
      <c r="I479" s="1014"/>
      <c r="J479" s="1015"/>
      <c r="K479" s="1014"/>
      <c r="L479" s="999"/>
    </row>
    <row r="480" spans="1:12" s="23" customFormat="1" ht="17.25" customHeight="1">
      <c r="A480" s="1016" t="s">
        <v>71</v>
      </c>
      <c r="B480" s="1017" t="s">
        <v>460</v>
      </c>
      <c r="C480" s="1014"/>
      <c r="D480" s="1014"/>
      <c r="E480" s="1014"/>
      <c r="F480" s="1033"/>
      <c r="G480" s="1016" t="s">
        <v>71</v>
      </c>
      <c r="H480" s="1017" t="s">
        <v>460</v>
      </c>
      <c r="I480" s="1014"/>
      <c r="J480" s="1014"/>
      <c r="K480" s="1014"/>
      <c r="L480" s="999"/>
    </row>
    <row r="481" spans="1:14" s="23" customFormat="1" ht="17.25" customHeight="1">
      <c r="A481" s="1016" t="s">
        <v>72</v>
      </c>
      <c r="B481" s="1018" t="s">
        <v>461</v>
      </c>
      <c r="C481" s="1014"/>
      <c r="D481" s="1014"/>
      <c r="E481" s="1007">
        <f>SUM(E480)</f>
        <v>0</v>
      </c>
      <c r="F481" s="1033"/>
      <c r="G481" s="1016" t="s">
        <v>72</v>
      </c>
      <c r="H481" s="1018" t="s">
        <v>461</v>
      </c>
      <c r="I481" s="1014"/>
      <c r="J481" s="1014"/>
      <c r="K481" s="1007">
        <f>SUM(K480)</f>
        <v>0</v>
      </c>
      <c r="L481" s="999"/>
      <c r="M481" s="1019">
        <f>E481+K481</f>
        <v>0</v>
      </c>
    </row>
    <row r="482" spans="1:14" s="23" customFormat="1" ht="17.25" customHeight="1">
      <c r="A482" s="1020" t="s">
        <v>73</v>
      </c>
      <c r="B482" s="1021" t="s">
        <v>381</v>
      </c>
      <c r="C482" s="1022"/>
      <c r="D482" s="1022"/>
      <c r="E482" s="1022" t="e">
        <f>(E470+E471+E472+E473+E474+E475+E476+E477+E478)-E481</f>
        <v>#VALUE!</v>
      </c>
      <c r="F482" s="1033"/>
      <c r="G482" s="1020" t="s">
        <v>73</v>
      </c>
      <c r="H482" s="1021" t="s">
        <v>381</v>
      </c>
      <c r="I482" s="1022"/>
      <c r="J482" s="1022"/>
      <c r="K482" s="1022" t="e">
        <f>(K470+K471+K472+K473+K474+K475+K476+K477+K478)-K481</f>
        <v>#VALUE!</v>
      </c>
      <c r="L482" s="1024" t="e">
        <f>E482+K482</f>
        <v>#VALUE!</v>
      </c>
    </row>
    <row r="483" spans="1:14" s="23" customFormat="1" ht="17.25" customHeight="1">
      <c r="A483" s="1029"/>
      <c r="B483" s="1034"/>
      <c r="C483" s="1035"/>
      <c r="D483" s="1035"/>
      <c r="E483" s="1033"/>
      <c r="F483" s="1033"/>
      <c r="G483" s="1029"/>
      <c r="H483" s="1034"/>
      <c r="I483" s="1035"/>
      <c r="J483" s="1033"/>
      <c r="K483" s="1036"/>
      <c r="L483" s="999"/>
    </row>
    <row r="484" spans="1:14" s="23" customFormat="1" ht="17.25" customHeight="1">
      <c r="A484" s="1041"/>
      <c r="B484" s="1032"/>
      <c r="C484" s="1025"/>
      <c r="D484" s="1025"/>
      <c r="E484" s="1029"/>
      <c r="F484" s="1029"/>
      <c r="G484" s="1041"/>
      <c r="H484" s="1032"/>
      <c r="I484" s="1025"/>
      <c r="J484" s="1029"/>
      <c r="K484" s="1027"/>
      <c r="L484" s="999"/>
    </row>
    <row r="485" spans="1:14" s="23" customFormat="1" ht="17.25" customHeight="1">
      <c r="A485" s="1653" t="str">
        <f>G467</f>
        <v>LƯƠNG THÁNG 09/2025</v>
      </c>
      <c r="B485" s="1656"/>
      <c r="C485" s="1656"/>
      <c r="D485" s="1656"/>
      <c r="E485" s="998">
        <v>57</v>
      </c>
      <c r="F485" s="1029"/>
      <c r="G485" s="1653" t="str">
        <f>A485</f>
        <v>LƯƠNG THÁNG 09/2025</v>
      </c>
      <c r="H485" s="1656"/>
      <c r="I485" s="1656"/>
      <c r="J485" s="1657"/>
      <c r="K485" s="998">
        <v>58</v>
      </c>
      <c r="L485" s="999"/>
    </row>
    <row r="486" spans="1:14" s="23" customFormat="1" ht="17.25" customHeight="1">
      <c r="A486" s="1028" t="s">
        <v>13</v>
      </c>
      <c r="B486" s="1000" t="str">
        <f>'CNKT '!D72</f>
        <v>T. Xợt</v>
      </c>
      <c r="C486" s="1001"/>
      <c r="D486" s="1002" t="s">
        <v>353</v>
      </c>
      <c r="E486" s="1002" t="s">
        <v>16</v>
      </c>
      <c r="F486" s="1032"/>
      <c r="G486" s="1028" t="s">
        <v>13</v>
      </c>
      <c r="H486" s="1000" t="str">
        <f>'CNKT '!D73</f>
        <v>N. Phết 2</v>
      </c>
      <c r="I486" s="1001"/>
      <c r="J486" s="1002" t="s">
        <v>353</v>
      </c>
      <c r="K486" s="1002" t="s">
        <v>16</v>
      </c>
      <c r="L486" s="999"/>
    </row>
    <row r="487" spans="1:14" s="23" customFormat="1" ht="17.25" customHeight="1">
      <c r="A487" s="1004" t="s">
        <v>354</v>
      </c>
      <c r="B487" s="1005" t="s">
        <v>454</v>
      </c>
      <c r="C487" s="1006">
        <f>VLOOKUP(B486,'SẢN LƯỢNG'!$D$17:$AR$94,37,0)</f>
        <v>3734</v>
      </c>
      <c r="D487" s="1007"/>
      <c r="E487" s="1007"/>
      <c r="F487" s="1032"/>
      <c r="G487" s="1004" t="s">
        <v>354</v>
      </c>
      <c r="H487" s="1005" t="s">
        <v>454</v>
      </c>
      <c r="I487" s="1006">
        <f>VLOOKUP(H486,'SẢN LƯỢNG'!$D$17:$AR$94,37,0)</f>
        <v>4028</v>
      </c>
      <c r="J487" s="1007"/>
      <c r="K487" s="1007"/>
      <c r="L487" s="999"/>
    </row>
    <row r="488" spans="1:14" s="23" customFormat="1" ht="17.25" customHeight="1">
      <c r="A488" s="1004" t="s">
        <v>68</v>
      </c>
      <c r="B488" s="1008" t="s">
        <v>380</v>
      </c>
      <c r="C488" s="581">
        <f>VLOOKUP(B486,'CNKT '!$D$16:$AC$96,3,0)</f>
        <v>0</v>
      </c>
      <c r="D488" s="582">
        <v>25000</v>
      </c>
      <c r="E488" s="1007">
        <f>C488*D488</f>
        <v>0</v>
      </c>
      <c r="F488" s="1025"/>
      <c r="G488" s="1004" t="s">
        <v>68</v>
      </c>
      <c r="H488" s="1008" t="s">
        <v>380</v>
      </c>
      <c r="I488" s="581">
        <f>VLOOKUP(H486,'CNKT '!$D$16:$AC$96,3,0)</f>
        <v>0</v>
      </c>
      <c r="J488" s="582">
        <v>25000</v>
      </c>
      <c r="K488" s="1007">
        <f>I488*J488</f>
        <v>0</v>
      </c>
      <c r="L488" s="999"/>
    </row>
    <row r="489" spans="1:14" s="23" customFormat="1" ht="17.25" customHeight="1">
      <c r="A489" s="1004" t="s">
        <v>269</v>
      </c>
      <c r="B489" s="1009" t="s">
        <v>455</v>
      </c>
      <c r="C489" s="1010" t="str">
        <f>VLOOKUP(B486,'CNKT '!$D$16:$AC$96,11,0)</f>
        <v>A</v>
      </c>
      <c r="D489" s="583">
        <f>46.1*$B$2</f>
        <v>30424.156000000003</v>
      </c>
      <c r="E489" s="1007" t="e">
        <f>C489*D489</f>
        <v>#VALUE!</v>
      </c>
      <c r="F489" s="1033"/>
      <c r="G489" s="1004" t="s">
        <v>269</v>
      </c>
      <c r="H489" s="1009" t="s">
        <v>455</v>
      </c>
      <c r="I489" s="1010" t="str">
        <f>VLOOKUP(H486,'CNKT '!$D$16:$AC$96,11,0)</f>
        <v>A</v>
      </c>
      <c r="J489" s="583">
        <f>46.1*$B$2</f>
        <v>30424.156000000003</v>
      </c>
      <c r="K489" s="1007" t="e">
        <f>I489*J489</f>
        <v>#VALUE!</v>
      </c>
      <c r="L489" s="999"/>
    </row>
    <row r="490" spans="1:14" s="23" customFormat="1" ht="17.25" customHeight="1">
      <c r="A490" s="1004" t="s">
        <v>356</v>
      </c>
      <c r="B490" s="1009" t="s">
        <v>456</v>
      </c>
      <c r="C490" s="1010">
        <f>VLOOKUP(B486,'CNKT '!$D$16:$AC$96,12,0)</f>
        <v>7063363</v>
      </c>
      <c r="D490" s="582">
        <f>76.9*$B$2</f>
        <v>50750.924000000006</v>
      </c>
      <c r="E490" s="1007">
        <f t="shared" ref="E490:E491" si="111">C490*D490</f>
        <v>358472198797.41205</v>
      </c>
      <c r="F490" s="1033"/>
      <c r="G490" s="1004" t="s">
        <v>356</v>
      </c>
      <c r="H490" s="1009" t="s">
        <v>456</v>
      </c>
      <c r="I490" s="1010">
        <f>VLOOKUP(H486,'CNKT '!$D$16:$AC$96,12,0)</f>
        <v>6169327</v>
      </c>
      <c r="J490" s="582">
        <f>76.9*$B$2</f>
        <v>50750.924000000006</v>
      </c>
      <c r="K490" s="1007">
        <f t="shared" ref="K490:K491" si="112">I490*J490</f>
        <v>313099045708.14801</v>
      </c>
      <c r="L490" s="999"/>
    </row>
    <row r="491" spans="1:14" s="23" customFormat="1" ht="17.25" customHeight="1">
      <c r="A491" s="1004" t="s">
        <v>69</v>
      </c>
      <c r="B491" s="1009" t="s">
        <v>457</v>
      </c>
      <c r="C491" s="1010">
        <f>VLOOKUP(B486,'CNKT '!$D$16:$AC$96,8,0)</f>
        <v>1768.3968516216803</v>
      </c>
      <c r="D491" s="582">
        <f>IF(C487="A",6.1,IF(C487="B",5.8,IF(C487="C",5.5,IF(C487="C.",5.5,IF(C487="D",5.2)))))*$B$2</f>
        <v>0</v>
      </c>
      <c r="E491" s="1007">
        <f t="shared" si="111"/>
        <v>0</v>
      </c>
      <c r="F491" s="1036"/>
      <c r="G491" s="1004" t="s">
        <v>69</v>
      </c>
      <c r="H491" s="1009" t="s">
        <v>457</v>
      </c>
      <c r="I491" s="1010">
        <f>VLOOKUP(H486,'CNKT '!$D$16:$AC$96,8,0)</f>
        <v>1518.5434771788769</v>
      </c>
      <c r="J491" s="582">
        <f>IF(I487="A",6.1,IF(I487="B",5.8,IF(I487="C",5.5,IF(I487="C.",5.5,IF(I487="D",5.2)))))*$B$2</f>
        <v>0</v>
      </c>
      <c r="K491" s="1007">
        <f t="shared" si="112"/>
        <v>0</v>
      </c>
      <c r="L491" s="586"/>
      <c r="M491" s="567"/>
      <c r="N491" s="587"/>
    </row>
    <row r="492" spans="1:14" s="23" customFormat="1" ht="17.25" customHeight="1">
      <c r="A492" s="1004" t="s">
        <v>431</v>
      </c>
      <c r="B492" s="1009" t="s">
        <v>458</v>
      </c>
      <c r="C492" s="1010">
        <f>VLOOKUP(B486,'CNKT '!$D$16:$AC$96,13,0)</f>
        <v>27</v>
      </c>
      <c r="D492" s="583">
        <v>100000</v>
      </c>
      <c r="E492" s="1007">
        <f>C492*D492</f>
        <v>2700000</v>
      </c>
      <c r="F492" s="1036"/>
      <c r="G492" s="1004" t="s">
        <v>431</v>
      </c>
      <c r="H492" s="1009" t="s">
        <v>458</v>
      </c>
      <c r="I492" s="1010">
        <f>VLOOKUP(H486,'CNKT '!$D$16:$AC$96,13,0)</f>
        <v>27</v>
      </c>
      <c r="J492" s="583">
        <v>100000</v>
      </c>
      <c r="K492" s="1007">
        <f>I492*J492</f>
        <v>2700000</v>
      </c>
      <c r="L492" s="586"/>
      <c r="M492" s="567"/>
      <c r="N492" s="587"/>
    </row>
    <row r="493" spans="1:14" s="23" customFormat="1" ht="17.25" customHeight="1">
      <c r="A493" s="1073" t="s">
        <v>780</v>
      </c>
      <c r="B493" s="1065" t="s">
        <v>434</v>
      </c>
      <c r="C493" s="1066">
        <f>VLOOKUP(B486,'CNKT '!$D$16:$AC$96,14,0)</f>
        <v>4</v>
      </c>
      <c r="D493" s="1067">
        <f>153.8*$B$2</f>
        <v>101501.84800000001</v>
      </c>
      <c r="E493" s="1068">
        <f t="shared" ref="E493" si="113">C493*D493</f>
        <v>406007.39200000005</v>
      </c>
      <c r="F493" s="1036"/>
      <c r="G493" s="1073" t="s">
        <v>780</v>
      </c>
      <c r="H493" s="1065" t="s">
        <v>434</v>
      </c>
      <c r="I493" s="1066">
        <f>VLOOKUP(H486,'CNKT '!$D$16:$AC$96,14,0)</f>
        <v>4</v>
      </c>
      <c r="J493" s="1067">
        <f>153.8*$B$2</f>
        <v>101501.84800000001</v>
      </c>
      <c r="K493" s="1068">
        <f t="shared" ref="K493" si="114">I493*J493</f>
        <v>406007.39200000005</v>
      </c>
      <c r="L493" s="586"/>
      <c r="M493" s="567"/>
      <c r="N493" s="587"/>
    </row>
    <row r="494" spans="1:14" s="23" customFormat="1" ht="17.25" customHeight="1">
      <c r="A494" s="1073" t="s">
        <v>781</v>
      </c>
      <c r="B494" s="1065" t="s">
        <v>435</v>
      </c>
      <c r="C494" s="1066">
        <f>VLOOKUP(B486,'CNKT '!$D$16:$AC$96,18,0)</f>
        <v>0</v>
      </c>
      <c r="D494" s="1067">
        <v>100000</v>
      </c>
      <c r="E494" s="1068">
        <f>C494*D494</f>
        <v>0</v>
      </c>
      <c r="F494" s="1036"/>
      <c r="G494" s="1073" t="s">
        <v>781</v>
      </c>
      <c r="H494" s="1065" t="s">
        <v>435</v>
      </c>
      <c r="I494" s="1066">
        <f>VLOOKUP(H486,'CNKT '!$D$16:$AC$96,18,0)</f>
        <v>0</v>
      </c>
      <c r="J494" s="1067">
        <v>100000</v>
      </c>
      <c r="K494" s="1068">
        <f>I494*J494</f>
        <v>0</v>
      </c>
      <c r="L494" s="586"/>
      <c r="M494" s="567"/>
      <c r="N494" s="587"/>
    </row>
    <row r="495" spans="1:14" s="23" customFormat="1" ht="17.25" customHeight="1">
      <c r="A495" s="1004" t="s">
        <v>394</v>
      </c>
      <c r="B495" s="1009" t="s">
        <v>435</v>
      </c>
      <c r="C495" s="1010">
        <f>VLOOKUP(B486,'CNKT '!$D$16:$AC$96,19,0)</f>
        <v>0</v>
      </c>
      <c r="D495" s="582">
        <v>20000</v>
      </c>
      <c r="E495" s="1007">
        <f>C495*D495</f>
        <v>0</v>
      </c>
      <c r="F495" s="1036"/>
      <c r="G495" s="1004" t="s">
        <v>394</v>
      </c>
      <c r="H495" s="1009" t="s">
        <v>435</v>
      </c>
      <c r="I495" s="1010">
        <f>VLOOKUP(H486,'CNKT '!$D$16:$AC$96,19,0)</f>
        <v>0</v>
      </c>
      <c r="J495" s="582">
        <v>20000</v>
      </c>
      <c r="K495" s="1007">
        <f>I495*J495</f>
        <v>0</v>
      </c>
      <c r="L495" s="586"/>
      <c r="M495" s="567"/>
      <c r="N495" s="587"/>
    </row>
    <row r="496" spans="1:14" s="23" customFormat="1" ht="17.25" customHeight="1">
      <c r="A496" s="1004" t="s">
        <v>731</v>
      </c>
      <c r="B496" s="1011" t="s">
        <v>732</v>
      </c>
      <c r="C496" s="1010"/>
      <c r="D496" s="582"/>
      <c r="E496" s="1007">
        <f>VLOOKUP(B486,'CNKT '!$D$16:$AG$99,28,0)</f>
        <v>0</v>
      </c>
      <c r="F496" s="1036"/>
      <c r="G496" s="1004" t="s">
        <v>731</v>
      </c>
      <c r="H496" s="1011" t="s">
        <v>732</v>
      </c>
      <c r="I496" s="1010"/>
      <c r="J496" s="582"/>
      <c r="K496" s="1007">
        <f>VLOOKUP(H486,'CNKT '!$D$16:$AG$99,28,0)</f>
        <v>0</v>
      </c>
      <c r="L496" s="586"/>
      <c r="M496" s="567"/>
      <c r="N496" s="587"/>
    </row>
    <row r="497" spans="1:14" s="23" customFormat="1" ht="17.25" customHeight="1">
      <c r="A497" s="1012" t="s">
        <v>70</v>
      </c>
      <c r="B497" s="1013" t="s">
        <v>459</v>
      </c>
      <c r="C497" s="1014"/>
      <c r="D497" s="1015"/>
      <c r="E497" s="1014"/>
      <c r="F497" s="1036"/>
      <c r="G497" s="1012" t="s">
        <v>70</v>
      </c>
      <c r="H497" s="1013" t="s">
        <v>459</v>
      </c>
      <c r="I497" s="1014"/>
      <c r="J497" s="1015"/>
      <c r="K497" s="1014"/>
      <c r="L497" s="586"/>
      <c r="M497" s="567"/>
      <c r="N497" s="587"/>
    </row>
    <row r="498" spans="1:14" s="23" customFormat="1" ht="17.25" customHeight="1">
      <c r="A498" s="1016" t="s">
        <v>71</v>
      </c>
      <c r="B498" s="1017" t="s">
        <v>460</v>
      </c>
      <c r="C498" s="1014"/>
      <c r="D498" s="1014"/>
      <c r="E498" s="1014"/>
      <c r="F498" s="1036"/>
      <c r="G498" s="1016" t="s">
        <v>71</v>
      </c>
      <c r="H498" s="1017" t="s">
        <v>460</v>
      </c>
      <c r="I498" s="1014"/>
      <c r="J498" s="1014"/>
      <c r="K498" s="1014"/>
      <c r="L498" s="586"/>
      <c r="M498" s="567"/>
      <c r="N498" s="587"/>
    </row>
    <row r="499" spans="1:14" s="23" customFormat="1" ht="17.25" customHeight="1">
      <c r="A499" s="1016" t="s">
        <v>72</v>
      </c>
      <c r="B499" s="1018" t="s">
        <v>461</v>
      </c>
      <c r="C499" s="1014"/>
      <c r="D499" s="1014"/>
      <c r="E499" s="1007">
        <f>SUM(E498)</f>
        <v>0</v>
      </c>
      <c r="F499" s="1036"/>
      <c r="G499" s="1016" t="s">
        <v>72</v>
      </c>
      <c r="H499" s="1018" t="s">
        <v>461</v>
      </c>
      <c r="I499" s="1014"/>
      <c r="J499" s="1014"/>
      <c r="K499" s="1007">
        <f>SUM(K498)</f>
        <v>0</v>
      </c>
      <c r="L499" s="586"/>
      <c r="M499" s="1019">
        <f>E499+K499</f>
        <v>0</v>
      </c>
      <c r="N499" s="587"/>
    </row>
    <row r="500" spans="1:14" s="23" customFormat="1" ht="17.25" customHeight="1">
      <c r="A500" s="1020" t="s">
        <v>73</v>
      </c>
      <c r="B500" s="1021" t="s">
        <v>381</v>
      </c>
      <c r="C500" s="1022"/>
      <c r="D500" s="1022"/>
      <c r="E500" s="1022" t="e">
        <f>(E488+E489+E490+E491+E492+E493+E494+E495+E496)-E499</f>
        <v>#VALUE!</v>
      </c>
      <c r="F500" s="1036"/>
      <c r="G500" s="1020" t="s">
        <v>73</v>
      </c>
      <c r="H500" s="1021" t="s">
        <v>381</v>
      </c>
      <c r="I500" s="1022"/>
      <c r="J500" s="1022"/>
      <c r="K500" s="1022" t="e">
        <f>(K488+K489+K490+K491+K492+K493+K494+K495+K496)-K499</f>
        <v>#VALUE!</v>
      </c>
      <c r="L500" s="1024" t="e">
        <f>E500+K500</f>
        <v>#VALUE!</v>
      </c>
      <c r="M500" s="567"/>
      <c r="N500" s="587"/>
    </row>
    <row r="501" spans="1:14" s="23" customFormat="1" ht="17.25" customHeight="1">
      <c r="A501" s="1029"/>
      <c r="B501" s="1034"/>
      <c r="C501" s="1035"/>
      <c r="D501" s="1035"/>
      <c r="E501" s="1033"/>
      <c r="F501" s="1036"/>
      <c r="G501" s="1029"/>
      <c r="H501" s="1034"/>
      <c r="I501" s="1035"/>
      <c r="J501" s="1033"/>
      <c r="K501" s="1027"/>
      <c r="L501" s="586"/>
      <c r="M501" s="567"/>
      <c r="N501" s="587"/>
    </row>
    <row r="502" spans="1:14" s="23" customFormat="1" ht="17.25" customHeight="1">
      <c r="A502" s="1653" t="str">
        <f>G485</f>
        <v>LƯƠNG THÁNG 09/2025</v>
      </c>
      <c r="B502" s="1656"/>
      <c r="C502" s="1656"/>
      <c r="D502" s="1656"/>
      <c r="E502" s="998">
        <v>59</v>
      </c>
      <c r="F502" s="1036"/>
      <c r="G502" s="1653" t="str">
        <f>A502</f>
        <v>LƯƠNG THÁNG 09/2025</v>
      </c>
      <c r="H502" s="1656"/>
      <c r="I502" s="1656"/>
      <c r="J502" s="1657"/>
      <c r="K502" s="998">
        <v>60</v>
      </c>
      <c r="L502" s="586"/>
      <c r="M502" s="567"/>
      <c r="N502" s="587"/>
    </row>
    <row r="503" spans="1:14" s="23" customFormat="1" ht="17.25" customHeight="1">
      <c r="A503" s="1028" t="s">
        <v>13</v>
      </c>
      <c r="B503" s="1000" t="str">
        <f>'CNKT '!D74</f>
        <v>T. Cạp</v>
      </c>
      <c r="C503" s="1001"/>
      <c r="D503" s="1002" t="s">
        <v>353</v>
      </c>
      <c r="E503" s="1002" t="s">
        <v>16</v>
      </c>
      <c r="F503" s="1036"/>
      <c r="G503" s="1028" t="s">
        <v>13</v>
      </c>
      <c r="H503" s="1000" t="str">
        <f>'CNKT '!D75</f>
        <v>N. Ních</v>
      </c>
      <c r="I503" s="1001"/>
      <c r="J503" s="1002" t="s">
        <v>353</v>
      </c>
      <c r="K503" s="1002" t="s">
        <v>16</v>
      </c>
      <c r="L503" s="586"/>
      <c r="M503" s="567"/>
      <c r="N503" s="587"/>
    </row>
    <row r="504" spans="1:14" s="23" customFormat="1" ht="17.25" customHeight="1">
      <c r="A504" s="1004" t="s">
        <v>354</v>
      </c>
      <c r="B504" s="1005" t="s">
        <v>454</v>
      </c>
      <c r="C504" s="1006">
        <f>VLOOKUP(B503,'SẢN LƯỢNG'!$D$17:$AR$94,37,0)</f>
        <v>3592</v>
      </c>
      <c r="D504" s="1007"/>
      <c r="E504" s="1007"/>
      <c r="F504" s="1036"/>
      <c r="G504" s="1004" t="s">
        <v>354</v>
      </c>
      <c r="H504" s="1005" t="s">
        <v>454</v>
      </c>
      <c r="I504" s="1006">
        <f>VLOOKUP(H503,'SẢN LƯỢNG'!$D$17:$AR$94,37,0)</f>
        <v>3688</v>
      </c>
      <c r="J504" s="1007"/>
      <c r="K504" s="1007"/>
      <c r="L504" s="586"/>
      <c r="M504" s="567"/>
      <c r="N504" s="587"/>
    </row>
    <row r="505" spans="1:14" s="23" customFormat="1" ht="17.25" customHeight="1">
      <c r="A505" s="1004" t="s">
        <v>68</v>
      </c>
      <c r="B505" s="1008" t="s">
        <v>380</v>
      </c>
      <c r="C505" s="581">
        <f>VLOOKUP(B503,'CNKT '!$D$16:$AC$96,3,0)</f>
        <v>0</v>
      </c>
      <c r="D505" s="582">
        <v>25000</v>
      </c>
      <c r="E505" s="1007">
        <f>C505*D505</f>
        <v>0</v>
      </c>
      <c r="F505" s="1036"/>
      <c r="G505" s="1004" t="s">
        <v>68</v>
      </c>
      <c r="H505" s="1008" t="s">
        <v>380</v>
      </c>
      <c r="I505" s="581">
        <f>VLOOKUP(H503,'CNKT '!$D$16:$AC$96,3,0)</f>
        <v>0</v>
      </c>
      <c r="J505" s="582">
        <v>25000</v>
      </c>
      <c r="K505" s="1007">
        <f>I505*J505</f>
        <v>0</v>
      </c>
      <c r="L505" s="586"/>
      <c r="M505" s="567"/>
      <c r="N505" s="587"/>
    </row>
    <row r="506" spans="1:14" s="23" customFormat="1" ht="17.25" customHeight="1">
      <c r="A506" s="1004" t="s">
        <v>269</v>
      </c>
      <c r="B506" s="1009" t="s">
        <v>455</v>
      </c>
      <c r="C506" s="1010" t="str">
        <f>VLOOKUP(B503,'CNKT '!$D$16:$AC$96,11,0)</f>
        <v>B</v>
      </c>
      <c r="D506" s="583">
        <f>46.1*$B$2</f>
        <v>30424.156000000003</v>
      </c>
      <c r="E506" s="1007" t="e">
        <f>C506*D506</f>
        <v>#VALUE!</v>
      </c>
      <c r="F506" s="1036"/>
      <c r="G506" s="1004" t="s">
        <v>269</v>
      </c>
      <c r="H506" s="1009" t="s">
        <v>455</v>
      </c>
      <c r="I506" s="1010" t="str">
        <f>VLOOKUP(H503,'CNKT '!$D$16:$AC$96,11,0)</f>
        <v>B</v>
      </c>
      <c r="J506" s="583">
        <f>46.1*$B$2</f>
        <v>30424.156000000003</v>
      </c>
      <c r="K506" s="1007" t="e">
        <f>I506*J506</f>
        <v>#VALUE!</v>
      </c>
      <c r="L506" s="586"/>
      <c r="M506" s="567"/>
      <c r="N506" s="587"/>
    </row>
    <row r="507" spans="1:14" s="23" customFormat="1" ht="17.25" customHeight="1">
      <c r="A507" s="1004" t="s">
        <v>356</v>
      </c>
      <c r="B507" s="1009" t="s">
        <v>456</v>
      </c>
      <c r="C507" s="1010">
        <f>VLOOKUP(B503,'CNKT '!$D$16:$AC$96,12,0)</f>
        <v>6373516</v>
      </c>
      <c r="D507" s="582">
        <f>76.9*$B$2</f>
        <v>50750.924000000006</v>
      </c>
      <c r="E507" s="1007">
        <f t="shared" ref="E507:E508" si="115">C507*D507</f>
        <v>323461826128.78406</v>
      </c>
      <c r="F507" s="1036"/>
      <c r="G507" s="1004" t="s">
        <v>356</v>
      </c>
      <c r="H507" s="1009" t="s">
        <v>456</v>
      </c>
      <c r="I507" s="1010">
        <f>VLOOKUP(H503,'CNKT '!$D$16:$AC$96,12,0)</f>
        <v>6483619</v>
      </c>
      <c r="J507" s="582">
        <f>76.9*$B$2</f>
        <v>50750.924000000006</v>
      </c>
      <c r="K507" s="1007">
        <f t="shared" ref="K507:K508" si="116">I507*J507</f>
        <v>329049655113.95605</v>
      </c>
      <c r="L507" s="586"/>
      <c r="M507" s="567"/>
      <c r="N507" s="587"/>
    </row>
    <row r="508" spans="1:14" s="23" customFormat="1" ht="17.25" customHeight="1">
      <c r="A508" s="1004" t="s">
        <v>69</v>
      </c>
      <c r="B508" s="1009" t="s">
        <v>457</v>
      </c>
      <c r="C508" s="1010">
        <f>VLOOKUP(B503,'CNKT '!$D$16:$AC$96,8,0)</f>
        <v>1676.5779436992366</v>
      </c>
      <c r="D508" s="582">
        <f>IF(C504="A",6.1,IF(C504="B",5.8,IF(C504="C",5.5,IF(C504="C.",5.5,IF(C504="D",5.2)))))*$B$2</f>
        <v>0</v>
      </c>
      <c r="E508" s="1007">
        <f t="shared" si="115"/>
        <v>0</v>
      </c>
      <c r="F508" s="1036"/>
      <c r="G508" s="1004" t="s">
        <v>69</v>
      </c>
      <c r="H508" s="1009" t="s">
        <v>457</v>
      </c>
      <c r="I508" s="1010">
        <f>VLOOKUP(H503,'CNKT '!$D$16:$AC$96,8,0)</f>
        <v>1704.3884783103615</v>
      </c>
      <c r="J508" s="582">
        <f>IF(I504="A",6.1,IF(I504="B",5.8,IF(I504="C",5.5,IF(I504="C.",5.5,IF(I504="D",5.2)))))*$B$2</f>
        <v>0</v>
      </c>
      <c r="K508" s="1007">
        <f t="shared" si="116"/>
        <v>0</v>
      </c>
      <c r="L508" s="586"/>
      <c r="M508" s="567"/>
      <c r="N508" s="587"/>
    </row>
    <row r="509" spans="1:14" s="23" customFormat="1" ht="17.25" customHeight="1">
      <c r="A509" s="1004" t="s">
        <v>431</v>
      </c>
      <c r="B509" s="1009" t="s">
        <v>458</v>
      </c>
      <c r="C509" s="1010">
        <f>VLOOKUP(B503,'CNKT '!$D$16:$AC$96,13,0)</f>
        <v>26</v>
      </c>
      <c r="D509" s="583">
        <v>100000</v>
      </c>
      <c r="E509" s="1007">
        <f>C509*D509</f>
        <v>2600000</v>
      </c>
      <c r="F509" s="1036"/>
      <c r="G509" s="1004" t="s">
        <v>431</v>
      </c>
      <c r="H509" s="1009" t="s">
        <v>458</v>
      </c>
      <c r="I509" s="1010">
        <f>VLOOKUP(H503,'CNKT '!$D$16:$AC$96,13,0)</f>
        <v>26</v>
      </c>
      <c r="J509" s="583">
        <v>100000</v>
      </c>
      <c r="K509" s="1007">
        <f>I509*J509</f>
        <v>2600000</v>
      </c>
      <c r="L509" s="586"/>
      <c r="M509" s="567"/>
      <c r="N509" s="587"/>
    </row>
    <row r="510" spans="1:14" s="23" customFormat="1" ht="17.25" customHeight="1">
      <c r="A510" s="1073" t="s">
        <v>780</v>
      </c>
      <c r="B510" s="1065" t="s">
        <v>434</v>
      </c>
      <c r="C510" s="1066">
        <f>VLOOKUP(B503,'CNKT '!$D$16:$AC$96,14,0)</f>
        <v>4</v>
      </c>
      <c r="D510" s="1067">
        <f>153.8*$B$2</f>
        <v>101501.84800000001</v>
      </c>
      <c r="E510" s="1068">
        <f t="shared" ref="E510" si="117">C510*D510</f>
        <v>406007.39200000005</v>
      </c>
      <c r="F510" s="1036"/>
      <c r="G510" s="1073" t="s">
        <v>780</v>
      </c>
      <c r="H510" s="1065" t="s">
        <v>434</v>
      </c>
      <c r="I510" s="1066">
        <f>VLOOKUP(H503,'CNKT '!$D$16:$AC$96,14,0)</f>
        <v>4</v>
      </c>
      <c r="J510" s="1067">
        <f>153.8*$B$2</f>
        <v>101501.84800000001</v>
      </c>
      <c r="K510" s="1068">
        <f t="shared" ref="K510" si="118">I510*J510</f>
        <v>406007.39200000005</v>
      </c>
      <c r="L510" s="586"/>
      <c r="M510" s="567"/>
      <c r="N510" s="587"/>
    </row>
    <row r="511" spans="1:14" s="23" customFormat="1" ht="17.25" customHeight="1">
      <c r="A511" s="1073" t="s">
        <v>781</v>
      </c>
      <c r="B511" s="1065" t="s">
        <v>435</v>
      </c>
      <c r="C511" s="1066">
        <f>VLOOKUP(B503,'CNKT '!$D$16:$AC$96,18,0)</f>
        <v>0</v>
      </c>
      <c r="D511" s="1067">
        <v>100000</v>
      </c>
      <c r="E511" s="1068">
        <f>C511*D511</f>
        <v>0</v>
      </c>
      <c r="F511" s="1036"/>
      <c r="G511" s="1073" t="s">
        <v>781</v>
      </c>
      <c r="H511" s="1065" t="s">
        <v>435</v>
      </c>
      <c r="I511" s="1066">
        <f>VLOOKUP(H503,'CNKT '!$D$16:$AC$96,18,0)</f>
        <v>0</v>
      </c>
      <c r="J511" s="1067">
        <v>100000</v>
      </c>
      <c r="K511" s="1068">
        <f>I511*J511</f>
        <v>0</v>
      </c>
      <c r="L511" s="586"/>
      <c r="M511" s="567"/>
      <c r="N511" s="587"/>
    </row>
    <row r="512" spans="1:14" s="23" customFormat="1" ht="17.25" customHeight="1">
      <c r="A512" s="1004" t="s">
        <v>394</v>
      </c>
      <c r="B512" s="1009" t="s">
        <v>435</v>
      </c>
      <c r="C512" s="1010">
        <f>VLOOKUP(B503,'CNKT '!$D$16:$AC$96,19,0)</f>
        <v>0</v>
      </c>
      <c r="D512" s="582">
        <v>20000</v>
      </c>
      <c r="E512" s="1007">
        <f>C512*D512</f>
        <v>0</v>
      </c>
      <c r="F512" s="1036"/>
      <c r="G512" s="1004" t="s">
        <v>394</v>
      </c>
      <c r="H512" s="1009" t="s">
        <v>435</v>
      </c>
      <c r="I512" s="1010">
        <f>VLOOKUP(H503,'CNKT '!$D$16:$AC$96,19,0)</f>
        <v>0</v>
      </c>
      <c r="J512" s="582">
        <v>20000</v>
      </c>
      <c r="K512" s="1007">
        <f>I512*J512</f>
        <v>0</v>
      </c>
      <c r="L512" s="586"/>
      <c r="M512" s="567"/>
      <c r="N512" s="587"/>
    </row>
    <row r="513" spans="1:14" s="23" customFormat="1" ht="17.25" customHeight="1">
      <c r="A513" s="1004" t="s">
        <v>731</v>
      </c>
      <c r="B513" s="1011" t="s">
        <v>732</v>
      </c>
      <c r="C513" s="1010"/>
      <c r="D513" s="582"/>
      <c r="E513" s="1007">
        <f>VLOOKUP(B503,'CNKT '!$D$16:$AG$99,28,0)</f>
        <v>0</v>
      </c>
      <c r="F513" s="1036"/>
      <c r="G513" s="1004" t="s">
        <v>731</v>
      </c>
      <c r="H513" s="1011" t="s">
        <v>732</v>
      </c>
      <c r="I513" s="1010"/>
      <c r="J513" s="582"/>
      <c r="K513" s="1007">
        <f>VLOOKUP(H503,'CNKT '!$D$16:$AG$99,28,0)</f>
        <v>0</v>
      </c>
      <c r="L513" s="586"/>
      <c r="M513" s="567"/>
      <c r="N513" s="587"/>
    </row>
    <row r="514" spans="1:14" s="23" customFormat="1" ht="17.25" customHeight="1">
      <c r="A514" s="1012" t="s">
        <v>70</v>
      </c>
      <c r="B514" s="1013" t="s">
        <v>459</v>
      </c>
      <c r="C514" s="1014"/>
      <c r="D514" s="1015"/>
      <c r="E514" s="1014"/>
      <c r="F514" s="1036"/>
      <c r="G514" s="1012" t="s">
        <v>70</v>
      </c>
      <c r="H514" s="1013" t="s">
        <v>459</v>
      </c>
      <c r="I514" s="1014"/>
      <c r="J514" s="1015"/>
      <c r="K514" s="1014"/>
      <c r="L514" s="586"/>
      <c r="M514" s="567"/>
      <c r="N514" s="587"/>
    </row>
    <row r="515" spans="1:14" s="23" customFormat="1" ht="17.25" customHeight="1">
      <c r="A515" s="1016" t="s">
        <v>71</v>
      </c>
      <c r="B515" s="1017" t="s">
        <v>460</v>
      </c>
      <c r="C515" s="1014"/>
      <c r="D515" s="1014"/>
      <c r="E515" s="1014"/>
      <c r="F515" s="1036"/>
      <c r="G515" s="1016" t="s">
        <v>71</v>
      </c>
      <c r="H515" s="1017" t="s">
        <v>460</v>
      </c>
      <c r="I515" s="1014"/>
      <c r="J515" s="1014"/>
      <c r="K515" s="1014"/>
      <c r="L515" s="586"/>
      <c r="M515" s="567"/>
      <c r="N515" s="587"/>
    </row>
    <row r="516" spans="1:14" s="23" customFormat="1" ht="17.25" customHeight="1">
      <c r="A516" s="1016" t="s">
        <v>72</v>
      </c>
      <c r="B516" s="1018" t="s">
        <v>461</v>
      </c>
      <c r="C516" s="1014"/>
      <c r="D516" s="1014"/>
      <c r="E516" s="1007">
        <f>SUM(E515)</f>
        <v>0</v>
      </c>
      <c r="F516" s="1036"/>
      <c r="G516" s="1016" t="s">
        <v>72</v>
      </c>
      <c r="H516" s="1018" t="s">
        <v>461</v>
      </c>
      <c r="I516" s="1014"/>
      <c r="J516" s="1014"/>
      <c r="K516" s="1007">
        <f>SUM(K515)</f>
        <v>0</v>
      </c>
      <c r="L516" s="586"/>
      <c r="M516" s="1019">
        <f>E516+K516</f>
        <v>0</v>
      </c>
      <c r="N516" s="587"/>
    </row>
    <row r="517" spans="1:14" s="23" customFormat="1" ht="17.25" customHeight="1">
      <c r="A517" s="1020" t="s">
        <v>73</v>
      </c>
      <c r="B517" s="1021" t="s">
        <v>381</v>
      </c>
      <c r="C517" s="1022"/>
      <c r="D517" s="1022"/>
      <c r="E517" s="1022" t="e">
        <f>(E505+E506+E507+E508+E509+E510+E511+E512+E513)-E516</f>
        <v>#VALUE!</v>
      </c>
      <c r="F517" s="1036"/>
      <c r="G517" s="1020" t="s">
        <v>73</v>
      </c>
      <c r="H517" s="1021" t="s">
        <v>381</v>
      </c>
      <c r="I517" s="1022"/>
      <c r="J517" s="1022"/>
      <c r="K517" s="1022" t="e">
        <f>(K505+K506+K507+K508+K509+K510+K511+K512+K513)-K516</f>
        <v>#VALUE!</v>
      </c>
      <c r="L517" s="1024" t="e">
        <f>E517+K517</f>
        <v>#VALUE!</v>
      </c>
      <c r="M517" s="567"/>
      <c r="N517" s="587"/>
    </row>
    <row r="518" spans="1:14" s="23" customFormat="1" ht="7.5" customHeight="1">
      <c r="A518" s="1029"/>
      <c r="B518" s="1034"/>
      <c r="C518" s="1035"/>
      <c r="D518" s="1035"/>
      <c r="E518" s="1033"/>
      <c r="F518" s="1036"/>
      <c r="G518" s="1029"/>
      <c r="H518" s="1034"/>
      <c r="I518" s="1035"/>
      <c r="J518" s="1033"/>
      <c r="K518" s="1036"/>
      <c r="L518" s="586"/>
      <c r="M518" s="567"/>
      <c r="N518" s="587"/>
    </row>
    <row r="519" spans="1:14" s="23" customFormat="1" ht="17.25" customHeight="1">
      <c r="A519" s="1653" t="str">
        <f>G502</f>
        <v>LƯƠNG THÁNG 09/2025</v>
      </c>
      <c r="B519" s="1656"/>
      <c r="C519" s="1656"/>
      <c r="D519" s="1656"/>
      <c r="E519" s="998">
        <v>61</v>
      </c>
      <c r="F519" s="1036"/>
      <c r="G519" s="1653" t="str">
        <f>A519</f>
        <v>LƯƠNG THÁNG 09/2025</v>
      </c>
      <c r="H519" s="1656"/>
      <c r="I519" s="1656"/>
      <c r="J519" s="1657"/>
      <c r="K519" s="998">
        <v>62</v>
      </c>
      <c r="L519" s="586"/>
      <c r="M519" s="567"/>
      <c r="N519" s="587"/>
    </row>
    <row r="520" spans="1:14" s="23" customFormat="1" ht="17.25" customHeight="1">
      <c r="A520" s="1028" t="s">
        <v>13</v>
      </c>
      <c r="B520" s="1000" t="str">
        <f>'CNKT '!D76</f>
        <v>N. Bua Hom</v>
      </c>
      <c r="C520" s="1001"/>
      <c r="D520" s="1002" t="s">
        <v>353</v>
      </c>
      <c r="E520" s="1002" t="s">
        <v>16</v>
      </c>
      <c r="F520" s="1036"/>
      <c r="G520" s="1028" t="s">
        <v>13</v>
      </c>
      <c r="H520" s="1000" t="str">
        <f>'CNKT '!D77</f>
        <v>N. Lăm Phay (2)</v>
      </c>
      <c r="I520" s="1001"/>
      <c r="J520" s="1002" t="s">
        <v>353</v>
      </c>
      <c r="K520" s="1002" t="s">
        <v>16</v>
      </c>
      <c r="L520" s="586"/>
      <c r="M520" s="567"/>
      <c r="N520" s="587"/>
    </row>
    <row r="521" spans="1:14" s="23" customFormat="1" ht="17.25" customHeight="1">
      <c r="A521" s="1004" t="s">
        <v>354</v>
      </c>
      <c r="B521" s="1005" t="s">
        <v>454</v>
      </c>
      <c r="C521" s="1006">
        <f>VLOOKUP(B520,'SẢN LƯỢNG'!$D$17:$AR$94,37,0)</f>
        <v>4840</v>
      </c>
      <c r="D521" s="1007"/>
      <c r="E521" s="1007"/>
      <c r="F521" s="1036"/>
      <c r="G521" s="1004" t="s">
        <v>354</v>
      </c>
      <c r="H521" s="1005" t="s">
        <v>454</v>
      </c>
      <c r="I521" s="1006">
        <f>VLOOKUP(H520,'SẢN LƯỢNG'!$D$17:$AR$94,37,0)</f>
        <v>4031</v>
      </c>
      <c r="J521" s="1007"/>
      <c r="K521" s="1007"/>
      <c r="L521" s="586"/>
      <c r="M521" s="567"/>
      <c r="N521" s="587"/>
    </row>
    <row r="522" spans="1:14" s="23" customFormat="1" ht="17.25" customHeight="1">
      <c r="A522" s="1004" t="s">
        <v>68</v>
      </c>
      <c r="B522" s="1008" t="s">
        <v>380</v>
      </c>
      <c r="C522" s="581">
        <f>VLOOKUP(B520,'CNKT '!$D$16:$AC$96,3,0)</f>
        <v>0</v>
      </c>
      <c r="D522" s="582">
        <v>25000</v>
      </c>
      <c r="E522" s="1007">
        <f>C522*D522</f>
        <v>0</v>
      </c>
      <c r="F522" s="1036"/>
      <c r="G522" s="1004" t="s">
        <v>68</v>
      </c>
      <c r="H522" s="1008" t="s">
        <v>380</v>
      </c>
      <c r="I522" s="581">
        <f>VLOOKUP(H520,'CNKT '!$D$16:$AC$96,3,0)</f>
        <v>0</v>
      </c>
      <c r="J522" s="582">
        <v>25000</v>
      </c>
      <c r="K522" s="1007">
        <f>I522*J522</f>
        <v>0</v>
      </c>
      <c r="L522" s="586"/>
      <c r="M522" s="567"/>
      <c r="N522" s="587"/>
    </row>
    <row r="523" spans="1:14" s="23" customFormat="1" ht="17.25" customHeight="1">
      <c r="A523" s="1004" t="s">
        <v>269</v>
      </c>
      <c r="B523" s="1009" t="s">
        <v>455</v>
      </c>
      <c r="C523" s="1010" t="str">
        <f>VLOOKUP(B520,'CNKT '!$D$16:$AC$96,11,0)</f>
        <v>A</v>
      </c>
      <c r="D523" s="583">
        <f>46.1*$B$2</f>
        <v>30424.156000000003</v>
      </c>
      <c r="E523" s="1007" t="e">
        <f>C523*D523</f>
        <v>#VALUE!</v>
      </c>
      <c r="F523" s="1036"/>
      <c r="G523" s="1004" t="s">
        <v>269</v>
      </c>
      <c r="H523" s="1009" t="s">
        <v>455</v>
      </c>
      <c r="I523" s="1010" t="str">
        <f>VLOOKUP(H520,'CNKT '!$D$16:$AC$96,11,0)</f>
        <v>A</v>
      </c>
      <c r="J523" s="583">
        <f>46.1*$B$2</f>
        <v>30424.156000000003</v>
      </c>
      <c r="K523" s="1007" t="e">
        <f>I523*J523</f>
        <v>#VALUE!</v>
      </c>
      <c r="L523" s="586"/>
      <c r="M523" s="567"/>
      <c r="N523" s="587"/>
    </row>
    <row r="524" spans="1:14" s="23" customFormat="1" ht="17.25" customHeight="1">
      <c r="A524" s="1004" t="s">
        <v>356</v>
      </c>
      <c r="B524" s="1009" t="s">
        <v>456</v>
      </c>
      <c r="C524" s="1010">
        <f>VLOOKUP(B520,'CNKT '!$D$16:$AC$96,12,0)</f>
        <v>8068695</v>
      </c>
      <c r="D524" s="582">
        <f>76.9*$B$2</f>
        <v>50750.924000000006</v>
      </c>
      <c r="E524" s="1007">
        <f t="shared" ref="E524:E525" si="119">C524*D524</f>
        <v>409493726724.18005</v>
      </c>
      <c r="F524" s="1036"/>
      <c r="G524" s="1004" t="s">
        <v>356</v>
      </c>
      <c r="H524" s="1009" t="s">
        <v>456</v>
      </c>
      <c r="I524" s="1010">
        <f>VLOOKUP(H520,'CNKT '!$D$16:$AC$96,12,0)</f>
        <v>5723836</v>
      </c>
      <c r="J524" s="582">
        <f>76.9*$B$2</f>
        <v>50750.924000000006</v>
      </c>
      <c r="K524" s="1007">
        <f t="shared" ref="K524:K525" si="120">I524*J524</f>
        <v>290489965824.46405</v>
      </c>
      <c r="L524" s="586"/>
      <c r="M524" s="567"/>
      <c r="N524" s="587"/>
    </row>
    <row r="525" spans="1:14" s="23" customFormat="1" ht="17.25" customHeight="1">
      <c r="A525" s="1004" t="s">
        <v>69</v>
      </c>
      <c r="B525" s="1009" t="s">
        <v>457</v>
      </c>
      <c r="C525" s="1010">
        <f>VLOOKUP(B520,'CNKT '!$D$16:$AC$96,8,0)</f>
        <v>2000.5927437717064</v>
      </c>
      <c r="D525" s="582">
        <f>IF(C521="A",6.1,IF(C521="B",5.8,IF(C521="C",5.5,IF(C521="C.",5.5,IF(C521="D",5.2)))))*$B$2</f>
        <v>0</v>
      </c>
      <c r="E525" s="1007">
        <f t="shared" si="119"/>
        <v>0</v>
      </c>
      <c r="F525" s="1036"/>
      <c r="G525" s="1004" t="s">
        <v>69</v>
      </c>
      <c r="H525" s="1009" t="s">
        <v>457</v>
      </c>
      <c r="I525" s="1010">
        <f>VLOOKUP(H520,'CNKT '!$D$16:$AC$96,8,0)</f>
        <v>1398.9140346453084</v>
      </c>
      <c r="J525" s="582">
        <f>IF(I521="A",6.1,IF(I521="B",5.8,IF(I521="C",5.5,IF(I521="C.",5.5,IF(I521="D",5.2)))))*$B$2</f>
        <v>0</v>
      </c>
      <c r="K525" s="1007">
        <f t="shared" si="120"/>
        <v>0</v>
      </c>
      <c r="L525" s="586"/>
      <c r="M525" s="567"/>
      <c r="N525" s="587"/>
    </row>
    <row r="526" spans="1:14" s="23" customFormat="1" ht="17.25" customHeight="1">
      <c r="A526" s="1004" t="s">
        <v>431</v>
      </c>
      <c r="B526" s="1009" t="s">
        <v>458</v>
      </c>
      <c r="C526" s="1010">
        <f>VLOOKUP(B520,'CNKT '!$D$16:$AC$96,13,0)</f>
        <v>27</v>
      </c>
      <c r="D526" s="583">
        <v>100000</v>
      </c>
      <c r="E526" s="1007">
        <f>C526*D526</f>
        <v>2700000</v>
      </c>
      <c r="F526" s="1036"/>
      <c r="G526" s="1004" t="s">
        <v>431</v>
      </c>
      <c r="H526" s="1009" t="s">
        <v>458</v>
      </c>
      <c r="I526" s="1010">
        <f>VLOOKUP(H520,'CNKT '!$D$16:$AC$96,13,0)</f>
        <v>25</v>
      </c>
      <c r="J526" s="583">
        <v>100000</v>
      </c>
      <c r="K526" s="1007">
        <f>I526*J526</f>
        <v>2500000</v>
      </c>
      <c r="L526" s="586"/>
      <c r="M526" s="567"/>
      <c r="N526" s="587"/>
    </row>
    <row r="527" spans="1:14" s="23" customFormat="1" ht="17.25" customHeight="1">
      <c r="A527" s="1073" t="s">
        <v>780</v>
      </c>
      <c r="B527" s="1065" t="s">
        <v>434</v>
      </c>
      <c r="C527" s="1066">
        <f>VLOOKUP(B520,'CNKT '!$D$16:$AC$96,14,0)</f>
        <v>4</v>
      </c>
      <c r="D527" s="1067">
        <f>153.8*$B$2</f>
        <v>101501.84800000001</v>
      </c>
      <c r="E527" s="1068">
        <f t="shared" ref="E527" si="121">C527*D527</f>
        <v>406007.39200000005</v>
      </c>
      <c r="F527" s="1036"/>
      <c r="G527" s="1073" t="s">
        <v>780</v>
      </c>
      <c r="H527" s="1065" t="s">
        <v>434</v>
      </c>
      <c r="I527" s="1066">
        <f>VLOOKUP(H520,'CNKT '!$D$16:$AC$96,14,0)</f>
        <v>4</v>
      </c>
      <c r="J527" s="1067">
        <f>153.8*$B$2</f>
        <v>101501.84800000001</v>
      </c>
      <c r="K527" s="1068">
        <f t="shared" ref="K527" si="122">I527*J527</f>
        <v>406007.39200000005</v>
      </c>
      <c r="L527" s="586"/>
      <c r="M527" s="567"/>
      <c r="N527" s="587"/>
    </row>
    <row r="528" spans="1:14" s="23" customFormat="1" ht="17.25" customHeight="1">
      <c r="A528" s="1073" t="s">
        <v>781</v>
      </c>
      <c r="B528" s="1065" t="s">
        <v>435</v>
      </c>
      <c r="C528" s="1066">
        <f>VLOOKUP(B520,'CNKT '!$D$16:$AC$96,18,0)</f>
        <v>0</v>
      </c>
      <c r="D528" s="1067">
        <v>100000</v>
      </c>
      <c r="E528" s="1068">
        <f>C528*D528</f>
        <v>0</v>
      </c>
      <c r="F528" s="1036"/>
      <c r="G528" s="1073" t="s">
        <v>781</v>
      </c>
      <c r="H528" s="1065" t="s">
        <v>435</v>
      </c>
      <c r="I528" s="1066">
        <f>VLOOKUP(H520,'CNKT '!$D$16:$AC$96,18,0)</f>
        <v>0</v>
      </c>
      <c r="J528" s="1067">
        <v>100000</v>
      </c>
      <c r="K528" s="1068">
        <f>I528*J528</f>
        <v>0</v>
      </c>
      <c r="L528" s="586"/>
      <c r="M528" s="567"/>
      <c r="N528" s="587"/>
    </row>
    <row r="529" spans="1:14" s="23" customFormat="1" ht="17.25" customHeight="1">
      <c r="A529" s="1004" t="s">
        <v>394</v>
      </c>
      <c r="B529" s="1009" t="s">
        <v>435</v>
      </c>
      <c r="C529" s="1010">
        <f>VLOOKUP(B520,'CNKT '!$D$16:$AC$96,19,0)</f>
        <v>0</v>
      </c>
      <c r="D529" s="582">
        <v>20000</v>
      </c>
      <c r="E529" s="1007">
        <f>C529*D529</f>
        <v>0</v>
      </c>
      <c r="F529" s="1036"/>
      <c r="G529" s="1004" t="s">
        <v>394</v>
      </c>
      <c r="H529" s="1009" t="s">
        <v>435</v>
      </c>
      <c r="I529" s="1010">
        <f>VLOOKUP(H520,'CNKT '!$D$16:$AC$96,19,0)</f>
        <v>0</v>
      </c>
      <c r="J529" s="582">
        <v>20000</v>
      </c>
      <c r="K529" s="1007">
        <f>I529*J529</f>
        <v>0</v>
      </c>
      <c r="L529" s="586"/>
      <c r="M529" s="567"/>
      <c r="N529" s="587"/>
    </row>
    <row r="530" spans="1:14" s="23" customFormat="1" ht="17.25" customHeight="1">
      <c r="A530" s="1004" t="s">
        <v>731</v>
      </c>
      <c r="B530" s="1011" t="s">
        <v>732</v>
      </c>
      <c r="C530" s="1010"/>
      <c r="D530" s="582"/>
      <c r="E530" s="1007">
        <f>VLOOKUP(B520,'CNKT '!$D$16:$AG$99,28,0)</f>
        <v>0</v>
      </c>
      <c r="F530" s="1036"/>
      <c r="G530" s="1004" t="s">
        <v>731</v>
      </c>
      <c r="H530" s="1011" t="s">
        <v>732</v>
      </c>
      <c r="I530" s="1010"/>
      <c r="J530" s="582"/>
      <c r="K530" s="1007">
        <f>VLOOKUP(H520,'CNKT '!$D$16:$AG$99,28,0)</f>
        <v>0</v>
      </c>
      <c r="L530" s="586"/>
      <c r="M530" s="567"/>
      <c r="N530" s="587"/>
    </row>
    <row r="531" spans="1:14" s="23" customFormat="1" ht="17.25" customHeight="1">
      <c r="A531" s="1012" t="s">
        <v>70</v>
      </c>
      <c r="B531" s="1013" t="s">
        <v>459</v>
      </c>
      <c r="C531" s="1014"/>
      <c r="D531" s="1015"/>
      <c r="E531" s="1014"/>
      <c r="F531" s="1036"/>
      <c r="G531" s="1012" t="s">
        <v>70</v>
      </c>
      <c r="H531" s="1013" t="s">
        <v>459</v>
      </c>
      <c r="I531" s="1014"/>
      <c r="J531" s="1015"/>
      <c r="K531" s="1014"/>
      <c r="L531" s="586"/>
      <c r="M531" s="567"/>
      <c r="N531" s="587"/>
    </row>
    <row r="532" spans="1:14" s="23" customFormat="1" ht="17.25" customHeight="1">
      <c r="A532" s="1016" t="s">
        <v>71</v>
      </c>
      <c r="B532" s="1017" t="s">
        <v>460</v>
      </c>
      <c r="C532" s="1014"/>
      <c r="D532" s="1014"/>
      <c r="E532" s="1014"/>
      <c r="F532" s="1036"/>
      <c r="G532" s="1016" t="s">
        <v>71</v>
      </c>
      <c r="H532" s="1017" t="s">
        <v>460</v>
      </c>
      <c r="I532" s="1014"/>
      <c r="J532" s="1014"/>
      <c r="K532" s="1014"/>
      <c r="L532" s="1024">
        <f>E532+K532</f>
        <v>0</v>
      </c>
      <c r="M532" s="567"/>
      <c r="N532" s="587"/>
    </row>
    <row r="533" spans="1:14" s="23" customFormat="1" ht="17.25" customHeight="1">
      <c r="A533" s="1016" t="s">
        <v>72</v>
      </c>
      <c r="B533" s="1018" t="s">
        <v>461</v>
      </c>
      <c r="C533" s="1014"/>
      <c r="D533" s="1014"/>
      <c r="E533" s="1007">
        <f>SUM(E532)</f>
        <v>0</v>
      </c>
      <c r="F533" s="1036"/>
      <c r="G533" s="1016" t="s">
        <v>72</v>
      </c>
      <c r="H533" s="1018" t="s">
        <v>461</v>
      </c>
      <c r="I533" s="1014"/>
      <c r="J533" s="1014"/>
      <c r="K533" s="1007">
        <f>SUM(K532)</f>
        <v>0</v>
      </c>
      <c r="L533" s="586"/>
      <c r="M533" s="1019">
        <f>E533+K533</f>
        <v>0</v>
      </c>
      <c r="N533" s="587"/>
    </row>
    <row r="534" spans="1:14" s="23" customFormat="1" ht="17.25" customHeight="1">
      <c r="A534" s="1020" t="s">
        <v>73</v>
      </c>
      <c r="B534" s="1021" t="s">
        <v>381</v>
      </c>
      <c r="C534" s="1022"/>
      <c r="D534" s="1022"/>
      <c r="E534" s="1022" t="e">
        <f>(E522+E523+E524+E525+E526+E527+E528+E529+E530)-E533</f>
        <v>#VALUE!</v>
      </c>
      <c r="F534" s="1036"/>
      <c r="G534" s="1020" t="s">
        <v>73</v>
      </c>
      <c r="H534" s="1021" t="s">
        <v>381</v>
      </c>
      <c r="I534" s="1022"/>
      <c r="J534" s="1022"/>
      <c r="K534" s="1022" t="e">
        <f>(K522+K523+K524+K525+K526+K527+K528+K529+K530)-K533</f>
        <v>#VALUE!</v>
      </c>
      <c r="L534" s="1024" t="e">
        <f>E534+K534</f>
        <v>#VALUE!</v>
      </c>
      <c r="M534" s="567"/>
      <c r="N534" s="587"/>
    </row>
    <row r="535" spans="1:14" s="23" customFormat="1" ht="17.25" customHeight="1">
      <c r="A535" s="1653" t="str">
        <f>G519</f>
        <v>LƯƠNG THÁNG 09/2025</v>
      </c>
      <c r="B535" s="1656"/>
      <c r="C535" s="1656"/>
      <c r="D535" s="1656"/>
      <c r="E535" s="998">
        <v>63</v>
      </c>
      <c r="F535" s="1036"/>
      <c r="G535" s="1653" t="str">
        <f>A535</f>
        <v>LƯƠNG THÁNG 09/2025</v>
      </c>
      <c r="H535" s="1656"/>
      <c r="I535" s="1656"/>
      <c r="J535" s="1657"/>
      <c r="K535" s="998">
        <v>64</v>
      </c>
      <c r="L535" s="586"/>
      <c r="M535" s="567"/>
      <c r="N535" s="587"/>
    </row>
    <row r="536" spans="1:14" s="23" customFormat="1" ht="17.25" customHeight="1">
      <c r="A536" s="1028" t="s">
        <v>13</v>
      </c>
      <c r="B536" s="1000" t="str">
        <f>'CNKT '!D78</f>
        <v>T. Đèng</v>
      </c>
      <c r="C536" s="1001"/>
      <c r="D536" s="1002" t="s">
        <v>353</v>
      </c>
      <c r="E536" s="1002" t="s">
        <v>16</v>
      </c>
      <c r="F536" s="1036"/>
      <c r="G536" s="1028" t="s">
        <v>13</v>
      </c>
      <c r="H536" s="1000" t="str">
        <f>'CNKT '!D79</f>
        <v>N. Đon</v>
      </c>
      <c r="I536" s="1001"/>
      <c r="J536" s="1002" t="s">
        <v>353</v>
      </c>
      <c r="K536" s="1002" t="s">
        <v>16</v>
      </c>
      <c r="L536" s="586"/>
      <c r="M536" s="567"/>
      <c r="N536" s="587"/>
    </row>
    <row r="537" spans="1:14" s="23" customFormat="1" ht="17.25" customHeight="1">
      <c r="A537" s="1004" t="s">
        <v>354</v>
      </c>
      <c r="B537" s="1005" t="s">
        <v>454</v>
      </c>
      <c r="C537" s="1006">
        <f>VLOOKUP(B536,'SẢN LƯỢNG'!$D$17:$AR$94,37,0)</f>
        <v>2921</v>
      </c>
      <c r="D537" s="1007"/>
      <c r="E537" s="1007"/>
      <c r="F537" s="1036"/>
      <c r="G537" s="1004" t="s">
        <v>354</v>
      </c>
      <c r="H537" s="1005" t="s">
        <v>454</v>
      </c>
      <c r="I537" s="1006">
        <f>VLOOKUP(H536,'SẢN LƯỢNG'!$D$17:$AR$94,37,0)</f>
        <v>3404</v>
      </c>
      <c r="J537" s="1007"/>
      <c r="K537" s="1007"/>
      <c r="L537" s="586"/>
      <c r="M537" s="567"/>
      <c r="N537" s="587"/>
    </row>
    <row r="538" spans="1:14" s="23" customFormat="1" ht="17.25" customHeight="1">
      <c r="A538" s="1004" t="s">
        <v>68</v>
      </c>
      <c r="B538" s="1008" t="s">
        <v>380</v>
      </c>
      <c r="C538" s="581">
        <f>VLOOKUP(B536,'CNKT '!$D$16:$AC$96,3,0)</f>
        <v>0</v>
      </c>
      <c r="D538" s="582">
        <v>25000</v>
      </c>
      <c r="E538" s="1007">
        <f>C538*D538</f>
        <v>0</v>
      </c>
      <c r="F538" s="1036"/>
      <c r="G538" s="1004" t="s">
        <v>68</v>
      </c>
      <c r="H538" s="1008" t="s">
        <v>380</v>
      </c>
      <c r="I538" s="581">
        <f>VLOOKUP(H536,'CNKT '!$D$16:$AC$96,3,0)</f>
        <v>0</v>
      </c>
      <c r="J538" s="582">
        <v>25000</v>
      </c>
      <c r="K538" s="1007">
        <f>I538*J538</f>
        <v>0</v>
      </c>
      <c r="L538" s="586"/>
      <c r="M538" s="567"/>
      <c r="N538" s="587"/>
    </row>
    <row r="539" spans="1:14" s="23" customFormat="1" ht="17.25" customHeight="1">
      <c r="A539" s="1004" t="s">
        <v>269</v>
      </c>
      <c r="B539" s="1009" t="s">
        <v>455</v>
      </c>
      <c r="C539" s="1010" t="str">
        <f>VLOOKUP(B536,'CNKT '!$D$16:$AC$96,11,0)</f>
        <v>B</v>
      </c>
      <c r="D539" s="583">
        <f>46.1*$B$2</f>
        <v>30424.156000000003</v>
      </c>
      <c r="E539" s="1007" t="e">
        <f>C539*D539</f>
        <v>#VALUE!</v>
      </c>
      <c r="F539" s="1036"/>
      <c r="G539" s="1004" t="s">
        <v>269</v>
      </c>
      <c r="H539" s="1009" t="s">
        <v>455</v>
      </c>
      <c r="I539" s="1010" t="str">
        <f>VLOOKUP(H536,'CNKT '!$D$16:$AC$96,11,0)</f>
        <v>B</v>
      </c>
      <c r="J539" s="583">
        <f>46.1*$B$2</f>
        <v>30424.156000000003</v>
      </c>
      <c r="K539" s="1007" t="e">
        <f>I539*J539</f>
        <v>#VALUE!</v>
      </c>
      <c r="L539" s="586"/>
      <c r="M539" s="567"/>
      <c r="N539" s="587"/>
    </row>
    <row r="540" spans="1:14" s="23" customFormat="1" ht="17.25" customHeight="1">
      <c r="A540" s="1004" t="s">
        <v>356</v>
      </c>
      <c r="B540" s="1009" t="s">
        <v>456</v>
      </c>
      <c r="C540" s="1010">
        <f>VLOOKUP(B536,'CNKT '!$D$16:$AC$96,12,0)</f>
        <v>4523510</v>
      </c>
      <c r="D540" s="582">
        <f>76.9*$B$2</f>
        <v>50750.924000000006</v>
      </c>
      <c r="E540" s="1007">
        <f t="shared" ref="E540:E541" si="123">C540*D540</f>
        <v>229572312223.24002</v>
      </c>
      <c r="F540" s="1036"/>
      <c r="G540" s="1004" t="s">
        <v>356</v>
      </c>
      <c r="H540" s="1009" t="s">
        <v>456</v>
      </c>
      <c r="I540" s="1010">
        <f>VLOOKUP(H536,'CNKT '!$D$16:$AC$96,12,0)</f>
        <v>6415042</v>
      </c>
      <c r="J540" s="582">
        <f>76.9*$B$2</f>
        <v>50750.924000000006</v>
      </c>
      <c r="K540" s="1007">
        <f t="shared" ref="K540:K541" si="124">I540*J540</f>
        <v>325569308998.80804</v>
      </c>
      <c r="L540" s="586"/>
      <c r="M540" s="567"/>
      <c r="N540" s="587"/>
    </row>
    <row r="541" spans="1:14" s="23" customFormat="1" ht="17.25" customHeight="1">
      <c r="A541" s="1004" t="s">
        <v>69</v>
      </c>
      <c r="B541" s="1009" t="s">
        <v>457</v>
      </c>
      <c r="C541" s="1010">
        <f>VLOOKUP(B536,'CNKT '!$D$16:$AC$96,8,0)</f>
        <v>1177.312631870949</v>
      </c>
      <c r="D541" s="582">
        <f>IF(C537="A",6.1,IF(C537="B",5.8,IF(C537="C",5.5,IF(C537="C.",5.5,IF(C537="D",5.2)))))*$B$2</f>
        <v>0</v>
      </c>
      <c r="E541" s="1007">
        <f t="shared" si="123"/>
        <v>0</v>
      </c>
      <c r="F541" s="1036"/>
      <c r="G541" s="1004" t="s">
        <v>69</v>
      </c>
      <c r="H541" s="1009" t="s">
        <v>457</v>
      </c>
      <c r="I541" s="1010">
        <f>VLOOKUP(H536,'CNKT '!$D$16:$AC$96,8,0)</f>
        <v>1694.6768630493339</v>
      </c>
      <c r="J541" s="582">
        <f>IF(I537="A",6.1,IF(I537="B",5.8,IF(I537="C",5.5,IF(I537="C.",5.5,IF(I537="D",5.2)))))*$B$2</f>
        <v>0</v>
      </c>
      <c r="K541" s="1007">
        <f t="shared" si="124"/>
        <v>0</v>
      </c>
      <c r="L541" s="586"/>
      <c r="M541" s="567"/>
      <c r="N541" s="587"/>
    </row>
    <row r="542" spans="1:14" s="23" customFormat="1" ht="17.25" customHeight="1">
      <c r="A542" s="1004" t="s">
        <v>431</v>
      </c>
      <c r="B542" s="1009" t="s">
        <v>458</v>
      </c>
      <c r="C542" s="1010">
        <f>VLOOKUP(B536,'CNKT '!$D$16:$AC$96,13,0)</f>
        <v>23</v>
      </c>
      <c r="D542" s="583">
        <v>100000</v>
      </c>
      <c r="E542" s="1007">
        <f>C542*D542</f>
        <v>2300000</v>
      </c>
      <c r="F542" s="1036"/>
      <c r="G542" s="1004" t="s">
        <v>431</v>
      </c>
      <c r="H542" s="1009" t="s">
        <v>458</v>
      </c>
      <c r="I542" s="1010">
        <f>VLOOKUP(H536,'CNKT '!$D$16:$AC$96,13,0)</f>
        <v>27</v>
      </c>
      <c r="J542" s="583">
        <v>100000</v>
      </c>
      <c r="K542" s="1007">
        <f>I542*J542</f>
        <v>2700000</v>
      </c>
      <c r="L542" s="586"/>
      <c r="M542" s="567"/>
      <c r="N542" s="587"/>
    </row>
    <row r="543" spans="1:14" s="23" customFormat="1" ht="17.25" customHeight="1">
      <c r="A543" s="1073" t="s">
        <v>780</v>
      </c>
      <c r="B543" s="1065" t="s">
        <v>434</v>
      </c>
      <c r="C543" s="1066">
        <f>VLOOKUP(B536,'CNKT '!$D$16:$AC$96,14,0)</f>
        <v>3</v>
      </c>
      <c r="D543" s="1067">
        <f>153.8*$B$2</f>
        <v>101501.84800000001</v>
      </c>
      <c r="E543" s="1068">
        <f t="shared" ref="E543" si="125">C543*D543</f>
        <v>304505.54400000005</v>
      </c>
      <c r="F543" s="1036"/>
      <c r="G543" s="1073" t="s">
        <v>780</v>
      </c>
      <c r="H543" s="1065" t="s">
        <v>434</v>
      </c>
      <c r="I543" s="1066">
        <f>VLOOKUP(H536,'CNKT '!$D$16:$AC$96,14,0)</f>
        <v>3</v>
      </c>
      <c r="J543" s="1067">
        <f>153.8*$B$2</f>
        <v>101501.84800000001</v>
      </c>
      <c r="K543" s="1068">
        <f t="shared" ref="K543" si="126">I543*J543</f>
        <v>304505.54400000005</v>
      </c>
      <c r="L543" s="586"/>
      <c r="M543" s="567"/>
      <c r="N543" s="587"/>
    </row>
    <row r="544" spans="1:14" s="23" customFormat="1" ht="17.25" customHeight="1">
      <c r="A544" s="1073" t="s">
        <v>781</v>
      </c>
      <c r="B544" s="1065" t="s">
        <v>435</v>
      </c>
      <c r="C544" s="1066">
        <f>VLOOKUP(B536,'CNKT '!$D$16:$AC$96,18,0)</f>
        <v>0</v>
      </c>
      <c r="D544" s="1067">
        <v>100000</v>
      </c>
      <c r="E544" s="1068">
        <f>C544*D544</f>
        <v>0</v>
      </c>
      <c r="F544" s="1036"/>
      <c r="G544" s="1073" t="s">
        <v>781</v>
      </c>
      <c r="H544" s="1065" t="s">
        <v>435</v>
      </c>
      <c r="I544" s="1066">
        <f>VLOOKUP(H536,'CNKT '!$D$16:$AC$96,18,0)</f>
        <v>0</v>
      </c>
      <c r="J544" s="1067">
        <v>100000</v>
      </c>
      <c r="K544" s="1068">
        <f>I544*J544</f>
        <v>0</v>
      </c>
      <c r="L544" s="586"/>
      <c r="M544" s="567"/>
      <c r="N544" s="587"/>
    </row>
    <row r="545" spans="1:14" s="23" customFormat="1" ht="17.25" customHeight="1">
      <c r="A545" s="1004" t="s">
        <v>394</v>
      </c>
      <c r="B545" s="1009" t="s">
        <v>435</v>
      </c>
      <c r="C545" s="1010">
        <f>VLOOKUP(B536,'CNKT '!$D$16:$AC$96,19,0)</f>
        <v>0</v>
      </c>
      <c r="D545" s="582">
        <v>20000</v>
      </c>
      <c r="E545" s="1007">
        <f>C545*D545</f>
        <v>0</v>
      </c>
      <c r="F545" s="1036"/>
      <c r="G545" s="1004" t="s">
        <v>394</v>
      </c>
      <c r="H545" s="1009" t="s">
        <v>435</v>
      </c>
      <c r="I545" s="1010">
        <f>VLOOKUP(H536,'CNKT '!$D$16:$AC$96,19,0)</f>
        <v>0</v>
      </c>
      <c r="J545" s="582">
        <v>20000</v>
      </c>
      <c r="K545" s="1007">
        <f>I545*J545</f>
        <v>0</v>
      </c>
      <c r="L545" s="586"/>
      <c r="M545" s="567"/>
      <c r="N545" s="587"/>
    </row>
    <row r="546" spans="1:14" s="23" customFormat="1" ht="17.25" customHeight="1">
      <c r="A546" s="1004" t="s">
        <v>731</v>
      </c>
      <c r="B546" s="1011" t="s">
        <v>732</v>
      </c>
      <c r="C546" s="1010"/>
      <c r="D546" s="582"/>
      <c r="E546" s="1007">
        <f>VLOOKUP(B536,'CNKT '!$D$16:$AG$99,28,0)</f>
        <v>0</v>
      </c>
      <c r="F546" s="1036"/>
      <c r="G546" s="1004" t="s">
        <v>731</v>
      </c>
      <c r="H546" s="1011" t="s">
        <v>732</v>
      </c>
      <c r="I546" s="1010"/>
      <c r="J546" s="582"/>
      <c r="K546" s="1007">
        <f>VLOOKUP(H536,'CNKT '!$D$16:$AG$99,28,0)</f>
        <v>0</v>
      </c>
      <c r="L546" s="586"/>
      <c r="M546" s="567"/>
      <c r="N546" s="587"/>
    </row>
    <row r="547" spans="1:14" s="23" customFormat="1" ht="17.25" customHeight="1">
      <c r="A547" s="1012" t="s">
        <v>70</v>
      </c>
      <c r="B547" s="1013" t="s">
        <v>459</v>
      </c>
      <c r="C547" s="1014"/>
      <c r="D547" s="1015"/>
      <c r="E547" s="1014"/>
      <c r="F547" s="1036"/>
      <c r="G547" s="1012" t="s">
        <v>70</v>
      </c>
      <c r="H547" s="1013" t="s">
        <v>459</v>
      </c>
      <c r="I547" s="1014"/>
      <c r="J547" s="1015"/>
      <c r="K547" s="1014"/>
      <c r="L547" s="586"/>
      <c r="M547" s="567"/>
      <c r="N547" s="587"/>
    </row>
    <row r="548" spans="1:14" s="23" customFormat="1" ht="17.25" customHeight="1">
      <c r="A548" s="1016" t="s">
        <v>71</v>
      </c>
      <c r="B548" s="1017" t="s">
        <v>460</v>
      </c>
      <c r="C548" s="1014"/>
      <c r="D548" s="1014"/>
      <c r="E548" s="1014"/>
      <c r="F548" s="1036"/>
      <c r="G548" s="1016" t="s">
        <v>71</v>
      </c>
      <c r="H548" s="1017" t="s">
        <v>460</v>
      </c>
      <c r="I548" s="1014"/>
      <c r="J548" s="1014"/>
      <c r="K548" s="1014"/>
      <c r="L548" s="586"/>
      <c r="M548" s="567"/>
      <c r="N548" s="587"/>
    </row>
    <row r="549" spans="1:14" s="23" customFormat="1" ht="17.25" customHeight="1">
      <c r="A549" s="1016" t="s">
        <v>72</v>
      </c>
      <c r="B549" s="1018" t="s">
        <v>461</v>
      </c>
      <c r="C549" s="1014"/>
      <c r="D549" s="1014"/>
      <c r="E549" s="1007">
        <f>SUM(E548)</f>
        <v>0</v>
      </c>
      <c r="F549" s="1036"/>
      <c r="G549" s="1016" t="s">
        <v>72</v>
      </c>
      <c r="H549" s="1018" t="s">
        <v>461</v>
      </c>
      <c r="I549" s="1014"/>
      <c r="J549" s="1014"/>
      <c r="K549" s="1007">
        <f>SUM(K548)</f>
        <v>0</v>
      </c>
      <c r="L549" s="586"/>
      <c r="M549" s="1019">
        <f>E549+K549</f>
        <v>0</v>
      </c>
      <c r="N549" s="587"/>
    </row>
    <row r="550" spans="1:14" s="23" customFormat="1" ht="17.25" customHeight="1">
      <c r="A550" s="1020" t="s">
        <v>73</v>
      </c>
      <c r="B550" s="1021" t="s">
        <v>381</v>
      </c>
      <c r="C550" s="1022"/>
      <c r="D550" s="1022"/>
      <c r="E550" s="1022" t="e">
        <f>(E538+E539+E540+E541+E542+E543+E544+E545+E546)-E549</f>
        <v>#VALUE!</v>
      </c>
      <c r="F550" s="1036"/>
      <c r="G550" s="1020" t="s">
        <v>73</v>
      </c>
      <c r="H550" s="1021" t="s">
        <v>381</v>
      </c>
      <c r="I550" s="1022"/>
      <c r="J550" s="1022"/>
      <c r="K550" s="1022" t="e">
        <f>(K538+K539+K540+K541+K542+K543+K544+K545+K546)-K549</f>
        <v>#VALUE!</v>
      </c>
      <c r="L550" s="1024" t="e">
        <f>E550+K550</f>
        <v>#VALUE!</v>
      </c>
      <c r="M550" s="567"/>
      <c r="N550" s="587"/>
    </row>
    <row r="551" spans="1:14" s="23" customFormat="1" ht="9.75" customHeight="1">
      <c r="A551" s="1029"/>
      <c r="B551" s="1034"/>
      <c r="C551" s="1035"/>
      <c r="D551" s="1035"/>
      <c r="E551" s="1033"/>
      <c r="F551" s="1036"/>
      <c r="G551" s="1029"/>
      <c r="H551" s="1034"/>
      <c r="I551" s="1035"/>
      <c r="J551" s="1033"/>
      <c r="K551" s="1036"/>
      <c r="L551" s="586"/>
      <c r="M551" s="567"/>
      <c r="N551" s="587"/>
    </row>
    <row r="552" spans="1:14" s="23" customFormat="1" ht="17.25" customHeight="1">
      <c r="A552" s="1653" t="str">
        <f>G535</f>
        <v>LƯƠNG THÁNG 09/2025</v>
      </c>
      <c r="B552" s="1656"/>
      <c r="C552" s="1656"/>
      <c r="D552" s="1656"/>
      <c r="E552" s="998">
        <v>65</v>
      </c>
      <c r="F552" s="1036"/>
      <c r="G552" s="1653" t="str">
        <f>A552</f>
        <v>LƯƠNG THÁNG 09/2025</v>
      </c>
      <c r="H552" s="1656"/>
      <c r="I552" s="1656"/>
      <c r="J552" s="1657"/>
      <c r="K552" s="998">
        <v>66</v>
      </c>
      <c r="L552" s="586"/>
      <c r="M552" s="567"/>
      <c r="N552" s="587"/>
    </row>
    <row r="553" spans="1:14" s="23" customFormat="1" ht="17.25" customHeight="1">
      <c r="A553" s="1028" t="s">
        <v>13</v>
      </c>
      <c r="B553" s="1000" t="str">
        <f>'CNKT '!D80</f>
        <v xml:space="preserve">T. La </v>
      </c>
      <c r="C553" s="1001"/>
      <c r="D553" s="1002" t="s">
        <v>353</v>
      </c>
      <c r="E553" s="1002" t="s">
        <v>16</v>
      </c>
      <c r="F553" s="1036"/>
      <c r="G553" s="1028" t="s">
        <v>13</v>
      </c>
      <c r="H553" s="1000" t="str">
        <f>'CNKT '!D81</f>
        <v>T. Bờm</v>
      </c>
      <c r="I553" s="1001"/>
      <c r="J553" s="1002" t="s">
        <v>353</v>
      </c>
      <c r="K553" s="1002" t="s">
        <v>16</v>
      </c>
      <c r="L553" s="586"/>
      <c r="M553" s="567"/>
      <c r="N553" s="587"/>
    </row>
    <row r="554" spans="1:14" s="23" customFormat="1" ht="17.25" customHeight="1">
      <c r="A554" s="1004" t="s">
        <v>354</v>
      </c>
      <c r="B554" s="1005" t="s">
        <v>454</v>
      </c>
      <c r="C554" s="1006">
        <f>VLOOKUP(B553,'SẢN LƯỢNG'!$D$17:$AR$94,37,0)</f>
        <v>3302</v>
      </c>
      <c r="D554" s="1007"/>
      <c r="E554" s="1007"/>
      <c r="F554" s="1036"/>
      <c r="G554" s="1004" t="s">
        <v>354</v>
      </c>
      <c r="H554" s="1005" t="s">
        <v>454</v>
      </c>
      <c r="I554" s="1006">
        <f>VLOOKUP(H553,'SẢN LƯỢNG'!$D$17:$AR$94,37,0)</f>
        <v>3281</v>
      </c>
      <c r="J554" s="1007"/>
      <c r="K554" s="1007"/>
      <c r="L554" s="586"/>
      <c r="M554" s="567"/>
      <c r="N554" s="587"/>
    </row>
    <row r="555" spans="1:14" s="23" customFormat="1" ht="17.25" customHeight="1">
      <c r="A555" s="1004" t="s">
        <v>68</v>
      </c>
      <c r="B555" s="1008" t="s">
        <v>380</v>
      </c>
      <c r="C555" s="581">
        <f>VLOOKUP(B553,'CNKT '!$D$16:$AC$96,3,0)</f>
        <v>0</v>
      </c>
      <c r="D555" s="582">
        <v>25000</v>
      </c>
      <c r="E555" s="1007">
        <f>C555*D555</f>
        <v>0</v>
      </c>
      <c r="F555" s="1036"/>
      <c r="G555" s="1004" t="s">
        <v>68</v>
      </c>
      <c r="H555" s="1008" t="s">
        <v>380</v>
      </c>
      <c r="I555" s="581">
        <f>VLOOKUP(H553,'CNKT '!$D$16:$AC$96,3,0)</f>
        <v>0</v>
      </c>
      <c r="J555" s="582">
        <v>25000</v>
      </c>
      <c r="K555" s="1007">
        <f>I555*J555</f>
        <v>0</v>
      </c>
      <c r="L555" s="586"/>
      <c r="M555" s="567"/>
      <c r="N555" s="587"/>
    </row>
    <row r="556" spans="1:14" s="23" customFormat="1" ht="17.25" customHeight="1">
      <c r="A556" s="1004" t="s">
        <v>269</v>
      </c>
      <c r="B556" s="1009" t="s">
        <v>455</v>
      </c>
      <c r="C556" s="1010" t="str">
        <f>VLOOKUP(B553,'CNKT '!$D$16:$AC$96,11,0)</f>
        <v>B</v>
      </c>
      <c r="D556" s="583">
        <f>46.1*$B$2</f>
        <v>30424.156000000003</v>
      </c>
      <c r="E556" s="1007" t="e">
        <f>C556*D556</f>
        <v>#VALUE!</v>
      </c>
      <c r="F556" s="1036"/>
      <c r="G556" s="1004" t="s">
        <v>269</v>
      </c>
      <c r="H556" s="1009" t="s">
        <v>455</v>
      </c>
      <c r="I556" s="1010" t="str">
        <f>VLOOKUP(H553,'CNKT '!$D$16:$AC$96,11,0)</f>
        <v>A</v>
      </c>
      <c r="J556" s="583">
        <f>46.1*$B$2</f>
        <v>30424.156000000003</v>
      </c>
      <c r="K556" s="1007" t="e">
        <f>I556*J556</f>
        <v>#VALUE!</v>
      </c>
      <c r="L556" s="586"/>
      <c r="M556" s="567"/>
      <c r="N556" s="587"/>
    </row>
    <row r="557" spans="1:14" s="23" customFormat="1" ht="17.25" customHeight="1">
      <c r="A557" s="1004" t="s">
        <v>356</v>
      </c>
      <c r="B557" s="1009" t="s">
        <v>456</v>
      </c>
      <c r="C557" s="1010">
        <f>VLOOKUP(B553,'CNKT '!$D$16:$AC$96,12,0)</f>
        <v>6568596</v>
      </c>
      <c r="D557" s="582">
        <f>76.9*$B$2</f>
        <v>50750.924000000006</v>
      </c>
      <c r="E557" s="1007">
        <f t="shared" ref="E557:E558" si="127">C557*D557</f>
        <v>333362316382.70404</v>
      </c>
      <c r="F557" s="1036"/>
      <c r="G557" s="1004" t="s">
        <v>356</v>
      </c>
      <c r="H557" s="1009" t="s">
        <v>456</v>
      </c>
      <c r="I557" s="1010">
        <f>VLOOKUP(H553,'CNKT '!$D$16:$AC$96,12,0)</f>
        <v>7136033</v>
      </c>
      <c r="J557" s="582">
        <f>76.9*$B$2</f>
        <v>50750.924000000006</v>
      </c>
      <c r="K557" s="1007">
        <f t="shared" ref="K557:K558" si="128">I557*J557</f>
        <v>362160268444.49207</v>
      </c>
      <c r="L557" s="586"/>
      <c r="M557" s="567"/>
      <c r="N557" s="587"/>
    </row>
    <row r="558" spans="1:14" s="23" customFormat="1" ht="17.25" customHeight="1">
      <c r="A558" s="1004" t="s">
        <v>69</v>
      </c>
      <c r="B558" s="1009" t="s">
        <v>457</v>
      </c>
      <c r="C558" s="1010">
        <f>VLOOKUP(B553,'CNKT '!$D$16:$AC$96,8,0)</f>
        <v>1741.4691911251946</v>
      </c>
      <c r="D558" s="582">
        <f>IF(C554="A",6.1,IF(C554="B",5.8,IF(C554="C",5.5,IF(C554="C.",5.5,IF(C554="D",5.2)))))*$B$2</f>
        <v>0</v>
      </c>
      <c r="E558" s="1007">
        <f t="shared" si="127"/>
        <v>0</v>
      </c>
      <c r="F558" s="1036"/>
      <c r="G558" s="1004" t="s">
        <v>69</v>
      </c>
      <c r="H558" s="1009" t="s">
        <v>457</v>
      </c>
      <c r="I558" s="1010">
        <f>VLOOKUP(H553,'CNKT '!$D$16:$AC$96,8,0)</f>
        <v>1803.2703791499162</v>
      </c>
      <c r="J558" s="582">
        <f>IF(I554="A",6.1,IF(I554="B",5.8,IF(I554="C",5.5,IF(I554="C.",5.5,IF(I554="D",5.2)))))*$B$2</f>
        <v>0</v>
      </c>
      <c r="K558" s="1007">
        <f t="shared" si="128"/>
        <v>0</v>
      </c>
      <c r="L558" s="586"/>
      <c r="M558" s="567"/>
      <c r="N558" s="587"/>
    </row>
    <row r="559" spans="1:14" s="23" customFormat="1" ht="17.25" customHeight="1">
      <c r="A559" s="1004" t="s">
        <v>431</v>
      </c>
      <c r="B559" s="1009" t="s">
        <v>458</v>
      </c>
      <c r="C559" s="1010">
        <f>VLOOKUP(B553,'CNKT '!$D$16:$AC$96,13,0)</f>
        <v>25</v>
      </c>
      <c r="D559" s="583">
        <v>100000</v>
      </c>
      <c r="E559" s="1007">
        <f>C559*D559</f>
        <v>2500000</v>
      </c>
      <c r="F559" s="1036"/>
      <c r="G559" s="1004" t="s">
        <v>431</v>
      </c>
      <c r="H559" s="1009" t="s">
        <v>458</v>
      </c>
      <c r="I559" s="1010">
        <f>VLOOKUP(H553,'CNKT '!$D$16:$AC$96,13,0)</f>
        <v>26</v>
      </c>
      <c r="J559" s="583">
        <v>100000</v>
      </c>
      <c r="K559" s="1007">
        <f>I559*J559</f>
        <v>2600000</v>
      </c>
      <c r="L559" s="586"/>
      <c r="M559" s="567"/>
      <c r="N559" s="587"/>
    </row>
    <row r="560" spans="1:14" s="23" customFormat="1" ht="17.25" customHeight="1">
      <c r="A560" s="1073" t="s">
        <v>780</v>
      </c>
      <c r="B560" s="1065" t="s">
        <v>434</v>
      </c>
      <c r="C560" s="1066">
        <f>VLOOKUP(B553,'CNKT '!$D$16:$AC$96,14,0)</f>
        <v>4</v>
      </c>
      <c r="D560" s="1067">
        <f>153.8*$B$2</f>
        <v>101501.84800000001</v>
      </c>
      <c r="E560" s="1068">
        <f t="shared" ref="E560" si="129">C560*D560</f>
        <v>406007.39200000005</v>
      </c>
      <c r="F560" s="1036"/>
      <c r="G560" s="1073" t="s">
        <v>780</v>
      </c>
      <c r="H560" s="1065" t="s">
        <v>434</v>
      </c>
      <c r="I560" s="1066">
        <f>VLOOKUP(H553,'CNKT '!$D$16:$AC$96,14,0)</f>
        <v>3</v>
      </c>
      <c r="J560" s="1067">
        <f>153.8*$B$2</f>
        <v>101501.84800000001</v>
      </c>
      <c r="K560" s="1068">
        <f t="shared" ref="K560" si="130">I560*J560</f>
        <v>304505.54400000005</v>
      </c>
      <c r="L560" s="586"/>
      <c r="M560" s="567"/>
      <c r="N560" s="587"/>
    </row>
    <row r="561" spans="1:14" s="23" customFormat="1" ht="17.25" customHeight="1">
      <c r="A561" s="1073" t="s">
        <v>781</v>
      </c>
      <c r="B561" s="1065" t="s">
        <v>435</v>
      </c>
      <c r="C561" s="1066">
        <f>VLOOKUP(B553,'CNKT '!$D$16:$AC$96,18,0)</f>
        <v>0</v>
      </c>
      <c r="D561" s="1067">
        <v>100000</v>
      </c>
      <c r="E561" s="1068">
        <f>C561*D561</f>
        <v>0</v>
      </c>
      <c r="F561" s="1036"/>
      <c r="G561" s="1073" t="s">
        <v>781</v>
      </c>
      <c r="H561" s="1065" t="s">
        <v>435</v>
      </c>
      <c r="I561" s="1066">
        <f>VLOOKUP(H553,'CNKT '!$D$16:$AC$96,18,0)</f>
        <v>0</v>
      </c>
      <c r="J561" s="1067">
        <v>100000</v>
      </c>
      <c r="K561" s="1068">
        <f>I561*J561</f>
        <v>0</v>
      </c>
      <c r="L561" s="586"/>
      <c r="M561" s="567"/>
      <c r="N561" s="587"/>
    </row>
    <row r="562" spans="1:14" s="23" customFormat="1" ht="17.25" customHeight="1">
      <c r="A562" s="1004" t="s">
        <v>394</v>
      </c>
      <c r="B562" s="1009" t="s">
        <v>435</v>
      </c>
      <c r="C562" s="1010">
        <f>VLOOKUP(B553,'CNKT '!$D$16:$AC$96,19,0)</f>
        <v>0</v>
      </c>
      <c r="D562" s="582">
        <v>20000</v>
      </c>
      <c r="E562" s="1007">
        <f>C562*D562</f>
        <v>0</v>
      </c>
      <c r="F562" s="1036"/>
      <c r="G562" s="1004" t="s">
        <v>394</v>
      </c>
      <c r="H562" s="1009" t="s">
        <v>435</v>
      </c>
      <c r="I562" s="1010">
        <f>VLOOKUP(H553,'CNKT '!$D$16:$AC$96,19,0)</f>
        <v>0</v>
      </c>
      <c r="J562" s="582">
        <v>20000</v>
      </c>
      <c r="K562" s="1007">
        <f>I562*J562</f>
        <v>0</v>
      </c>
      <c r="L562" s="586"/>
      <c r="M562" s="567"/>
      <c r="N562" s="587"/>
    </row>
    <row r="563" spans="1:14" s="23" customFormat="1" ht="17.25" customHeight="1">
      <c r="A563" s="1004" t="s">
        <v>731</v>
      </c>
      <c r="B563" s="1011" t="s">
        <v>732</v>
      </c>
      <c r="C563" s="1010"/>
      <c r="D563" s="582"/>
      <c r="E563" s="1007">
        <f>VLOOKUP(B553,'CNKT '!$D$16:$AG$99,28,0)</f>
        <v>0</v>
      </c>
      <c r="F563" s="1036"/>
      <c r="G563" s="1004" t="s">
        <v>731</v>
      </c>
      <c r="H563" s="1011" t="s">
        <v>732</v>
      </c>
      <c r="I563" s="1010"/>
      <c r="J563" s="582"/>
      <c r="K563" s="1007">
        <f>VLOOKUP(H553,'CNKT '!$D$16:$AG$99,28,0)</f>
        <v>0</v>
      </c>
      <c r="L563" s="586"/>
      <c r="M563" s="567"/>
      <c r="N563" s="587"/>
    </row>
    <row r="564" spans="1:14" s="23" customFormat="1" ht="17.25" customHeight="1">
      <c r="A564" s="1012" t="s">
        <v>70</v>
      </c>
      <c r="B564" s="1013" t="s">
        <v>459</v>
      </c>
      <c r="C564" s="1014"/>
      <c r="D564" s="1015"/>
      <c r="E564" s="1014"/>
      <c r="F564" s="1036"/>
      <c r="G564" s="1012" t="s">
        <v>70</v>
      </c>
      <c r="H564" s="1013" t="s">
        <v>459</v>
      </c>
      <c r="I564" s="1014"/>
      <c r="J564" s="1015"/>
      <c r="K564" s="1014"/>
      <c r="L564" s="586"/>
      <c r="M564" s="567"/>
      <c r="N564" s="587"/>
    </row>
    <row r="565" spans="1:14" s="23" customFormat="1" ht="17.25" customHeight="1">
      <c r="A565" s="1016" t="s">
        <v>71</v>
      </c>
      <c r="B565" s="1017" t="s">
        <v>460</v>
      </c>
      <c r="C565" s="1014"/>
      <c r="D565" s="1014"/>
      <c r="E565" s="1014"/>
      <c r="F565" s="1036"/>
      <c r="G565" s="1016" t="s">
        <v>71</v>
      </c>
      <c r="H565" s="1017" t="s">
        <v>460</v>
      </c>
      <c r="I565" s="1014"/>
      <c r="J565" s="1014"/>
      <c r="K565" s="1014"/>
      <c r="L565" s="586"/>
      <c r="M565" s="567"/>
      <c r="N565" s="587"/>
    </row>
    <row r="566" spans="1:14" s="23" customFormat="1" ht="17.25" customHeight="1">
      <c r="A566" s="1016" t="s">
        <v>72</v>
      </c>
      <c r="B566" s="1018" t="s">
        <v>461</v>
      </c>
      <c r="C566" s="1014"/>
      <c r="D566" s="1014"/>
      <c r="E566" s="1007">
        <f>SUM(E565)</f>
        <v>0</v>
      </c>
      <c r="F566" s="1036"/>
      <c r="G566" s="1016" t="s">
        <v>72</v>
      </c>
      <c r="H566" s="1018" t="s">
        <v>461</v>
      </c>
      <c r="I566" s="1014"/>
      <c r="J566" s="1014"/>
      <c r="K566" s="1007">
        <f>SUM(K565)</f>
        <v>0</v>
      </c>
      <c r="L566" s="586"/>
      <c r="M566" s="1019">
        <f>E566+K566</f>
        <v>0</v>
      </c>
      <c r="N566" s="587"/>
    </row>
    <row r="567" spans="1:14" s="23" customFormat="1" ht="17.25" customHeight="1">
      <c r="A567" s="1020" t="s">
        <v>73</v>
      </c>
      <c r="B567" s="1021" t="s">
        <v>381</v>
      </c>
      <c r="C567" s="1022"/>
      <c r="D567" s="1022"/>
      <c r="E567" s="1022" t="e">
        <f>(E555+E556+E557+E558+E559+E560+E561+E562+E563)-E566</f>
        <v>#VALUE!</v>
      </c>
      <c r="F567" s="1036"/>
      <c r="G567" s="1020" t="s">
        <v>73</v>
      </c>
      <c r="H567" s="1021" t="s">
        <v>381</v>
      </c>
      <c r="I567" s="1022"/>
      <c r="J567" s="1022"/>
      <c r="K567" s="1022" t="e">
        <f>(K555+K556+K557+K558+K559+K560+K561+K562+K563)-K566</f>
        <v>#VALUE!</v>
      </c>
      <c r="L567" s="1024" t="e">
        <f>E567+K567</f>
        <v>#VALUE!</v>
      </c>
      <c r="M567" s="567"/>
      <c r="N567" s="587"/>
    </row>
    <row r="568" spans="1:14" s="23" customFormat="1" ht="17.25" customHeight="1">
      <c r="A568" s="1029"/>
      <c r="B568" s="1034"/>
      <c r="C568" s="1035"/>
      <c r="D568" s="1035"/>
      <c r="E568" s="1033"/>
      <c r="F568" s="1036"/>
      <c r="G568" s="1029"/>
      <c r="H568" s="1034"/>
      <c r="I568" s="1035"/>
      <c r="J568" s="1033"/>
      <c r="K568" s="1036"/>
      <c r="L568" s="586"/>
      <c r="M568" s="567"/>
      <c r="N568" s="587"/>
    </row>
    <row r="569" spans="1:14" s="23" customFormat="1" ht="17.25" customHeight="1">
      <c r="A569" s="1653" t="str">
        <f>A552</f>
        <v>LƯƠNG THÁNG 09/2025</v>
      </c>
      <c r="B569" s="1656"/>
      <c r="C569" s="1656"/>
      <c r="D569" s="1656"/>
      <c r="E569" s="998">
        <v>67</v>
      </c>
      <c r="F569" s="1036"/>
      <c r="G569" s="1653" t="str">
        <f>A569</f>
        <v>LƯƠNG THÁNG 09/2025</v>
      </c>
      <c r="H569" s="1656"/>
      <c r="I569" s="1656"/>
      <c r="J569" s="1657"/>
      <c r="K569" s="998">
        <v>68</v>
      </c>
      <c r="L569" s="586"/>
      <c r="M569" s="567"/>
      <c r="N569" s="587"/>
    </row>
    <row r="570" spans="1:14" s="23" customFormat="1" ht="17.25" customHeight="1">
      <c r="A570" s="1028" t="s">
        <v>13</v>
      </c>
      <c r="B570" s="1000" t="str">
        <f>'CNKT '!D82</f>
        <v>T. Nọi</v>
      </c>
      <c r="C570" s="1001"/>
      <c r="D570" s="1002" t="s">
        <v>353</v>
      </c>
      <c r="E570" s="1002" t="s">
        <v>16</v>
      </c>
      <c r="F570" s="1036"/>
      <c r="G570" s="1028" t="s">
        <v>13</v>
      </c>
      <c r="H570" s="1000" t="str">
        <f>'CNKT '!D83</f>
        <v>T. Kong Ma Ny</v>
      </c>
      <c r="I570" s="1001"/>
      <c r="J570" s="1002" t="s">
        <v>353</v>
      </c>
      <c r="K570" s="1002" t="s">
        <v>16</v>
      </c>
      <c r="L570" s="586"/>
      <c r="M570" s="567"/>
      <c r="N570" s="587"/>
    </row>
    <row r="571" spans="1:14" s="23" customFormat="1" ht="17.25" customHeight="1">
      <c r="A571" s="1004" t="s">
        <v>354</v>
      </c>
      <c r="B571" s="1005" t="s">
        <v>454</v>
      </c>
      <c r="C571" s="1006">
        <f>VLOOKUP(B570,'SẢN LƯỢNG'!$D$17:$AR$94,37,0)</f>
        <v>3627</v>
      </c>
      <c r="D571" s="1007"/>
      <c r="E571" s="1007"/>
      <c r="F571" s="1036"/>
      <c r="G571" s="1004" t="s">
        <v>354</v>
      </c>
      <c r="H571" s="1005" t="s">
        <v>454</v>
      </c>
      <c r="I571" s="1006">
        <f>VLOOKUP(H570,'SẢN LƯỢNG'!$D$17:$AR$94,37,0)</f>
        <v>2977</v>
      </c>
      <c r="J571" s="1007"/>
      <c r="K571" s="1007"/>
      <c r="L571" s="586"/>
      <c r="M571" s="567"/>
      <c r="N571" s="587"/>
    </row>
    <row r="572" spans="1:14" s="23" customFormat="1" ht="17.25" customHeight="1">
      <c r="A572" s="1004" t="s">
        <v>68</v>
      </c>
      <c r="B572" s="1008" t="s">
        <v>380</v>
      </c>
      <c r="C572" s="581">
        <f>VLOOKUP(B570,'CNKT '!$D$16:$AC$96,3,0)</f>
        <v>0</v>
      </c>
      <c r="D572" s="582">
        <v>25000</v>
      </c>
      <c r="E572" s="1007">
        <f>C572*D572</f>
        <v>0</v>
      </c>
      <c r="F572" s="1036"/>
      <c r="G572" s="1004" t="s">
        <v>68</v>
      </c>
      <c r="H572" s="1008" t="s">
        <v>380</v>
      </c>
      <c r="I572" s="581">
        <f>VLOOKUP(H570,'CNKT '!$D$16:$AC$96,3,0)</f>
        <v>0</v>
      </c>
      <c r="J572" s="582">
        <v>25000</v>
      </c>
      <c r="K572" s="1007">
        <f>I572*J572</f>
        <v>0</v>
      </c>
      <c r="L572" s="586"/>
      <c r="M572" s="567"/>
      <c r="N572" s="587"/>
    </row>
    <row r="573" spans="1:14" s="23" customFormat="1" ht="17.25" customHeight="1">
      <c r="A573" s="1004" t="s">
        <v>269</v>
      </c>
      <c r="B573" s="1009" t="s">
        <v>455</v>
      </c>
      <c r="C573" s="1010" t="str">
        <f>VLOOKUP(B570,'CNKT '!$D$16:$AC$96,11,0)</f>
        <v>B</v>
      </c>
      <c r="D573" s="583">
        <f>46.1*$B$2</f>
        <v>30424.156000000003</v>
      </c>
      <c r="E573" s="1007" t="e">
        <f>C573*D573</f>
        <v>#VALUE!</v>
      </c>
      <c r="F573" s="1036"/>
      <c r="G573" s="1004" t="s">
        <v>269</v>
      </c>
      <c r="H573" s="1009" t="s">
        <v>455</v>
      </c>
      <c r="I573" s="1010" t="str">
        <f>VLOOKUP(H570,'CNKT '!$D$16:$AC$96,11,0)</f>
        <v>B</v>
      </c>
      <c r="J573" s="583">
        <f>46.1*$B$2</f>
        <v>30424.156000000003</v>
      </c>
      <c r="K573" s="1007" t="e">
        <f>I573*J573</f>
        <v>#VALUE!</v>
      </c>
      <c r="L573" s="586"/>
      <c r="M573" s="567"/>
      <c r="N573" s="587"/>
    </row>
    <row r="574" spans="1:14" s="23" customFormat="1" ht="17.25" customHeight="1">
      <c r="A574" s="1004" t="s">
        <v>356</v>
      </c>
      <c r="B574" s="1009" t="s">
        <v>456</v>
      </c>
      <c r="C574" s="1010">
        <f>VLOOKUP(B570,'CNKT '!$D$16:$AC$96,12,0)</f>
        <v>5248255</v>
      </c>
      <c r="D574" s="582">
        <f>76.9*$B$2</f>
        <v>50750.924000000006</v>
      </c>
      <c r="E574" s="1007">
        <f t="shared" ref="E574:E575" si="131">C574*D574</f>
        <v>266353790637.62003</v>
      </c>
      <c r="F574" s="1036"/>
      <c r="G574" s="1004" t="s">
        <v>356</v>
      </c>
      <c r="H574" s="1009" t="s">
        <v>456</v>
      </c>
      <c r="I574" s="1010">
        <f>VLOOKUP(H570,'CNKT '!$D$16:$AC$96,12,0)</f>
        <v>5784866</v>
      </c>
      <c r="J574" s="582">
        <f>76.9*$B$2</f>
        <v>50750.924000000006</v>
      </c>
      <c r="K574" s="1007">
        <f t="shared" ref="K574:K575" si="132">I574*J574</f>
        <v>293587294716.18402</v>
      </c>
      <c r="L574" s="586"/>
      <c r="M574" s="567"/>
      <c r="N574" s="587"/>
    </row>
    <row r="575" spans="1:14" s="23" customFormat="1" ht="17.25" customHeight="1">
      <c r="A575" s="1004" t="s">
        <v>69</v>
      </c>
      <c r="B575" s="1009" t="s">
        <v>457</v>
      </c>
      <c r="C575" s="1010">
        <f>VLOOKUP(B570,'CNKT '!$D$16:$AC$96,8,0)</f>
        <v>1357.8603883146004</v>
      </c>
      <c r="D575" s="582">
        <f>IF(C571="A",6.1,IF(C571="B",5.8,IF(C571="C",5.5,IF(C571="C.",5.5,IF(C571="D",5.2)))))*$B$2</f>
        <v>0</v>
      </c>
      <c r="E575" s="1007">
        <f t="shared" si="131"/>
        <v>0</v>
      </c>
      <c r="F575" s="1036"/>
      <c r="G575" s="1004" t="s">
        <v>69</v>
      </c>
      <c r="H575" s="1009" t="s">
        <v>457</v>
      </c>
      <c r="I575" s="1010">
        <f>VLOOKUP(H570,'CNKT '!$D$16:$AC$96,8,0)</f>
        <v>1531.3451518411407</v>
      </c>
      <c r="J575" s="582">
        <f>IF(I571="A",6.1,IF(I571="B",5.8,IF(I571="C",5.5,IF(I571="C.",5.5,IF(I571="D",5.2)))))*$B$2</f>
        <v>0</v>
      </c>
      <c r="K575" s="1007">
        <f t="shared" si="132"/>
        <v>0</v>
      </c>
      <c r="L575" s="586"/>
      <c r="M575" s="567"/>
      <c r="N575" s="587"/>
    </row>
    <row r="576" spans="1:14" s="23" customFormat="1" ht="17.25" customHeight="1">
      <c r="A576" s="1004" t="s">
        <v>431</v>
      </c>
      <c r="B576" s="1009" t="s">
        <v>458</v>
      </c>
      <c r="C576" s="1010">
        <f>VLOOKUP(B570,'CNKT '!$D$16:$AC$96,13,0)</f>
        <v>25</v>
      </c>
      <c r="D576" s="583">
        <v>100000</v>
      </c>
      <c r="E576" s="1007">
        <f>C576*D576</f>
        <v>2500000</v>
      </c>
      <c r="F576" s="1036"/>
      <c r="G576" s="1004" t="s">
        <v>431</v>
      </c>
      <c r="H576" s="1009" t="s">
        <v>458</v>
      </c>
      <c r="I576" s="1010">
        <f>VLOOKUP(H570,'CNKT '!$D$16:$AC$96,13,0)</f>
        <v>27</v>
      </c>
      <c r="J576" s="583">
        <v>100000</v>
      </c>
      <c r="K576" s="1007">
        <f>I576*J576</f>
        <v>2700000</v>
      </c>
      <c r="L576" s="586"/>
      <c r="M576" s="567"/>
      <c r="N576" s="587"/>
    </row>
    <row r="577" spans="1:14" s="23" customFormat="1" ht="17.25" customHeight="1">
      <c r="A577" s="1073" t="s">
        <v>780</v>
      </c>
      <c r="B577" s="1065" t="s">
        <v>434</v>
      </c>
      <c r="C577" s="1066">
        <f>VLOOKUP(B570,'CNKT '!$D$16:$AC$96,14,0)</f>
        <v>4</v>
      </c>
      <c r="D577" s="1067">
        <f>153.8*$B$2</f>
        <v>101501.84800000001</v>
      </c>
      <c r="E577" s="1068">
        <f t="shared" ref="E577" si="133">C577*D577</f>
        <v>406007.39200000005</v>
      </c>
      <c r="F577" s="1036"/>
      <c r="G577" s="1073" t="s">
        <v>780</v>
      </c>
      <c r="H577" s="1065" t="s">
        <v>434</v>
      </c>
      <c r="I577" s="1066">
        <f>VLOOKUP(H570,'CNKT '!$D$16:$AC$96,14,0)</f>
        <v>4</v>
      </c>
      <c r="J577" s="1067">
        <f>153.8*$B$2</f>
        <v>101501.84800000001</v>
      </c>
      <c r="K577" s="1068">
        <f t="shared" ref="K577" si="134">I577*J577</f>
        <v>406007.39200000005</v>
      </c>
      <c r="L577" s="586"/>
      <c r="M577" s="567"/>
      <c r="N577" s="587"/>
    </row>
    <row r="578" spans="1:14" s="23" customFormat="1" ht="17.25" customHeight="1">
      <c r="A578" s="1073" t="s">
        <v>781</v>
      </c>
      <c r="B578" s="1065" t="s">
        <v>435</v>
      </c>
      <c r="C578" s="1066">
        <f>VLOOKUP(B570,'CNKT '!$D$16:$AC$96,18,0)</f>
        <v>0</v>
      </c>
      <c r="D578" s="1067">
        <v>100000</v>
      </c>
      <c r="E578" s="1068">
        <f>C578*D578</f>
        <v>0</v>
      </c>
      <c r="F578" s="1036"/>
      <c r="G578" s="1073" t="s">
        <v>781</v>
      </c>
      <c r="H578" s="1065" t="s">
        <v>435</v>
      </c>
      <c r="I578" s="1066">
        <f>VLOOKUP(H570,'CNKT '!$D$16:$AC$96,18,0)</f>
        <v>0</v>
      </c>
      <c r="J578" s="1067">
        <v>100000</v>
      </c>
      <c r="K578" s="1068">
        <f>I578*J578</f>
        <v>0</v>
      </c>
      <c r="L578" s="586"/>
      <c r="M578" s="567"/>
      <c r="N578" s="587"/>
    </row>
    <row r="579" spans="1:14" s="23" customFormat="1" ht="17.25" customHeight="1">
      <c r="A579" s="1004" t="s">
        <v>394</v>
      </c>
      <c r="B579" s="1009" t="s">
        <v>435</v>
      </c>
      <c r="C579" s="1010">
        <f>VLOOKUP(B570,'CNKT '!$D$16:$AC$96,19,0)</f>
        <v>0</v>
      </c>
      <c r="D579" s="582">
        <v>20000</v>
      </c>
      <c r="E579" s="1007">
        <f>C579*D579</f>
        <v>0</v>
      </c>
      <c r="F579" s="1036"/>
      <c r="G579" s="1004" t="s">
        <v>394</v>
      </c>
      <c r="H579" s="1009" t="s">
        <v>435</v>
      </c>
      <c r="I579" s="1010">
        <f>VLOOKUP(H570,'CNKT '!$D$16:$AC$96,19,0)</f>
        <v>0</v>
      </c>
      <c r="J579" s="582">
        <v>20000</v>
      </c>
      <c r="K579" s="1007">
        <f>I579*J579</f>
        <v>0</v>
      </c>
      <c r="L579" s="586"/>
      <c r="M579" s="567"/>
      <c r="N579" s="587"/>
    </row>
    <row r="580" spans="1:14" s="23" customFormat="1" ht="17.25" customHeight="1">
      <c r="A580" s="1004" t="s">
        <v>731</v>
      </c>
      <c r="B580" s="1011" t="s">
        <v>732</v>
      </c>
      <c r="C580" s="1010"/>
      <c r="D580" s="582"/>
      <c r="E580" s="1007">
        <f>VLOOKUP(B570,'CNKT '!$D$16:$AG$99,28,0)</f>
        <v>0</v>
      </c>
      <c r="F580" s="1036"/>
      <c r="G580" s="1004" t="s">
        <v>731</v>
      </c>
      <c r="H580" s="1011" t="s">
        <v>732</v>
      </c>
      <c r="I580" s="1010"/>
      <c r="J580" s="582"/>
      <c r="K580" s="1007">
        <f>VLOOKUP(H570,'CNKT '!$D$16:$AG$99,28,0)</f>
        <v>0</v>
      </c>
      <c r="L580" s="586"/>
      <c r="M580" s="567"/>
      <c r="N580" s="587"/>
    </row>
    <row r="581" spans="1:14" s="23" customFormat="1" ht="17.25" customHeight="1">
      <c r="A581" s="1012" t="s">
        <v>70</v>
      </c>
      <c r="B581" s="1013" t="s">
        <v>459</v>
      </c>
      <c r="C581" s="1014"/>
      <c r="D581" s="1015"/>
      <c r="E581" s="1014"/>
      <c r="F581" s="1036"/>
      <c r="G581" s="1012" t="s">
        <v>70</v>
      </c>
      <c r="H581" s="1013" t="s">
        <v>459</v>
      </c>
      <c r="I581" s="1014"/>
      <c r="J581" s="1015"/>
      <c r="K581" s="1014"/>
      <c r="L581" s="586"/>
      <c r="M581" s="567"/>
      <c r="N581" s="587"/>
    </row>
    <row r="582" spans="1:14" s="23" customFormat="1" ht="17.25" customHeight="1">
      <c r="A582" s="1016" t="s">
        <v>71</v>
      </c>
      <c r="B582" s="1017" t="s">
        <v>460</v>
      </c>
      <c r="C582" s="1014"/>
      <c r="D582" s="1014"/>
      <c r="E582" s="1014"/>
      <c r="F582" s="1036"/>
      <c r="G582" s="1016" t="s">
        <v>71</v>
      </c>
      <c r="H582" s="1017" t="s">
        <v>460</v>
      </c>
      <c r="I582" s="1014"/>
      <c r="J582" s="1014"/>
      <c r="K582" s="1014"/>
      <c r="L582" s="586"/>
      <c r="M582" s="567"/>
      <c r="N582" s="587"/>
    </row>
    <row r="583" spans="1:14" s="23" customFormat="1" ht="17.25" customHeight="1">
      <c r="A583" s="1016" t="s">
        <v>72</v>
      </c>
      <c r="B583" s="1018" t="s">
        <v>461</v>
      </c>
      <c r="C583" s="1014"/>
      <c r="D583" s="1014"/>
      <c r="E583" s="1007">
        <f>SUM(E582)</f>
        <v>0</v>
      </c>
      <c r="F583" s="1036"/>
      <c r="G583" s="1016" t="s">
        <v>72</v>
      </c>
      <c r="H583" s="1018" t="s">
        <v>461</v>
      </c>
      <c r="I583" s="1014"/>
      <c r="J583" s="1014"/>
      <c r="K583" s="1007">
        <f>SUM(K582)</f>
        <v>0</v>
      </c>
      <c r="L583" s="586"/>
      <c r="M583" s="1019">
        <f>E583+K583</f>
        <v>0</v>
      </c>
      <c r="N583" s="587"/>
    </row>
    <row r="584" spans="1:14" s="23" customFormat="1" ht="17.25" customHeight="1">
      <c r="A584" s="1020" t="s">
        <v>73</v>
      </c>
      <c r="B584" s="1021" t="s">
        <v>381</v>
      </c>
      <c r="C584" s="1022"/>
      <c r="D584" s="1022"/>
      <c r="E584" s="1022" t="e">
        <f>(E572+E573+E574+E575+E576+E577+E578+E579+E580)-E583</f>
        <v>#VALUE!</v>
      </c>
      <c r="F584" s="1036"/>
      <c r="G584" s="1020" t="s">
        <v>73</v>
      </c>
      <c r="H584" s="1021" t="s">
        <v>381</v>
      </c>
      <c r="I584" s="1022"/>
      <c r="J584" s="1022"/>
      <c r="K584" s="1022" t="e">
        <f>(K572+K573+K574+K575+K576+K577+K578+K579+K580)-K583</f>
        <v>#VALUE!</v>
      </c>
      <c r="L584" s="1024" t="e">
        <f>E584+K584</f>
        <v>#VALUE!</v>
      </c>
      <c r="M584" s="567"/>
      <c r="N584" s="587"/>
    </row>
    <row r="585" spans="1:14" s="23" customFormat="1" ht="17.25" customHeight="1">
      <c r="A585" s="1029"/>
      <c r="B585" s="1034"/>
      <c r="C585" s="1035"/>
      <c r="D585" s="1035"/>
      <c r="E585" s="1033"/>
      <c r="F585" s="1036"/>
      <c r="G585" s="1029"/>
      <c r="H585" s="1034"/>
      <c r="I585" s="1035"/>
      <c r="J585" s="1033"/>
      <c r="K585" s="1036"/>
      <c r="L585" s="586"/>
      <c r="M585" s="567"/>
      <c r="N585" s="587"/>
    </row>
    <row r="586" spans="1:14" s="23" customFormat="1" ht="17.25" customHeight="1">
      <c r="A586" s="1653" t="str">
        <f>A569</f>
        <v>LƯƠNG THÁNG 09/2025</v>
      </c>
      <c r="B586" s="1656"/>
      <c r="C586" s="1656"/>
      <c r="D586" s="1656"/>
      <c r="E586" s="998">
        <v>69</v>
      </c>
      <c r="F586" s="1036"/>
      <c r="G586" s="1653" t="str">
        <f>A586</f>
        <v>LƯƠNG THÁNG 09/2025</v>
      </c>
      <c r="H586" s="1656"/>
      <c r="I586" s="1656"/>
      <c r="J586" s="1657"/>
      <c r="K586" s="998">
        <v>70</v>
      </c>
      <c r="L586" s="586"/>
      <c r="M586" s="567"/>
      <c r="N586" s="587"/>
    </row>
    <row r="587" spans="1:14" s="23" customFormat="1" ht="17.25" customHeight="1">
      <c r="A587" s="1028" t="s">
        <v>13</v>
      </c>
      <c r="B587" s="1000" t="str">
        <f>'CNKT '!D84</f>
        <v>T. Hô Lông</v>
      </c>
      <c r="C587" s="1001"/>
      <c r="D587" s="1002" t="s">
        <v>353</v>
      </c>
      <c r="E587" s="1002" t="s">
        <v>16</v>
      </c>
      <c r="F587" s="1036"/>
      <c r="G587" s="1028" t="s">
        <v>13</v>
      </c>
      <c r="H587" s="1000" t="str">
        <f>'CNKT '!D85</f>
        <v>N. Xi</v>
      </c>
      <c r="I587" s="1001"/>
      <c r="J587" s="1002" t="s">
        <v>353</v>
      </c>
      <c r="K587" s="1002" t="s">
        <v>16</v>
      </c>
      <c r="L587" s="586"/>
      <c r="M587" s="567"/>
      <c r="N587" s="587"/>
    </row>
    <row r="588" spans="1:14" s="23" customFormat="1" ht="17.25" customHeight="1">
      <c r="A588" s="1004" t="s">
        <v>354</v>
      </c>
      <c r="B588" s="1005" t="s">
        <v>454</v>
      </c>
      <c r="C588" s="1006">
        <f>VLOOKUP(B587,'SẢN LƯỢNG'!$D$17:$AR$94,37,0)</f>
        <v>3455</v>
      </c>
      <c r="D588" s="1007"/>
      <c r="E588" s="1007"/>
      <c r="F588" s="1036"/>
      <c r="G588" s="1004" t="s">
        <v>354</v>
      </c>
      <c r="H588" s="1005" t="s">
        <v>454</v>
      </c>
      <c r="I588" s="1006">
        <f>VLOOKUP(H587,'SẢN LƯỢNG'!$D$17:$AR$94,37,0)</f>
        <v>3934</v>
      </c>
      <c r="J588" s="1007"/>
      <c r="K588" s="1007"/>
      <c r="L588" s="586"/>
      <c r="M588" s="567"/>
      <c r="N588" s="587"/>
    </row>
    <row r="589" spans="1:14" s="23" customFormat="1" ht="17.25" customHeight="1">
      <c r="A589" s="1004" t="s">
        <v>68</v>
      </c>
      <c r="B589" s="1008" t="s">
        <v>380</v>
      </c>
      <c r="C589" s="581">
        <f>VLOOKUP(B587,'CNKT '!$D$16:$AC$96,3,0)</f>
        <v>0</v>
      </c>
      <c r="D589" s="582">
        <v>25000</v>
      </c>
      <c r="E589" s="1007">
        <f>C589*D589</f>
        <v>0</v>
      </c>
      <c r="F589" s="1036"/>
      <c r="G589" s="1004" t="s">
        <v>68</v>
      </c>
      <c r="H589" s="1008" t="s">
        <v>380</v>
      </c>
      <c r="I589" s="581">
        <f>VLOOKUP(H587,'CNKT '!$D$16:$AC$96,3,0)</f>
        <v>0</v>
      </c>
      <c r="J589" s="582">
        <v>25000</v>
      </c>
      <c r="K589" s="1007">
        <f>I589*J589</f>
        <v>0</v>
      </c>
      <c r="L589" s="586"/>
      <c r="M589" s="567"/>
      <c r="N589" s="587"/>
    </row>
    <row r="590" spans="1:14" s="23" customFormat="1" ht="17.25" customHeight="1">
      <c r="A590" s="1004" t="s">
        <v>269</v>
      </c>
      <c r="B590" s="1009" t="s">
        <v>455</v>
      </c>
      <c r="C590" s="1010" t="str">
        <f>VLOOKUP(B587,'CNKT '!$D$16:$AC$96,11,0)</f>
        <v>B</v>
      </c>
      <c r="D590" s="583">
        <f>46.1*$B$2</f>
        <v>30424.156000000003</v>
      </c>
      <c r="E590" s="1007" t="e">
        <f>C590*D590</f>
        <v>#VALUE!</v>
      </c>
      <c r="F590" s="1036"/>
      <c r="G590" s="1004" t="s">
        <v>269</v>
      </c>
      <c r="H590" s="1009" t="s">
        <v>455</v>
      </c>
      <c r="I590" s="1010" t="str">
        <f>VLOOKUP(H587,'CNKT '!$D$16:$AC$96,11,0)</f>
        <v>A</v>
      </c>
      <c r="J590" s="583">
        <f>46.1*$B$2</f>
        <v>30424.156000000003</v>
      </c>
      <c r="K590" s="1007" t="e">
        <f>I590*J590</f>
        <v>#VALUE!</v>
      </c>
      <c r="L590" s="586"/>
      <c r="M590" s="567"/>
      <c r="N590" s="587"/>
    </row>
    <row r="591" spans="1:14" s="23" customFormat="1" ht="17.25" customHeight="1">
      <c r="A591" s="1004" t="s">
        <v>356</v>
      </c>
      <c r="B591" s="1009" t="s">
        <v>456</v>
      </c>
      <c r="C591" s="1010">
        <f>VLOOKUP(B587,'CNKT '!$D$16:$AC$96,12,0)</f>
        <v>7585064</v>
      </c>
      <c r="D591" s="582">
        <f>76.9*$B$2</f>
        <v>50750.924000000006</v>
      </c>
      <c r="E591" s="1007">
        <f t="shared" ref="E591:E592" si="135">C591*D591</f>
        <v>384949006599.13605</v>
      </c>
      <c r="F591" s="1036"/>
      <c r="G591" s="1004" t="s">
        <v>356</v>
      </c>
      <c r="H591" s="1009" t="s">
        <v>456</v>
      </c>
      <c r="I591" s="1010">
        <f>VLOOKUP(H587,'CNKT '!$D$16:$AC$96,12,0)</f>
        <v>7167638</v>
      </c>
      <c r="J591" s="582">
        <f>76.9*$B$2</f>
        <v>50750.924000000006</v>
      </c>
      <c r="K591" s="1007">
        <f t="shared" ref="K591:K592" si="136">I591*J591</f>
        <v>363764251397.51202</v>
      </c>
      <c r="L591" s="586"/>
      <c r="M591" s="567"/>
      <c r="N591" s="587"/>
    </row>
    <row r="592" spans="1:14" s="23" customFormat="1" ht="17.25" customHeight="1">
      <c r="A592" s="1004" t="s">
        <v>69</v>
      </c>
      <c r="B592" s="1009" t="s">
        <v>457</v>
      </c>
      <c r="C592" s="1010">
        <f>VLOOKUP(B587,'CNKT '!$D$16:$AC$96,8,0)</f>
        <v>2023.1060336949979</v>
      </c>
      <c r="D592" s="582">
        <f>IF(C588="A",6.1,IF(C588="B",5.8,IF(C588="C",5.5,IF(C588="C.",5.5,IF(C588="D",5.2)))))*$B$2</f>
        <v>0</v>
      </c>
      <c r="E592" s="1007">
        <f t="shared" si="135"/>
        <v>0</v>
      </c>
      <c r="F592" s="1036"/>
      <c r="G592" s="1004" t="s">
        <v>69</v>
      </c>
      <c r="H592" s="1009" t="s">
        <v>457</v>
      </c>
      <c r="I592" s="1010">
        <f>VLOOKUP(H587,'CNKT '!$D$16:$AC$96,8,0)</f>
        <v>1789.5858303730136</v>
      </c>
      <c r="J592" s="582">
        <f>IF(I588="A",6.1,IF(I588="B",5.8,IF(I588="C",5.5,IF(I588="C.",5.5,IF(I588="D",5.2)))))*$B$2</f>
        <v>0</v>
      </c>
      <c r="K592" s="1007">
        <f t="shared" si="136"/>
        <v>0</v>
      </c>
      <c r="L592" s="586"/>
      <c r="M592" s="567"/>
      <c r="N592" s="587"/>
    </row>
    <row r="593" spans="1:14" s="23" customFormat="1" ht="17.25" customHeight="1">
      <c r="A593" s="1004" t="s">
        <v>431</v>
      </c>
      <c r="B593" s="1009" t="s">
        <v>458</v>
      </c>
      <c r="C593" s="1010">
        <f>VLOOKUP(B587,'CNKT '!$D$16:$AC$96,13,0)</f>
        <v>27</v>
      </c>
      <c r="D593" s="583">
        <v>100000</v>
      </c>
      <c r="E593" s="1007">
        <f>C593*D593</f>
        <v>2700000</v>
      </c>
      <c r="F593" s="1036"/>
      <c r="G593" s="1004" t="s">
        <v>431</v>
      </c>
      <c r="H593" s="1009" t="s">
        <v>458</v>
      </c>
      <c r="I593" s="1010">
        <f>VLOOKUP(H587,'CNKT '!$D$16:$AC$96,13,0)</f>
        <v>27</v>
      </c>
      <c r="J593" s="583">
        <v>100000</v>
      </c>
      <c r="K593" s="1007">
        <f>I593*J593</f>
        <v>2700000</v>
      </c>
      <c r="L593" s="586"/>
      <c r="M593" s="567"/>
      <c r="N593" s="587"/>
    </row>
    <row r="594" spans="1:14" s="23" customFormat="1" ht="17.25" customHeight="1">
      <c r="A594" s="1073" t="s">
        <v>780</v>
      </c>
      <c r="B594" s="1065" t="s">
        <v>434</v>
      </c>
      <c r="C594" s="1066">
        <f>VLOOKUP(B587,'CNKT '!$D$16:$AC$96,14,0)</f>
        <v>4</v>
      </c>
      <c r="D594" s="1067">
        <f>153.8*$B$2</f>
        <v>101501.84800000001</v>
      </c>
      <c r="E594" s="1068">
        <f t="shared" ref="E594" si="137">C594*D594</f>
        <v>406007.39200000005</v>
      </c>
      <c r="F594" s="1036"/>
      <c r="G594" s="1073" t="s">
        <v>780</v>
      </c>
      <c r="H594" s="1065" t="s">
        <v>434</v>
      </c>
      <c r="I594" s="1066">
        <f>VLOOKUP(H587,'CNKT '!$D$16:$AC$96,14,0)</f>
        <v>4</v>
      </c>
      <c r="J594" s="1067">
        <f>153.8*$B$2</f>
        <v>101501.84800000001</v>
      </c>
      <c r="K594" s="1068">
        <f t="shared" ref="K594" si="138">I594*J594</f>
        <v>406007.39200000005</v>
      </c>
      <c r="L594" s="586"/>
      <c r="M594" s="567"/>
      <c r="N594" s="587"/>
    </row>
    <row r="595" spans="1:14" s="23" customFormat="1" ht="17.25" customHeight="1">
      <c r="A595" s="1073" t="s">
        <v>781</v>
      </c>
      <c r="B595" s="1065" t="s">
        <v>435</v>
      </c>
      <c r="C595" s="1066">
        <f>VLOOKUP(B587,'CNKT '!$D$16:$AC$96,18,0)</f>
        <v>0</v>
      </c>
      <c r="D595" s="1067">
        <v>100000</v>
      </c>
      <c r="E595" s="1068">
        <f>C595*D595</f>
        <v>0</v>
      </c>
      <c r="F595" s="1036"/>
      <c r="G595" s="1073" t="s">
        <v>781</v>
      </c>
      <c r="H595" s="1065" t="s">
        <v>435</v>
      </c>
      <c r="I595" s="1066">
        <f>VLOOKUP(H587,'CNKT '!$D$16:$AC$96,18,0)</f>
        <v>0</v>
      </c>
      <c r="J595" s="1067">
        <v>100000</v>
      </c>
      <c r="K595" s="1068">
        <f>I595*J595</f>
        <v>0</v>
      </c>
      <c r="L595" s="586"/>
      <c r="M595" s="567"/>
      <c r="N595" s="587"/>
    </row>
    <row r="596" spans="1:14" s="23" customFormat="1" ht="17.25" customHeight="1">
      <c r="A596" s="1004" t="s">
        <v>394</v>
      </c>
      <c r="B596" s="1009" t="s">
        <v>435</v>
      </c>
      <c r="C596" s="1010">
        <f>VLOOKUP(B587,'CNKT '!$D$16:$AC$96,19,0)</f>
        <v>0</v>
      </c>
      <c r="D596" s="582">
        <v>20000</v>
      </c>
      <c r="E596" s="1007">
        <f>C596*D596</f>
        <v>0</v>
      </c>
      <c r="F596" s="1036"/>
      <c r="G596" s="1004" t="s">
        <v>394</v>
      </c>
      <c r="H596" s="1009" t="s">
        <v>435</v>
      </c>
      <c r="I596" s="1010">
        <f>VLOOKUP(H587,'CNKT '!$D$16:$AC$96,19,0)</f>
        <v>0</v>
      </c>
      <c r="J596" s="582">
        <v>20000</v>
      </c>
      <c r="K596" s="1007">
        <f>I596*J596</f>
        <v>0</v>
      </c>
      <c r="L596" s="586"/>
      <c r="M596" s="567"/>
      <c r="N596" s="587"/>
    </row>
    <row r="597" spans="1:14" s="23" customFormat="1" ht="17.25" customHeight="1">
      <c r="A597" s="1004" t="s">
        <v>731</v>
      </c>
      <c r="B597" s="1011" t="s">
        <v>732</v>
      </c>
      <c r="C597" s="1010"/>
      <c r="D597" s="582"/>
      <c r="E597" s="1007">
        <f>VLOOKUP(B587,'CNKT '!$D$16:$AG$99,28,0)</f>
        <v>0</v>
      </c>
      <c r="F597" s="1036"/>
      <c r="G597" s="1004" t="s">
        <v>731</v>
      </c>
      <c r="H597" s="1011" t="s">
        <v>732</v>
      </c>
      <c r="I597" s="1010"/>
      <c r="J597" s="582"/>
      <c r="K597" s="1007">
        <f>VLOOKUP(H587,'CNKT '!$D$16:$AG$99,28,0)</f>
        <v>0</v>
      </c>
      <c r="L597" s="586"/>
      <c r="M597" s="567"/>
      <c r="N597" s="587"/>
    </row>
    <row r="598" spans="1:14" s="23" customFormat="1" ht="17.25" customHeight="1">
      <c r="A598" s="1012" t="s">
        <v>70</v>
      </c>
      <c r="B598" s="1013" t="s">
        <v>459</v>
      </c>
      <c r="C598" s="1014"/>
      <c r="D598" s="1015"/>
      <c r="E598" s="1014"/>
      <c r="F598" s="1036"/>
      <c r="G598" s="1012" t="s">
        <v>70</v>
      </c>
      <c r="H598" s="1013" t="s">
        <v>459</v>
      </c>
      <c r="I598" s="1014"/>
      <c r="J598" s="1015"/>
      <c r="K598" s="1014"/>
      <c r="L598" s="586"/>
      <c r="M598" s="567"/>
      <c r="N598" s="587"/>
    </row>
    <row r="599" spans="1:14" s="23" customFormat="1" ht="17.25" customHeight="1">
      <c r="A599" s="1016" t="s">
        <v>71</v>
      </c>
      <c r="B599" s="1017" t="s">
        <v>460</v>
      </c>
      <c r="C599" s="1014"/>
      <c r="D599" s="1014"/>
      <c r="E599" s="1014"/>
      <c r="F599" s="1036"/>
      <c r="G599" s="1016" t="s">
        <v>71</v>
      </c>
      <c r="H599" s="1017" t="s">
        <v>460</v>
      </c>
      <c r="I599" s="1014"/>
      <c r="J599" s="1014"/>
      <c r="K599" s="1014"/>
      <c r="L599" s="586"/>
      <c r="M599" s="567"/>
      <c r="N599" s="587"/>
    </row>
    <row r="600" spans="1:14" s="23" customFormat="1" ht="17.25" customHeight="1">
      <c r="A600" s="1016" t="s">
        <v>72</v>
      </c>
      <c r="B600" s="1018" t="s">
        <v>461</v>
      </c>
      <c r="C600" s="1014"/>
      <c r="D600" s="1014"/>
      <c r="E600" s="1007">
        <f>SUM(E599)</f>
        <v>0</v>
      </c>
      <c r="F600" s="1036"/>
      <c r="G600" s="1016" t="s">
        <v>72</v>
      </c>
      <c r="H600" s="1018" t="s">
        <v>461</v>
      </c>
      <c r="I600" s="1014"/>
      <c r="J600" s="1014"/>
      <c r="K600" s="1007">
        <f>SUM(K599)</f>
        <v>0</v>
      </c>
      <c r="L600" s="586"/>
      <c r="M600" s="1019">
        <f>E600+K600</f>
        <v>0</v>
      </c>
      <c r="N600" s="587"/>
    </row>
    <row r="601" spans="1:14" s="23" customFormat="1" ht="17.25" customHeight="1">
      <c r="A601" s="1020" t="s">
        <v>73</v>
      </c>
      <c r="B601" s="1021" t="s">
        <v>381</v>
      </c>
      <c r="C601" s="1022"/>
      <c r="D601" s="1022"/>
      <c r="E601" s="1022" t="e">
        <f>(E589+E590+E591+E592+E593+E594+E595+E596+E597)-E600</f>
        <v>#VALUE!</v>
      </c>
      <c r="F601" s="1036"/>
      <c r="G601" s="1020" t="s">
        <v>73</v>
      </c>
      <c r="H601" s="1021" t="s">
        <v>381</v>
      </c>
      <c r="I601" s="1022"/>
      <c r="J601" s="1022"/>
      <c r="K601" s="1022" t="e">
        <f>(K589+K590+K591+K592+K593+K594+K595+K596+K597)-K600</f>
        <v>#VALUE!</v>
      </c>
      <c r="L601" s="1024" t="e">
        <f>E601+K601</f>
        <v>#VALUE!</v>
      </c>
      <c r="M601" s="567"/>
      <c r="N601" s="587"/>
    </row>
    <row r="602" spans="1:14" s="23" customFormat="1" ht="70.5" customHeight="1">
      <c r="A602" s="1037"/>
      <c r="B602" s="1032"/>
      <c r="C602" s="1032"/>
      <c r="D602" s="1032"/>
      <c r="E602" s="1032"/>
      <c r="F602" s="1036"/>
      <c r="G602" s="1037"/>
      <c r="H602" s="1032"/>
      <c r="I602" s="1032"/>
      <c r="J602" s="1032"/>
      <c r="K602" s="1036"/>
      <c r="L602" s="586"/>
      <c r="M602" s="567"/>
      <c r="N602" s="587"/>
    </row>
    <row r="603" spans="1:14" s="23" customFormat="1" ht="17.25" customHeight="1">
      <c r="A603" s="1653" t="str">
        <f>A586</f>
        <v>LƯƠNG THÁNG 09/2025</v>
      </c>
      <c r="B603" s="1656"/>
      <c r="C603" s="1656"/>
      <c r="D603" s="1656"/>
      <c r="E603" s="998">
        <v>71</v>
      </c>
      <c r="F603" s="1036"/>
      <c r="G603" s="1653" t="str">
        <f>A603</f>
        <v>LƯƠNG THÁNG 09/2025</v>
      </c>
      <c r="H603" s="1656"/>
      <c r="I603" s="1656"/>
      <c r="J603" s="1657"/>
      <c r="K603" s="998">
        <v>72</v>
      </c>
      <c r="L603" s="586"/>
      <c r="M603" s="567"/>
      <c r="N603" s="587"/>
    </row>
    <row r="604" spans="1:14" s="23" customFormat="1" ht="17.25" customHeight="1">
      <c r="A604" s="1028" t="s">
        <v>13</v>
      </c>
      <c r="B604" s="1000" t="str">
        <f>'CNKT '!D86</f>
        <v>N. Chay</v>
      </c>
      <c r="C604" s="1001"/>
      <c r="D604" s="1002" t="s">
        <v>353</v>
      </c>
      <c r="E604" s="1002" t="s">
        <v>16</v>
      </c>
      <c r="F604" s="1036"/>
      <c r="G604" s="1028" t="s">
        <v>13</v>
      </c>
      <c r="H604" s="1000" t="str">
        <f>'CNKT '!D87</f>
        <v>T. Ta</v>
      </c>
      <c r="I604" s="1001"/>
      <c r="J604" s="1002" t="s">
        <v>353</v>
      </c>
      <c r="K604" s="1002" t="s">
        <v>16</v>
      </c>
      <c r="L604" s="586"/>
      <c r="M604" s="567"/>
      <c r="N604" s="587"/>
    </row>
    <row r="605" spans="1:14" s="23" customFormat="1" ht="17.25" customHeight="1">
      <c r="A605" s="1004" t="s">
        <v>354</v>
      </c>
      <c r="B605" s="1005" t="s">
        <v>454</v>
      </c>
      <c r="C605" s="1006">
        <f>VLOOKUP(B604,'SẢN LƯỢNG'!$D$17:$AR$94,37,0)</f>
        <v>3858</v>
      </c>
      <c r="D605" s="1007"/>
      <c r="E605" s="1007"/>
      <c r="F605" s="1036"/>
      <c r="G605" s="1004" t="s">
        <v>354</v>
      </c>
      <c r="H605" s="1005" t="s">
        <v>454</v>
      </c>
      <c r="I605" s="1006">
        <f>VLOOKUP(H604,'SẢN LƯỢNG'!$D$17:$AR$94,37,0)</f>
        <v>2714</v>
      </c>
      <c r="J605" s="1007"/>
      <c r="K605" s="1007"/>
      <c r="L605" s="586"/>
      <c r="M605" s="567"/>
      <c r="N605" s="587"/>
    </row>
    <row r="606" spans="1:14" s="23" customFormat="1" ht="17.25" customHeight="1">
      <c r="A606" s="1004" t="s">
        <v>68</v>
      </c>
      <c r="B606" s="1008" t="s">
        <v>380</v>
      </c>
      <c r="C606" s="581">
        <f>VLOOKUP(B604,'CNKT '!$D$16:$AC$96,3,0)</f>
        <v>0</v>
      </c>
      <c r="D606" s="582">
        <v>25000</v>
      </c>
      <c r="E606" s="1007">
        <f>C606*D606</f>
        <v>0</v>
      </c>
      <c r="F606" s="1036"/>
      <c r="G606" s="1004" t="s">
        <v>68</v>
      </c>
      <c r="H606" s="1008" t="s">
        <v>380</v>
      </c>
      <c r="I606" s="581">
        <f>VLOOKUP(H604,'CNKT '!$D$16:$AC$96,3,0)</f>
        <v>0</v>
      </c>
      <c r="J606" s="582">
        <v>25000</v>
      </c>
      <c r="K606" s="1007">
        <f>I606*J606</f>
        <v>0</v>
      </c>
      <c r="L606" s="586"/>
      <c r="M606" s="567"/>
      <c r="N606" s="587"/>
    </row>
    <row r="607" spans="1:14" s="23" customFormat="1" ht="17.25" customHeight="1">
      <c r="A607" s="1004" t="s">
        <v>269</v>
      </c>
      <c r="B607" s="1009" t="s">
        <v>455</v>
      </c>
      <c r="C607" s="1010" t="str">
        <f>VLOOKUP(B604,'CNKT '!$D$16:$AC$96,11,0)</f>
        <v>A</v>
      </c>
      <c r="D607" s="583">
        <f>46.1*$B$2</f>
        <v>30424.156000000003</v>
      </c>
      <c r="E607" s="1007" t="e">
        <f>C607*D607</f>
        <v>#VALUE!</v>
      </c>
      <c r="F607" s="1036"/>
      <c r="G607" s="1004" t="s">
        <v>269</v>
      </c>
      <c r="H607" s="1009" t="s">
        <v>455</v>
      </c>
      <c r="I607" s="1010" t="str">
        <f>VLOOKUP(H604,'CNKT '!$D$16:$AC$96,11,0)</f>
        <v>A</v>
      </c>
      <c r="J607" s="583">
        <f>46.1*$B$2</f>
        <v>30424.156000000003</v>
      </c>
      <c r="K607" s="1007" t="e">
        <f>I607*J607</f>
        <v>#VALUE!</v>
      </c>
      <c r="L607" s="586"/>
      <c r="M607" s="567"/>
      <c r="N607" s="587"/>
    </row>
    <row r="608" spans="1:14" s="23" customFormat="1" ht="17.25" customHeight="1">
      <c r="A608" s="1004" t="s">
        <v>356</v>
      </c>
      <c r="B608" s="1009" t="s">
        <v>456</v>
      </c>
      <c r="C608" s="1010">
        <f>VLOOKUP(B604,'CNKT '!$D$16:$AC$96,12,0)</f>
        <v>6313994</v>
      </c>
      <c r="D608" s="582">
        <f>76.9*$B$2</f>
        <v>50750.924000000006</v>
      </c>
      <c r="E608" s="1007">
        <f t="shared" ref="E608:E609" si="139">C608*D608</f>
        <v>320441029630.45605</v>
      </c>
      <c r="F608" s="1036"/>
      <c r="G608" s="1004" t="s">
        <v>356</v>
      </c>
      <c r="H608" s="1009" t="s">
        <v>456</v>
      </c>
      <c r="I608" s="1010">
        <f>VLOOKUP(H604,'CNKT '!$D$16:$AC$96,12,0)</f>
        <v>3734258</v>
      </c>
      <c r="J608" s="582">
        <f>76.9*$B$2</f>
        <v>50750.924000000006</v>
      </c>
      <c r="K608" s="1007">
        <f t="shared" ref="K608:K609" si="140">I608*J608</f>
        <v>189517043954.39203</v>
      </c>
      <c r="L608" s="586"/>
      <c r="M608" s="567"/>
      <c r="N608" s="587"/>
    </row>
    <row r="609" spans="1:14" s="23" customFormat="1" ht="17.25" customHeight="1">
      <c r="A609" s="1004" t="s">
        <v>69</v>
      </c>
      <c r="B609" s="1009" t="s">
        <v>457</v>
      </c>
      <c r="C609" s="1010">
        <f>VLOOKUP(B604,'CNKT '!$D$16:$AC$96,8,0)</f>
        <v>1563.1286199681404</v>
      </c>
      <c r="D609" s="582">
        <f>IF(C605="A",6.1,IF(C605="B",5.8,IF(C605="C",5.5,IF(C605="C.",5.5,IF(C605="D",5.2)))))*$B$2</f>
        <v>0</v>
      </c>
      <c r="E609" s="1007">
        <f t="shared" si="139"/>
        <v>0</v>
      </c>
      <c r="F609" s="1036"/>
      <c r="G609" s="1004" t="s">
        <v>69</v>
      </c>
      <c r="H609" s="1009" t="s">
        <v>457</v>
      </c>
      <c r="I609" s="1010">
        <f>VLOOKUP(H604,'CNKT '!$D$16:$AC$96,8,0)</f>
        <v>909.80177513536773</v>
      </c>
      <c r="J609" s="582">
        <f>IF(I605="A",6.1,IF(I605="B",5.8,IF(I605="C",5.5,IF(I605="C.",5.5,IF(I605="D",5.2)))))*$B$2</f>
        <v>0</v>
      </c>
      <c r="K609" s="1007">
        <f t="shared" si="140"/>
        <v>0</v>
      </c>
      <c r="L609" s="586"/>
      <c r="M609" s="567"/>
      <c r="N609" s="587"/>
    </row>
    <row r="610" spans="1:14" s="23" customFormat="1" ht="17.25" customHeight="1">
      <c r="A610" s="1004" t="s">
        <v>431</v>
      </c>
      <c r="B610" s="1009" t="s">
        <v>458</v>
      </c>
      <c r="C610" s="1010">
        <f>VLOOKUP(B604,'CNKT '!$D$16:$AC$96,13,0)</f>
        <v>26</v>
      </c>
      <c r="D610" s="583">
        <v>100000</v>
      </c>
      <c r="E610" s="1007">
        <f>C610*D610</f>
        <v>2600000</v>
      </c>
      <c r="F610" s="1036"/>
      <c r="G610" s="1004" t="s">
        <v>431</v>
      </c>
      <c r="H610" s="1009" t="s">
        <v>458</v>
      </c>
      <c r="I610" s="1010">
        <f>VLOOKUP(H604,'CNKT '!$D$16:$AC$96,13,0)</f>
        <v>21</v>
      </c>
      <c r="J610" s="583">
        <v>100000</v>
      </c>
      <c r="K610" s="1007">
        <f>I610*J610</f>
        <v>2100000</v>
      </c>
      <c r="L610" s="586"/>
      <c r="M610" s="567"/>
      <c r="N610" s="587"/>
    </row>
    <row r="611" spans="1:14" s="23" customFormat="1" ht="17.25" customHeight="1">
      <c r="A611" s="1073" t="s">
        <v>780</v>
      </c>
      <c r="B611" s="1065" t="s">
        <v>434</v>
      </c>
      <c r="C611" s="1066">
        <f>VLOOKUP(B604,'CNKT '!$D$16:$AC$96,14,0)</f>
        <v>4</v>
      </c>
      <c r="D611" s="1067">
        <f>153.8*$B$2</f>
        <v>101501.84800000001</v>
      </c>
      <c r="E611" s="1068">
        <f t="shared" ref="E611" si="141">C611*D611</f>
        <v>406007.39200000005</v>
      </c>
      <c r="F611" s="1036"/>
      <c r="G611" s="1073" t="s">
        <v>780</v>
      </c>
      <c r="H611" s="1065" t="s">
        <v>434</v>
      </c>
      <c r="I611" s="1066">
        <f>VLOOKUP(H604,'CNKT '!$D$16:$AC$96,14,0)</f>
        <v>4</v>
      </c>
      <c r="J611" s="1067">
        <f>153.8*$B$2</f>
        <v>101501.84800000001</v>
      </c>
      <c r="K611" s="1068">
        <f t="shared" ref="K611" si="142">I611*J611</f>
        <v>406007.39200000005</v>
      </c>
      <c r="L611" s="586"/>
      <c r="M611" s="567"/>
      <c r="N611" s="587"/>
    </row>
    <row r="612" spans="1:14" s="23" customFormat="1" ht="17.25" customHeight="1">
      <c r="A612" s="1073" t="s">
        <v>781</v>
      </c>
      <c r="B612" s="1065" t="s">
        <v>435</v>
      </c>
      <c r="C612" s="1066">
        <f>VLOOKUP(B604,'CNKT '!$D$16:$AC$96,18,0)</f>
        <v>0</v>
      </c>
      <c r="D612" s="1067">
        <v>100000</v>
      </c>
      <c r="E612" s="1068">
        <f>C612*D612</f>
        <v>0</v>
      </c>
      <c r="F612" s="1036"/>
      <c r="G612" s="1073" t="s">
        <v>781</v>
      </c>
      <c r="H612" s="1065" t="s">
        <v>435</v>
      </c>
      <c r="I612" s="1066">
        <f>VLOOKUP(H604,'CNKT '!$D$16:$AC$96,18,0)</f>
        <v>0</v>
      </c>
      <c r="J612" s="1067">
        <v>100000</v>
      </c>
      <c r="K612" s="1068">
        <f>I612*J612</f>
        <v>0</v>
      </c>
      <c r="L612" s="586"/>
      <c r="M612" s="567"/>
      <c r="N612" s="587"/>
    </row>
    <row r="613" spans="1:14" s="23" customFormat="1" ht="17.25" customHeight="1">
      <c r="A613" s="1004" t="s">
        <v>394</v>
      </c>
      <c r="B613" s="1009" t="s">
        <v>435</v>
      </c>
      <c r="C613" s="1010">
        <f>VLOOKUP(B604,'CNKT '!$D$16:$AC$96,19,0)</f>
        <v>0</v>
      </c>
      <c r="D613" s="582">
        <v>20000</v>
      </c>
      <c r="E613" s="1007">
        <f>C613*D613</f>
        <v>0</v>
      </c>
      <c r="F613" s="1036"/>
      <c r="G613" s="1004" t="s">
        <v>394</v>
      </c>
      <c r="H613" s="1009" t="s">
        <v>435</v>
      </c>
      <c r="I613" s="1010">
        <f>VLOOKUP(H604,'CNKT '!$D$16:$AC$96,19,0)</f>
        <v>0</v>
      </c>
      <c r="J613" s="582">
        <v>20000</v>
      </c>
      <c r="K613" s="1007">
        <f>I613*J613</f>
        <v>0</v>
      </c>
      <c r="L613" s="586"/>
      <c r="M613" s="567"/>
      <c r="N613" s="587"/>
    </row>
    <row r="614" spans="1:14" s="23" customFormat="1" ht="17.25" customHeight="1">
      <c r="A614" s="1004" t="s">
        <v>731</v>
      </c>
      <c r="B614" s="1011" t="s">
        <v>732</v>
      </c>
      <c r="C614" s="1010"/>
      <c r="D614" s="582"/>
      <c r="E614" s="1007">
        <f>VLOOKUP(B604,'CNKT '!$D$16:$AG$99,28,0)</f>
        <v>0</v>
      </c>
      <c r="F614" s="1036"/>
      <c r="G614" s="1004" t="s">
        <v>731</v>
      </c>
      <c r="H614" s="1011" t="s">
        <v>732</v>
      </c>
      <c r="I614" s="1010"/>
      <c r="J614" s="582"/>
      <c r="K614" s="1007">
        <f>VLOOKUP(H604,'CNKT '!$D$16:$AG$99,28,0)</f>
        <v>0</v>
      </c>
      <c r="L614" s="586"/>
      <c r="M614" s="567"/>
      <c r="N614" s="587"/>
    </row>
    <row r="615" spans="1:14" s="23" customFormat="1" ht="17.25" customHeight="1">
      <c r="A615" s="1012" t="s">
        <v>70</v>
      </c>
      <c r="B615" s="1013" t="s">
        <v>459</v>
      </c>
      <c r="C615" s="1014"/>
      <c r="D615" s="1015"/>
      <c r="E615" s="1014"/>
      <c r="F615" s="1036"/>
      <c r="G615" s="1012" t="s">
        <v>70</v>
      </c>
      <c r="H615" s="1013" t="s">
        <v>459</v>
      </c>
      <c r="I615" s="1014"/>
      <c r="J615" s="1015"/>
      <c r="K615" s="1014"/>
      <c r="L615" s="586"/>
      <c r="M615" s="567"/>
      <c r="N615" s="587"/>
    </row>
    <row r="616" spans="1:14" s="23" customFormat="1" ht="17.25" customHeight="1">
      <c r="A616" s="1016" t="s">
        <v>71</v>
      </c>
      <c r="B616" s="1017" t="s">
        <v>460</v>
      </c>
      <c r="C616" s="1014"/>
      <c r="D616" s="1014"/>
      <c r="E616" s="1014"/>
      <c r="F616" s="1036"/>
      <c r="G616" s="1016" t="s">
        <v>71</v>
      </c>
      <c r="H616" s="1017" t="s">
        <v>460</v>
      </c>
      <c r="I616" s="1014"/>
      <c r="J616" s="1014"/>
      <c r="K616" s="1014"/>
      <c r="L616" s="586"/>
      <c r="M616" s="567"/>
      <c r="N616" s="587"/>
    </row>
    <row r="617" spans="1:14" s="23" customFormat="1" ht="17.25" customHeight="1">
      <c r="A617" s="1016" t="s">
        <v>72</v>
      </c>
      <c r="B617" s="1018" t="s">
        <v>461</v>
      </c>
      <c r="C617" s="1014"/>
      <c r="D617" s="1014"/>
      <c r="E617" s="1007">
        <f>SUM(E616)</f>
        <v>0</v>
      </c>
      <c r="F617" s="1036"/>
      <c r="G617" s="1016" t="s">
        <v>72</v>
      </c>
      <c r="H617" s="1018" t="s">
        <v>461</v>
      </c>
      <c r="I617" s="1014"/>
      <c r="J617" s="1014"/>
      <c r="K617" s="1007">
        <f>SUM(K616)</f>
        <v>0</v>
      </c>
      <c r="L617" s="586"/>
      <c r="M617" s="1019">
        <f>E617+K617</f>
        <v>0</v>
      </c>
      <c r="N617" s="587"/>
    </row>
    <row r="618" spans="1:14" s="23" customFormat="1" ht="17.25" customHeight="1">
      <c r="A618" s="1020" t="s">
        <v>73</v>
      </c>
      <c r="B618" s="1021" t="s">
        <v>381</v>
      </c>
      <c r="C618" s="1022"/>
      <c r="D618" s="1022"/>
      <c r="E618" s="1022" t="e">
        <f>(E606+E607+E608+E609+E610+E611+E612+E613+E614)-E617</f>
        <v>#VALUE!</v>
      </c>
      <c r="F618" s="1036"/>
      <c r="G618" s="1020" t="s">
        <v>73</v>
      </c>
      <c r="H618" s="1021" t="s">
        <v>381</v>
      </c>
      <c r="I618" s="1022"/>
      <c r="J618" s="1022"/>
      <c r="K618" s="1022" t="e">
        <f>(K606+K607+K608+K609+K610+K611+K612+K613+K614)-K617</f>
        <v>#VALUE!</v>
      </c>
      <c r="L618" s="1024" t="e">
        <f>E618+K618</f>
        <v>#VALUE!</v>
      </c>
      <c r="M618" s="567"/>
      <c r="N618" s="587"/>
    </row>
    <row r="619" spans="1:14" s="23" customFormat="1" ht="17.25" customHeight="1">
      <c r="A619" s="1037"/>
      <c r="B619" s="1032"/>
      <c r="C619" s="1032"/>
      <c r="D619" s="1032"/>
      <c r="E619" s="1032"/>
      <c r="F619" s="1036"/>
      <c r="G619" s="1037"/>
      <c r="H619" s="1032"/>
      <c r="I619" s="1032"/>
      <c r="J619" s="1032"/>
      <c r="K619" s="1036"/>
      <c r="L619" s="586"/>
      <c r="M619" s="567"/>
      <c r="N619" s="587"/>
    </row>
    <row r="620" spans="1:14" s="23" customFormat="1" ht="17.25" customHeight="1">
      <c r="A620" s="1653" t="str">
        <f>A603</f>
        <v>LƯƠNG THÁNG 09/2025</v>
      </c>
      <c r="B620" s="1656"/>
      <c r="C620" s="1656"/>
      <c r="D620" s="1656"/>
      <c r="E620" s="998">
        <v>73</v>
      </c>
      <c r="F620" s="1036"/>
      <c r="G620" s="1653" t="str">
        <f>A620</f>
        <v>LƯƠNG THÁNG 09/2025</v>
      </c>
      <c r="H620" s="1656"/>
      <c r="I620" s="1656"/>
      <c r="J620" s="1657"/>
      <c r="K620" s="998">
        <v>74</v>
      </c>
      <c r="L620" s="586"/>
      <c r="M620" s="567"/>
      <c r="N620" s="587"/>
    </row>
    <row r="621" spans="1:14" s="23" customFormat="1" ht="17.25" customHeight="1">
      <c r="A621" s="1028" t="s">
        <v>13</v>
      </c>
      <c r="B621" s="1000" t="str">
        <f>'CNKT '!D88</f>
        <v>T. Ne</v>
      </c>
      <c r="C621" s="1001"/>
      <c r="D621" s="1002" t="s">
        <v>353</v>
      </c>
      <c r="E621" s="1002" t="s">
        <v>16</v>
      </c>
      <c r="F621" s="1036"/>
      <c r="G621" s="1028" t="s">
        <v>13</v>
      </c>
      <c r="H621" s="1000" t="str">
        <f>'CNKT '!D89</f>
        <v>N. Khăn</v>
      </c>
      <c r="I621" s="1001"/>
      <c r="J621" s="1002" t="s">
        <v>353</v>
      </c>
      <c r="K621" s="1002" t="s">
        <v>16</v>
      </c>
      <c r="L621" s="586"/>
      <c r="M621" s="567"/>
      <c r="N621" s="587"/>
    </row>
    <row r="622" spans="1:14" s="23" customFormat="1" ht="17.25" customHeight="1">
      <c r="A622" s="1004" t="s">
        <v>354</v>
      </c>
      <c r="B622" s="1005" t="s">
        <v>454</v>
      </c>
      <c r="C622" s="1006">
        <f>VLOOKUP(B621,'SẢN LƯỢNG'!$D$17:$AR$94,37,0)</f>
        <v>2721</v>
      </c>
      <c r="D622" s="1007"/>
      <c r="E622" s="1007"/>
      <c r="F622" s="1036"/>
      <c r="G622" s="1004" t="s">
        <v>354</v>
      </c>
      <c r="H622" s="1005" t="s">
        <v>454</v>
      </c>
      <c r="I622" s="1006">
        <f>VLOOKUP(H621,'SẢN LƯỢNG'!$D$17:$AR$94,37,0)</f>
        <v>2466</v>
      </c>
      <c r="J622" s="1007"/>
      <c r="K622" s="1007"/>
      <c r="L622" s="586"/>
      <c r="M622" s="567"/>
      <c r="N622" s="587"/>
    </row>
    <row r="623" spans="1:14" s="23" customFormat="1" ht="17.25" customHeight="1">
      <c r="A623" s="1004" t="s">
        <v>68</v>
      </c>
      <c r="B623" s="1008" t="s">
        <v>380</v>
      </c>
      <c r="C623" s="581">
        <f>VLOOKUP(B621,'CNKT '!$D$16:$AC$96,3,0)</f>
        <v>0</v>
      </c>
      <c r="D623" s="582">
        <v>25000</v>
      </c>
      <c r="E623" s="1007">
        <f>C623*D623</f>
        <v>0</v>
      </c>
      <c r="F623" s="1036"/>
      <c r="G623" s="1004" t="s">
        <v>68</v>
      </c>
      <c r="H623" s="1008" t="s">
        <v>380</v>
      </c>
      <c r="I623" s="581">
        <f>VLOOKUP(H621,'CNKT '!$D$16:$AC$96,3,0)</f>
        <v>0</v>
      </c>
      <c r="J623" s="582">
        <v>25000</v>
      </c>
      <c r="K623" s="1007">
        <f>I623*J623</f>
        <v>0</v>
      </c>
      <c r="L623" s="586"/>
      <c r="M623" s="567"/>
      <c r="N623" s="587"/>
    </row>
    <row r="624" spans="1:14" s="23" customFormat="1" ht="17.25" customHeight="1">
      <c r="A624" s="1004" t="s">
        <v>269</v>
      </c>
      <c r="B624" s="1009" t="s">
        <v>455</v>
      </c>
      <c r="C624" s="1010" t="str">
        <f>VLOOKUP(B621,'CNKT '!$D$16:$AC$96,11,0)</f>
        <v>A</v>
      </c>
      <c r="D624" s="583">
        <f>46.1*$B$2</f>
        <v>30424.156000000003</v>
      </c>
      <c r="E624" s="1007" t="e">
        <f>C624*D624</f>
        <v>#VALUE!</v>
      </c>
      <c r="F624" s="1036"/>
      <c r="G624" s="1004" t="s">
        <v>269</v>
      </c>
      <c r="H624" s="1009" t="s">
        <v>455</v>
      </c>
      <c r="I624" s="1010" t="str">
        <f>VLOOKUP(H621,'CNKT '!$D$16:$AC$96,11,0)</f>
        <v>C.</v>
      </c>
      <c r="J624" s="583">
        <f>46.1*$B$2</f>
        <v>30424.156000000003</v>
      </c>
      <c r="K624" s="1007" t="e">
        <f>I624*J624</f>
        <v>#VALUE!</v>
      </c>
      <c r="L624" s="586"/>
      <c r="M624" s="567"/>
      <c r="N624" s="587"/>
    </row>
    <row r="625" spans="1:14" s="23" customFormat="1" ht="17.25" customHeight="1">
      <c r="A625" s="1004" t="s">
        <v>356</v>
      </c>
      <c r="B625" s="1009" t="s">
        <v>456</v>
      </c>
      <c r="C625" s="1010">
        <f>VLOOKUP(B621,'CNKT '!$D$16:$AC$96,12,0)</f>
        <v>3738434</v>
      </c>
      <c r="D625" s="582">
        <f>76.9*$B$2</f>
        <v>50750.924000000006</v>
      </c>
      <c r="E625" s="1007">
        <f t="shared" ref="E625:E626" si="143">C625*D625</f>
        <v>189728979813.01602</v>
      </c>
      <c r="F625" s="1036"/>
      <c r="G625" s="1004" t="s">
        <v>356</v>
      </c>
      <c r="H625" s="1009" t="s">
        <v>456</v>
      </c>
      <c r="I625" s="1010">
        <f>VLOOKUP(H621,'CNKT '!$D$16:$AC$96,12,0)</f>
        <v>1117943</v>
      </c>
      <c r="J625" s="582">
        <f>76.9*$B$2</f>
        <v>50750.924000000006</v>
      </c>
      <c r="K625" s="1007">
        <f t="shared" ref="K625:K626" si="144">I625*J625</f>
        <v>56736640229.332008</v>
      </c>
      <c r="L625" s="586"/>
      <c r="M625" s="567"/>
      <c r="N625" s="587"/>
    </row>
    <row r="626" spans="1:14" s="23" customFormat="1" ht="17.25" customHeight="1">
      <c r="A626" s="1004" t="s">
        <v>69</v>
      </c>
      <c r="B626" s="1009" t="s">
        <v>457</v>
      </c>
      <c r="C626" s="1010">
        <f>VLOOKUP(B621,'CNKT '!$D$16:$AC$96,8,0)</f>
        <v>910.68464925000671</v>
      </c>
      <c r="D626" s="582">
        <f>IF(C622="A",6.1,IF(C622="B",5.8,IF(C622="C",5.5,IF(C622="C.",5.5,IF(C622="D",5.2)))))*$B$2</f>
        <v>0</v>
      </c>
      <c r="E626" s="1007">
        <f t="shared" si="143"/>
        <v>0</v>
      </c>
      <c r="F626" s="1036"/>
      <c r="G626" s="1004" t="s">
        <v>69</v>
      </c>
      <c r="H626" s="1009" t="s">
        <v>457</v>
      </c>
      <c r="I626" s="1010">
        <f>VLOOKUP(H621,'CNKT '!$D$16:$AC$96,8,0)</f>
        <v>248.97050032816469</v>
      </c>
      <c r="J626" s="582">
        <f>IF(I622="A",6.1,IF(I622="B",5.8,IF(I622="C",5.5,IF(I622="C.",5.5,IF(I622="D",5.2)))))*$B$2</f>
        <v>0</v>
      </c>
      <c r="K626" s="1007">
        <f t="shared" si="144"/>
        <v>0</v>
      </c>
      <c r="L626" s="586"/>
      <c r="M626" s="567"/>
      <c r="N626" s="587"/>
    </row>
    <row r="627" spans="1:14" s="23" customFormat="1" ht="17.25" customHeight="1">
      <c r="A627" s="1004" t="s">
        <v>431</v>
      </c>
      <c r="B627" s="1009" t="s">
        <v>458</v>
      </c>
      <c r="C627" s="1010">
        <f>VLOOKUP(B621,'CNKT '!$D$16:$AC$96,13,0)</f>
        <v>21</v>
      </c>
      <c r="D627" s="583">
        <v>100000</v>
      </c>
      <c r="E627" s="1007">
        <f>C627*D627</f>
        <v>2100000</v>
      </c>
      <c r="F627" s="1036"/>
      <c r="G627" s="1004" t="s">
        <v>431</v>
      </c>
      <c r="H627" s="1009" t="s">
        <v>458</v>
      </c>
      <c r="I627" s="1010">
        <f>VLOOKUP(H621,'CNKT '!$D$16:$AC$96,13,0)</f>
        <v>13</v>
      </c>
      <c r="J627" s="583">
        <v>100000</v>
      </c>
      <c r="K627" s="1007">
        <f>I627*J627</f>
        <v>1300000</v>
      </c>
      <c r="L627" s="586"/>
      <c r="M627" s="567"/>
      <c r="N627" s="587"/>
    </row>
    <row r="628" spans="1:14" s="23" customFormat="1" ht="17.25" customHeight="1">
      <c r="A628" s="1073" t="s">
        <v>780</v>
      </c>
      <c r="B628" s="1065" t="s">
        <v>434</v>
      </c>
      <c r="C628" s="1066">
        <f>VLOOKUP(B621,'CNKT '!$D$16:$AC$96,14,0)</f>
        <v>4</v>
      </c>
      <c r="D628" s="1067">
        <f>153.8*$B$2</f>
        <v>101501.84800000001</v>
      </c>
      <c r="E628" s="1068">
        <f t="shared" ref="E628" si="145">C628*D628</f>
        <v>406007.39200000005</v>
      </c>
      <c r="F628" s="1036"/>
      <c r="G628" s="1073" t="s">
        <v>780</v>
      </c>
      <c r="H628" s="1065" t="s">
        <v>434</v>
      </c>
      <c r="I628" s="1066">
        <f>VLOOKUP(H621,'CNKT '!$D$16:$AC$96,14,0)</f>
        <v>2</v>
      </c>
      <c r="J628" s="1067">
        <f>153.8*$B$2</f>
        <v>101501.84800000001</v>
      </c>
      <c r="K628" s="1068">
        <f t="shared" ref="K628" si="146">I628*J628</f>
        <v>203003.69600000003</v>
      </c>
      <c r="L628" s="586"/>
      <c r="M628" s="567"/>
      <c r="N628" s="587"/>
    </row>
    <row r="629" spans="1:14" s="23" customFormat="1" ht="17.25" customHeight="1">
      <c r="A629" s="1073" t="s">
        <v>781</v>
      </c>
      <c r="B629" s="1065" t="s">
        <v>435</v>
      </c>
      <c r="C629" s="1066">
        <f>VLOOKUP(B621,'CNKT '!$D$16:$AC$96,18,0)</f>
        <v>0</v>
      </c>
      <c r="D629" s="1067">
        <v>100000</v>
      </c>
      <c r="E629" s="1068">
        <f>C629*D629</f>
        <v>0</v>
      </c>
      <c r="F629" s="1036"/>
      <c r="G629" s="1073" t="s">
        <v>781</v>
      </c>
      <c r="H629" s="1065" t="s">
        <v>435</v>
      </c>
      <c r="I629" s="1066">
        <f>VLOOKUP(H621,'CNKT '!$D$16:$AC$96,18,0)</f>
        <v>0</v>
      </c>
      <c r="J629" s="1067">
        <v>100000</v>
      </c>
      <c r="K629" s="1068">
        <f>I629*J629</f>
        <v>0</v>
      </c>
      <c r="L629" s="586"/>
      <c r="M629" s="567"/>
      <c r="N629" s="587"/>
    </row>
    <row r="630" spans="1:14" s="23" customFormat="1" ht="17.25" customHeight="1">
      <c r="A630" s="1004" t="s">
        <v>394</v>
      </c>
      <c r="B630" s="1009" t="s">
        <v>435</v>
      </c>
      <c r="C630" s="1010">
        <f>VLOOKUP(B621,'CNKT '!$D$16:$AC$96,19,0)</f>
        <v>0</v>
      </c>
      <c r="D630" s="582">
        <v>20000</v>
      </c>
      <c r="E630" s="1007">
        <f>C630*D630</f>
        <v>0</v>
      </c>
      <c r="F630" s="1036"/>
      <c r="G630" s="1004" t="s">
        <v>394</v>
      </c>
      <c r="H630" s="1009" t="s">
        <v>435</v>
      </c>
      <c r="I630" s="1010">
        <f>VLOOKUP(H621,'CNKT '!$D$16:$AC$96,19,0)</f>
        <v>0</v>
      </c>
      <c r="J630" s="582">
        <v>20000</v>
      </c>
      <c r="K630" s="1007">
        <f>I630*J630</f>
        <v>0</v>
      </c>
      <c r="L630" s="586"/>
      <c r="M630" s="567"/>
      <c r="N630" s="587"/>
    </row>
    <row r="631" spans="1:14" s="23" customFormat="1" ht="17.25" customHeight="1">
      <c r="A631" s="1004" t="s">
        <v>731</v>
      </c>
      <c r="B631" s="1011" t="s">
        <v>732</v>
      </c>
      <c r="C631" s="1010"/>
      <c r="D631" s="582"/>
      <c r="E631" s="1007">
        <f>VLOOKUP(B621,'CNKT '!$D$16:$AG$99,28,0)</f>
        <v>0</v>
      </c>
      <c r="F631" s="1036"/>
      <c r="G631" s="1004" t="s">
        <v>731</v>
      </c>
      <c r="H631" s="1011" t="s">
        <v>732</v>
      </c>
      <c r="I631" s="1010"/>
      <c r="J631" s="582"/>
      <c r="K631" s="1007">
        <f>VLOOKUP(H621,'CNKT '!$D$16:$AG$99,28,0)</f>
        <v>0</v>
      </c>
      <c r="L631" s="586"/>
      <c r="M631" s="567"/>
      <c r="N631" s="587"/>
    </row>
    <row r="632" spans="1:14" s="23" customFormat="1" ht="17.25" customHeight="1">
      <c r="A632" s="1012" t="s">
        <v>70</v>
      </c>
      <c r="B632" s="1013" t="s">
        <v>459</v>
      </c>
      <c r="C632" s="1014"/>
      <c r="D632" s="1015"/>
      <c r="E632" s="1014"/>
      <c r="F632" s="1036"/>
      <c r="G632" s="1012" t="s">
        <v>70</v>
      </c>
      <c r="H632" s="1013" t="s">
        <v>459</v>
      </c>
      <c r="I632" s="1014"/>
      <c r="J632" s="1015"/>
      <c r="K632" s="1014"/>
      <c r="L632" s="586"/>
      <c r="M632" s="567"/>
      <c r="N632" s="587"/>
    </row>
    <row r="633" spans="1:14" s="23" customFormat="1" ht="17.25" customHeight="1">
      <c r="A633" s="1016" t="s">
        <v>71</v>
      </c>
      <c r="B633" s="1017" t="s">
        <v>460</v>
      </c>
      <c r="C633" s="1014"/>
      <c r="D633" s="1014"/>
      <c r="E633" s="1014"/>
      <c r="F633" s="1036"/>
      <c r="G633" s="1016" t="s">
        <v>71</v>
      </c>
      <c r="H633" s="1017" t="s">
        <v>460</v>
      </c>
      <c r="I633" s="1014"/>
      <c r="J633" s="1014"/>
      <c r="K633" s="1014"/>
      <c r="L633" s="586"/>
      <c r="M633" s="567"/>
      <c r="N633" s="587"/>
    </row>
    <row r="634" spans="1:14" s="23" customFormat="1" ht="17.25" customHeight="1">
      <c r="A634" s="1016" t="s">
        <v>72</v>
      </c>
      <c r="B634" s="1018" t="s">
        <v>461</v>
      </c>
      <c r="C634" s="1014"/>
      <c r="D634" s="1014"/>
      <c r="E634" s="1007">
        <f>SUM(E633)</f>
        <v>0</v>
      </c>
      <c r="F634" s="1036"/>
      <c r="G634" s="1016" t="s">
        <v>72</v>
      </c>
      <c r="H634" s="1018" t="s">
        <v>461</v>
      </c>
      <c r="I634" s="1014"/>
      <c r="J634" s="1014"/>
      <c r="K634" s="1007">
        <f>SUM(K633)</f>
        <v>0</v>
      </c>
      <c r="L634" s="586"/>
      <c r="M634" s="1019">
        <f>E634+K634</f>
        <v>0</v>
      </c>
      <c r="N634" s="587"/>
    </row>
    <row r="635" spans="1:14" s="23" customFormat="1" ht="17.25" customHeight="1">
      <c r="A635" s="1020" t="s">
        <v>73</v>
      </c>
      <c r="B635" s="1021" t="s">
        <v>381</v>
      </c>
      <c r="C635" s="1022"/>
      <c r="D635" s="1022"/>
      <c r="E635" s="1022" t="e">
        <f>(E623+E624+E625+E626+E627+E628+E629+E630+E631)-E634</f>
        <v>#VALUE!</v>
      </c>
      <c r="F635" s="1036"/>
      <c r="G635" s="1020" t="s">
        <v>73</v>
      </c>
      <c r="H635" s="1021" t="s">
        <v>381</v>
      </c>
      <c r="I635" s="1022"/>
      <c r="J635" s="1022"/>
      <c r="K635" s="1022" t="e">
        <f>(K623+K624+K625+K626+K627+K628+K629+K630+K631)-K634</f>
        <v>#VALUE!</v>
      </c>
      <c r="L635" s="1024" t="e">
        <f>E635+K635</f>
        <v>#VALUE!</v>
      </c>
      <c r="M635" s="567"/>
      <c r="N635" s="587"/>
    </row>
    <row r="636" spans="1:14" s="23" customFormat="1" ht="17.25" customHeight="1">
      <c r="A636" s="1029"/>
      <c r="B636" s="1034"/>
      <c r="C636" s="1035"/>
      <c r="D636" s="1035"/>
      <c r="E636" s="1033"/>
      <c r="F636" s="1036"/>
      <c r="G636" s="1029"/>
      <c r="H636" s="1034"/>
      <c r="I636" s="1035"/>
      <c r="J636" s="1033"/>
      <c r="K636" s="1036"/>
      <c r="L636" s="586"/>
      <c r="M636" s="567"/>
      <c r="N636" s="587"/>
    </row>
    <row r="637" spans="1:14" s="23" customFormat="1" ht="187.5" customHeight="1">
      <c r="A637" s="1029"/>
      <c r="B637" s="1034"/>
      <c r="C637" s="1035"/>
      <c r="D637" s="1035"/>
      <c r="E637" s="1033"/>
      <c r="F637" s="1036"/>
      <c r="G637" s="1029"/>
      <c r="H637" s="1034"/>
      <c r="I637" s="1035"/>
      <c r="J637" s="1033"/>
      <c r="K637" s="1036"/>
      <c r="L637" s="586"/>
      <c r="M637" s="567"/>
      <c r="N637" s="587"/>
    </row>
    <row r="638" spans="1:14" s="23" customFormat="1" ht="17.25" customHeight="1">
      <c r="A638" s="1653" t="str">
        <f>A620</f>
        <v>LƯƠNG THÁNG 09/2025</v>
      </c>
      <c r="B638" s="1656"/>
      <c r="C638" s="1656"/>
      <c r="D638" s="1656"/>
      <c r="E638" s="998">
        <v>75</v>
      </c>
      <c r="F638" s="1036"/>
      <c r="G638" s="1653" t="str">
        <f>A638</f>
        <v>LƯƠNG THÁNG 09/2025</v>
      </c>
      <c r="H638" s="1656"/>
      <c r="I638" s="1656"/>
      <c r="J638" s="1657"/>
      <c r="K638" s="998">
        <v>76</v>
      </c>
      <c r="L638" s="586"/>
      <c r="M638" s="567"/>
      <c r="N638" s="587"/>
    </row>
    <row r="639" spans="1:14" s="23" customFormat="1" ht="17.25" customHeight="1">
      <c r="A639" s="1028" t="s">
        <v>13</v>
      </c>
      <c r="B639" s="1000" t="str">
        <f>'CNKT '!D90</f>
        <v>T. Lã</v>
      </c>
      <c r="C639" s="1001"/>
      <c r="D639" s="1002" t="s">
        <v>353</v>
      </c>
      <c r="E639" s="1002" t="s">
        <v>16</v>
      </c>
      <c r="F639" s="1036"/>
      <c r="G639" s="1028" t="s">
        <v>13</v>
      </c>
      <c r="H639" s="1000" t="str">
        <f>'CNKT '!D91</f>
        <v>N. Veo</v>
      </c>
      <c r="I639" s="1001"/>
      <c r="J639" s="1002" t="s">
        <v>353</v>
      </c>
      <c r="K639" s="1002" t="s">
        <v>16</v>
      </c>
      <c r="L639" s="586"/>
      <c r="M639" s="567"/>
      <c r="N639" s="587"/>
    </row>
    <row r="640" spans="1:14" s="23" customFormat="1" ht="17.25" customHeight="1">
      <c r="A640" s="1004" t="s">
        <v>354</v>
      </c>
      <c r="B640" s="1005" t="s">
        <v>454</v>
      </c>
      <c r="C640" s="1006">
        <f>VLOOKUP(B639,'SẢN LƯỢNG'!$D$17:$AR$94,37,0)</f>
        <v>1079</v>
      </c>
      <c r="D640" s="1007"/>
      <c r="E640" s="1007"/>
      <c r="F640" s="1036"/>
      <c r="G640" s="1004" t="s">
        <v>354</v>
      </c>
      <c r="H640" s="1005" t="s">
        <v>454</v>
      </c>
      <c r="I640" s="1006">
        <f>VLOOKUP(H639,'SẢN LƯỢNG'!$D$17:$AR$94,37,0)</f>
        <v>456</v>
      </c>
      <c r="J640" s="1007"/>
      <c r="K640" s="1007"/>
      <c r="L640" s="586"/>
      <c r="M640" s="567"/>
      <c r="N640" s="587"/>
    </row>
    <row r="641" spans="1:14" s="23" customFormat="1" ht="17.25" customHeight="1">
      <c r="A641" s="1004" t="s">
        <v>68</v>
      </c>
      <c r="B641" s="1008" t="s">
        <v>380</v>
      </c>
      <c r="C641" s="581">
        <f>VLOOKUP(B639,'CNKT '!$D$16:$AC$96,3,0)</f>
        <v>0</v>
      </c>
      <c r="D641" s="582">
        <v>25000</v>
      </c>
      <c r="E641" s="1007">
        <f>C641*D641</f>
        <v>0</v>
      </c>
      <c r="F641" s="1036"/>
      <c r="G641" s="1004" t="s">
        <v>68</v>
      </c>
      <c r="H641" s="1008" t="s">
        <v>380</v>
      </c>
      <c r="I641" s="581">
        <f>VLOOKUP(H639,'CNKT '!$D$16:$AC$96,3,0)</f>
        <v>0</v>
      </c>
      <c r="J641" s="582">
        <v>25000</v>
      </c>
      <c r="K641" s="1007">
        <f>I641*J641</f>
        <v>0</v>
      </c>
      <c r="L641" s="586"/>
      <c r="M641" s="567"/>
      <c r="N641" s="587"/>
    </row>
    <row r="642" spans="1:14" s="23" customFormat="1" ht="17.25" customHeight="1">
      <c r="A642" s="1004" t="s">
        <v>269</v>
      </c>
      <c r="B642" s="1009" t="s">
        <v>455</v>
      </c>
      <c r="C642" s="1010" t="str">
        <f>VLOOKUP(B639,'CNKT '!$D$16:$AC$96,11,0)</f>
        <v>C.</v>
      </c>
      <c r="D642" s="583">
        <f>46.1*$B$2</f>
        <v>30424.156000000003</v>
      </c>
      <c r="E642" s="1007" t="e">
        <f>C642*D642</f>
        <v>#VALUE!</v>
      </c>
      <c r="F642" s="1036"/>
      <c r="G642" s="1004" t="s">
        <v>269</v>
      </c>
      <c r="H642" s="1009" t="s">
        <v>455</v>
      </c>
      <c r="I642" s="1010" t="str">
        <f>VLOOKUP(H639,'CNKT '!$D$16:$AC$96,11,0)</f>
        <v>C.</v>
      </c>
      <c r="J642" s="583">
        <f>46.1*$B$2</f>
        <v>30424.156000000003</v>
      </c>
      <c r="K642" s="1007" t="e">
        <f>I642*J642</f>
        <v>#VALUE!</v>
      </c>
      <c r="L642" s="586"/>
      <c r="M642" s="567"/>
      <c r="N642" s="587"/>
    </row>
    <row r="643" spans="1:14" s="23" customFormat="1" ht="17.25" customHeight="1">
      <c r="A643" s="1004" t="s">
        <v>356</v>
      </c>
      <c r="B643" s="1009" t="s">
        <v>456</v>
      </c>
      <c r="C643" s="1010">
        <f>VLOOKUP(B639,'CNKT '!$D$16:$AC$96,12,0)</f>
        <v>3753073</v>
      </c>
      <c r="D643" s="582">
        <f>76.9*$B$2</f>
        <v>50750.924000000006</v>
      </c>
      <c r="E643" s="1007">
        <f t="shared" ref="E643:E644" si="147">C643*D643</f>
        <v>190471922589.45203</v>
      </c>
      <c r="F643" s="1036"/>
      <c r="G643" s="1004" t="s">
        <v>356</v>
      </c>
      <c r="H643" s="1009" t="s">
        <v>456</v>
      </c>
      <c r="I643" s="1010">
        <f>VLOOKUP(H639,'CNKT '!$D$16:$AC$96,12,0)</f>
        <v>3051547</v>
      </c>
      <c r="J643" s="582">
        <f>76.9*$B$2</f>
        <v>50750.924000000006</v>
      </c>
      <c r="K643" s="1007">
        <f t="shared" ref="K643:K644" si="148">I643*J643</f>
        <v>154868829879.42801</v>
      </c>
      <c r="L643" s="586"/>
      <c r="M643" s="567"/>
      <c r="N643" s="587"/>
    </row>
    <row r="644" spans="1:14" s="23" customFormat="1" ht="17.25" customHeight="1">
      <c r="A644" s="1004" t="s">
        <v>69</v>
      </c>
      <c r="B644" s="1009" t="s">
        <v>457</v>
      </c>
      <c r="C644" s="1010">
        <f>VLOOKUP(B639,'CNKT '!$D$16:$AC$96,8,0)</f>
        <v>1080.196479260672</v>
      </c>
      <c r="D644" s="582">
        <f>IF(C640="A",6.1,IF(C640="B",5.8,IF(C640="C",5.5,IF(C640="C.",5.5,IF(C640="D",5.2)))))*$B$2</f>
        <v>0</v>
      </c>
      <c r="E644" s="1007">
        <f t="shared" si="147"/>
        <v>0</v>
      </c>
      <c r="F644" s="1036"/>
      <c r="G644" s="1004" t="s">
        <v>69</v>
      </c>
      <c r="H644" s="1009" t="s">
        <v>457</v>
      </c>
      <c r="I644" s="1010">
        <f>VLOOKUP(H639,'CNKT '!$D$16:$AC$96,8,0)</f>
        <v>892.58572989990955</v>
      </c>
      <c r="J644" s="582">
        <f>IF(I640="A",6.1,IF(I640="B",5.8,IF(I640="C",5.5,IF(I640="C.",5.5,IF(I640="D",5.2)))))*$B$2</f>
        <v>0</v>
      </c>
      <c r="K644" s="1007">
        <f t="shared" si="148"/>
        <v>0</v>
      </c>
      <c r="L644" s="586"/>
      <c r="M644" s="567"/>
      <c r="N644" s="587"/>
    </row>
    <row r="645" spans="1:14" s="23" customFormat="1" ht="17.25" customHeight="1">
      <c r="A645" s="1004" t="s">
        <v>431</v>
      </c>
      <c r="B645" s="1009" t="s">
        <v>458</v>
      </c>
      <c r="C645" s="1010">
        <f>VLOOKUP(B639,'CNKT '!$D$16:$AC$96,13,0)</f>
        <v>20</v>
      </c>
      <c r="D645" s="583">
        <v>100000</v>
      </c>
      <c r="E645" s="1007">
        <f>C645*D645</f>
        <v>2000000</v>
      </c>
      <c r="F645" s="1036"/>
      <c r="G645" s="1004" t="s">
        <v>431</v>
      </c>
      <c r="H645" s="1009" t="s">
        <v>458</v>
      </c>
      <c r="I645" s="1010">
        <f>VLOOKUP(H639,'CNKT '!$D$16:$AC$96,13,0)</f>
        <v>16</v>
      </c>
      <c r="J645" s="583">
        <v>100000</v>
      </c>
      <c r="K645" s="1007">
        <f>I645*J645</f>
        <v>1600000</v>
      </c>
      <c r="L645" s="586"/>
      <c r="M645" s="567"/>
      <c r="N645" s="587"/>
    </row>
    <row r="646" spans="1:14" s="23" customFormat="1" ht="17.25" customHeight="1">
      <c r="A646" s="1073" t="s">
        <v>780</v>
      </c>
      <c r="B646" s="1065" t="s">
        <v>434</v>
      </c>
      <c r="C646" s="1066">
        <f>VLOOKUP(B639,'CNKT '!$D$16:$AC$96,14,0)</f>
        <v>3</v>
      </c>
      <c r="D646" s="1067">
        <f>153.8*$B$2</f>
        <v>101501.84800000001</v>
      </c>
      <c r="E646" s="1068">
        <f t="shared" ref="E646" si="149">C646*D646</f>
        <v>304505.54400000005</v>
      </c>
      <c r="F646" s="1036"/>
      <c r="G646" s="1073" t="s">
        <v>780</v>
      </c>
      <c r="H646" s="1065" t="s">
        <v>434</v>
      </c>
      <c r="I646" s="1066">
        <f>VLOOKUP(H639,'CNKT '!$D$16:$AC$96,14,0)</f>
        <v>2</v>
      </c>
      <c r="J646" s="1067">
        <f>153.8*$B$2</f>
        <v>101501.84800000001</v>
      </c>
      <c r="K646" s="1068">
        <f t="shared" ref="K646" si="150">I646*J646</f>
        <v>203003.69600000003</v>
      </c>
      <c r="L646" s="586"/>
      <c r="M646" s="567"/>
      <c r="N646" s="587"/>
    </row>
    <row r="647" spans="1:14" s="23" customFormat="1" ht="17.25" customHeight="1">
      <c r="A647" s="1073" t="s">
        <v>781</v>
      </c>
      <c r="B647" s="1065" t="s">
        <v>435</v>
      </c>
      <c r="C647" s="1066">
        <f>VLOOKUP(B639,'CNKT '!$D$16:$AC$96,18,0)</f>
        <v>0</v>
      </c>
      <c r="D647" s="1067">
        <v>100000</v>
      </c>
      <c r="E647" s="1068">
        <f>C647*D647</f>
        <v>0</v>
      </c>
      <c r="F647" s="1036"/>
      <c r="G647" s="1073" t="s">
        <v>781</v>
      </c>
      <c r="H647" s="1065" t="s">
        <v>435</v>
      </c>
      <c r="I647" s="1066">
        <f>VLOOKUP(H639,'CNKT '!$D$16:$AC$96,18,0)</f>
        <v>0</v>
      </c>
      <c r="J647" s="1067">
        <v>100000</v>
      </c>
      <c r="K647" s="1068">
        <f>I647*J647</f>
        <v>0</v>
      </c>
      <c r="L647" s="586"/>
      <c r="M647" s="567"/>
      <c r="N647" s="587"/>
    </row>
    <row r="648" spans="1:14" s="23" customFormat="1" ht="17.25" customHeight="1">
      <c r="A648" s="1004" t="s">
        <v>394</v>
      </c>
      <c r="B648" s="1009" t="s">
        <v>435</v>
      </c>
      <c r="C648" s="1010">
        <f>VLOOKUP(B639,'CNKT '!$D$16:$AC$96,19,0)</f>
        <v>0</v>
      </c>
      <c r="D648" s="582">
        <v>20000</v>
      </c>
      <c r="E648" s="1007">
        <f>C648*D648</f>
        <v>0</v>
      </c>
      <c r="F648" s="1036"/>
      <c r="G648" s="1004" t="s">
        <v>394</v>
      </c>
      <c r="H648" s="1009" t="s">
        <v>435</v>
      </c>
      <c r="I648" s="1010">
        <f>VLOOKUP(H639,'CNKT '!$D$16:$AC$96,19,0)</f>
        <v>0</v>
      </c>
      <c r="J648" s="582">
        <v>20000</v>
      </c>
      <c r="K648" s="1007">
        <f>I648*J648</f>
        <v>0</v>
      </c>
      <c r="L648" s="586"/>
      <c r="M648" s="567"/>
      <c r="N648" s="587"/>
    </row>
    <row r="649" spans="1:14" s="23" customFormat="1" ht="17.25" customHeight="1">
      <c r="A649" s="1004" t="s">
        <v>731</v>
      </c>
      <c r="B649" s="1011" t="s">
        <v>732</v>
      </c>
      <c r="C649" s="1010"/>
      <c r="D649" s="582"/>
      <c r="E649" s="1007">
        <f>VLOOKUP(B639,'CNKT '!$D$16:$AG$99,28,0)</f>
        <v>0</v>
      </c>
      <c r="F649" s="1036"/>
      <c r="G649" s="1004" t="s">
        <v>731</v>
      </c>
      <c r="H649" s="1011" t="s">
        <v>732</v>
      </c>
      <c r="I649" s="1010"/>
      <c r="J649" s="582"/>
      <c r="K649" s="1007">
        <f>VLOOKUP(H639,'CNKT '!$D$16:$AG$99,28,0)</f>
        <v>0</v>
      </c>
      <c r="L649" s="586"/>
      <c r="M649" s="567"/>
      <c r="N649" s="587"/>
    </row>
    <row r="650" spans="1:14" s="23" customFormat="1" ht="17.25" customHeight="1">
      <c r="A650" s="1012" t="s">
        <v>70</v>
      </c>
      <c r="B650" s="1013" t="s">
        <v>459</v>
      </c>
      <c r="C650" s="1014"/>
      <c r="D650" s="1015"/>
      <c r="E650" s="1014"/>
      <c r="F650" s="1036"/>
      <c r="G650" s="1012" t="s">
        <v>70</v>
      </c>
      <c r="H650" s="1013" t="s">
        <v>459</v>
      </c>
      <c r="I650" s="1014"/>
      <c r="J650" s="1015"/>
      <c r="K650" s="1014"/>
      <c r="L650" s="586"/>
      <c r="M650" s="567"/>
      <c r="N650" s="587"/>
    </row>
    <row r="651" spans="1:14" s="23" customFormat="1" ht="17.25" customHeight="1">
      <c r="A651" s="1016" t="s">
        <v>71</v>
      </c>
      <c r="B651" s="1017" t="s">
        <v>460</v>
      </c>
      <c r="C651" s="1014"/>
      <c r="D651" s="1014"/>
      <c r="E651" s="1014"/>
      <c r="F651" s="1036"/>
      <c r="G651" s="1016" t="s">
        <v>71</v>
      </c>
      <c r="H651" s="1017" t="s">
        <v>460</v>
      </c>
      <c r="I651" s="1014"/>
      <c r="J651" s="1014"/>
      <c r="K651" s="1014"/>
      <c r="L651" s="1024">
        <f>E651+K651</f>
        <v>0</v>
      </c>
      <c r="M651" s="567"/>
      <c r="N651" s="587"/>
    </row>
    <row r="652" spans="1:14" s="23" customFormat="1" ht="17.25" customHeight="1">
      <c r="A652" s="1016" t="s">
        <v>72</v>
      </c>
      <c r="B652" s="1018" t="s">
        <v>461</v>
      </c>
      <c r="C652" s="1014"/>
      <c r="D652" s="1014"/>
      <c r="E652" s="1007">
        <f>SUM(E651)</f>
        <v>0</v>
      </c>
      <c r="F652" s="1036"/>
      <c r="G652" s="1016" t="s">
        <v>72</v>
      </c>
      <c r="H652" s="1018" t="s">
        <v>461</v>
      </c>
      <c r="I652" s="1014"/>
      <c r="J652" s="1014"/>
      <c r="K652" s="1007">
        <f>SUM(K651)</f>
        <v>0</v>
      </c>
      <c r="L652" s="586"/>
      <c r="M652" s="1019">
        <f>E652+K652</f>
        <v>0</v>
      </c>
      <c r="N652" s="587"/>
    </row>
    <row r="653" spans="1:14" s="23" customFormat="1" ht="17.25" customHeight="1">
      <c r="A653" s="1020" t="s">
        <v>73</v>
      </c>
      <c r="B653" s="1021" t="s">
        <v>381</v>
      </c>
      <c r="C653" s="1022"/>
      <c r="D653" s="1022"/>
      <c r="E653" s="1022" t="e">
        <f>(E641+E642+E643+E644+E645+E646+E647+E648+E649)-E652</f>
        <v>#VALUE!</v>
      </c>
      <c r="F653" s="1036"/>
      <c r="G653" s="1020" t="s">
        <v>73</v>
      </c>
      <c r="H653" s="1021" t="s">
        <v>381</v>
      </c>
      <c r="I653" s="1022"/>
      <c r="J653" s="1022"/>
      <c r="K653" s="1022" t="e">
        <f>(K641+K642+K643+K644+K645+K646+K647+K648+K649)-K652</f>
        <v>#VALUE!</v>
      </c>
      <c r="L653" s="1024" t="e">
        <f>E653+K653</f>
        <v>#VALUE!</v>
      </c>
      <c r="M653" s="567"/>
      <c r="N653" s="587"/>
    </row>
    <row r="654" spans="1:14" s="23" customFormat="1" ht="17.25" customHeight="1">
      <c r="A654" s="1029"/>
      <c r="B654" s="1034"/>
      <c r="C654" s="1035"/>
      <c r="D654" s="1035"/>
      <c r="E654" s="1033"/>
      <c r="F654" s="1036"/>
      <c r="G654" s="1029"/>
      <c r="H654" s="1034"/>
      <c r="I654" s="1035"/>
      <c r="J654" s="1033"/>
      <c r="K654" s="1036"/>
      <c r="L654" s="586"/>
      <c r="M654" s="567"/>
      <c r="N654" s="587"/>
    </row>
    <row r="655" spans="1:14" s="23" customFormat="1" ht="17.25" customHeight="1">
      <c r="A655" s="1653" t="str">
        <f>A638</f>
        <v>LƯƠNG THÁNG 09/2025</v>
      </c>
      <c r="B655" s="1656"/>
      <c r="C655" s="1656"/>
      <c r="D655" s="1656"/>
      <c r="E655" s="998">
        <v>77</v>
      </c>
      <c r="F655" s="1036"/>
      <c r="G655" s="1653" t="str">
        <f>A655</f>
        <v>LƯƠNG THÁNG 09/2025</v>
      </c>
      <c r="H655" s="1656"/>
      <c r="I655" s="1656"/>
      <c r="J655" s="1657"/>
      <c r="K655" s="998">
        <v>78</v>
      </c>
      <c r="L655" s="586"/>
      <c r="M655" s="567"/>
      <c r="N655" s="587"/>
    </row>
    <row r="656" spans="1:14" s="23" customFormat="1" ht="17.25" customHeight="1">
      <c r="A656" s="1028" t="s">
        <v>13</v>
      </c>
      <c r="B656" s="1000" t="str">
        <f>'CNKT '!D92</f>
        <v>T. Pu</v>
      </c>
      <c r="C656" s="1001"/>
      <c r="D656" s="1002" t="s">
        <v>353</v>
      </c>
      <c r="E656" s="1002" t="s">
        <v>16</v>
      </c>
      <c r="F656" s="1036"/>
      <c r="G656" s="1028" t="s">
        <v>13</v>
      </c>
      <c r="H656" s="1000" t="str">
        <f>'CNKT '!D93</f>
        <v>T. Ta.</v>
      </c>
      <c r="I656" s="1001"/>
      <c r="J656" s="1002" t="s">
        <v>353</v>
      </c>
      <c r="K656" s="1002" t="s">
        <v>16</v>
      </c>
      <c r="L656" s="586"/>
      <c r="M656" s="567"/>
      <c r="N656" s="587"/>
    </row>
    <row r="657" spans="1:14" s="23" customFormat="1" ht="17.25" customHeight="1">
      <c r="A657" s="1004" t="s">
        <v>354</v>
      </c>
      <c r="B657" s="1005" t="s">
        <v>454</v>
      </c>
      <c r="C657" s="1006">
        <f>VLOOKUP(B656,'SẢN LƯỢNG'!$D$17:$AR$94,37,0)</f>
        <v>397</v>
      </c>
      <c r="D657" s="1007"/>
      <c r="E657" s="1007"/>
      <c r="F657" s="1036"/>
      <c r="G657" s="1004" t="s">
        <v>354</v>
      </c>
      <c r="H657" s="1005" t="s">
        <v>454</v>
      </c>
      <c r="I657" s="1006">
        <f>VLOOKUP(H656,'SẢN LƯỢNG'!$D$17:$AR$94,37,0)</f>
        <v>325</v>
      </c>
      <c r="J657" s="1007"/>
      <c r="K657" s="1007"/>
      <c r="L657" s="586"/>
      <c r="M657" s="567"/>
      <c r="N657" s="587"/>
    </row>
    <row r="658" spans="1:14" s="23" customFormat="1" ht="17.25" customHeight="1">
      <c r="A658" s="1004" t="s">
        <v>68</v>
      </c>
      <c r="B658" s="1008" t="s">
        <v>380</v>
      </c>
      <c r="C658" s="581">
        <f>VLOOKUP(B656,'CNKT '!$D$16:$AC$96,3,0)</f>
        <v>0</v>
      </c>
      <c r="D658" s="582">
        <v>25000</v>
      </c>
      <c r="E658" s="1007">
        <f>C658*D658</f>
        <v>0</v>
      </c>
      <c r="F658" s="1036"/>
      <c r="G658" s="1004" t="s">
        <v>68</v>
      </c>
      <c r="H658" s="1008" t="s">
        <v>380</v>
      </c>
      <c r="I658" s="581">
        <f>VLOOKUP(H656,'CNKT '!$D$16:$AC$96,3,0)</f>
        <v>0</v>
      </c>
      <c r="J658" s="582">
        <v>25000</v>
      </c>
      <c r="K658" s="1007">
        <f>I658*J658</f>
        <v>0</v>
      </c>
      <c r="L658" s="586"/>
      <c r="M658" s="567"/>
      <c r="N658" s="587"/>
    </row>
    <row r="659" spans="1:14" s="23" customFormat="1" ht="17.25" customHeight="1">
      <c r="A659" s="1004" t="s">
        <v>269</v>
      </c>
      <c r="B659" s="1009" t="s">
        <v>455</v>
      </c>
      <c r="C659" s="1010" t="str">
        <f>VLOOKUP(B656,'CNKT '!$D$16:$AC$96,11,0)</f>
        <v>C.</v>
      </c>
      <c r="D659" s="583">
        <f>46.1*$B$2</f>
        <v>30424.156000000003</v>
      </c>
      <c r="E659" s="1007" t="e">
        <f>C659*D659</f>
        <v>#VALUE!</v>
      </c>
      <c r="F659" s="1036"/>
      <c r="G659" s="1004" t="s">
        <v>269</v>
      </c>
      <c r="H659" s="1009" t="s">
        <v>455</v>
      </c>
      <c r="I659" s="1010" t="str">
        <f>VLOOKUP(H656,'CNKT '!$D$16:$AC$96,11,0)</f>
        <v>C.</v>
      </c>
      <c r="J659" s="583">
        <f>46.1*$B$2</f>
        <v>30424.156000000003</v>
      </c>
      <c r="K659" s="1007" t="e">
        <f>I659*J659</f>
        <v>#VALUE!</v>
      </c>
      <c r="L659" s="586"/>
      <c r="M659" s="567"/>
      <c r="N659" s="587"/>
    </row>
    <row r="660" spans="1:14" s="23" customFormat="1" ht="17.25" customHeight="1">
      <c r="A660" s="1004" t="s">
        <v>356</v>
      </c>
      <c r="B660" s="1009" t="s">
        <v>456</v>
      </c>
      <c r="C660" s="1010">
        <f>VLOOKUP(B656,'CNKT '!$D$16:$AC$96,12,0)</f>
        <v>1950032</v>
      </c>
      <c r="D660" s="582">
        <f>76.9*$B$2</f>
        <v>50750.924000000006</v>
      </c>
      <c r="E660" s="1007">
        <f t="shared" ref="E660:E661" si="151">C660*D660</f>
        <v>98965925829.568008</v>
      </c>
      <c r="F660" s="1036"/>
      <c r="G660" s="1004" t="s">
        <v>356</v>
      </c>
      <c r="H660" s="1009" t="s">
        <v>456</v>
      </c>
      <c r="I660" s="1010">
        <f>VLOOKUP(H656,'CNKT '!$D$16:$AC$96,12,0)</f>
        <v>982027</v>
      </c>
      <c r="J660" s="582">
        <f>76.9*$B$2</f>
        <v>50750.924000000006</v>
      </c>
      <c r="K660" s="1007">
        <f t="shared" ref="K660:K661" si="152">I660*J660</f>
        <v>49838777642.948006</v>
      </c>
      <c r="L660" s="586"/>
      <c r="M660" s="567"/>
      <c r="N660" s="587"/>
    </row>
    <row r="661" spans="1:14" s="23" customFormat="1" ht="17.25" customHeight="1">
      <c r="A661" s="1004" t="s">
        <v>69</v>
      </c>
      <c r="B661" s="1009" t="s">
        <v>457</v>
      </c>
      <c r="C661" s="1010">
        <f>VLOOKUP(B656,'CNKT '!$D$16:$AC$96,8,0)</f>
        <v>566.80518159816222</v>
      </c>
      <c r="D661" s="582">
        <f>IF(C657="A",6.1,IF(C657="B",5.8,IF(C657="C",5.5,IF(C657="C.",5.5,IF(C657="D",5.2)))))*$B$2</f>
        <v>0</v>
      </c>
      <c r="E661" s="1007">
        <f t="shared" si="151"/>
        <v>0</v>
      </c>
      <c r="F661" s="1036"/>
      <c r="G661" s="1004" t="s">
        <v>69</v>
      </c>
      <c r="H661" s="1009" t="s">
        <v>457</v>
      </c>
      <c r="I661" s="1010">
        <f>VLOOKUP(H656,'CNKT '!$D$16:$AC$96,8,0)</f>
        <v>281.19540551248389</v>
      </c>
      <c r="J661" s="582">
        <f>IF(I657="A",6.1,IF(I657="B",5.8,IF(I657="C",5.5,IF(I657="C.",5.5,IF(I657="D",5.2)))))*$B$2</f>
        <v>0</v>
      </c>
      <c r="K661" s="1007">
        <f t="shared" si="152"/>
        <v>0</v>
      </c>
      <c r="L661" s="586"/>
      <c r="M661" s="567"/>
      <c r="N661" s="587"/>
    </row>
    <row r="662" spans="1:14" s="23" customFormat="1" ht="17.25" customHeight="1">
      <c r="A662" s="1004" t="s">
        <v>431</v>
      </c>
      <c r="B662" s="1009" t="s">
        <v>458</v>
      </c>
      <c r="C662" s="1010">
        <f>VLOOKUP(B656,'CNKT '!$D$16:$AC$96,13,0)</f>
        <v>10</v>
      </c>
      <c r="D662" s="583">
        <v>100000</v>
      </c>
      <c r="E662" s="1007">
        <f>C662*D662</f>
        <v>1000000</v>
      </c>
      <c r="F662" s="1036"/>
      <c r="G662" s="1004" t="s">
        <v>431</v>
      </c>
      <c r="H662" s="1009" t="s">
        <v>458</v>
      </c>
      <c r="I662" s="1010">
        <f>VLOOKUP(H656,'CNKT '!$D$16:$AC$96,13,0)</f>
        <v>7</v>
      </c>
      <c r="J662" s="583">
        <v>100000</v>
      </c>
      <c r="K662" s="1007">
        <f>I662*J662</f>
        <v>700000</v>
      </c>
      <c r="L662" s="586"/>
      <c r="M662" s="567"/>
      <c r="N662" s="587"/>
    </row>
    <row r="663" spans="1:14" s="23" customFormat="1" ht="17.25" customHeight="1">
      <c r="A663" s="1073" t="s">
        <v>780</v>
      </c>
      <c r="B663" s="1065" t="s">
        <v>434</v>
      </c>
      <c r="C663" s="1066">
        <f>VLOOKUP(B656,'CNKT '!$D$16:$AC$96,14,0)</f>
        <v>1</v>
      </c>
      <c r="D663" s="1067">
        <f>153.8*$B$2</f>
        <v>101501.84800000001</v>
      </c>
      <c r="E663" s="1068">
        <f t="shared" ref="E663" si="153">C663*D663</f>
        <v>101501.84800000001</v>
      </c>
      <c r="F663" s="1036"/>
      <c r="G663" s="1073" t="s">
        <v>780</v>
      </c>
      <c r="H663" s="1065" t="s">
        <v>434</v>
      </c>
      <c r="I663" s="1066">
        <f>VLOOKUP(H656,'CNKT '!$D$16:$AC$96,14,0)</f>
        <v>1</v>
      </c>
      <c r="J663" s="1067">
        <f>153.8*$B$2</f>
        <v>101501.84800000001</v>
      </c>
      <c r="K663" s="1068">
        <f t="shared" ref="K663" si="154">I663*J663</f>
        <v>101501.84800000001</v>
      </c>
      <c r="L663" s="586"/>
      <c r="M663" s="567"/>
      <c r="N663" s="587"/>
    </row>
    <row r="664" spans="1:14" s="23" customFormat="1" ht="17.25" customHeight="1">
      <c r="A664" s="1073" t="s">
        <v>781</v>
      </c>
      <c r="B664" s="1065" t="s">
        <v>435</v>
      </c>
      <c r="C664" s="1066">
        <f>VLOOKUP(B656,'CNKT '!$D$16:$AC$96,18,0)</f>
        <v>0</v>
      </c>
      <c r="D664" s="1067">
        <v>100000</v>
      </c>
      <c r="E664" s="1068">
        <f>C664*D664</f>
        <v>0</v>
      </c>
      <c r="F664" s="1036"/>
      <c r="G664" s="1073" t="s">
        <v>781</v>
      </c>
      <c r="H664" s="1065" t="s">
        <v>435</v>
      </c>
      <c r="I664" s="1066">
        <f>VLOOKUP(H656,'CNKT '!$D$16:$AC$96,18,0)</f>
        <v>0</v>
      </c>
      <c r="J664" s="1067">
        <v>100000</v>
      </c>
      <c r="K664" s="1068">
        <f>I664*J664</f>
        <v>0</v>
      </c>
      <c r="L664" s="586"/>
      <c r="M664" s="567"/>
      <c r="N664" s="587"/>
    </row>
    <row r="665" spans="1:14" s="23" customFormat="1" ht="17.25" customHeight="1">
      <c r="A665" s="1004" t="s">
        <v>394</v>
      </c>
      <c r="B665" s="1009" t="s">
        <v>435</v>
      </c>
      <c r="C665" s="1010">
        <f>VLOOKUP(B656,'CNKT '!$D$16:$AC$96,19,0)</f>
        <v>0</v>
      </c>
      <c r="D665" s="582">
        <v>20000</v>
      </c>
      <c r="E665" s="1007">
        <f>C665*D665</f>
        <v>0</v>
      </c>
      <c r="F665" s="1036"/>
      <c r="G665" s="1004" t="s">
        <v>394</v>
      </c>
      <c r="H665" s="1009" t="s">
        <v>435</v>
      </c>
      <c r="I665" s="1010">
        <f>VLOOKUP(H656,'CNKT '!$D$16:$AC$96,19,0)</f>
        <v>0</v>
      </c>
      <c r="J665" s="582">
        <v>20000</v>
      </c>
      <c r="K665" s="1007">
        <f>I665*J665</f>
        <v>0</v>
      </c>
      <c r="L665" s="586"/>
      <c r="M665" s="567"/>
      <c r="N665" s="587"/>
    </row>
    <row r="666" spans="1:14" s="23" customFormat="1" ht="17.25" customHeight="1">
      <c r="A666" s="1004" t="s">
        <v>731</v>
      </c>
      <c r="B666" s="1011" t="s">
        <v>732</v>
      </c>
      <c r="C666" s="1010"/>
      <c r="D666" s="582"/>
      <c r="E666" s="1007">
        <f>VLOOKUP(B656,'CNKT '!$D$16:$AG$99,28,0)</f>
        <v>0</v>
      </c>
      <c r="F666" s="1036"/>
      <c r="G666" s="1004" t="s">
        <v>731</v>
      </c>
      <c r="H666" s="1011" t="s">
        <v>732</v>
      </c>
      <c r="I666" s="1010"/>
      <c r="J666" s="582"/>
      <c r="K666" s="1007">
        <f>VLOOKUP(H656,'CNKT '!$D$16:$AG$99,28,0)</f>
        <v>0</v>
      </c>
      <c r="L666" s="586"/>
      <c r="M666" s="567"/>
      <c r="N666" s="587"/>
    </row>
    <row r="667" spans="1:14" s="23" customFormat="1" ht="17.25" customHeight="1">
      <c r="A667" s="1012" t="s">
        <v>70</v>
      </c>
      <c r="B667" s="1013" t="s">
        <v>459</v>
      </c>
      <c r="C667" s="1014"/>
      <c r="D667" s="1015"/>
      <c r="E667" s="1014"/>
      <c r="F667" s="1036"/>
      <c r="G667" s="1012" t="s">
        <v>70</v>
      </c>
      <c r="H667" s="1013" t="s">
        <v>459</v>
      </c>
      <c r="I667" s="1014"/>
      <c r="J667" s="1015"/>
      <c r="K667" s="1014"/>
      <c r="L667" s="586"/>
      <c r="M667" s="567"/>
      <c r="N667" s="587"/>
    </row>
    <row r="668" spans="1:14" s="23" customFormat="1" ht="17.25" customHeight="1">
      <c r="A668" s="1016" t="s">
        <v>71</v>
      </c>
      <c r="B668" s="1017" t="s">
        <v>460</v>
      </c>
      <c r="C668" s="1014"/>
      <c r="D668" s="1014"/>
      <c r="E668" s="1014"/>
      <c r="F668" s="1036"/>
      <c r="G668" s="1016" t="s">
        <v>71</v>
      </c>
      <c r="H668" s="1017" t="s">
        <v>460</v>
      </c>
      <c r="I668" s="1014"/>
      <c r="J668" s="1014"/>
      <c r="K668" s="1014"/>
      <c r="L668" s="586"/>
      <c r="M668" s="567"/>
      <c r="N668" s="587"/>
    </row>
    <row r="669" spans="1:14" s="23" customFormat="1" ht="17.25" customHeight="1">
      <c r="A669" s="1016" t="s">
        <v>72</v>
      </c>
      <c r="B669" s="1018" t="s">
        <v>461</v>
      </c>
      <c r="C669" s="1014"/>
      <c r="D669" s="1014"/>
      <c r="E669" s="1007">
        <f>SUM(E668)</f>
        <v>0</v>
      </c>
      <c r="F669" s="1036"/>
      <c r="G669" s="1016" t="s">
        <v>72</v>
      </c>
      <c r="H669" s="1018" t="s">
        <v>461</v>
      </c>
      <c r="I669" s="1014"/>
      <c r="J669" s="1014"/>
      <c r="K669" s="1007">
        <f>SUM(K668)</f>
        <v>0</v>
      </c>
      <c r="L669" s="586"/>
      <c r="M669" s="1019">
        <f>E669+K669</f>
        <v>0</v>
      </c>
      <c r="N669" s="587"/>
    </row>
    <row r="670" spans="1:14" s="23" customFormat="1" ht="17.25" customHeight="1">
      <c r="A670" s="1020" t="s">
        <v>73</v>
      </c>
      <c r="B670" s="1021" t="s">
        <v>381</v>
      </c>
      <c r="C670" s="1022"/>
      <c r="D670" s="1022"/>
      <c r="E670" s="1022" t="e">
        <f>(E658+E659+E660+E661+E662+E663+E664+E665+E666)-E669</f>
        <v>#VALUE!</v>
      </c>
      <c r="F670" s="1036"/>
      <c r="G670" s="1020" t="s">
        <v>73</v>
      </c>
      <c r="H670" s="1021" t="s">
        <v>381</v>
      </c>
      <c r="I670" s="1022"/>
      <c r="J670" s="1022"/>
      <c r="K670" s="1022" t="e">
        <f>(K658+K659+K660+K661+K662+K663+K664+K665+K666)-K669</f>
        <v>#VALUE!</v>
      </c>
      <c r="L670" s="1024" t="e">
        <f>E670+K670</f>
        <v>#VALUE!</v>
      </c>
      <c r="M670" s="567"/>
      <c r="N670" s="587"/>
    </row>
    <row r="671" spans="1:14" s="23" customFormat="1" ht="17.25" customHeight="1">
      <c r="A671" s="1029"/>
      <c r="B671" s="1034"/>
      <c r="C671" s="1035"/>
      <c r="D671" s="1035"/>
      <c r="E671" s="1033"/>
      <c r="F671" s="1036"/>
      <c r="G671" s="1029"/>
      <c r="H671" s="1034"/>
      <c r="I671" s="1035"/>
      <c r="J671" s="1033"/>
      <c r="K671" s="1036"/>
      <c r="L671" s="586"/>
      <c r="M671" s="567"/>
      <c r="N671" s="587"/>
    </row>
    <row r="672" spans="1:14" s="23" customFormat="1" ht="17.25" customHeight="1">
      <c r="A672" s="1653" t="str">
        <f>A655</f>
        <v>LƯƠNG THÁNG 09/2025</v>
      </c>
      <c r="B672" s="1656"/>
      <c r="C672" s="1656"/>
      <c r="D672" s="1656"/>
      <c r="E672" s="998">
        <v>79</v>
      </c>
      <c r="F672" s="1036"/>
      <c r="G672" s="1653" t="str">
        <f>G655</f>
        <v>LƯƠNG THÁNG 09/2025</v>
      </c>
      <c r="H672" s="1656"/>
      <c r="I672" s="1656"/>
      <c r="J672" s="1656"/>
      <c r="K672" s="998">
        <v>80</v>
      </c>
      <c r="L672" s="586"/>
      <c r="M672" s="567"/>
      <c r="N672" s="587"/>
    </row>
    <row r="673" spans="1:15" s="23" customFormat="1" ht="17.25" customHeight="1">
      <c r="A673" s="1028" t="s">
        <v>13</v>
      </c>
      <c r="B673" s="1000" t="str">
        <f>'CNKT '!D94</f>
        <v>N. Nang</v>
      </c>
      <c r="C673" s="1001"/>
      <c r="D673" s="1002" t="s">
        <v>353</v>
      </c>
      <c r="E673" s="1002" t="s">
        <v>16</v>
      </c>
      <c r="F673" s="1036"/>
      <c r="G673" s="1028" t="s">
        <v>13</v>
      </c>
      <c r="H673" s="1000" t="str">
        <f>'CNKT '!D95</f>
        <v>T. Tan</v>
      </c>
      <c r="I673" s="1001"/>
      <c r="J673" s="1002" t="s">
        <v>353</v>
      </c>
      <c r="K673" s="1002" t="s">
        <v>16</v>
      </c>
      <c r="L673" s="586"/>
      <c r="M673" s="567"/>
      <c r="N673" s="587"/>
    </row>
    <row r="674" spans="1:15" s="23" customFormat="1" ht="17.25" customHeight="1">
      <c r="A674" s="1004" t="s">
        <v>354</v>
      </c>
      <c r="B674" s="1005" t="s">
        <v>454</v>
      </c>
      <c r="C674" s="1006" t="e">
        <f>VLOOKUP(B673,'SẢN LƯỢNG'!$D$17:$AR$94,37,0)</f>
        <v>#N/A</v>
      </c>
      <c r="D674" s="1007"/>
      <c r="E674" s="1007"/>
      <c r="F674" s="1036"/>
      <c r="G674" s="1004" t="s">
        <v>354</v>
      </c>
      <c r="H674" s="1005" t="s">
        <v>454</v>
      </c>
      <c r="I674" s="1006" t="e">
        <f>VLOOKUP(H673,'SẢN LƯỢNG'!$D$17:$AR$94,37,0)</f>
        <v>#N/A</v>
      </c>
      <c r="J674" s="1007"/>
      <c r="K674" s="1007"/>
      <c r="L674" s="586"/>
      <c r="M674" s="567"/>
      <c r="N674" s="587"/>
    </row>
    <row r="675" spans="1:15" s="23" customFormat="1" ht="17.25" customHeight="1">
      <c r="A675" s="1004" t="s">
        <v>68</v>
      </c>
      <c r="B675" s="1008" t="s">
        <v>380</v>
      </c>
      <c r="C675" s="581">
        <f>VLOOKUP(B673,'CNKT '!$D$16:$AC$96,3,0)</f>
        <v>0</v>
      </c>
      <c r="D675" s="582">
        <v>25000</v>
      </c>
      <c r="E675" s="1007">
        <f>C675*D675</f>
        <v>0</v>
      </c>
      <c r="F675" s="1036"/>
      <c r="G675" s="1004" t="s">
        <v>68</v>
      </c>
      <c r="H675" s="1008" t="s">
        <v>380</v>
      </c>
      <c r="I675" s="581">
        <f>VLOOKUP(H673,'CNKT '!$D$16:$AC$96,3,0)</f>
        <v>0</v>
      </c>
      <c r="J675" s="582">
        <v>25000</v>
      </c>
      <c r="K675" s="1007">
        <f>I675*J675</f>
        <v>0</v>
      </c>
      <c r="L675" s="586"/>
      <c r="M675" s="567"/>
      <c r="N675" s="587"/>
    </row>
    <row r="676" spans="1:15" s="23" customFormat="1" ht="17.25" customHeight="1">
      <c r="A676" s="1004" t="s">
        <v>269</v>
      </c>
      <c r="B676" s="1009" t="s">
        <v>455</v>
      </c>
      <c r="C676" s="1010" t="str">
        <f>VLOOKUP(B673,'CNKT '!$D$16:$AC$96,11,0)</f>
        <v>C.</v>
      </c>
      <c r="D676" s="583">
        <f>46.1*$B$2</f>
        <v>30424.156000000003</v>
      </c>
      <c r="E676" s="1007" t="e">
        <f>C676*D676</f>
        <v>#VALUE!</v>
      </c>
      <c r="F676" s="1036"/>
      <c r="G676" s="1004" t="s">
        <v>269</v>
      </c>
      <c r="H676" s="1009" t="s">
        <v>455</v>
      </c>
      <c r="I676" s="1010" t="str">
        <f>VLOOKUP(H673,'CNKT '!$D$16:$AC$96,11,0)</f>
        <v>C.</v>
      </c>
      <c r="J676" s="583">
        <f>46.1*$B$2</f>
        <v>30424.156000000003</v>
      </c>
      <c r="K676" s="1007" t="e">
        <f>I676*J676</f>
        <v>#VALUE!</v>
      </c>
      <c r="L676" s="586"/>
      <c r="M676" s="567"/>
      <c r="N676" s="587"/>
    </row>
    <row r="677" spans="1:15" s="23" customFormat="1" ht="17.25" customHeight="1">
      <c r="A677" s="1004" t="s">
        <v>356</v>
      </c>
      <c r="B677" s="1009" t="s">
        <v>456</v>
      </c>
      <c r="C677" s="1010">
        <f>VLOOKUP(B673,'CNKT '!$D$16:$AC$96,12,0)</f>
        <v>633433</v>
      </c>
      <c r="D677" s="582">
        <f>76.9*$B$2</f>
        <v>50750.924000000006</v>
      </c>
      <c r="E677" s="1007">
        <f t="shared" ref="E677:E678" si="155">C677*D677</f>
        <v>32147310042.092003</v>
      </c>
      <c r="F677" s="1036"/>
      <c r="G677" s="1004" t="s">
        <v>356</v>
      </c>
      <c r="H677" s="1009" t="s">
        <v>456</v>
      </c>
      <c r="I677" s="1010">
        <f>VLOOKUP(H673,'CNKT '!$D$16:$AC$96,12,0)</f>
        <v>491022</v>
      </c>
      <c r="J677" s="582">
        <f>76.9*$B$2</f>
        <v>50750.924000000006</v>
      </c>
      <c r="K677" s="1007">
        <f t="shared" ref="K677:K678" si="156">I677*J677</f>
        <v>24919820204.328003</v>
      </c>
      <c r="L677" s="586"/>
      <c r="M677" s="567"/>
      <c r="N677" s="587"/>
    </row>
    <row r="678" spans="1:15" s="23" customFormat="1" ht="17.25" customHeight="1">
      <c r="A678" s="1004" t="s">
        <v>69</v>
      </c>
      <c r="B678" s="1009" t="s">
        <v>457</v>
      </c>
      <c r="C678" s="1010">
        <f>VLOOKUP(B673,'CNKT '!$D$16:$AC$96,8,0)</f>
        <v>188.49362347540128</v>
      </c>
      <c r="D678" s="582" t="e">
        <f>IF(C674="A",6.1,IF(C674="B",5.8,IF(C674="C",5.5,IF(C674="C.",5.5,IF(C674="D",5.2)))))*$B$2</f>
        <v>#N/A</v>
      </c>
      <c r="E678" s="1007" t="e">
        <f t="shared" si="155"/>
        <v>#N/A</v>
      </c>
      <c r="F678" s="1036"/>
      <c r="G678" s="1004" t="s">
        <v>69</v>
      </c>
      <c r="H678" s="1009" t="s">
        <v>457</v>
      </c>
      <c r="I678" s="1010">
        <f>VLOOKUP(H673,'CNKT '!$D$16:$AC$96,8,0)</f>
        <v>146.11566597273494</v>
      </c>
      <c r="J678" s="582" t="e">
        <f>IF(I674="A",6.1,IF(I674="B",5.8,IF(I674="C",5.5,IF(I674="C.",5.5,IF(I674="D",5.2)))))*$B$2</f>
        <v>#N/A</v>
      </c>
      <c r="K678" s="1007" t="e">
        <f t="shared" si="156"/>
        <v>#N/A</v>
      </c>
      <c r="L678" s="586"/>
      <c r="M678" s="567"/>
      <c r="N678" s="587"/>
    </row>
    <row r="679" spans="1:15" s="23" customFormat="1" ht="17.25" customHeight="1">
      <c r="A679" s="1004" t="s">
        <v>431</v>
      </c>
      <c r="B679" s="1009" t="s">
        <v>458</v>
      </c>
      <c r="C679" s="1010">
        <f>VLOOKUP(B673,'CNKT '!$D$16:$AC$96,13,0)</f>
        <v>5</v>
      </c>
      <c r="D679" s="583">
        <v>100000</v>
      </c>
      <c r="E679" s="1007">
        <f>C679*D679</f>
        <v>500000</v>
      </c>
      <c r="F679" s="1036"/>
      <c r="G679" s="1004" t="s">
        <v>431</v>
      </c>
      <c r="H679" s="1009" t="s">
        <v>458</v>
      </c>
      <c r="I679" s="1010">
        <f>VLOOKUP(H673,'CNKT '!$D$16:$AC$96,13,0)</f>
        <v>4</v>
      </c>
      <c r="J679" s="583">
        <v>100000</v>
      </c>
      <c r="K679" s="1007">
        <f>I679*J679</f>
        <v>400000</v>
      </c>
      <c r="L679" s="586"/>
      <c r="M679" s="567"/>
      <c r="N679" s="587"/>
    </row>
    <row r="680" spans="1:15" s="23" customFormat="1" ht="17.25" customHeight="1">
      <c r="A680" s="1073" t="s">
        <v>780</v>
      </c>
      <c r="B680" s="1065" t="s">
        <v>434</v>
      </c>
      <c r="C680" s="1066">
        <f>VLOOKUP(B673,'CNKT '!$D$16:$AC$96,14,0)</f>
        <v>1</v>
      </c>
      <c r="D680" s="1067">
        <f>153.8*$B$2</f>
        <v>101501.84800000001</v>
      </c>
      <c r="E680" s="1068">
        <f t="shared" ref="E680" si="157">C680*D680</f>
        <v>101501.84800000001</v>
      </c>
      <c r="F680" s="1036"/>
      <c r="G680" s="1073" t="s">
        <v>780</v>
      </c>
      <c r="H680" s="1065" t="s">
        <v>434</v>
      </c>
      <c r="I680" s="1066">
        <f>VLOOKUP(H673,'CNKT '!$D$16:$AC$96,14,0)</f>
        <v>0</v>
      </c>
      <c r="J680" s="1067">
        <f>153.8*$B$2</f>
        <v>101501.84800000001</v>
      </c>
      <c r="K680" s="1068">
        <f t="shared" ref="K680" si="158">I680*J680</f>
        <v>0</v>
      </c>
      <c r="L680" s="586"/>
      <c r="M680" s="567"/>
      <c r="N680" s="587"/>
    </row>
    <row r="681" spans="1:15" s="23" customFormat="1" ht="17.25" customHeight="1">
      <c r="A681" s="1073" t="s">
        <v>781</v>
      </c>
      <c r="B681" s="1065" t="s">
        <v>435</v>
      </c>
      <c r="C681" s="1066">
        <f>VLOOKUP(B673,'CNKT '!$D$16:$AC$96,18,0)</f>
        <v>0</v>
      </c>
      <c r="D681" s="1067">
        <v>100000</v>
      </c>
      <c r="E681" s="1068">
        <f>C681*D681</f>
        <v>0</v>
      </c>
      <c r="F681" s="1036"/>
      <c r="G681" s="1073" t="s">
        <v>781</v>
      </c>
      <c r="H681" s="1065" t="s">
        <v>435</v>
      </c>
      <c r="I681" s="1066">
        <f>VLOOKUP(H673,'CNKT '!$D$16:$AC$96,18,0)</f>
        <v>0</v>
      </c>
      <c r="J681" s="1067">
        <v>100000</v>
      </c>
      <c r="K681" s="1068">
        <f>I681*J681</f>
        <v>0</v>
      </c>
      <c r="L681" s="586"/>
      <c r="M681" s="567"/>
      <c r="N681" s="587"/>
    </row>
    <row r="682" spans="1:15" s="23" customFormat="1" ht="17.25" customHeight="1">
      <c r="A682" s="1004" t="s">
        <v>394</v>
      </c>
      <c r="B682" s="1009" t="s">
        <v>435</v>
      </c>
      <c r="C682" s="1010">
        <f>VLOOKUP(B673,'CNKT '!$D$16:$AC$96,19,0)</f>
        <v>0</v>
      </c>
      <c r="D682" s="582">
        <v>20000</v>
      </c>
      <c r="E682" s="1007">
        <f>C682*D682</f>
        <v>0</v>
      </c>
      <c r="F682" s="1036"/>
      <c r="G682" s="1004" t="s">
        <v>394</v>
      </c>
      <c r="H682" s="1009" t="s">
        <v>435</v>
      </c>
      <c r="I682" s="1010">
        <f>VLOOKUP(H673,'CNKT '!$D$16:$AC$96,19,0)</f>
        <v>0</v>
      </c>
      <c r="J682" s="582">
        <v>20000</v>
      </c>
      <c r="K682" s="1007">
        <f>I682*J682</f>
        <v>0</v>
      </c>
      <c r="L682" s="586"/>
      <c r="M682" s="567"/>
      <c r="N682" s="587"/>
    </row>
    <row r="683" spans="1:15" s="23" customFormat="1" ht="17.25" customHeight="1">
      <c r="A683" s="1004" t="s">
        <v>731</v>
      </c>
      <c r="B683" s="1011" t="s">
        <v>732</v>
      </c>
      <c r="C683" s="1010"/>
      <c r="D683" s="582"/>
      <c r="E683" s="1007">
        <f>VLOOKUP(B673,'CNKT '!$D$16:$AG$99,28,0)</f>
        <v>0</v>
      </c>
      <c r="F683" s="1036"/>
      <c r="G683" s="1004" t="s">
        <v>731</v>
      </c>
      <c r="H683" s="1011" t="s">
        <v>732</v>
      </c>
      <c r="I683" s="1010"/>
      <c r="J683" s="582"/>
      <c r="K683" s="1007">
        <f>VLOOKUP(H673,'CNKT '!$D$16:$AG$99,28,0)</f>
        <v>0</v>
      </c>
      <c r="L683" s="586"/>
      <c r="M683" s="567"/>
      <c r="N683" s="587"/>
    </row>
    <row r="684" spans="1:15" s="23" customFormat="1" ht="17.25" customHeight="1">
      <c r="A684" s="1012" t="s">
        <v>70</v>
      </c>
      <c r="B684" s="1013" t="s">
        <v>459</v>
      </c>
      <c r="C684" s="1014"/>
      <c r="D684" s="1015"/>
      <c r="E684" s="1014"/>
      <c r="F684" s="1036"/>
      <c r="G684" s="1012" t="s">
        <v>70</v>
      </c>
      <c r="H684" s="1013" t="s">
        <v>459</v>
      </c>
      <c r="I684" s="1014"/>
      <c r="J684" s="1015"/>
      <c r="K684" s="1014"/>
      <c r="L684" s="586"/>
      <c r="M684" s="567"/>
      <c r="N684" s="587"/>
    </row>
    <row r="685" spans="1:15" s="23" customFormat="1" ht="17.25" customHeight="1">
      <c r="A685" s="1016" t="s">
        <v>71</v>
      </c>
      <c r="B685" s="1017" t="s">
        <v>460</v>
      </c>
      <c r="C685" s="1014"/>
      <c r="D685" s="1014"/>
      <c r="E685" s="1014"/>
      <c r="F685" s="1036"/>
      <c r="G685" s="1016" t="s">
        <v>71</v>
      </c>
      <c r="H685" s="1017" t="s">
        <v>460</v>
      </c>
      <c r="I685" s="1014"/>
      <c r="J685" s="1014"/>
      <c r="K685" s="1014"/>
      <c r="L685" s="586"/>
      <c r="M685" s="567"/>
      <c r="N685" s="587"/>
    </row>
    <row r="686" spans="1:15" s="23" customFormat="1" ht="17.25" customHeight="1">
      <c r="A686" s="1016" t="s">
        <v>72</v>
      </c>
      <c r="B686" s="1018" t="s">
        <v>461</v>
      </c>
      <c r="C686" s="1014"/>
      <c r="D686" s="1014"/>
      <c r="E686" s="1007">
        <f>SUM(E685)</f>
        <v>0</v>
      </c>
      <c r="F686" s="1036"/>
      <c r="G686" s="1016" t="s">
        <v>72</v>
      </c>
      <c r="H686" s="1018" t="s">
        <v>461</v>
      </c>
      <c r="I686" s="1014"/>
      <c r="J686" s="1014"/>
      <c r="K686" s="1007">
        <f>SUM(K685)</f>
        <v>0</v>
      </c>
      <c r="L686" s="586"/>
      <c r="M686" s="567"/>
      <c r="N686" s="587"/>
    </row>
    <row r="687" spans="1:15" s="23" customFormat="1" ht="17.25" customHeight="1">
      <c r="A687" s="1020" t="s">
        <v>73</v>
      </c>
      <c r="B687" s="1021" t="s">
        <v>381</v>
      </c>
      <c r="C687" s="1022"/>
      <c r="D687" s="1022"/>
      <c r="E687" s="1022" t="e">
        <f>(E675+E676+E677+E678+E679+E680+E681+E682+E683)-E686</f>
        <v>#VALUE!</v>
      </c>
      <c r="F687" s="1036"/>
      <c r="G687" s="1020" t="s">
        <v>73</v>
      </c>
      <c r="H687" s="1021" t="s">
        <v>381</v>
      </c>
      <c r="I687" s="1022"/>
      <c r="J687" s="1022"/>
      <c r="K687" s="1022" t="e">
        <f>(K675+K676+K677+K678+K679+K680+K681+K682+K683)-K686</f>
        <v>#VALUE!</v>
      </c>
      <c r="L687" s="1024"/>
      <c r="M687" s="587"/>
      <c r="N687" s="567"/>
      <c r="O687" s="587"/>
    </row>
    <row r="688" spans="1:15" s="23" customFormat="1" ht="15.75" customHeight="1">
      <c r="A688" s="1042"/>
      <c r="B688" s="1043"/>
      <c r="C688" s="1033"/>
      <c r="D688" s="1033"/>
      <c r="E688" s="1033"/>
      <c r="F688" s="1036"/>
      <c r="G688" s="1042"/>
      <c r="H688" s="1043"/>
      <c r="I688" s="1033"/>
      <c r="J688" s="1044"/>
      <c r="K688" s="1033"/>
      <c r="L688" s="586"/>
      <c r="M688" s="587"/>
      <c r="N688" s="567"/>
      <c r="O688" s="587"/>
    </row>
    <row r="689" spans="1:15" s="23" customFormat="1" ht="17.25" customHeight="1">
      <c r="A689" s="1653" t="str">
        <f>A672</f>
        <v>LƯƠNG THÁNG 09/2025</v>
      </c>
      <c r="B689" s="1656"/>
      <c r="C689" s="1656"/>
      <c r="D689" s="1656"/>
      <c r="E689" s="998">
        <v>81</v>
      </c>
      <c r="F689" s="1036"/>
      <c r="G689" s="1653" t="str">
        <f>G672</f>
        <v>LƯƠNG THÁNG 09/2025</v>
      </c>
      <c r="H689" s="1656"/>
      <c r="I689" s="1656"/>
      <c r="J689" s="1656"/>
      <c r="K689" s="998">
        <v>82</v>
      </c>
      <c r="L689" s="586"/>
      <c r="M689" s="587"/>
      <c r="N689" s="567"/>
      <c r="O689" s="587"/>
    </row>
    <row r="690" spans="1:15" s="23" customFormat="1" ht="17.25" customHeight="1">
      <c r="A690" s="1028" t="s">
        <v>13</v>
      </c>
      <c r="B690" s="1000" t="str">
        <f>'CNKT '!D96</f>
        <v>Mủ Xi Rum 1</v>
      </c>
      <c r="C690" s="1001"/>
      <c r="D690" s="1002" t="s">
        <v>353</v>
      </c>
      <c r="E690" s="1002" t="s">
        <v>16</v>
      </c>
      <c r="F690" s="1036"/>
      <c r="G690" s="1028" t="s">
        <v>13</v>
      </c>
      <c r="H690" s="1000"/>
      <c r="I690" s="1001"/>
      <c r="J690" s="1002" t="s">
        <v>353</v>
      </c>
      <c r="K690" s="1002" t="s">
        <v>16</v>
      </c>
      <c r="L690" s="586"/>
      <c r="M690" s="587"/>
      <c r="N690" s="567"/>
      <c r="O690" s="587"/>
    </row>
    <row r="691" spans="1:15" s="23" customFormat="1" ht="17.25" customHeight="1">
      <c r="A691" s="1004" t="s">
        <v>354</v>
      </c>
      <c r="B691" s="1005" t="s">
        <v>454</v>
      </c>
      <c r="C691" s="1006" t="e">
        <f>VLOOKUP(B690,'SẢN LƯỢNG'!$D$17:$AR$94,37,0)</f>
        <v>#N/A</v>
      </c>
      <c r="D691" s="1007"/>
      <c r="E691" s="1007"/>
      <c r="F691" s="1036"/>
      <c r="G691" s="1004" t="s">
        <v>354</v>
      </c>
      <c r="H691" s="1005" t="s">
        <v>454</v>
      </c>
      <c r="I691" s="1006" t="e">
        <f>VLOOKUP(H690,'SẢN LƯỢNG'!$D$17:$AR$94,37,0)</f>
        <v>#N/A</v>
      </c>
      <c r="J691" s="1007"/>
      <c r="K691" s="1007"/>
      <c r="L691" s="586"/>
      <c r="M691" s="587"/>
      <c r="N691" s="567"/>
      <c r="O691" s="587"/>
    </row>
    <row r="692" spans="1:15" s="23" customFormat="1" ht="17.25" customHeight="1">
      <c r="A692" s="1004" t="s">
        <v>68</v>
      </c>
      <c r="B692" s="1008" t="s">
        <v>380</v>
      </c>
      <c r="C692" s="581">
        <f>VLOOKUP(B690,'CNKT '!$D$16:$AC$96,3,0)</f>
        <v>0</v>
      </c>
      <c r="D692" s="582">
        <v>25000</v>
      </c>
      <c r="E692" s="1007">
        <f>C692*D692</f>
        <v>0</v>
      </c>
      <c r="F692" s="1036"/>
      <c r="G692" s="1004" t="s">
        <v>68</v>
      </c>
      <c r="H692" s="1008" t="s">
        <v>380</v>
      </c>
      <c r="I692" s="581" t="e">
        <f>VLOOKUP(H690,'CNKT '!$D$16:$AC$96,3,0)</f>
        <v>#N/A</v>
      </c>
      <c r="J692" s="582">
        <v>25000</v>
      </c>
      <c r="K692" s="1007" t="e">
        <f>I692*J692</f>
        <v>#N/A</v>
      </c>
      <c r="L692" s="586"/>
      <c r="M692" s="587"/>
      <c r="N692" s="567"/>
      <c r="O692" s="587"/>
    </row>
    <row r="693" spans="1:15" s="23" customFormat="1" ht="17.25" customHeight="1">
      <c r="A693" s="1004" t="s">
        <v>269</v>
      </c>
      <c r="B693" s="1009" t="s">
        <v>455</v>
      </c>
      <c r="C693" s="1010">
        <f>VLOOKUP(B690,'CNKT '!$D$16:$AC$96,11,0)</f>
        <v>0</v>
      </c>
      <c r="D693" s="583">
        <f>46.1*$B$2</f>
        <v>30424.156000000003</v>
      </c>
      <c r="E693" s="1007">
        <f>C693*D693</f>
        <v>0</v>
      </c>
      <c r="F693" s="1036"/>
      <c r="G693" s="1004" t="s">
        <v>269</v>
      </c>
      <c r="H693" s="1009" t="s">
        <v>455</v>
      </c>
      <c r="I693" s="1010" t="e">
        <f>VLOOKUP(H690,'CNKT '!$D$16:$AC$96,11,0)</f>
        <v>#N/A</v>
      </c>
      <c r="J693" s="583">
        <f>46.1*$B$2</f>
        <v>30424.156000000003</v>
      </c>
      <c r="K693" s="1007" t="e">
        <f>I693*J693</f>
        <v>#N/A</v>
      </c>
      <c r="L693" s="586"/>
      <c r="M693" s="587"/>
      <c r="N693" s="567"/>
      <c r="O693" s="587"/>
    </row>
    <row r="694" spans="1:15" s="23" customFormat="1" ht="17.25" customHeight="1">
      <c r="A694" s="1004" t="s">
        <v>356</v>
      </c>
      <c r="B694" s="1009" t="s">
        <v>456</v>
      </c>
      <c r="C694" s="1010">
        <f>VLOOKUP(B690,'CNKT '!$D$16:$AC$96,12,0)</f>
        <v>614860</v>
      </c>
      <c r="D694" s="582">
        <f>76.9*$B$2</f>
        <v>50750.924000000006</v>
      </c>
      <c r="E694" s="1007">
        <f t="shared" ref="E694:E695" si="159">C694*D694</f>
        <v>31204713130.640003</v>
      </c>
      <c r="F694" s="1036"/>
      <c r="G694" s="1004" t="s">
        <v>356</v>
      </c>
      <c r="H694" s="1009" t="s">
        <v>456</v>
      </c>
      <c r="I694" s="1010" t="e">
        <f>VLOOKUP(H690,'CNKT '!$D$16:$AC$96,12,0)</f>
        <v>#N/A</v>
      </c>
      <c r="J694" s="582">
        <f>76.9*$B$2</f>
        <v>50750.924000000006</v>
      </c>
      <c r="K694" s="1007" t="e">
        <f t="shared" ref="K694:K695" si="160">I694*J694</f>
        <v>#N/A</v>
      </c>
      <c r="L694" s="586"/>
      <c r="M694" s="587"/>
      <c r="N694" s="567"/>
      <c r="O694" s="587"/>
    </row>
    <row r="695" spans="1:15" s="23" customFormat="1" ht="17.25" customHeight="1">
      <c r="A695" s="1004" t="s">
        <v>69</v>
      </c>
      <c r="B695" s="1009" t="s">
        <v>457</v>
      </c>
      <c r="C695" s="1010">
        <f>VLOOKUP(B690,'CNKT '!$D$16:$AC$96,8,0)</f>
        <v>164.97000000000003</v>
      </c>
      <c r="D695" s="582" t="e">
        <f>IF(C691="A",6.1,IF(C691="B",5.8,IF(C691="C",5.5,IF(C691="C.",5.5,IF(C691="D",5.2)))))*$B$2</f>
        <v>#N/A</v>
      </c>
      <c r="E695" s="1007" t="e">
        <f t="shared" si="159"/>
        <v>#N/A</v>
      </c>
      <c r="F695" s="1036"/>
      <c r="G695" s="1004" t="s">
        <v>69</v>
      </c>
      <c r="H695" s="1009" t="s">
        <v>457</v>
      </c>
      <c r="I695" s="1010" t="e">
        <f>VLOOKUP(H690,'CNKT '!$D$16:$AC$96,8,0)</f>
        <v>#N/A</v>
      </c>
      <c r="J695" s="582" t="e">
        <f>IF(I691="A",6.1,IF(I691="B",5.8,IF(I691="C",5.5,IF(I691="C.",5.5,IF(I691="D",5.2)))))*$B$2</f>
        <v>#N/A</v>
      </c>
      <c r="K695" s="1007" t="e">
        <f t="shared" si="160"/>
        <v>#N/A</v>
      </c>
      <c r="L695" s="586"/>
      <c r="M695" s="587"/>
      <c r="N695" s="567"/>
      <c r="O695" s="587"/>
    </row>
    <row r="696" spans="1:15" s="23" customFormat="1" ht="17.25" customHeight="1">
      <c r="A696" s="1004" t="s">
        <v>431</v>
      </c>
      <c r="B696" s="1009" t="s">
        <v>458</v>
      </c>
      <c r="C696" s="1010">
        <f>VLOOKUP(B690,'CNKT '!$D$16:$AC$96,13,0)</f>
        <v>0</v>
      </c>
      <c r="D696" s="583">
        <v>100000</v>
      </c>
      <c r="E696" s="1007">
        <f>C696*D696</f>
        <v>0</v>
      </c>
      <c r="F696" s="1036"/>
      <c r="G696" s="1004" t="s">
        <v>431</v>
      </c>
      <c r="H696" s="1009" t="s">
        <v>458</v>
      </c>
      <c r="I696" s="1010" t="e">
        <f>VLOOKUP(H690,'CNKT '!$D$16:$AC$96,13,0)</f>
        <v>#N/A</v>
      </c>
      <c r="J696" s="583">
        <v>100000</v>
      </c>
      <c r="K696" s="1007" t="e">
        <f>I696*J696</f>
        <v>#N/A</v>
      </c>
      <c r="L696" s="586"/>
      <c r="M696" s="587"/>
      <c r="N696" s="567"/>
      <c r="O696" s="587"/>
    </row>
    <row r="697" spans="1:15" s="23" customFormat="1" ht="17.25" customHeight="1">
      <c r="A697" s="1064" t="s">
        <v>432</v>
      </c>
      <c r="B697" s="1065" t="s">
        <v>434</v>
      </c>
      <c r="C697" s="1066">
        <f>VLOOKUP(B690,'CNKT '!$D$16:$AC$96,14,0)</f>
        <v>0</v>
      </c>
      <c r="D697" s="1067">
        <f>153.8*$B$2</f>
        <v>101501.84800000001</v>
      </c>
      <c r="E697" s="1068">
        <f t="shared" ref="E697" si="161">C697*D697</f>
        <v>0</v>
      </c>
      <c r="F697" s="1036"/>
      <c r="G697" s="1064" t="s">
        <v>432</v>
      </c>
      <c r="H697" s="1065" t="s">
        <v>434</v>
      </c>
      <c r="I697" s="1066" t="e">
        <f>VLOOKUP(H690,'CNKT '!$D$16:$AC$96,14,0)</f>
        <v>#N/A</v>
      </c>
      <c r="J697" s="1067">
        <f>153.8*$B$2</f>
        <v>101501.84800000001</v>
      </c>
      <c r="K697" s="1068" t="e">
        <f t="shared" ref="K697" si="162">I697*J697</f>
        <v>#N/A</v>
      </c>
      <c r="L697" s="586"/>
      <c r="M697" s="587"/>
      <c r="N697" s="567"/>
      <c r="O697" s="587"/>
    </row>
    <row r="698" spans="1:15" s="23" customFormat="1" ht="17.25" customHeight="1">
      <c r="A698" s="1064" t="s">
        <v>394</v>
      </c>
      <c r="B698" s="1065" t="s">
        <v>435</v>
      </c>
      <c r="C698" s="1066">
        <f>VLOOKUP(B690,'CNKT '!$D$16:$AC$96,18,0)</f>
        <v>0</v>
      </c>
      <c r="D698" s="1067">
        <v>100000</v>
      </c>
      <c r="E698" s="1068">
        <f>C698*D698</f>
        <v>0</v>
      </c>
      <c r="F698" s="1036"/>
      <c r="G698" s="1064" t="s">
        <v>394</v>
      </c>
      <c r="H698" s="1065" t="s">
        <v>435</v>
      </c>
      <c r="I698" s="1066" t="e">
        <f>VLOOKUP(H690,'CNKT '!$D$16:$AC$96,18,0)</f>
        <v>#N/A</v>
      </c>
      <c r="J698" s="1067">
        <v>100000</v>
      </c>
      <c r="K698" s="1068" t="e">
        <f>I698*J698</f>
        <v>#N/A</v>
      </c>
      <c r="L698" s="586"/>
      <c r="M698" s="587"/>
      <c r="N698" s="567"/>
      <c r="O698" s="587"/>
    </row>
    <row r="699" spans="1:15" s="23" customFormat="1" ht="17.25" customHeight="1">
      <c r="A699" s="1004" t="s">
        <v>394</v>
      </c>
      <c r="B699" s="1009" t="s">
        <v>435</v>
      </c>
      <c r="C699" s="1010">
        <f>VLOOKUP(B690,'CNKT '!$D$16:$AC$96,19,0)</f>
        <v>0</v>
      </c>
      <c r="D699" s="582">
        <v>20000</v>
      </c>
      <c r="E699" s="1007">
        <f>C699*D699</f>
        <v>0</v>
      </c>
      <c r="F699" s="1036"/>
      <c r="G699" s="1004" t="s">
        <v>394</v>
      </c>
      <c r="H699" s="1009" t="s">
        <v>435</v>
      </c>
      <c r="I699" s="1010" t="e">
        <f>VLOOKUP(H690,'CNKT '!$D$16:$AC$96,19,0)</f>
        <v>#N/A</v>
      </c>
      <c r="J699" s="582">
        <v>20000</v>
      </c>
      <c r="K699" s="1007" t="e">
        <f>I699*J699</f>
        <v>#N/A</v>
      </c>
      <c r="L699" s="586"/>
      <c r="M699" s="587"/>
      <c r="N699" s="567"/>
      <c r="O699" s="587"/>
    </row>
    <row r="700" spans="1:15" s="23" customFormat="1" ht="17.25" customHeight="1">
      <c r="A700" s="1004" t="s">
        <v>731</v>
      </c>
      <c r="B700" s="1011" t="s">
        <v>732</v>
      </c>
      <c r="C700" s="1010"/>
      <c r="D700" s="582"/>
      <c r="E700" s="1007">
        <f>VLOOKUP(B690,'CNKT '!$D$16:$AG$99,28,0)</f>
        <v>0</v>
      </c>
      <c r="F700" s="1036"/>
      <c r="G700" s="1004" t="s">
        <v>731</v>
      </c>
      <c r="H700" s="1011" t="s">
        <v>732</v>
      </c>
      <c r="I700" s="1010"/>
      <c r="J700" s="582"/>
      <c r="K700" s="1007" t="e">
        <f>VLOOKUP(H690,'CNKT '!$D$16:$AG$99,28,0)</f>
        <v>#N/A</v>
      </c>
      <c r="L700" s="586"/>
      <c r="M700" s="587"/>
      <c r="N700" s="567"/>
      <c r="O700" s="587"/>
    </row>
    <row r="701" spans="1:15" s="23" customFormat="1" ht="17.25" customHeight="1">
      <c r="A701" s="1012" t="s">
        <v>70</v>
      </c>
      <c r="B701" s="1013" t="s">
        <v>459</v>
      </c>
      <c r="C701" s="1014"/>
      <c r="D701" s="1015"/>
      <c r="E701" s="1014"/>
      <c r="F701" s="1036"/>
      <c r="G701" s="1012" t="s">
        <v>70</v>
      </c>
      <c r="H701" s="1013" t="s">
        <v>459</v>
      </c>
      <c r="I701" s="1014"/>
      <c r="J701" s="1015"/>
      <c r="K701" s="1014"/>
      <c r="L701" s="586"/>
      <c r="M701" s="587"/>
      <c r="N701" s="567"/>
      <c r="O701" s="587"/>
    </row>
    <row r="702" spans="1:15" s="23" customFormat="1" ht="17.25" customHeight="1">
      <c r="A702" s="1016" t="s">
        <v>71</v>
      </c>
      <c r="B702" s="1017" t="s">
        <v>460</v>
      </c>
      <c r="C702" s="1014"/>
      <c r="D702" s="1014"/>
      <c r="E702" s="1014"/>
      <c r="F702" s="1036"/>
      <c r="G702" s="1016" t="s">
        <v>71</v>
      </c>
      <c r="H702" s="1017" t="s">
        <v>460</v>
      </c>
      <c r="I702" s="1014"/>
      <c r="J702" s="1014"/>
      <c r="K702" s="1014"/>
      <c r="L702" s="586"/>
      <c r="M702" s="587"/>
      <c r="N702" s="567"/>
      <c r="O702" s="587"/>
    </row>
    <row r="703" spans="1:15" s="23" customFormat="1" ht="17.25" customHeight="1">
      <c r="A703" s="1016" t="s">
        <v>72</v>
      </c>
      <c r="B703" s="1018" t="s">
        <v>461</v>
      </c>
      <c r="C703" s="1014"/>
      <c r="D703" s="1014"/>
      <c r="E703" s="1007">
        <f>SUM(E702)</f>
        <v>0</v>
      </c>
      <c r="F703" s="1036"/>
      <c r="G703" s="1016" t="s">
        <v>72</v>
      </c>
      <c r="H703" s="1018" t="s">
        <v>461</v>
      </c>
      <c r="I703" s="1014"/>
      <c r="J703" s="1014"/>
      <c r="K703" s="1007">
        <f>SUM(K702)</f>
        <v>0</v>
      </c>
      <c r="L703" s="586"/>
      <c r="M703" s="587"/>
      <c r="N703" s="567"/>
      <c r="O703" s="587"/>
    </row>
    <row r="704" spans="1:15" s="23" customFormat="1" ht="17.25" customHeight="1">
      <c r="A704" s="1020" t="s">
        <v>73</v>
      </c>
      <c r="B704" s="1021" t="s">
        <v>381</v>
      </c>
      <c r="C704" s="1022"/>
      <c r="D704" s="1022"/>
      <c r="E704" s="1022" t="e">
        <f>(E692+E693+E694+E695+E696+E697+E698+E699+E700)-E703</f>
        <v>#N/A</v>
      </c>
      <c r="F704" s="1036"/>
      <c r="G704" s="1020" t="s">
        <v>73</v>
      </c>
      <c r="H704" s="1021" t="s">
        <v>381</v>
      </c>
      <c r="I704" s="1022"/>
      <c r="J704" s="1022"/>
      <c r="K704" s="1022" t="e">
        <f>(K692+K693+K694+K695+K696+K697+K698+K699+K700)-K703</f>
        <v>#N/A</v>
      </c>
      <c r="L704" s="1024"/>
      <c r="M704" s="587"/>
      <c r="N704" s="567"/>
      <c r="O704" s="587"/>
    </row>
    <row r="705" spans="1:15" s="23" customFormat="1" ht="17.25" customHeight="1">
      <c r="A705" s="1042"/>
      <c r="B705" s="1043"/>
      <c r="C705" s="1033"/>
      <c r="D705" s="1033"/>
      <c r="E705" s="1033"/>
      <c r="F705" s="1036"/>
      <c r="G705" s="1042"/>
      <c r="H705" s="1043"/>
      <c r="I705" s="1033"/>
      <c r="J705" s="1033"/>
      <c r="K705" s="1033"/>
      <c r="L705" s="586"/>
      <c r="M705" s="587"/>
      <c r="N705" s="567"/>
      <c r="O705" s="587"/>
    </row>
    <row r="706" spans="1:15" s="23" customFormat="1" ht="17.25" customHeight="1">
      <c r="A706" s="1653" t="str">
        <f>A672</f>
        <v>LƯƠNG THÁNG 09/2025</v>
      </c>
      <c r="B706" s="1656"/>
      <c r="C706" s="1656"/>
      <c r="D706" s="1656"/>
      <c r="E706" s="998">
        <v>83</v>
      </c>
      <c r="F706" s="1036"/>
      <c r="G706" s="1653" t="str">
        <f>G672</f>
        <v>LƯƠNG THÁNG 09/2025</v>
      </c>
      <c r="H706" s="1656"/>
      <c r="I706" s="1656"/>
      <c r="J706" s="1656"/>
      <c r="K706" s="1657"/>
      <c r="L706" s="586"/>
      <c r="M706" s="567"/>
      <c r="N706" s="587"/>
    </row>
    <row r="707" spans="1:15" s="23" customFormat="1" ht="17.25" customHeight="1">
      <c r="A707" s="1028" t="s">
        <v>13</v>
      </c>
      <c r="B707" s="1000" t="str">
        <f>'CNKT '!D97</f>
        <v>Keo</v>
      </c>
      <c r="C707" s="1001"/>
      <c r="D707" s="1045"/>
      <c r="E707" s="1046" t="s">
        <v>39</v>
      </c>
      <c r="F707" s="1036"/>
      <c r="G707" s="1028" t="s">
        <v>13</v>
      </c>
      <c r="H707" s="1000" t="e">
        <f>'CNKT '!#REF!</f>
        <v>#REF!</v>
      </c>
      <c r="I707" s="1001"/>
      <c r="J707" s="1002" t="s">
        <v>353</v>
      </c>
      <c r="K707" s="1002" t="s">
        <v>16</v>
      </c>
      <c r="L707" s="586"/>
      <c r="M707" s="567"/>
      <c r="N707" s="587"/>
    </row>
    <row r="708" spans="1:15" s="23" customFormat="1" ht="17.25" customHeight="1">
      <c r="A708" s="1004" t="s">
        <v>354</v>
      </c>
      <c r="B708" s="1005" t="s">
        <v>454</v>
      </c>
      <c r="C708" s="1006" t="s">
        <v>36</v>
      </c>
      <c r="D708" s="1007"/>
      <c r="E708" s="1007"/>
      <c r="F708" s="1036"/>
      <c r="G708" s="1004" t="s">
        <v>354</v>
      </c>
      <c r="H708" s="1005" t="s">
        <v>454</v>
      </c>
      <c r="I708" s="1006" t="e">
        <f>VLOOKUP(H707,'SẢN LƯỢNG'!$D$17:$AR$94,37,0)</f>
        <v>#REF!</v>
      </c>
      <c r="J708" s="1007"/>
      <c r="K708" s="1007"/>
      <c r="L708" s="586"/>
      <c r="M708" s="567"/>
      <c r="N708" s="587"/>
    </row>
    <row r="709" spans="1:15" s="23" customFormat="1" ht="17.25" customHeight="1">
      <c r="A709" s="1004" t="s">
        <v>68</v>
      </c>
      <c r="B709" s="1008" t="s">
        <v>380</v>
      </c>
      <c r="C709" s="581"/>
      <c r="D709" s="582"/>
      <c r="E709" s="1007"/>
      <c r="F709" s="1036"/>
      <c r="G709" s="1004" t="s">
        <v>68</v>
      </c>
      <c r="H709" s="1008" t="s">
        <v>380</v>
      </c>
      <c r="I709" s="581" t="e">
        <f>VLOOKUP(H707,'CNKT '!#REF!,3,0)</f>
        <v>#REF!</v>
      </c>
      <c r="J709" s="582">
        <v>25000</v>
      </c>
      <c r="K709" s="1007" t="e">
        <f>I709*J709</f>
        <v>#REF!</v>
      </c>
      <c r="L709" s="586"/>
      <c r="M709" s="567"/>
      <c r="N709" s="587"/>
    </row>
    <row r="710" spans="1:15" s="23" customFormat="1" ht="17.25" customHeight="1">
      <c r="A710" s="1004" t="s">
        <v>269</v>
      </c>
      <c r="B710" s="1009" t="s">
        <v>455</v>
      </c>
      <c r="C710" s="1010"/>
      <c r="D710" s="583"/>
      <c r="E710" s="1007"/>
      <c r="F710" s="1036"/>
      <c r="G710" s="1004" t="s">
        <v>269</v>
      </c>
      <c r="H710" s="1009" t="s">
        <v>455</v>
      </c>
      <c r="I710" s="1010"/>
      <c r="J710" s="583"/>
      <c r="K710" s="1007"/>
      <c r="L710" s="586"/>
      <c r="M710" s="567"/>
      <c r="N710" s="587"/>
    </row>
    <row r="711" spans="1:15" s="23" customFormat="1" ht="17.25" customHeight="1">
      <c r="A711" s="1004" t="s">
        <v>356</v>
      </c>
      <c r="B711" s="1009" t="s">
        <v>456</v>
      </c>
      <c r="C711" s="1010"/>
      <c r="D711" s="582"/>
      <c r="E711" s="1007"/>
      <c r="F711" s="1036"/>
      <c r="G711" s="1004" t="s">
        <v>356</v>
      </c>
      <c r="H711" s="1009" t="s">
        <v>456</v>
      </c>
      <c r="I711" s="1010"/>
      <c r="J711" s="582"/>
      <c r="K711" s="1007"/>
      <c r="L711" s="586"/>
      <c r="M711" s="567"/>
      <c r="N711" s="587"/>
    </row>
    <row r="712" spans="1:15" s="23" customFormat="1" ht="17.25" customHeight="1">
      <c r="A712" s="1004" t="s">
        <v>69</v>
      </c>
      <c r="B712" s="1009" t="s">
        <v>457</v>
      </c>
      <c r="C712" s="1010">
        <f>VLOOKUP(B707,'CNKT '!D97:AC97,8,0)</f>
        <v>0</v>
      </c>
      <c r="D712" s="582">
        <f>IF(C708="A",6.1,IF(C708="B",5.8,IF(C708="C",5.5,IF(C708="C.",5.5,IF(C708="D",5.2)))))*$B$2</f>
        <v>4025.7559999999999</v>
      </c>
      <c r="E712" s="1007">
        <f t="shared" ref="E712" si="163">C712*D712</f>
        <v>0</v>
      </c>
      <c r="F712" s="1036"/>
      <c r="G712" s="1004" t="s">
        <v>69</v>
      </c>
      <c r="H712" s="1009" t="s">
        <v>457</v>
      </c>
      <c r="I712" s="1010"/>
      <c r="J712" s="582"/>
      <c r="K712" s="1007"/>
      <c r="L712" s="586"/>
      <c r="M712" s="567"/>
      <c r="N712" s="587"/>
    </row>
    <row r="713" spans="1:15" s="23" customFormat="1" ht="17.25" customHeight="1">
      <c r="A713" s="1004" t="s">
        <v>431</v>
      </c>
      <c r="B713" s="1009" t="s">
        <v>458</v>
      </c>
      <c r="C713" s="1010"/>
      <c r="D713" s="583"/>
      <c r="E713" s="1007"/>
      <c r="F713" s="1036"/>
      <c r="G713" s="1004" t="s">
        <v>431</v>
      </c>
      <c r="H713" s="1009" t="s">
        <v>458</v>
      </c>
      <c r="I713" s="1010"/>
      <c r="J713" s="583"/>
      <c r="K713" s="1007"/>
      <c r="L713" s="586"/>
      <c r="M713" s="567"/>
      <c r="N713" s="587"/>
    </row>
    <row r="714" spans="1:15" s="23" customFormat="1" ht="17.25" customHeight="1">
      <c r="A714" s="1064" t="s">
        <v>432</v>
      </c>
      <c r="B714" s="1065" t="s">
        <v>434</v>
      </c>
      <c r="C714" s="1066"/>
      <c r="D714" s="1067"/>
      <c r="E714" s="1068"/>
      <c r="F714" s="1036"/>
      <c r="G714" s="1064" t="s">
        <v>432</v>
      </c>
      <c r="H714" s="1065" t="s">
        <v>434</v>
      </c>
      <c r="I714" s="1066"/>
      <c r="J714" s="1067"/>
      <c r="K714" s="1068"/>
      <c r="L714" s="586"/>
      <c r="M714" s="567"/>
      <c r="N714" s="587"/>
    </row>
    <row r="715" spans="1:15" s="23" customFormat="1" ht="17.25" customHeight="1">
      <c r="A715" s="1064" t="s">
        <v>394</v>
      </c>
      <c r="B715" s="1065" t="s">
        <v>435</v>
      </c>
      <c r="C715" s="1066"/>
      <c r="D715" s="1067"/>
      <c r="E715" s="1068"/>
      <c r="F715" s="1036"/>
      <c r="G715" s="1064" t="s">
        <v>394</v>
      </c>
      <c r="H715" s="1065" t="s">
        <v>435</v>
      </c>
      <c r="I715" s="1066"/>
      <c r="J715" s="1067"/>
      <c r="K715" s="1068"/>
      <c r="L715" s="586"/>
      <c r="M715" s="567"/>
      <c r="N715" s="587"/>
    </row>
    <row r="716" spans="1:15" s="23" customFormat="1" ht="17.25" customHeight="1">
      <c r="A716" s="1004" t="s">
        <v>394</v>
      </c>
      <c r="B716" s="1009" t="s">
        <v>435</v>
      </c>
      <c r="C716" s="1010"/>
      <c r="D716" s="582"/>
      <c r="E716" s="1007"/>
      <c r="F716" s="1036"/>
      <c r="G716" s="1004" t="s">
        <v>394</v>
      </c>
      <c r="H716" s="1009" t="s">
        <v>435</v>
      </c>
      <c r="I716" s="1010"/>
      <c r="J716" s="582"/>
      <c r="K716" s="1007"/>
      <c r="L716" s="586"/>
      <c r="M716" s="567"/>
      <c r="N716" s="587"/>
    </row>
    <row r="717" spans="1:15" s="23" customFormat="1" ht="17.25" customHeight="1">
      <c r="A717" s="1004" t="s">
        <v>731</v>
      </c>
      <c r="B717" s="1011" t="s">
        <v>732</v>
      </c>
      <c r="C717" s="1010"/>
      <c r="D717" s="582"/>
      <c r="E717" s="1007">
        <f>VLOOKUP(B707,'CNKT '!$D$16:$AG$99,28,0)</f>
        <v>0</v>
      </c>
      <c r="F717" s="1036"/>
      <c r="G717" s="1004" t="s">
        <v>731</v>
      </c>
      <c r="H717" s="1011" t="s">
        <v>732</v>
      </c>
      <c r="I717" s="1010"/>
      <c r="J717" s="582"/>
      <c r="K717" s="1007"/>
      <c r="L717" s="586"/>
      <c r="M717" s="567"/>
      <c r="N717" s="587"/>
    </row>
    <row r="718" spans="1:15" s="23" customFormat="1" ht="17.25" customHeight="1">
      <c r="A718" s="1012" t="s">
        <v>70</v>
      </c>
      <c r="B718" s="1013" t="s">
        <v>459</v>
      </c>
      <c r="C718" s="1014"/>
      <c r="D718" s="1015"/>
      <c r="E718" s="1014"/>
      <c r="F718" s="1036"/>
      <c r="G718" s="1012" t="s">
        <v>70</v>
      </c>
      <c r="H718" s="1013" t="s">
        <v>459</v>
      </c>
      <c r="I718" s="1014"/>
      <c r="J718" s="1015"/>
      <c r="K718" s="1014"/>
      <c r="L718" s="586"/>
      <c r="M718" s="567"/>
      <c r="N718" s="587"/>
    </row>
    <row r="719" spans="1:15" s="23" customFormat="1" ht="17.25" customHeight="1">
      <c r="A719" s="1016" t="s">
        <v>71</v>
      </c>
      <c r="B719" s="1017" t="s">
        <v>460</v>
      </c>
      <c r="C719" s="1014"/>
      <c r="D719" s="1014"/>
      <c r="E719" s="1014"/>
      <c r="F719" s="1036"/>
      <c r="G719" s="1016" t="s">
        <v>71</v>
      </c>
      <c r="H719" s="1017" t="s">
        <v>460</v>
      </c>
      <c r="I719" s="1014"/>
      <c r="J719" s="1014"/>
      <c r="K719" s="1014"/>
      <c r="L719" s="1024">
        <f>E719+K719</f>
        <v>0</v>
      </c>
      <c r="M719" s="587"/>
      <c r="N719" s="567"/>
      <c r="O719" s="587"/>
    </row>
    <row r="720" spans="1:15" s="23" customFormat="1" ht="17.25" customHeight="1">
      <c r="A720" s="1016" t="s">
        <v>72</v>
      </c>
      <c r="B720" s="1018" t="s">
        <v>461</v>
      </c>
      <c r="C720" s="1014"/>
      <c r="D720" s="1014"/>
      <c r="E720" s="1007">
        <f>SUM(E719)</f>
        <v>0</v>
      </c>
      <c r="F720" s="1036"/>
      <c r="G720" s="1016" t="s">
        <v>72</v>
      </c>
      <c r="H720" s="1018" t="s">
        <v>461</v>
      </c>
      <c r="I720" s="1014"/>
      <c r="J720" s="1014"/>
      <c r="K720" s="1007">
        <f>SUM(K719)</f>
        <v>0</v>
      </c>
      <c r="L720" s="1024"/>
      <c r="M720" s="587"/>
      <c r="N720" s="567"/>
      <c r="O720" s="587"/>
    </row>
    <row r="721" spans="1:15" s="23" customFormat="1" ht="17.25" customHeight="1">
      <c r="A721" s="1020" t="s">
        <v>73</v>
      </c>
      <c r="B721" s="1021" t="s">
        <v>381</v>
      </c>
      <c r="C721" s="1022"/>
      <c r="D721" s="1022"/>
      <c r="E721" s="1022">
        <f>(E709+E710+E711+E712+E713+E714+E715+E716+E717)-E720</f>
        <v>0</v>
      </c>
      <c r="F721" s="1036"/>
      <c r="G721" s="1020" t="s">
        <v>73</v>
      </c>
      <c r="H721" s="1021" t="s">
        <v>381</v>
      </c>
      <c r="I721" s="1022"/>
      <c r="J721" s="1022"/>
      <c r="K721" s="1022" t="e">
        <f>(K709+K710+K711+K712+K713+K714+K715+K716+K717)-K720</f>
        <v>#REF!</v>
      </c>
      <c r="L721" s="1024" t="e">
        <f>E721+K721</f>
        <v>#REF!</v>
      </c>
      <c r="M721" s="587"/>
      <c r="N721" s="567"/>
      <c r="O721" s="587"/>
    </row>
    <row r="722" spans="1:15" s="23" customFormat="1" ht="17.25" customHeight="1">
      <c r="A722" s="1069"/>
      <c r="B722" s="1070"/>
      <c r="C722" s="1071"/>
      <c r="D722" s="1071"/>
      <c r="E722" s="1072"/>
      <c r="F722" s="1036"/>
      <c r="G722" s="1047"/>
      <c r="H722" s="1048"/>
      <c r="I722" s="1049"/>
      <c r="J722" s="1049"/>
      <c r="K722" s="1049"/>
      <c r="L722" s="1024"/>
      <c r="M722" s="587"/>
      <c r="N722" s="567"/>
      <c r="O722" s="587"/>
    </row>
    <row r="723" spans="1:15" s="23" customFormat="1" ht="17.25" customHeight="1">
      <c r="A723" s="1653" t="str">
        <f>A706</f>
        <v>LƯƠNG THÁNG 09/2025</v>
      </c>
      <c r="B723" s="1656"/>
      <c r="C723" s="1656"/>
      <c r="D723" s="1656"/>
      <c r="E723" s="998">
        <v>84</v>
      </c>
      <c r="F723" s="1036"/>
      <c r="G723" s="1653" t="str">
        <f>A723</f>
        <v>LƯƠNG THÁNG 09/2025</v>
      </c>
      <c r="H723" s="1656"/>
      <c r="I723" s="1656"/>
      <c r="J723" s="1656"/>
      <c r="K723" s="998">
        <v>85</v>
      </c>
      <c r="L723" s="1024"/>
      <c r="M723" s="587"/>
      <c r="N723" s="567"/>
      <c r="O723" s="587"/>
    </row>
    <row r="724" spans="1:15" s="23" customFormat="1" ht="17.25" customHeight="1">
      <c r="A724" s="1028" t="s">
        <v>13</v>
      </c>
      <c r="B724" s="1000" t="str">
        <f>'CNKT '!D99</f>
        <v>T. Tạch</v>
      </c>
      <c r="C724" s="1001"/>
      <c r="D724" s="1045"/>
      <c r="E724" s="1046" t="s">
        <v>39</v>
      </c>
      <c r="F724" s="1036"/>
      <c r="G724" s="1028" t="s">
        <v>13</v>
      </c>
      <c r="H724" s="1000" t="str">
        <f>'CNKT '!D98</f>
        <v>A. Trí</v>
      </c>
      <c r="I724" s="1001"/>
      <c r="J724" s="1045"/>
      <c r="K724" s="1046" t="s">
        <v>39</v>
      </c>
      <c r="L724" s="1024"/>
      <c r="M724" s="587"/>
      <c r="N724" s="567"/>
      <c r="O724" s="587"/>
    </row>
    <row r="725" spans="1:15" s="23" customFormat="1" ht="17.25" customHeight="1">
      <c r="A725" s="1004" t="s">
        <v>354</v>
      </c>
      <c r="B725" s="1005" t="s">
        <v>454</v>
      </c>
      <c r="C725" s="1006"/>
      <c r="D725" s="1007"/>
      <c r="E725" s="1007"/>
      <c r="F725" s="1036"/>
      <c r="G725" s="1004" t="s">
        <v>354</v>
      </c>
      <c r="H725" s="1005" t="s">
        <v>454</v>
      </c>
      <c r="I725" s="1006"/>
      <c r="J725" s="1007"/>
      <c r="K725" s="1007"/>
      <c r="L725" s="1024"/>
      <c r="M725" s="587"/>
      <c r="N725" s="567"/>
      <c r="O725" s="587"/>
    </row>
    <row r="726" spans="1:15" s="23" customFormat="1" ht="17.25" customHeight="1">
      <c r="A726" s="1004" t="s">
        <v>68</v>
      </c>
      <c r="B726" s="1008" t="s">
        <v>380</v>
      </c>
      <c r="C726" s="581">
        <f>VLOOKUP(B724,'CNKT '!$D$16:$AC$110,3,0)</f>
        <v>0</v>
      </c>
      <c r="D726" s="582">
        <v>25000</v>
      </c>
      <c r="E726" s="1007">
        <f>C726*D726</f>
        <v>0</v>
      </c>
      <c r="F726" s="1036"/>
      <c r="G726" s="1004" t="s">
        <v>68</v>
      </c>
      <c r="H726" s="1008" t="s">
        <v>380</v>
      </c>
      <c r="I726" s="581">
        <f>VLOOKUP(H724,'CNKT '!$D$16:$AC$110,3,0)</f>
        <v>0</v>
      </c>
      <c r="J726" s="582">
        <v>25000</v>
      </c>
      <c r="K726" s="1007">
        <f>I726*J726</f>
        <v>0</v>
      </c>
      <c r="L726" s="1024"/>
      <c r="M726" s="587"/>
      <c r="N726" s="567"/>
      <c r="O726" s="587"/>
    </row>
    <row r="727" spans="1:15" s="23" customFormat="1" ht="17.25" customHeight="1">
      <c r="A727" s="1004" t="s">
        <v>269</v>
      </c>
      <c r="B727" s="1009" t="s">
        <v>455</v>
      </c>
      <c r="C727" s="1010">
        <f>VLOOKUP(B724,'CNKT '!$D$16:$AC$110,11,0)</f>
        <v>0</v>
      </c>
      <c r="D727" s="583">
        <f>46.1*$B$2</f>
        <v>30424.156000000003</v>
      </c>
      <c r="E727" s="1007">
        <f>C727*D727</f>
        <v>0</v>
      </c>
      <c r="F727" s="1036"/>
      <c r="G727" s="1004" t="s">
        <v>269</v>
      </c>
      <c r="H727" s="1009" t="s">
        <v>455</v>
      </c>
      <c r="I727" s="1010">
        <f>VLOOKUP(H724,'CNKT '!$D$16:$AC$110,11,0)</f>
        <v>0</v>
      </c>
      <c r="J727" s="583">
        <f>46.1*$B$2</f>
        <v>30424.156000000003</v>
      </c>
      <c r="K727" s="1007">
        <f>I727*J727</f>
        <v>0</v>
      </c>
      <c r="L727" s="1024"/>
      <c r="M727" s="587"/>
      <c r="N727" s="567"/>
      <c r="O727" s="587"/>
    </row>
    <row r="728" spans="1:15" s="23" customFormat="1" ht="17.25" customHeight="1">
      <c r="A728" s="1004" t="s">
        <v>356</v>
      </c>
      <c r="B728" s="1009" t="s">
        <v>456</v>
      </c>
      <c r="C728" s="1010">
        <f>VLOOKUP(B724,'CNKT '!$D$16:$AC$110,12,0)</f>
        <v>0</v>
      </c>
      <c r="D728" s="582">
        <f>76.9*$B$2</f>
        <v>50750.924000000006</v>
      </c>
      <c r="E728" s="1007">
        <f t="shared" ref="E728:E729" si="164">C728*D728</f>
        <v>0</v>
      </c>
      <c r="F728" s="1036"/>
      <c r="G728" s="1004" t="s">
        <v>356</v>
      </c>
      <c r="H728" s="1009" t="s">
        <v>456</v>
      </c>
      <c r="I728" s="1010">
        <f>VLOOKUP(H724,'CNKT '!$D$16:$AC$110,12,0)</f>
        <v>0</v>
      </c>
      <c r="J728" s="582">
        <f>76.9*$B$2</f>
        <v>50750.924000000006</v>
      </c>
      <c r="K728" s="1007">
        <f t="shared" ref="K728:K729" si="165">I728*J728</f>
        <v>0</v>
      </c>
      <c r="L728" s="1024"/>
      <c r="M728" s="587"/>
      <c r="N728" s="567"/>
      <c r="O728" s="587"/>
    </row>
    <row r="729" spans="1:15" s="23" customFormat="1" ht="17.25" customHeight="1">
      <c r="A729" s="1004" t="s">
        <v>69</v>
      </c>
      <c r="B729" s="1009" t="s">
        <v>457</v>
      </c>
      <c r="C729" s="1010">
        <f>VLOOKUP(B724,'CNKT '!$D$16:$AC$110,8,0)</f>
        <v>0</v>
      </c>
      <c r="D729" s="582">
        <f>IF(C725="A",6.1,IF(C725="B",5.8,IF(C725="C",5.5,IF(C725="C.",5.5,IF(C725="D",5.2)))))*$B$2</f>
        <v>0</v>
      </c>
      <c r="E729" s="1007">
        <f t="shared" si="164"/>
        <v>0</v>
      </c>
      <c r="F729" s="1036"/>
      <c r="G729" s="1004" t="s">
        <v>69</v>
      </c>
      <c r="H729" s="1009" t="s">
        <v>457</v>
      </c>
      <c r="I729" s="1010">
        <f>VLOOKUP(H724,'CNKT '!$D$16:$AC$110,8,0)</f>
        <v>0</v>
      </c>
      <c r="J729" s="582">
        <f>IF(I725="A",6.1,IF(I725="B",5.8,IF(I725="C",5.5,IF(I725="C.",5.5,IF(I725="D",5.2)))))*$B$2</f>
        <v>0</v>
      </c>
      <c r="K729" s="1007">
        <f t="shared" si="165"/>
        <v>0</v>
      </c>
      <c r="L729" s="1024"/>
      <c r="M729" s="587"/>
      <c r="N729" s="567"/>
      <c r="O729" s="587"/>
    </row>
    <row r="730" spans="1:15" s="23" customFormat="1" ht="17.25" customHeight="1">
      <c r="A730" s="1004" t="s">
        <v>431</v>
      </c>
      <c r="B730" s="1009" t="s">
        <v>458</v>
      </c>
      <c r="C730" s="1010">
        <f>VLOOKUP(B724,'CNKT '!$D$16:$AC$110,13,0)</f>
        <v>0</v>
      </c>
      <c r="D730" s="583">
        <v>100000</v>
      </c>
      <c r="E730" s="1007">
        <f>C730*D730</f>
        <v>0</v>
      </c>
      <c r="F730" s="1036"/>
      <c r="G730" s="1004" t="s">
        <v>431</v>
      </c>
      <c r="H730" s="1009" t="s">
        <v>458</v>
      </c>
      <c r="I730" s="1010">
        <f>VLOOKUP(H724,'CNKT '!$D$16:$AC$110,13,0)</f>
        <v>0</v>
      </c>
      <c r="J730" s="583">
        <v>100000</v>
      </c>
      <c r="K730" s="1007">
        <f>I730*J730</f>
        <v>0</v>
      </c>
      <c r="L730" s="1024"/>
      <c r="M730" s="587"/>
      <c r="N730" s="567"/>
      <c r="O730" s="587"/>
    </row>
    <row r="731" spans="1:15" s="23" customFormat="1" ht="17.25" customHeight="1">
      <c r="A731" s="1004" t="s">
        <v>432</v>
      </c>
      <c r="B731" s="1009" t="s">
        <v>434</v>
      </c>
      <c r="C731" s="1010">
        <f>VLOOKUP(B724,'CNKT '!$D$16:$AC$110,16,0)</f>
        <v>0</v>
      </c>
      <c r="D731" s="582">
        <f>153.8*$B$2</f>
        <v>101501.84800000001</v>
      </c>
      <c r="E731" s="1007">
        <f t="shared" ref="E731" si="166">C731*D731</f>
        <v>0</v>
      </c>
      <c r="F731" s="1036"/>
      <c r="G731" s="1004" t="s">
        <v>432</v>
      </c>
      <c r="H731" s="1009" t="s">
        <v>434</v>
      </c>
      <c r="I731" s="1010">
        <f>VLOOKUP(H724,'CNKT '!$D$16:$AC$110,16,0)</f>
        <v>0</v>
      </c>
      <c r="J731" s="582">
        <f>153.8*$B$2</f>
        <v>101501.84800000001</v>
      </c>
      <c r="K731" s="1007">
        <f t="shared" ref="K731" si="167">I731*J731</f>
        <v>0</v>
      </c>
      <c r="L731" s="1024"/>
      <c r="M731" s="587"/>
      <c r="N731" s="567"/>
      <c r="O731" s="587"/>
    </row>
    <row r="732" spans="1:15" s="23" customFormat="1" ht="17.25" customHeight="1">
      <c r="A732" s="1004" t="s">
        <v>394</v>
      </c>
      <c r="B732" s="1009" t="s">
        <v>435</v>
      </c>
      <c r="C732" s="1010">
        <f>VLOOKUP(B724,'CNKT '!$D$16:$AC$110,18,0)</f>
        <v>0</v>
      </c>
      <c r="D732" s="582">
        <v>10000</v>
      </c>
      <c r="E732" s="1007">
        <f>C732*D732</f>
        <v>0</v>
      </c>
      <c r="F732" s="1036"/>
      <c r="G732" s="1004" t="s">
        <v>394</v>
      </c>
      <c r="H732" s="1009" t="s">
        <v>435</v>
      </c>
      <c r="I732" s="1010">
        <f>VLOOKUP(H724,'CNKT '!$D$16:$AC$110,18,0)</f>
        <v>0</v>
      </c>
      <c r="J732" s="582">
        <v>10000</v>
      </c>
      <c r="K732" s="1007">
        <f>I732*J732</f>
        <v>0</v>
      </c>
      <c r="L732" s="1024"/>
      <c r="M732" s="587"/>
      <c r="N732" s="567"/>
      <c r="O732" s="587"/>
    </row>
    <row r="733" spans="1:15" s="23" customFormat="1" ht="17.25" customHeight="1">
      <c r="A733" s="1004" t="s">
        <v>394</v>
      </c>
      <c r="B733" s="1009" t="s">
        <v>435</v>
      </c>
      <c r="C733" s="1010">
        <f>VLOOKUP(B724,'CNKT '!$D$16:$AC$100,19,0)</f>
        <v>0</v>
      </c>
      <c r="D733" s="582">
        <v>20000</v>
      </c>
      <c r="E733" s="1007">
        <f>C733*D733</f>
        <v>0</v>
      </c>
      <c r="F733" s="1036"/>
      <c r="G733" s="1004" t="s">
        <v>394</v>
      </c>
      <c r="H733" s="1009" t="s">
        <v>435</v>
      </c>
      <c r="I733" s="1010">
        <f>VLOOKUP(H724,'CNKT '!$D$16:$AC$100,19,0)</f>
        <v>0</v>
      </c>
      <c r="J733" s="582">
        <v>20000</v>
      </c>
      <c r="K733" s="1007">
        <f>I733*J733</f>
        <v>0</v>
      </c>
      <c r="L733" s="1024"/>
      <c r="M733" s="587"/>
      <c r="N733" s="567"/>
      <c r="O733" s="587"/>
    </row>
    <row r="734" spans="1:15" s="23" customFormat="1" ht="17.25" customHeight="1">
      <c r="A734" s="1004" t="s">
        <v>731</v>
      </c>
      <c r="B734" s="1011" t="s">
        <v>732</v>
      </c>
      <c r="C734" s="1010"/>
      <c r="D734" s="582"/>
      <c r="E734" s="1007">
        <f>VLOOKUP(B724,'CNKT '!$D$16:$AG$99,28,0)</f>
        <v>0</v>
      </c>
      <c r="F734" s="1036"/>
      <c r="G734" s="1004" t="s">
        <v>731</v>
      </c>
      <c r="H734" s="1011" t="s">
        <v>732</v>
      </c>
      <c r="I734" s="1010"/>
      <c r="J734" s="582"/>
      <c r="K734" s="1007">
        <f>VLOOKUP(H724,'CNKT '!$D$16:$AG$99,28,0)</f>
        <v>0</v>
      </c>
      <c r="L734" s="1024"/>
      <c r="M734" s="587"/>
      <c r="N734" s="567"/>
      <c r="O734" s="587"/>
    </row>
    <row r="735" spans="1:15" s="23" customFormat="1" ht="17.25" customHeight="1">
      <c r="A735" s="1012" t="s">
        <v>70</v>
      </c>
      <c r="B735" s="1013" t="s">
        <v>459</v>
      </c>
      <c r="C735" s="1014"/>
      <c r="D735" s="1015"/>
      <c r="E735" s="1014"/>
      <c r="F735" s="1036"/>
      <c r="G735" s="1012" t="s">
        <v>70</v>
      </c>
      <c r="H735" s="1013" t="s">
        <v>459</v>
      </c>
      <c r="I735" s="1014"/>
      <c r="J735" s="1015"/>
      <c r="K735" s="1014"/>
      <c r="L735" s="1024"/>
      <c r="M735" s="587"/>
      <c r="N735" s="567"/>
      <c r="O735" s="587"/>
    </row>
    <row r="736" spans="1:15" s="23" customFormat="1" ht="17.25" customHeight="1">
      <c r="A736" s="1016" t="s">
        <v>71</v>
      </c>
      <c r="B736" s="1017" t="s">
        <v>460</v>
      </c>
      <c r="C736" s="1014"/>
      <c r="D736" s="1014"/>
      <c r="E736" s="1014"/>
      <c r="F736" s="1036"/>
      <c r="G736" s="1016" t="s">
        <v>71</v>
      </c>
      <c r="H736" s="1017" t="s">
        <v>460</v>
      </c>
      <c r="I736" s="1014"/>
      <c r="J736" s="1014"/>
      <c r="K736" s="1014"/>
      <c r="L736" s="1024"/>
      <c r="M736" s="587"/>
      <c r="N736" s="567"/>
      <c r="O736" s="587"/>
    </row>
    <row r="737" spans="1:16" s="23" customFormat="1" ht="17.25" customHeight="1">
      <c r="A737" s="1016" t="s">
        <v>72</v>
      </c>
      <c r="B737" s="1018" t="s">
        <v>461</v>
      </c>
      <c r="C737" s="1014"/>
      <c r="D737" s="1014"/>
      <c r="E737" s="1007">
        <f>SUM(E736)</f>
        <v>0</v>
      </c>
      <c r="F737" s="1036"/>
      <c r="G737" s="1016" t="s">
        <v>72</v>
      </c>
      <c r="H737" s="1018" t="s">
        <v>461</v>
      </c>
      <c r="I737" s="1014"/>
      <c r="J737" s="1014"/>
      <c r="K737" s="1007">
        <f>SUM(K736)</f>
        <v>0</v>
      </c>
      <c r="L737" s="1024"/>
      <c r="M737" s="587"/>
      <c r="N737" s="567"/>
      <c r="O737" s="587"/>
    </row>
    <row r="738" spans="1:16" s="23" customFormat="1" ht="17.25" customHeight="1">
      <c r="A738" s="1020" t="s">
        <v>73</v>
      </c>
      <c r="B738" s="1021" t="s">
        <v>381</v>
      </c>
      <c r="C738" s="1022"/>
      <c r="D738" s="1022"/>
      <c r="E738" s="1022">
        <f>(E726+E727+E728+E729+E730+E731+E732+E733+E734)-E737</f>
        <v>0</v>
      </c>
      <c r="F738" s="1036"/>
      <c r="G738" s="1020" t="s">
        <v>73</v>
      </c>
      <c r="H738" s="1021" t="s">
        <v>381</v>
      </c>
      <c r="I738" s="1022"/>
      <c r="J738" s="1022"/>
      <c r="K738" s="1022">
        <f>(K726+K727+K728+K729+K730+K731+K732+K733+K734)-K737</f>
        <v>0</v>
      </c>
      <c r="L738" s="1024">
        <f>K738+E738</f>
        <v>0</v>
      </c>
      <c r="M738" s="587"/>
      <c r="N738" s="567"/>
      <c r="O738" s="587"/>
    </row>
    <row r="739" spans="1:16" s="23" customFormat="1" ht="17.25" customHeight="1">
      <c r="A739" s="1047"/>
      <c r="B739" s="1048"/>
      <c r="C739" s="1049"/>
      <c r="D739" s="1049"/>
      <c r="E739" s="1049"/>
      <c r="F739" s="1036"/>
      <c r="G739" s="1047"/>
      <c r="H739" s="1048"/>
      <c r="I739" s="1049"/>
      <c r="J739" s="1050"/>
      <c r="K739" s="1049"/>
      <c r="L739" s="1024"/>
      <c r="M739" s="567"/>
      <c r="N739" s="587"/>
    </row>
    <row r="740" spans="1:16" s="23" customFormat="1" ht="17.25" customHeight="1">
      <c r="A740" s="1658"/>
      <c r="B740" s="1658"/>
      <c r="C740" s="1658"/>
      <c r="D740" s="1658"/>
      <c r="E740" s="1658"/>
      <c r="F740" s="1658"/>
      <c r="G740" s="1658"/>
      <c r="H740" s="1658"/>
      <c r="I740" s="1658"/>
      <c r="J740" s="1659"/>
      <c r="K740" s="1036"/>
      <c r="L740" s="999"/>
      <c r="M740" s="587" t="e">
        <f>SUM(L12:L738)</f>
        <v>#VALUE!</v>
      </c>
      <c r="N740" s="567">
        <f>'CNKT '!AC15</f>
        <v>585445993</v>
      </c>
      <c r="O740" s="918"/>
      <c r="P740" s="587" t="e">
        <f>M740-N740-O740</f>
        <v>#VALUE!</v>
      </c>
    </row>
    <row r="741" spans="1:16" s="23" customFormat="1" ht="17.25" customHeight="1">
      <c r="A741" s="1660"/>
      <c r="B741" s="1660"/>
      <c r="C741" s="1660"/>
      <c r="D741" s="1660"/>
      <c r="E741" s="1660"/>
      <c r="F741" s="1036"/>
      <c r="G741" s="1660"/>
      <c r="H741" s="1660"/>
      <c r="I741" s="1660"/>
      <c r="J741" s="1660"/>
      <c r="K741" s="1036"/>
      <c r="L741" s="999"/>
      <c r="M741" s="1051"/>
    </row>
    <row r="742" spans="1:16" s="23" customFormat="1" ht="17.25" customHeight="1">
      <c r="A742" s="1029"/>
      <c r="B742" s="1034"/>
      <c r="C742" s="1035"/>
      <c r="D742" s="1035"/>
      <c r="E742" s="1033"/>
      <c r="F742" s="1033"/>
      <c r="G742" s="1029"/>
      <c r="H742" s="1034"/>
      <c r="I742" s="1035"/>
      <c r="J742" s="1033"/>
      <c r="K742" s="1036"/>
      <c r="L742" s="999"/>
    </row>
    <row r="743" spans="1:16" s="23" customFormat="1" ht="17.25" customHeight="1">
      <c r="A743" s="1027" t="s">
        <v>718</v>
      </c>
      <c r="B743" s="1027"/>
      <c r="C743" s="1027"/>
      <c r="D743" s="1027"/>
      <c r="E743" s="1027"/>
      <c r="F743" s="1027"/>
      <c r="G743" s="1027"/>
      <c r="H743" s="1027"/>
      <c r="I743" s="1027"/>
      <c r="J743" s="1027"/>
      <c r="L743" s="1024"/>
      <c r="M743" s="587"/>
      <c r="N743" s="587"/>
      <c r="O743" s="1051"/>
    </row>
    <row r="744" spans="1:16" s="23" customFormat="1" ht="17.25" customHeight="1">
      <c r="A744" s="1036"/>
      <c r="B744" s="1036"/>
      <c r="C744" s="1036"/>
      <c r="D744" s="1036"/>
      <c r="E744" s="1036"/>
      <c r="F744" s="1036"/>
      <c r="G744" s="1036"/>
      <c r="H744" s="1036"/>
      <c r="I744" s="1036"/>
      <c r="J744" s="1036"/>
      <c r="L744" s="1024"/>
      <c r="M744" s="587"/>
      <c r="N744" s="587"/>
      <c r="O744" s="1051"/>
    </row>
    <row r="745" spans="1:16" s="23" customFormat="1" ht="17.25" customHeight="1">
      <c r="A745" s="1052" t="str">
        <f>A723</f>
        <v>LƯƠNG THÁNG 09/2025</v>
      </c>
      <c r="B745" s="1053"/>
      <c r="C745" s="1053"/>
      <c r="D745" s="1053"/>
      <c r="E745" s="1054">
        <f>VLOOKUP(B746,'CNKT '!$D$101:$AF$165,26,0)</f>
        <v>8066234</v>
      </c>
      <c r="F745" s="595"/>
      <c r="G745" s="1052" t="str">
        <f>A745</f>
        <v>LƯƠNG THÁNG 09/2025</v>
      </c>
      <c r="H745" s="1053"/>
      <c r="I745" s="1053"/>
      <c r="J745" s="1053"/>
      <c r="K745" s="1054">
        <f>VLOOKUP(H746,'CNKT '!$D$101:$AF$165,26,0)</f>
        <v>7801213</v>
      </c>
      <c r="L745" s="1024"/>
      <c r="M745" s="587"/>
      <c r="N745" s="587"/>
      <c r="O745" s="1051"/>
    </row>
    <row r="746" spans="1:16" s="23" customFormat="1" ht="17.25" customHeight="1">
      <c r="A746" s="1028" t="s">
        <v>13</v>
      </c>
      <c r="B746" s="1000" t="str">
        <f>'CNKT '!D101</f>
        <v xml:space="preserve">T. Lun </v>
      </c>
      <c r="C746" s="1006"/>
      <c r="D746" s="1000" t="s">
        <v>353</v>
      </c>
      <c r="E746" s="1000" t="s">
        <v>16</v>
      </c>
      <c r="F746" s="1055"/>
      <c r="G746" s="1028" t="s">
        <v>13</v>
      </c>
      <c r="H746" s="1000" t="str">
        <f>'CNKT '!D102</f>
        <v>N. Keo</v>
      </c>
      <c r="I746" s="1006"/>
      <c r="J746" s="1000" t="s">
        <v>353</v>
      </c>
      <c r="K746" s="1000" t="s">
        <v>16</v>
      </c>
      <c r="L746" s="1056"/>
    </row>
    <row r="747" spans="1:16" s="23" customFormat="1" ht="17.25" customHeight="1">
      <c r="A747" s="1004" t="s">
        <v>354</v>
      </c>
      <c r="B747" s="1005" t="s">
        <v>454</v>
      </c>
      <c r="C747" s="1006">
        <f>VLOOKUP(B746,'SẢN LƯỢNG'!$D$98:$AR$160,37,0)</f>
        <v>4099</v>
      </c>
      <c r="D747" s="1007"/>
      <c r="E747" s="1007"/>
      <c r="F747" s="1055"/>
      <c r="G747" s="1004" t="s">
        <v>354</v>
      </c>
      <c r="H747" s="1005" t="s">
        <v>454</v>
      </c>
      <c r="I747" s="1006">
        <f>VLOOKUP(H746,'SẢN LƯỢNG'!$D$98:$AR$160,37,0)</f>
        <v>4332</v>
      </c>
      <c r="J747" s="1007"/>
      <c r="K747" s="1007"/>
      <c r="L747" s="999"/>
      <c r="M747" s="1051"/>
    </row>
    <row r="748" spans="1:16" s="23" customFormat="1" ht="17.25" customHeight="1">
      <c r="A748" s="1004" t="s">
        <v>68</v>
      </c>
      <c r="B748" s="1008" t="s">
        <v>380</v>
      </c>
      <c r="C748" s="581">
        <f>VLOOKUP(B746,'CNKT '!$D$100:$AC$165,3,0)</f>
        <v>0</v>
      </c>
      <c r="D748" s="582">
        <v>25000</v>
      </c>
      <c r="E748" s="1007">
        <f t="shared" ref="E748:E753" si="168">C748*D748</f>
        <v>0</v>
      </c>
      <c r="F748" s="1055"/>
      <c r="G748" s="1004" t="s">
        <v>68</v>
      </c>
      <c r="H748" s="1008" t="s">
        <v>380</v>
      </c>
      <c r="I748" s="581">
        <f>VLOOKUP(H746,'CNKT '!$D$100:$AC$165,3,0)</f>
        <v>0</v>
      </c>
      <c r="J748" s="582">
        <v>25000</v>
      </c>
      <c r="K748" s="1007">
        <f t="shared" ref="K748:K753" si="169">I748*J748</f>
        <v>0</v>
      </c>
      <c r="L748" s="999"/>
    </row>
    <row r="749" spans="1:16" s="23" customFormat="1" ht="17.25" customHeight="1">
      <c r="A749" s="1004" t="s">
        <v>269</v>
      </c>
      <c r="B749" s="1009" t="s">
        <v>455</v>
      </c>
      <c r="C749" s="1010" t="str">
        <f>VLOOKUP(B746,'CNKT '!$D$100:$AC$165,11,0)</f>
        <v>A</v>
      </c>
      <c r="D749" s="583">
        <f>46.1*$B$2</f>
        <v>30424.156000000003</v>
      </c>
      <c r="E749" s="1007" t="e">
        <f t="shared" si="168"/>
        <v>#VALUE!</v>
      </c>
      <c r="F749" s="1055"/>
      <c r="G749" s="1004" t="s">
        <v>269</v>
      </c>
      <c r="H749" s="1009" t="s">
        <v>455</v>
      </c>
      <c r="I749" s="1010" t="str">
        <f>VLOOKUP(H746,'CNKT '!$D$100:$AC$165,11,0)</f>
        <v>A</v>
      </c>
      <c r="J749" s="583">
        <f>46.1*$B$2</f>
        <v>30424.156000000003</v>
      </c>
      <c r="K749" s="1007" t="e">
        <f t="shared" si="169"/>
        <v>#VALUE!</v>
      </c>
      <c r="L749" s="999"/>
    </row>
    <row r="750" spans="1:16" s="23" customFormat="1" ht="17.25" customHeight="1">
      <c r="A750" s="1004" t="s">
        <v>356</v>
      </c>
      <c r="B750" s="1009" t="s">
        <v>456</v>
      </c>
      <c r="C750" s="1010">
        <f>VLOOKUP(B746,'CNKT '!$D$100:$AC$165,12,0)</f>
        <v>6619949</v>
      </c>
      <c r="D750" s="582">
        <f>76.9*$B$2</f>
        <v>50750.924000000006</v>
      </c>
      <c r="E750" s="1007">
        <f t="shared" si="168"/>
        <v>335968528582.87604</v>
      </c>
      <c r="F750" s="1055"/>
      <c r="G750" s="1004" t="s">
        <v>356</v>
      </c>
      <c r="H750" s="1009" t="s">
        <v>456</v>
      </c>
      <c r="I750" s="1010">
        <f>VLOOKUP(H746,'CNKT '!$D$100:$AC$165,12,0)</f>
        <v>6385353</v>
      </c>
      <c r="J750" s="582">
        <f>76.9*$B$2</f>
        <v>50750.924000000006</v>
      </c>
      <c r="K750" s="1007">
        <f t="shared" si="169"/>
        <v>324062564816.17206</v>
      </c>
      <c r="L750" s="999"/>
    </row>
    <row r="751" spans="1:16" s="23" customFormat="1" ht="17.25" customHeight="1">
      <c r="A751" s="1004" t="s">
        <v>69</v>
      </c>
      <c r="B751" s="1009" t="s">
        <v>457</v>
      </c>
      <c r="C751" s="1010">
        <f>VLOOKUP(B746,'CNKT '!$D$100:$AC$165,8,0)</f>
        <v>1636.8456893926971</v>
      </c>
      <c r="D751" s="582">
        <f>IF(C747="A",6.1,IF(C747="B",5.8,IF(C747="C",5.5,IF(C747="C.",5.5,IF(C747="D",5.2)))))*$B$2</f>
        <v>0</v>
      </c>
      <c r="E751" s="1007">
        <f t="shared" si="168"/>
        <v>0</v>
      </c>
      <c r="F751" s="1055"/>
      <c r="G751" s="1004" t="s">
        <v>69</v>
      </c>
      <c r="H751" s="1009" t="s">
        <v>457</v>
      </c>
      <c r="I751" s="1010">
        <f>VLOOKUP(H746,'CNKT '!$D$100:$AC$165,8,0)</f>
        <v>1565.9827814072303</v>
      </c>
      <c r="J751" s="582">
        <f>IF(I747="A",6.1,IF(I747="B",5.8,IF(I747="C",5.5,IF(I747="C.",5.5,IF(I747="D",5.2)))))*$B$2</f>
        <v>0</v>
      </c>
      <c r="K751" s="1007">
        <f t="shared" si="169"/>
        <v>0</v>
      </c>
      <c r="L751" s="999"/>
    </row>
    <row r="752" spans="1:16" s="23" customFormat="1" ht="17.25" customHeight="1">
      <c r="A752" s="1064" t="s">
        <v>433</v>
      </c>
      <c r="B752" s="1065" t="s">
        <v>458</v>
      </c>
      <c r="C752" s="1066">
        <f>VLOOKUP(B746,'CNKT '!$D$99:$AC$165,13,0)</f>
        <v>26</v>
      </c>
      <c r="D752" s="1074">
        <f>92.2*$B$2</f>
        <v>60848.312000000005</v>
      </c>
      <c r="E752" s="1068">
        <f t="shared" si="168"/>
        <v>1582056.1120000002</v>
      </c>
      <c r="F752" s="1055"/>
      <c r="G752" s="1064" t="s">
        <v>433</v>
      </c>
      <c r="H752" s="1065" t="s">
        <v>458</v>
      </c>
      <c r="I752" s="1066">
        <f>VLOOKUP(H746,'CNKT '!$D$99:$AC$165,13,0)</f>
        <v>25</v>
      </c>
      <c r="J752" s="1074">
        <f>92.2*$B$2</f>
        <v>60848.312000000005</v>
      </c>
      <c r="K752" s="1068">
        <f t="shared" si="169"/>
        <v>1521207.8</v>
      </c>
      <c r="L752" s="999"/>
    </row>
    <row r="753" spans="1:13" s="23" customFormat="1" ht="19.5" customHeight="1">
      <c r="A753" s="1004" t="s">
        <v>390</v>
      </c>
      <c r="B753" s="1009" t="s">
        <v>434</v>
      </c>
      <c r="C753" s="1010">
        <f>VLOOKUP(B746,'CNKT '!$D$100:$AC$165,14,0)</f>
        <v>1</v>
      </c>
      <c r="D753" s="582">
        <f>153.6*$B$2</f>
        <v>101369.856</v>
      </c>
      <c r="E753" s="1007">
        <f t="shared" si="168"/>
        <v>101369.856</v>
      </c>
      <c r="F753" s="1055"/>
      <c r="G753" s="1004" t="s">
        <v>390</v>
      </c>
      <c r="H753" s="1009" t="s">
        <v>434</v>
      </c>
      <c r="I753" s="1010">
        <f>VLOOKUP(H746,'CNKT '!$D$100:$AC$165,14,0)</f>
        <v>1</v>
      </c>
      <c r="J753" s="582">
        <f>153.6*$B$2</f>
        <v>101369.856</v>
      </c>
      <c r="K753" s="1007">
        <f t="shared" si="169"/>
        <v>101369.856</v>
      </c>
      <c r="L753" s="999"/>
    </row>
    <row r="754" spans="1:13" s="23" customFormat="1" ht="17.25" customHeight="1">
      <c r="A754" s="1064" t="s">
        <v>781</v>
      </c>
      <c r="B754" s="1065" t="s">
        <v>435</v>
      </c>
      <c r="C754" s="1066">
        <f>VLOOKUP(B746,'CNKT '!$D$101:$AC$165,18,0)</f>
        <v>0</v>
      </c>
      <c r="D754" s="1067">
        <v>100000</v>
      </c>
      <c r="E754" s="1068">
        <f>C754*D754</f>
        <v>0</v>
      </c>
      <c r="F754" s="1055"/>
      <c r="G754" s="1064" t="s">
        <v>781</v>
      </c>
      <c r="H754" s="1065" t="s">
        <v>435</v>
      </c>
      <c r="I754" s="1066">
        <f>VLOOKUP(H746,'CNKT '!$D$101:$AC$165,18,0)</f>
        <v>0</v>
      </c>
      <c r="J754" s="1067">
        <v>100000</v>
      </c>
      <c r="K754" s="1068">
        <f>I754*J754</f>
        <v>0</v>
      </c>
      <c r="L754" s="999"/>
    </row>
    <row r="755" spans="1:13" s="23" customFormat="1" ht="17.25" customHeight="1">
      <c r="A755" s="1004" t="s">
        <v>394</v>
      </c>
      <c r="B755" s="1009" t="s">
        <v>435</v>
      </c>
      <c r="C755" s="1010">
        <f>VLOOKUP(B746,'CNKT '!$D$101:$AC$165,19,0)</f>
        <v>0</v>
      </c>
      <c r="D755" s="582">
        <v>20000</v>
      </c>
      <c r="E755" s="1007">
        <f>C755*D755</f>
        <v>0</v>
      </c>
      <c r="F755" s="1055"/>
      <c r="G755" s="1004" t="s">
        <v>394</v>
      </c>
      <c r="H755" s="1009" t="s">
        <v>435</v>
      </c>
      <c r="I755" s="1010">
        <f>VLOOKUP(H746,'CNKT '!$D$101:$AC$165,19,0)</f>
        <v>0</v>
      </c>
      <c r="J755" s="582">
        <v>20000</v>
      </c>
      <c r="K755" s="1007">
        <f>I755*J755</f>
        <v>0</v>
      </c>
      <c r="L755" s="999"/>
    </row>
    <row r="756" spans="1:13" s="23" customFormat="1" ht="17.25" customHeight="1">
      <c r="A756" s="1004" t="s">
        <v>731</v>
      </c>
      <c r="B756" s="1011" t="s">
        <v>732</v>
      </c>
      <c r="C756" s="1010"/>
      <c r="D756" s="582"/>
      <c r="E756" s="1007">
        <f>VLOOKUP(B746,'CNKT '!$D$101:$AG$165,28,0)</f>
        <v>1</v>
      </c>
      <c r="F756" s="1055"/>
      <c r="G756" s="1004" t="s">
        <v>731</v>
      </c>
      <c r="H756" s="1011" t="s">
        <v>732</v>
      </c>
      <c r="I756" s="1010"/>
      <c r="J756" s="582"/>
      <c r="K756" s="1007">
        <f>VLOOKUP(H746,'CNKT '!$D$101:$AG$165,28,0)</f>
        <v>2</v>
      </c>
      <c r="L756" s="999"/>
    </row>
    <row r="757" spans="1:13" s="23" customFormat="1" ht="17.25" customHeight="1">
      <c r="A757" s="1012" t="s">
        <v>70</v>
      </c>
      <c r="B757" s="1013" t="s">
        <v>459</v>
      </c>
      <c r="C757" s="1014"/>
      <c r="D757" s="1015"/>
      <c r="E757" s="1014"/>
      <c r="F757" s="1055"/>
      <c r="G757" s="1012" t="s">
        <v>70</v>
      </c>
      <c r="H757" s="1013" t="s">
        <v>459</v>
      </c>
      <c r="I757" s="1014"/>
      <c r="J757" s="1015"/>
      <c r="K757" s="1014"/>
      <c r="L757" s="999"/>
    </row>
    <row r="758" spans="1:13" s="23" customFormat="1" ht="17.25" customHeight="1">
      <c r="A758" s="1016" t="s">
        <v>71</v>
      </c>
      <c r="B758" s="1017" t="s">
        <v>460</v>
      </c>
      <c r="C758" s="1014"/>
      <c r="D758" s="1014"/>
      <c r="E758" s="1014"/>
      <c r="F758" s="1055"/>
      <c r="G758" s="1016" t="s">
        <v>71</v>
      </c>
      <c r="H758" s="1017" t="s">
        <v>460</v>
      </c>
      <c r="I758" s="1014"/>
      <c r="J758" s="1014"/>
      <c r="K758" s="1014"/>
      <c r="L758" s="999"/>
    </row>
    <row r="759" spans="1:13" s="23" customFormat="1" ht="17.25" customHeight="1">
      <c r="A759" s="1016" t="s">
        <v>72</v>
      </c>
      <c r="B759" s="1018" t="s">
        <v>461</v>
      </c>
      <c r="C759" s="1014"/>
      <c r="D759" s="1014"/>
      <c r="E759" s="1007">
        <f>SUM(E758)</f>
        <v>0</v>
      </c>
      <c r="F759" s="1057"/>
      <c r="G759" s="1016" t="s">
        <v>72</v>
      </c>
      <c r="H759" s="1018" t="s">
        <v>461</v>
      </c>
      <c r="I759" s="1014"/>
      <c r="J759" s="1014"/>
      <c r="K759" s="1007">
        <f>SUM(K758)</f>
        <v>0</v>
      </c>
      <c r="L759" s="999"/>
      <c r="M759" s="1019">
        <f>E759+K759</f>
        <v>0</v>
      </c>
    </row>
    <row r="760" spans="1:13" s="23" customFormat="1" ht="17.25" customHeight="1">
      <c r="A760" s="1020" t="s">
        <v>73</v>
      </c>
      <c r="B760" s="1021" t="s">
        <v>381</v>
      </c>
      <c r="C760" s="1022"/>
      <c r="D760" s="1022"/>
      <c r="E760" s="1022" t="e">
        <f>(E748+E749+E750+E751+E752+E753+E754+E755+E756)-E759</f>
        <v>#VALUE!</v>
      </c>
      <c r="F760" s="1055"/>
      <c r="G760" s="1020" t="s">
        <v>73</v>
      </c>
      <c r="H760" s="1021" t="s">
        <v>381</v>
      </c>
      <c r="I760" s="1022"/>
      <c r="J760" s="1022"/>
      <c r="K760" s="1022" t="e">
        <f>(K748+K749+K750+K751+K752+K753+K754+K755+K756)-K759</f>
        <v>#VALUE!</v>
      </c>
      <c r="L760" s="1024" t="e">
        <f>E760+K760</f>
        <v>#VALUE!</v>
      </c>
    </row>
    <row r="761" spans="1:13" s="23" customFormat="1" ht="17.25" customHeight="1">
      <c r="A761" s="1058"/>
      <c r="B761" s="1058"/>
      <c r="C761" s="1058"/>
      <c r="D761" s="1058"/>
      <c r="E761" s="1058"/>
      <c r="F761" s="1058"/>
      <c r="G761" s="1058"/>
      <c r="H761" s="1058"/>
      <c r="I761" s="1058"/>
      <c r="J761" s="1058"/>
      <c r="K761" s="1058"/>
      <c r="L761" s="999"/>
    </row>
    <row r="762" spans="1:13" s="23" customFormat="1" ht="17.25" customHeight="1">
      <c r="A762" s="1059" t="str">
        <f>A745</f>
        <v>LƯƠNG THÁNG 09/2025</v>
      </c>
      <c r="B762" s="1058"/>
      <c r="C762" s="1058"/>
      <c r="D762" s="1058"/>
      <c r="E762" s="1054">
        <f>VLOOKUP(B763,'CNKT '!$D$101:$AF$165,26,0)</f>
        <v>8058720</v>
      </c>
      <c r="F762" s="1055"/>
      <c r="G762" s="1059" t="str">
        <f>G745</f>
        <v>LƯƠNG THÁNG 09/2025</v>
      </c>
      <c r="H762" s="1058"/>
      <c r="I762" s="1058"/>
      <c r="J762" s="1058"/>
      <c r="K762" s="1054">
        <f>VLOOKUP(H763,'CNKT '!$D$101:$AF$165,26,0)</f>
        <v>8189627</v>
      </c>
      <c r="L762" s="999"/>
    </row>
    <row r="763" spans="1:13" s="23" customFormat="1" ht="17.25" customHeight="1">
      <c r="A763" s="1028" t="s">
        <v>13</v>
      </c>
      <c r="B763" s="1000" t="str">
        <f>'CNKT '!D103</f>
        <v>T .Nhum</v>
      </c>
      <c r="C763" s="1006"/>
      <c r="D763" s="1000" t="s">
        <v>353</v>
      </c>
      <c r="E763" s="1000" t="s">
        <v>16</v>
      </c>
      <c r="F763" s="1055"/>
      <c r="G763" s="1028" t="s">
        <v>13</v>
      </c>
      <c r="H763" s="1000" t="str">
        <f>'CNKT '!D104</f>
        <v>N.Vông Ma Ni</v>
      </c>
      <c r="I763" s="1006"/>
      <c r="J763" s="1000" t="s">
        <v>353</v>
      </c>
      <c r="K763" s="1000" t="s">
        <v>16</v>
      </c>
      <c r="L763" s="999"/>
    </row>
    <row r="764" spans="1:13" s="23" customFormat="1" ht="17.25" customHeight="1">
      <c r="A764" s="1004" t="s">
        <v>354</v>
      </c>
      <c r="B764" s="1005" t="s">
        <v>454</v>
      </c>
      <c r="C764" s="1006">
        <f>VLOOKUP(B763,'SẢN LƯỢNG'!$D$98:$AR$160,37,0)</f>
        <v>3851</v>
      </c>
      <c r="D764" s="1007"/>
      <c r="E764" s="1007"/>
      <c r="F764" s="1055"/>
      <c r="G764" s="1004" t="s">
        <v>354</v>
      </c>
      <c r="H764" s="1005" t="s">
        <v>454</v>
      </c>
      <c r="I764" s="1006">
        <f>VLOOKUP(H763,'SẢN LƯỢNG'!$D$98:$AR$160,37,0)</f>
        <v>3696</v>
      </c>
      <c r="J764" s="1007"/>
      <c r="K764" s="1007"/>
      <c r="L764" s="999"/>
    </row>
    <row r="765" spans="1:13" s="23" customFormat="1" ht="17.25" customHeight="1">
      <c r="A765" s="1004" t="s">
        <v>68</v>
      </c>
      <c r="B765" s="1008" t="s">
        <v>380</v>
      </c>
      <c r="C765" s="581">
        <f>VLOOKUP(B763,'CNKT '!$D$100:$AC$165,3,0)</f>
        <v>0</v>
      </c>
      <c r="D765" s="582">
        <v>25000</v>
      </c>
      <c r="E765" s="1007">
        <f t="shared" ref="E765:E770" si="170">C765*D765</f>
        <v>0</v>
      </c>
      <c r="F765" s="1055"/>
      <c r="G765" s="1004" t="s">
        <v>68</v>
      </c>
      <c r="H765" s="1008" t="s">
        <v>380</v>
      </c>
      <c r="I765" s="581">
        <f>VLOOKUP(H763,'CNKT '!$D$100:$AC$165,3,0)</f>
        <v>0</v>
      </c>
      <c r="J765" s="582">
        <v>25000</v>
      </c>
      <c r="K765" s="1007">
        <f t="shared" ref="K765:K770" si="171">I765*J765</f>
        <v>0</v>
      </c>
      <c r="L765" s="999"/>
    </row>
    <row r="766" spans="1:13" s="23" customFormat="1" ht="17.25" customHeight="1">
      <c r="A766" s="1004" t="s">
        <v>269</v>
      </c>
      <c r="B766" s="1009" t="s">
        <v>455</v>
      </c>
      <c r="C766" s="1010" t="str">
        <f>VLOOKUP(B763,'CNKT '!$D$100:$AC$165,11,0)</f>
        <v>A</v>
      </c>
      <c r="D766" s="583">
        <f>46.1*$B$2</f>
        <v>30424.156000000003</v>
      </c>
      <c r="E766" s="1007" t="e">
        <f t="shared" si="170"/>
        <v>#VALUE!</v>
      </c>
      <c r="F766" s="1055"/>
      <c r="G766" s="1004" t="s">
        <v>269</v>
      </c>
      <c r="H766" s="1009" t="s">
        <v>455</v>
      </c>
      <c r="I766" s="1010" t="str">
        <f>VLOOKUP(H763,'CNKT '!$D$100:$AC$165,11,0)</f>
        <v>A</v>
      </c>
      <c r="J766" s="583">
        <f>46.1*$B$2</f>
        <v>30424.156000000003</v>
      </c>
      <c r="K766" s="1007" t="e">
        <f t="shared" si="171"/>
        <v>#VALUE!</v>
      </c>
      <c r="L766" s="999"/>
    </row>
    <row r="767" spans="1:13" s="23" customFormat="1" ht="17.25" customHeight="1">
      <c r="A767" s="1004" t="s">
        <v>356</v>
      </c>
      <c r="B767" s="1009" t="s">
        <v>456</v>
      </c>
      <c r="C767" s="1010">
        <f>VLOOKUP(B763,'CNKT '!$D$100:$AC$165,12,0)</f>
        <v>6582011</v>
      </c>
      <c r="D767" s="582">
        <f>76.9*$B$2</f>
        <v>50750.924000000006</v>
      </c>
      <c r="E767" s="1007">
        <f t="shared" si="170"/>
        <v>334043140028.16406</v>
      </c>
      <c r="F767" s="1055"/>
      <c r="G767" s="1004" t="s">
        <v>356</v>
      </c>
      <c r="H767" s="1009" t="s">
        <v>456</v>
      </c>
      <c r="I767" s="1010">
        <f>VLOOKUP(H763,'CNKT '!$D$100:$AC$165,12,0)</f>
        <v>6743342</v>
      </c>
      <c r="J767" s="582">
        <f>76.9*$B$2</f>
        <v>50750.924000000006</v>
      </c>
      <c r="K767" s="1007">
        <f t="shared" si="171"/>
        <v>342230837348.00806</v>
      </c>
      <c r="L767" s="999"/>
    </row>
    <row r="768" spans="1:13" s="23" customFormat="1" ht="17.25" customHeight="1">
      <c r="A768" s="1004" t="s">
        <v>69</v>
      </c>
      <c r="B768" s="1009" t="s">
        <v>457</v>
      </c>
      <c r="C768" s="1010">
        <f>VLOOKUP(B763,'CNKT '!$D$100:$AC$165,8,0)</f>
        <v>1635.095987960957</v>
      </c>
      <c r="D768" s="582">
        <f>IF(C764="A",6.1,IF(C764="B",5.8,IF(C764="C",5.5,IF(C764="C.",5.5,IF(C764="D",5.2)))))*$B$2</f>
        <v>0</v>
      </c>
      <c r="E768" s="1007">
        <f t="shared" si="170"/>
        <v>0</v>
      </c>
      <c r="F768" s="1055"/>
      <c r="G768" s="1004" t="s">
        <v>69</v>
      </c>
      <c r="H768" s="1009" t="s">
        <v>457</v>
      </c>
      <c r="I768" s="1010">
        <f>VLOOKUP(H763,'CNKT '!$D$100:$AC$165,8,0)</f>
        <v>1683.6502026917399</v>
      </c>
      <c r="J768" s="582">
        <f>IF(I764="A",6.1,IF(I764="B",5.8,IF(I764="C",5.5,IF(I764="C.",5.5,IF(I764="D",5.2)))))*$B$2</f>
        <v>0</v>
      </c>
      <c r="K768" s="1007">
        <f t="shared" si="171"/>
        <v>0</v>
      </c>
      <c r="L768" s="999"/>
    </row>
    <row r="769" spans="1:12" s="23" customFormat="1" ht="17.25" customHeight="1">
      <c r="A769" s="1064" t="s">
        <v>433</v>
      </c>
      <c r="B769" s="1065" t="s">
        <v>458</v>
      </c>
      <c r="C769" s="1066">
        <f>VLOOKUP(B763,'CNKT '!$D$99:$AC$165,13,0)</f>
        <v>27</v>
      </c>
      <c r="D769" s="1074">
        <f>92.2*$B$2</f>
        <v>60848.312000000005</v>
      </c>
      <c r="E769" s="1068">
        <f t="shared" si="170"/>
        <v>1642904.4240000001</v>
      </c>
      <c r="F769" s="1055"/>
      <c r="G769" s="1064" t="s">
        <v>433</v>
      </c>
      <c r="H769" s="1065" t="s">
        <v>458</v>
      </c>
      <c r="I769" s="1066">
        <f>VLOOKUP(H763,'CNKT '!$D$99:$AC$165,13,0)</f>
        <v>26</v>
      </c>
      <c r="J769" s="1074">
        <f>92.2*$B$2</f>
        <v>60848.312000000005</v>
      </c>
      <c r="K769" s="1068">
        <f t="shared" si="171"/>
        <v>1582056.1120000002</v>
      </c>
      <c r="L769" s="999"/>
    </row>
    <row r="770" spans="1:12" s="23" customFormat="1" ht="17.25" customHeight="1">
      <c r="A770" s="1004" t="s">
        <v>390</v>
      </c>
      <c r="B770" s="1009" t="s">
        <v>434</v>
      </c>
      <c r="C770" s="1010">
        <f>VLOOKUP(B763,'CNKT '!$D$100:$AC$165,14,0)</f>
        <v>1</v>
      </c>
      <c r="D770" s="582">
        <f>153.6*$B$2</f>
        <v>101369.856</v>
      </c>
      <c r="E770" s="1007">
        <f t="shared" si="170"/>
        <v>101369.856</v>
      </c>
      <c r="F770" s="1055"/>
      <c r="G770" s="1004" t="s">
        <v>390</v>
      </c>
      <c r="H770" s="1009" t="s">
        <v>434</v>
      </c>
      <c r="I770" s="1010">
        <f>VLOOKUP(H763,'CNKT '!$D$100:$AC$165,14,0)</f>
        <v>1</v>
      </c>
      <c r="J770" s="582">
        <f>153.6*$B$2</f>
        <v>101369.856</v>
      </c>
      <c r="K770" s="1007">
        <f t="shared" si="171"/>
        <v>101369.856</v>
      </c>
      <c r="L770" s="999"/>
    </row>
    <row r="771" spans="1:12" s="23" customFormat="1" ht="17.25" customHeight="1">
      <c r="A771" s="1064" t="s">
        <v>781</v>
      </c>
      <c r="B771" s="1065" t="s">
        <v>435</v>
      </c>
      <c r="C771" s="1066">
        <f>VLOOKUP(B763,'CNKT '!$D$101:$AC$165,18,0)</f>
        <v>0</v>
      </c>
      <c r="D771" s="1067">
        <v>100000</v>
      </c>
      <c r="E771" s="1068">
        <f>C771*D771</f>
        <v>0</v>
      </c>
      <c r="F771" s="1055"/>
      <c r="G771" s="1064" t="s">
        <v>781</v>
      </c>
      <c r="H771" s="1065" t="s">
        <v>435</v>
      </c>
      <c r="I771" s="1066">
        <f>VLOOKUP(H763,'CNKT '!$D$101:$AC$165,18,0)</f>
        <v>0</v>
      </c>
      <c r="J771" s="1067">
        <v>100000</v>
      </c>
      <c r="K771" s="1068">
        <f>I771*J771</f>
        <v>0</v>
      </c>
      <c r="L771" s="999"/>
    </row>
    <row r="772" spans="1:12" s="23" customFormat="1" ht="17.25" customHeight="1">
      <c r="A772" s="1004" t="s">
        <v>394</v>
      </c>
      <c r="B772" s="1009" t="s">
        <v>435</v>
      </c>
      <c r="C772" s="1010">
        <f>VLOOKUP(B763,'CNKT '!$D$101:$AC$165,19,0)</f>
        <v>0</v>
      </c>
      <c r="D772" s="582">
        <v>20000</v>
      </c>
      <c r="E772" s="1007">
        <f>C772*D772</f>
        <v>0</v>
      </c>
      <c r="F772" s="1055"/>
      <c r="G772" s="1004" t="s">
        <v>394</v>
      </c>
      <c r="H772" s="1009" t="s">
        <v>435</v>
      </c>
      <c r="I772" s="1010">
        <f>VLOOKUP(H763,'CNKT '!$D$101:$AC$165,19,0)</f>
        <v>0</v>
      </c>
      <c r="J772" s="582">
        <v>20000</v>
      </c>
      <c r="K772" s="1007">
        <f>I772*J772</f>
        <v>0</v>
      </c>
      <c r="L772" s="999"/>
    </row>
    <row r="773" spans="1:12" s="23" customFormat="1" ht="17.25" customHeight="1">
      <c r="A773" s="1004" t="s">
        <v>731</v>
      </c>
      <c r="B773" s="1011" t="s">
        <v>732</v>
      </c>
      <c r="C773" s="1010"/>
      <c r="D773" s="582"/>
      <c r="E773" s="1007">
        <f>VLOOKUP(B763,'CNKT '!$D$101:$AG$165,28,0)</f>
        <v>3</v>
      </c>
      <c r="F773" s="1055"/>
      <c r="G773" s="1004" t="s">
        <v>731</v>
      </c>
      <c r="H773" s="1011" t="s">
        <v>732</v>
      </c>
      <c r="I773" s="1010"/>
      <c r="J773" s="582"/>
      <c r="K773" s="1007">
        <f>VLOOKUP(H763,'CNKT '!$D$101:$AG$165,28,0)</f>
        <v>4</v>
      </c>
      <c r="L773" s="999"/>
    </row>
    <row r="774" spans="1:12" s="23" customFormat="1" ht="17.25" customHeight="1">
      <c r="A774" s="1012" t="s">
        <v>70</v>
      </c>
      <c r="B774" s="1013" t="s">
        <v>459</v>
      </c>
      <c r="C774" s="1014"/>
      <c r="D774" s="1015"/>
      <c r="E774" s="1014"/>
      <c r="F774" s="1055"/>
      <c r="G774" s="1012" t="s">
        <v>70</v>
      </c>
      <c r="H774" s="1013" t="s">
        <v>459</v>
      </c>
      <c r="I774" s="1014"/>
      <c r="J774" s="1015"/>
      <c r="K774" s="1014"/>
      <c r="L774" s="999"/>
    </row>
    <row r="775" spans="1:12" s="23" customFormat="1" ht="17.25" customHeight="1">
      <c r="A775" s="1016" t="s">
        <v>71</v>
      </c>
      <c r="B775" s="1017" t="s">
        <v>460</v>
      </c>
      <c r="C775" s="1014"/>
      <c r="D775" s="1014"/>
      <c r="E775" s="1014"/>
      <c r="F775" s="1055"/>
      <c r="G775" s="1016" t="s">
        <v>71</v>
      </c>
      <c r="H775" s="1017" t="s">
        <v>460</v>
      </c>
      <c r="I775" s="1014"/>
      <c r="J775" s="1014"/>
      <c r="K775" s="1014"/>
      <c r="L775" s="999"/>
    </row>
    <row r="776" spans="1:12" s="23" customFormat="1" ht="17.25" customHeight="1">
      <c r="A776" s="1016" t="s">
        <v>72</v>
      </c>
      <c r="B776" s="1018" t="s">
        <v>461</v>
      </c>
      <c r="C776" s="1014"/>
      <c r="D776" s="1014"/>
      <c r="E776" s="1007">
        <f>SUM(E775)</f>
        <v>0</v>
      </c>
      <c r="F776" s="1010"/>
      <c r="G776" s="1016" t="s">
        <v>72</v>
      </c>
      <c r="H776" s="1018" t="s">
        <v>461</v>
      </c>
      <c r="I776" s="1014"/>
      <c r="J776" s="1014"/>
      <c r="K776" s="1007">
        <f>SUM(K775)</f>
        <v>0</v>
      </c>
      <c r="L776" s="999"/>
    </row>
    <row r="777" spans="1:12" s="23" customFormat="1" ht="17.25" customHeight="1">
      <c r="A777" s="1020" t="s">
        <v>73</v>
      </c>
      <c r="B777" s="1021" t="s">
        <v>381</v>
      </c>
      <c r="C777" s="1022"/>
      <c r="D777" s="1022"/>
      <c r="E777" s="1022" t="e">
        <f>(E765+E766+E767+E768+E769+E770+E771+E772+E773)-E776</f>
        <v>#VALUE!</v>
      </c>
      <c r="F777" s="1055"/>
      <c r="G777" s="1020" t="s">
        <v>73</v>
      </c>
      <c r="H777" s="1021" t="s">
        <v>381</v>
      </c>
      <c r="I777" s="1022"/>
      <c r="J777" s="1022"/>
      <c r="K777" s="1022" t="e">
        <f>(K765+K766+K767+K768+K769+K770+K771+K772+K773)-K776</f>
        <v>#VALUE!</v>
      </c>
      <c r="L777" s="1024" t="e">
        <f>E777+K777</f>
        <v>#VALUE!</v>
      </c>
    </row>
    <row r="778" spans="1:12" s="23" customFormat="1" ht="17.25" customHeight="1">
      <c r="A778" s="1058"/>
      <c r="B778" s="1058"/>
      <c r="C778" s="1058"/>
      <c r="D778" s="1058"/>
      <c r="E778" s="1058"/>
      <c r="F778" s="1058"/>
      <c r="G778" s="1058"/>
      <c r="H778" s="1058"/>
      <c r="I778" s="1058"/>
      <c r="J778" s="1058"/>
      <c r="K778" s="1058"/>
      <c r="L778" s="999"/>
    </row>
    <row r="779" spans="1:12" s="23" customFormat="1" ht="17.25" customHeight="1">
      <c r="A779" s="1059" t="str">
        <f>A762</f>
        <v>LƯƠNG THÁNG 09/2025</v>
      </c>
      <c r="B779" s="1058"/>
      <c r="C779" s="1058"/>
      <c r="D779" s="1058"/>
      <c r="E779" s="1054">
        <f>VLOOKUP(B780,'CNKT '!$D$101:$AF$165,26,0)</f>
        <v>7867026</v>
      </c>
      <c r="F779" s="1055"/>
      <c r="G779" s="1059" t="str">
        <f>G762</f>
        <v>LƯƠNG THÁNG 09/2025</v>
      </c>
      <c r="H779" s="1058"/>
      <c r="I779" s="1058"/>
      <c r="J779" s="1058"/>
      <c r="K779" s="1054">
        <f>VLOOKUP(H780,'CNKT '!$D$101:$AF$165,26,0)</f>
        <v>6978793</v>
      </c>
      <c r="L779" s="999"/>
    </row>
    <row r="780" spans="1:12" s="23" customFormat="1" ht="17.25" customHeight="1">
      <c r="A780" s="1028" t="s">
        <v>13</v>
      </c>
      <c r="B780" s="1000" t="str">
        <f>'CNKT '!D105</f>
        <v>Đao Hương</v>
      </c>
      <c r="C780" s="1006"/>
      <c r="D780" s="1000" t="s">
        <v>353</v>
      </c>
      <c r="E780" s="1000" t="s">
        <v>16</v>
      </c>
      <c r="F780" s="1055"/>
      <c r="G780" s="1028" t="s">
        <v>13</v>
      </c>
      <c r="H780" s="1000" t="str">
        <f>'CNKT '!D106</f>
        <v>T. Xi Nun</v>
      </c>
      <c r="I780" s="1006"/>
      <c r="J780" s="1000" t="s">
        <v>353</v>
      </c>
      <c r="K780" s="1000" t="s">
        <v>16</v>
      </c>
      <c r="L780" s="999"/>
    </row>
    <row r="781" spans="1:12" s="23" customFormat="1" ht="17.25" customHeight="1">
      <c r="A781" s="1004" t="s">
        <v>354</v>
      </c>
      <c r="B781" s="1005" t="s">
        <v>454</v>
      </c>
      <c r="C781" s="1006">
        <f>VLOOKUP(B780,'SẢN LƯỢNG'!$D$98:$AR$160,37,0)</f>
        <v>3659</v>
      </c>
      <c r="D781" s="1007"/>
      <c r="E781" s="1007"/>
      <c r="F781" s="1055"/>
      <c r="G781" s="1004" t="s">
        <v>354</v>
      </c>
      <c r="H781" s="1005" t="s">
        <v>454</v>
      </c>
      <c r="I781" s="1006">
        <f>VLOOKUP(H780,'SẢN LƯỢNG'!$D$98:$AR$160,37,0)</f>
        <v>4836</v>
      </c>
      <c r="J781" s="1007"/>
      <c r="K781" s="1007"/>
      <c r="L781" s="999"/>
    </row>
    <row r="782" spans="1:12" s="23" customFormat="1" ht="17.25" customHeight="1">
      <c r="A782" s="1004" t="s">
        <v>68</v>
      </c>
      <c r="B782" s="1008" t="s">
        <v>380</v>
      </c>
      <c r="C782" s="581">
        <f>VLOOKUP(B780,'CNKT '!$D$100:$AC$165,3,0)</f>
        <v>0</v>
      </c>
      <c r="D782" s="582">
        <v>25000</v>
      </c>
      <c r="E782" s="1007">
        <f t="shared" ref="E782:E787" si="172">C782*D782</f>
        <v>0</v>
      </c>
      <c r="F782" s="1055"/>
      <c r="G782" s="1004" t="s">
        <v>68</v>
      </c>
      <c r="H782" s="1008" t="s">
        <v>380</v>
      </c>
      <c r="I782" s="581">
        <f>VLOOKUP(H780,'CNKT '!$D$100:$AC$165,3,0)</f>
        <v>0</v>
      </c>
      <c r="J782" s="582">
        <v>25000</v>
      </c>
      <c r="K782" s="1007">
        <f t="shared" ref="K782:K787" si="173">I782*J782</f>
        <v>0</v>
      </c>
      <c r="L782" s="999"/>
    </row>
    <row r="783" spans="1:12" s="23" customFormat="1" ht="17.25" customHeight="1">
      <c r="A783" s="1004" t="s">
        <v>269</v>
      </c>
      <c r="B783" s="1009" t="s">
        <v>455</v>
      </c>
      <c r="C783" s="1010" t="str">
        <f>VLOOKUP(B780,'CNKT '!$D$100:$AC$165,11,0)</f>
        <v>A</v>
      </c>
      <c r="D783" s="583">
        <f>46.1*$B$2</f>
        <v>30424.156000000003</v>
      </c>
      <c r="E783" s="1007" t="e">
        <f t="shared" si="172"/>
        <v>#VALUE!</v>
      </c>
      <c r="F783" s="1055"/>
      <c r="G783" s="1004" t="s">
        <v>269</v>
      </c>
      <c r="H783" s="1009" t="s">
        <v>455</v>
      </c>
      <c r="I783" s="1010" t="str">
        <f>VLOOKUP(H780,'CNKT '!$D$100:$AC$165,11,0)</f>
        <v>B</v>
      </c>
      <c r="J783" s="583">
        <f>46.1*$B$2</f>
        <v>30424.156000000003</v>
      </c>
      <c r="K783" s="1007" t="e">
        <f t="shared" si="173"/>
        <v>#VALUE!</v>
      </c>
      <c r="L783" s="999"/>
    </row>
    <row r="784" spans="1:12" s="23" customFormat="1" ht="17.25" customHeight="1">
      <c r="A784" s="1004" t="s">
        <v>356</v>
      </c>
      <c r="B784" s="1009" t="s">
        <v>456</v>
      </c>
      <c r="C784" s="1010">
        <f>VLOOKUP(B780,'CNKT '!$D$100:$AC$165,12,0)</f>
        <v>6420741</v>
      </c>
      <c r="D784" s="582">
        <f>76.9*$B$2</f>
        <v>50750.924000000006</v>
      </c>
      <c r="E784" s="1007">
        <f t="shared" si="172"/>
        <v>325858538514.68402</v>
      </c>
      <c r="F784" s="1055"/>
      <c r="G784" s="1004" t="s">
        <v>356</v>
      </c>
      <c r="H784" s="1009" t="s">
        <v>456</v>
      </c>
      <c r="I784" s="1010">
        <f>VLOOKUP(H780,'CNKT '!$D$100:$AC$165,12,0)</f>
        <v>5916555</v>
      </c>
      <c r="J784" s="582">
        <f>76.9*$B$2</f>
        <v>50750.924000000006</v>
      </c>
      <c r="K784" s="1007">
        <f t="shared" si="173"/>
        <v>300270633146.82001</v>
      </c>
      <c r="L784" s="999"/>
    </row>
    <row r="785" spans="1:12" s="23" customFormat="1" ht="17.25" customHeight="1">
      <c r="A785" s="1004" t="s">
        <v>69</v>
      </c>
      <c r="B785" s="1009" t="s">
        <v>457</v>
      </c>
      <c r="C785" s="1010">
        <f>VLOOKUP(B780,'CNKT '!$D$100:$AC$165,8,0)</f>
        <v>1598.3522578944187</v>
      </c>
      <c r="D785" s="582">
        <f>IF(C781="A",6.1,IF(C781="B",5.8,IF(C781="C",5.5,IF(C781="C.",5.5,IF(C781="D",5.2)))))*$B$2</f>
        <v>0</v>
      </c>
      <c r="E785" s="1007">
        <f t="shared" si="172"/>
        <v>0</v>
      </c>
      <c r="F785" s="1055"/>
      <c r="G785" s="1004" t="s">
        <v>69</v>
      </c>
      <c r="H785" s="1009" t="s">
        <v>457</v>
      </c>
      <c r="I785" s="1010">
        <f>VLOOKUP(H780,'CNKT '!$D$100:$AC$165,8,0)</f>
        <v>1505.180656654268</v>
      </c>
      <c r="J785" s="582">
        <f>IF(I781="A",6.1,IF(I781="B",5.8,IF(I781="C",5.5,IF(I781="C.",5.5,IF(I781="D",5.2)))))*$B$2</f>
        <v>0</v>
      </c>
      <c r="K785" s="1007">
        <f t="shared" si="173"/>
        <v>0</v>
      </c>
      <c r="L785" s="999"/>
    </row>
    <row r="786" spans="1:12" s="23" customFormat="1" ht="17.25" customHeight="1">
      <c r="A786" s="1064" t="s">
        <v>433</v>
      </c>
      <c r="B786" s="1065" t="s">
        <v>458</v>
      </c>
      <c r="C786" s="1066">
        <f>VLOOKUP(B780,'CNKT '!$D$99:$AC$165,13,0)</f>
        <v>26</v>
      </c>
      <c r="D786" s="1074">
        <f>92.2*$B$2</f>
        <v>60848.312000000005</v>
      </c>
      <c r="E786" s="1068">
        <f t="shared" si="172"/>
        <v>1582056.1120000002</v>
      </c>
      <c r="F786" s="1055"/>
      <c r="G786" s="1064" t="s">
        <v>433</v>
      </c>
      <c r="H786" s="1065" t="s">
        <v>458</v>
      </c>
      <c r="I786" s="1066">
        <f>VLOOKUP(H780,'CNKT '!$D$99:$AC$165,13,0)</f>
        <v>20</v>
      </c>
      <c r="J786" s="1074">
        <f>92.2*$B$2</f>
        <v>60848.312000000005</v>
      </c>
      <c r="K786" s="1068">
        <f t="shared" si="173"/>
        <v>1216966.2400000002</v>
      </c>
      <c r="L786" s="999"/>
    </row>
    <row r="787" spans="1:12" s="23" customFormat="1" ht="17.25" customHeight="1">
      <c r="A787" s="1004" t="s">
        <v>390</v>
      </c>
      <c r="B787" s="1009" t="s">
        <v>434</v>
      </c>
      <c r="C787" s="1010">
        <f>VLOOKUP(B780,'CNKT '!$D$100:$AC$165,14,0)</f>
        <v>1</v>
      </c>
      <c r="D787" s="582">
        <f>153.6*$B$2</f>
        <v>101369.856</v>
      </c>
      <c r="E787" s="1007">
        <f t="shared" si="172"/>
        <v>101369.856</v>
      </c>
      <c r="F787" s="1055"/>
      <c r="G787" s="1004" t="s">
        <v>390</v>
      </c>
      <c r="H787" s="1009" t="s">
        <v>434</v>
      </c>
      <c r="I787" s="1010">
        <f>VLOOKUP(H780,'CNKT '!$D$100:$AC$165,14,0)</f>
        <v>1</v>
      </c>
      <c r="J787" s="582">
        <f>153.6*$B$2</f>
        <v>101369.856</v>
      </c>
      <c r="K787" s="1007">
        <f t="shared" si="173"/>
        <v>101369.856</v>
      </c>
      <c r="L787" s="999"/>
    </row>
    <row r="788" spans="1:12" s="23" customFormat="1" ht="17.25" customHeight="1">
      <c r="A788" s="1064" t="s">
        <v>781</v>
      </c>
      <c r="B788" s="1065" t="s">
        <v>435</v>
      </c>
      <c r="C788" s="1066">
        <f>VLOOKUP(B780,'CNKT '!$D$101:$AC$165,18,0)</f>
        <v>0</v>
      </c>
      <c r="D788" s="1067">
        <v>100000</v>
      </c>
      <c r="E788" s="1068">
        <f>C788*D788</f>
        <v>0</v>
      </c>
      <c r="F788" s="1055"/>
      <c r="G788" s="1064" t="s">
        <v>781</v>
      </c>
      <c r="H788" s="1065" t="s">
        <v>435</v>
      </c>
      <c r="I788" s="1066">
        <f>VLOOKUP(H780,'CNKT '!$D$101:$AC$165,18,0)</f>
        <v>0</v>
      </c>
      <c r="J788" s="1067">
        <v>100000</v>
      </c>
      <c r="K788" s="1068">
        <f>I788*J788</f>
        <v>0</v>
      </c>
      <c r="L788" s="999"/>
    </row>
    <row r="789" spans="1:12" s="23" customFormat="1" ht="17.25" customHeight="1">
      <c r="A789" s="1004" t="s">
        <v>394</v>
      </c>
      <c r="B789" s="1009" t="s">
        <v>435</v>
      </c>
      <c r="C789" s="1010">
        <f>VLOOKUP(B780,'CNKT '!$D$101:$AC$165,19,0)</f>
        <v>0</v>
      </c>
      <c r="D789" s="582">
        <v>20000</v>
      </c>
      <c r="E789" s="1007">
        <f>C789*D789</f>
        <v>0</v>
      </c>
      <c r="F789" s="1055"/>
      <c r="G789" s="1004" t="s">
        <v>394</v>
      </c>
      <c r="H789" s="1009" t="s">
        <v>435</v>
      </c>
      <c r="I789" s="1010">
        <f>VLOOKUP(H780,'CNKT '!$D$101:$AC$165,19,0)</f>
        <v>0</v>
      </c>
      <c r="J789" s="582">
        <v>20000</v>
      </c>
      <c r="K789" s="1007">
        <f>I789*J789</f>
        <v>0</v>
      </c>
      <c r="L789" s="999"/>
    </row>
    <row r="790" spans="1:12" s="23" customFormat="1" ht="17.25" customHeight="1">
      <c r="A790" s="1004" t="s">
        <v>731</v>
      </c>
      <c r="B790" s="1011" t="s">
        <v>732</v>
      </c>
      <c r="C790" s="1010"/>
      <c r="D790" s="582"/>
      <c r="E790" s="1007">
        <f>VLOOKUP(B780,'CNKT '!$D$101:$AG$165,28,0)</f>
        <v>5</v>
      </c>
      <c r="F790" s="1055"/>
      <c r="G790" s="1004" t="s">
        <v>731</v>
      </c>
      <c r="H790" s="1011" t="s">
        <v>732</v>
      </c>
      <c r="I790" s="1010"/>
      <c r="J790" s="582"/>
      <c r="K790" s="1007">
        <f>VLOOKUP(H780,'CNKT '!$D$101:$AG$165,28,0)</f>
        <v>6</v>
      </c>
      <c r="L790" s="999"/>
    </row>
    <row r="791" spans="1:12" s="23" customFormat="1" ht="17.25" customHeight="1">
      <c r="A791" s="1012" t="s">
        <v>70</v>
      </c>
      <c r="B791" s="1013" t="s">
        <v>459</v>
      </c>
      <c r="C791" s="1014"/>
      <c r="D791" s="1015"/>
      <c r="E791" s="1014"/>
      <c r="F791" s="1055"/>
      <c r="G791" s="1012" t="s">
        <v>70</v>
      </c>
      <c r="H791" s="1013" t="s">
        <v>459</v>
      </c>
      <c r="I791" s="1014"/>
      <c r="J791" s="1015"/>
      <c r="K791" s="1014"/>
      <c r="L791" s="999"/>
    </row>
    <row r="792" spans="1:12" s="23" customFormat="1" ht="17.25" customHeight="1">
      <c r="A792" s="1016" t="s">
        <v>71</v>
      </c>
      <c r="B792" s="1017" t="s">
        <v>460</v>
      </c>
      <c r="C792" s="1014"/>
      <c r="D792" s="1014"/>
      <c r="E792" s="1014"/>
      <c r="F792" s="1055"/>
      <c r="G792" s="1016" t="s">
        <v>71</v>
      </c>
      <c r="H792" s="1017" t="s">
        <v>460</v>
      </c>
      <c r="I792" s="1014"/>
      <c r="J792" s="1014"/>
      <c r="K792" s="1014"/>
      <c r="L792" s="999"/>
    </row>
    <row r="793" spans="1:12" s="23" customFormat="1" ht="17.25" customHeight="1">
      <c r="A793" s="1016" t="s">
        <v>72</v>
      </c>
      <c r="B793" s="1018" t="s">
        <v>461</v>
      </c>
      <c r="C793" s="1014"/>
      <c r="D793" s="1014"/>
      <c r="E793" s="1007">
        <f>SUM(E792)</f>
        <v>0</v>
      </c>
      <c r="F793" s="1055"/>
      <c r="G793" s="1016" t="s">
        <v>72</v>
      </c>
      <c r="H793" s="1018" t="s">
        <v>461</v>
      </c>
      <c r="I793" s="1014"/>
      <c r="J793" s="1014"/>
      <c r="K793" s="1007">
        <f>SUM(K792)</f>
        <v>0</v>
      </c>
      <c r="L793" s="999"/>
    </row>
    <row r="794" spans="1:12" s="23" customFormat="1" ht="17.25" customHeight="1">
      <c r="A794" s="1020" t="s">
        <v>73</v>
      </c>
      <c r="B794" s="1021" t="s">
        <v>381</v>
      </c>
      <c r="C794" s="1022"/>
      <c r="D794" s="1022"/>
      <c r="E794" s="1022" t="e">
        <f>(E782+E783+E784+E785+E786+E787+E788+E789+E790)-E793</f>
        <v>#VALUE!</v>
      </c>
      <c r="F794" s="588"/>
      <c r="G794" s="1020" t="s">
        <v>73</v>
      </c>
      <c r="H794" s="1021" t="s">
        <v>381</v>
      </c>
      <c r="I794" s="1022"/>
      <c r="J794" s="1022"/>
      <c r="K794" s="1022" t="e">
        <f>(K782+K783+K784+K785+K786+K787+K788+K789+K790)-K793</f>
        <v>#VALUE!</v>
      </c>
      <c r="L794" s="1024" t="e">
        <f>E794+K794</f>
        <v>#VALUE!</v>
      </c>
    </row>
    <row r="795" spans="1:12" s="23" customFormat="1" ht="21" customHeight="1">
      <c r="A795" s="1058"/>
      <c r="B795" s="1058"/>
      <c r="C795" s="1058"/>
      <c r="D795" s="1058"/>
      <c r="E795" s="1058"/>
      <c r="F795" s="1058"/>
      <c r="G795" s="1058"/>
      <c r="H795" s="1058"/>
      <c r="I795" s="1058"/>
      <c r="J795" s="1058"/>
      <c r="K795" s="1058"/>
      <c r="L795" s="999"/>
    </row>
    <row r="796" spans="1:12" s="23" customFormat="1" ht="17.25" customHeight="1">
      <c r="A796" s="1059" t="str">
        <f>A779</f>
        <v>LƯƠNG THÁNG 09/2025</v>
      </c>
      <c r="B796" s="1058"/>
      <c r="C796" s="1058"/>
      <c r="D796" s="1058"/>
      <c r="E796" s="1054">
        <f>VLOOKUP(B797,'CNKT '!$D$101:$AF$165,26,0)</f>
        <v>6602237</v>
      </c>
      <c r="F796" s="1055"/>
      <c r="G796" s="1059" t="str">
        <f>G779</f>
        <v>LƯƠNG THÁNG 09/2025</v>
      </c>
      <c r="H796" s="1058"/>
      <c r="I796" s="1058"/>
      <c r="J796" s="1058"/>
      <c r="K796" s="1054">
        <f>VLOOKUP(H797,'CNKT '!$D$101:$AF$165,26,0)</f>
        <v>4999755</v>
      </c>
      <c r="L796" s="999"/>
    </row>
    <row r="797" spans="1:12" s="23" customFormat="1" ht="17.25" customHeight="1">
      <c r="A797" s="1028" t="s">
        <v>13</v>
      </c>
      <c r="B797" s="1000" t="str">
        <f>'CNKT '!D107</f>
        <v>T. Bun Hinh</v>
      </c>
      <c r="C797" s="1006"/>
      <c r="D797" s="1000" t="s">
        <v>353</v>
      </c>
      <c r="E797" s="1000" t="s">
        <v>16</v>
      </c>
      <c r="F797" s="1055"/>
      <c r="G797" s="1028" t="s">
        <v>13</v>
      </c>
      <c r="H797" s="1000" t="str">
        <f>'CNKT '!D108</f>
        <v>T. Miềng</v>
      </c>
      <c r="I797" s="1006"/>
      <c r="J797" s="1000" t="s">
        <v>353</v>
      </c>
      <c r="K797" s="1000" t="s">
        <v>16</v>
      </c>
      <c r="L797" s="999"/>
    </row>
    <row r="798" spans="1:12" s="23" customFormat="1" ht="17.25" customHeight="1">
      <c r="A798" s="1004" t="s">
        <v>354</v>
      </c>
      <c r="B798" s="1005" t="s">
        <v>454</v>
      </c>
      <c r="C798" s="1006">
        <f>VLOOKUP(B797,'SẢN LƯỢNG'!$D$98:$AR$160,37,0)</f>
        <v>3280</v>
      </c>
      <c r="D798" s="1007"/>
      <c r="E798" s="1007"/>
      <c r="F798" s="1055"/>
      <c r="G798" s="1004" t="s">
        <v>354</v>
      </c>
      <c r="H798" s="1005" t="s">
        <v>454</v>
      </c>
      <c r="I798" s="1006">
        <f>VLOOKUP(H797,'SẢN LƯỢNG'!$D$98:$AR$160,37,0)</f>
        <v>3374</v>
      </c>
      <c r="J798" s="1007"/>
      <c r="K798" s="1007"/>
      <c r="L798" s="999"/>
    </row>
    <row r="799" spans="1:12" s="23" customFormat="1" ht="17.25" customHeight="1">
      <c r="A799" s="1004" t="s">
        <v>68</v>
      </c>
      <c r="B799" s="1008" t="s">
        <v>380</v>
      </c>
      <c r="C799" s="581">
        <f>VLOOKUP(B797,'CNKT '!$D$100:$AC$165,3,0)</f>
        <v>0</v>
      </c>
      <c r="D799" s="582">
        <v>25000</v>
      </c>
      <c r="E799" s="1007">
        <f t="shared" ref="E799:E804" si="174">C799*D799</f>
        <v>0</v>
      </c>
      <c r="F799" s="1055"/>
      <c r="G799" s="1004" t="s">
        <v>68</v>
      </c>
      <c r="H799" s="1008" t="s">
        <v>380</v>
      </c>
      <c r="I799" s="581">
        <f>VLOOKUP(H797,'CNKT '!$D$100:$AC$165,3,0)</f>
        <v>0</v>
      </c>
      <c r="J799" s="582">
        <v>25000</v>
      </c>
      <c r="K799" s="1007">
        <f t="shared" ref="K799:K804" si="175">I799*J799</f>
        <v>0</v>
      </c>
      <c r="L799" s="999"/>
    </row>
    <row r="800" spans="1:12" s="23" customFormat="1" ht="17.25" customHeight="1">
      <c r="A800" s="1004" t="s">
        <v>269</v>
      </c>
      <c r="B800" s="1009" t="s">
        <v>455</v>
      </c>
      <c r="C800" s="1010" t="str">
        <f>VLOOKUP(B797,'CNKT '!$D$100:$AC$165,11,0)</f>
        <v>A</v>
      </c>
      <c r="D800" s="583">
        <f>46.1*$B$2</f>
        <v>30424.156000000003</v>
      </c>
      <c r="E800" s="1007" t="e">
        <f t="shared" si="174"/>
        <v>#VALUE!</v>
      </c>
      <c r="F800" s="1055"/>
      <c r="G800" s="1004" t="s">
        <v>269</v>
      </c>
      <c r="H800" s="1009" t="s">
        <v>455</v>
      </c>
      <c r="I800" s="1010" t="str">
        <f>VLOOKUP(H797,'CNKT '!$D$100:$AC$165,11,0)</f>
        <v>A</v>
      </c>
      <c r="J800" s="583">
        <f>46.1*$B$2</f>
        <v>30424.156000000003</v>
      </c>
      <c r="K800" s="1007" t="e">
        <f t="shared" si="175"/>
        <v>#VALUE!</v>
      </c>
      <c r="L800" s="999"/>
    </row>
    <row r="801" spans="1:12" s="23" customFormat="1" ht="17.25" customHeight="1">
      <c r="A801" s="1004" t="s">
        <v>356</v>
      </c>
      <c r="B801" s="1009" t="s">
        <v>456</v>
      </c>
      <c r="C801" s="1010">
        <f>VLOOKUP(B797,'CNKT '!$D$100:$AC$165,12,0)</f>
        <v>5125528</v>
      </c>
      <c r="D801" s="582">
        <f>76.9*$B$2</f>
        <v>50750.924000000006</v>
      </c>
      <c r="E801" s="1007">
        <f t="shared" si="174"/>
        <v>260125281987.87204</v>
      </c>
      <c r="F801" s="1055"/>
      <c r="G801" s="1004" t="s">
        <v>356</v>
      </c>
      <c r="H801" s="1009" t="s">
        <v>456</v>
      </c>
      <c r="I801" s="1010">
        <f>VLOOKUP(H797,'CNKT '!$D$100:$AC$165,12,0)</f>
        <v>4330424</v>
      </c>
      <c r="J801" s="582">
        <f>76.9*$B$2</f>
        <v>50750.924000000006</v>
      </c>
      <c r="K801" s="1007">
        <f t="shared" si="175"/>
        <v>219773019311.77603</v>
      </c>
      <c r="L801" s="999"/>
    </row>
    <row r="802" spans="1:12" s="23" customFormat="1" ht="17.25" customHeight="1">
      <c r="A802" s="1004" t="s">
        <v>69</v>
      </c>
      <c r="B802" s="1009" t="s">
        <v>457</v>
      </c>
      <c r="C802" s="1010">
        <f>VLOOKUP(B797,'CNKT '!$D$100:$AC$165,8,0)</f>
        <v>1263.7218590741586</v>
      </c>
      <c r="D802" s="582">
        <f>IF(C798="A",6.1,IF(C798="B",5.8,IF(C798="C",5.5,IF(C798="C.",5.5,IF(C798="D",5.2)))))*$B$2</f>
        <v>0</v>
      </c>
      <c r="E802" s="1007">
        <f t="shared" si="174"/>
        <v>0</v>
      </c>
      <c r="F802" s="1055"/>
      <c r="G802" s="1004" t="s">
        <v>69</v>
      </c>
      <c r="H802" s="1009" t="s">
        <v>457</v>
      </c>
      <c r="I802" s="1010">
        <f>VLOOKUP(H797,'CNKT '!$D$100:$AC$165,8,0)</f>
        <v>1047.1963068963432</v>
      </c>
      <c r="J802" s="582">
        <f>IF(I798="A",6.1,IF(I798="B",5.8,IF(I798="C",5.5,IF(I798="C.",5.5,IF(I798="D",5.2)))))*$B$2</f>
        <v>0</v>
      </c>
      <c r="K802" s="1007">
        <f t="shared" si="175"/>
        <v>0</v>
      </c>
      <c r="L802" s="999"/>
    </row>
    <row r="803" spans="1:12" s="23" customFormat="1" ht="17.25" customHeight="1">
      <c r="A803" s="1064" t="s">
        <v>433</v>
      </c>
      <c r="B803" s="1065" t="s">
        <v>458</v>
      </c>
      <c r="C803" s="1066">
        <f>VLOOKUP(B797,'CNKT '!$D$99:$AC$165,13,0)</f>
        <v>27</v>
      </c>
      <c r="D803" s="1074">
        <f>92.2*$B$2</f>
        <v>60848.312000000005</v>
      </c>
      <c r="E803" s="1068">
        <f t="shared" si="174"/>
        <v>1642904.4240000001</v>
      </c>
      <c r="F803" s="1055"/>
      <c r="G803" s="1064" t="s">
        <v>433</v>
      </c>
      <c r="H803" s="1065" t="s">
        <v>458</v>
      </c>
      <c r="I803" s="1066">
        <f>VLOOKUP(H797,'CNKT '!$D$99:$AC$165,13,0)</f>
        <v>22</v>
      </c>
      <c r="J803" s="1074">
        <f>92.2*$B$2</f>
        <v>60848.312000000005</v>
      </c>
      <c r="K803" s="1068">
        <f t="shared" si="175"/>
        <v>1338662.8640000001</v>
      </c>
      <c r="L803" s="999"/>
    </row>
    <row r="804" spans="1:12" s="23" customFormat="1" ht="17.25" customHeight="1">
      <c r="A804" s="1004" t="s">
        <v>390</v>
      </c>
      <c r="B804" s="1009" t="s">
        <v>434</v>
      </c>
      <c r="C804" s="1010">
        <f>VLOOKUP(B797,'CNKT '!$D$100:$AC$165,14,0)</f>
        <v>1</v>
      </c>
      <c r="D804" s="582">
        <f>153.6*$B$2</f>
        <v>101369.856</v>
      </c>
      <c r="E804" s="1007">
        <f t="shared" si="174"/>
        <v>101369.856</v>
      </c>
      <c r="F804" s="1055"/>
      <c r="G804" s="1004" t="s">
        <v>390</v>
      </c>
      <c r="H804" s="1009" t="s">
        <v>434</v>
      </c>
      <c r="I804" s="1010">
        <f>VLOOKUP(H797,'CNKT '!$D$100:$AC$165,14,0)</f>
        <v>0</v>
      </c>
      <c r="J804" s="582">
        <f>153.6*$B$2</f>
        <v>101369.856</v>
      </c>
      <c r="K804" s="1007">
        <f t="shared" si="175"/>
        <v>0</v>
      </c>
      <c r="L804" s="999"/>
    </row>
    <row r="805" spans="1:12" s="23" customFormat="1" ht="17.25" customHeight="1">
      <c r="A805" s="1064" t="s">
        <v>781</v>
      </c>
      <c r="B805" s="1065" t="s">
        <v>435</v>
      </c>
      <c r="C805" s="1066">
        <f>VLOOKUP(B797,'CNKT '!$D$101:$AC$165,18,0)</f>
        <v>0</v>
      </c>
      <c r="D805" s="1067">
        <v>100000</v>
      </c>
      <c r="E805" s="1068">
        <f>C805*D805</f>
        <v>0</v>
      </c>
      <c r="F805" s="1055"/>
      <c r="G805" s="1064" t="s">
        <v>781</v>
      </c>
      <c r="H805" s="1065" t="s">
        <v>435</v>
      </c>
      <c r="I805" s="1066">
        <f>VLOOKUP(H797,'CNKT '!$D$101:$AC$165,18,0)</f>
        <v>0</v>
      </c>
      <c r="J805" s="1067">
        <v>100000</v>
      </c>
      <c r="K805" s="1068">
        <f>I805*J805</f>
        <v>0</v>
      </c>
      <c r="L805" s="999"/>
    </row>
    <row r="806" spans="1:12" s="23" customFormat="1" ht="17.25" customHeight="1">
      <c r="A806" s="1004" t="s">
        <v>394</v>
      </c>
      <c r="B806" s="1009" t="s">
        <v>435</v>
      </c>
      <c r="C806" s="1010">
        <f>VLOOKUP(B797,'CNKT '!$D$101:$AC$165,19,0)</f>
        <v>0</v>
      </c>
      <c r="D806" s="582">
        <v>20000</v>
      </c>
      <c r="E806" s="1007">
        <f>C806*D806</f>
        <v>0</v>
      </c>
      <c r="F806" s="1055"/>
      <c r="G806" s="1004" t="s">
        <v>394</v>
      </c>
      <c r="H806" s="1009" t="s">
        <v>435</v>
      </c>
      <c r="I806" s="1010">
        <f>VLOOKUP(H797,'CNKT '!$D$101:$AC$165,19,0)</f>
        <v>0</v>
      </c>
      <c r="J806" s="582">
        <v>20000</v>
      </c>
      <c r="K806" s="1007">
        <f>I806*J806</f>
        <v>0</v>
      </c>
      <c r="L806" s="999"/>
    </row>
    <row r="807" spans="1:12" s="23" customFormat="1" ht="17.25" customHeight="1">
      <c r="A807" s="1004" t="s">
        <v>731</v>
      </c>
      <c r="B807" s="1011" t="s">
        <v>732</v>
      </c>
      <c r="C807" s="1010"/>
      <c r="D807" s="582"/>
      <c r="E807" s="1007">
        <f>VLOOKUP(B797,'CNKT '!$D$101:$AG$165,28,0)</f>
        <v>7</v>
      </c>
      <c r="F807" s="1055"/>
      <c r="G807" s="1004" t="s">
        <v>731</v>
      </c>
      <c r="H807" s="1011" t="s">
        <v>732</v>
      </c>
      <c r="I807" s="1010"/>
      <c r="J807" s="582"/>
      <c r="K807" s="1007">
        <f>VLOOKUP(H797,'CNKT '!$D$101:$AG$165,28,0)</f>
        <v>8</v>
      </c>
      <c r="L807" s="999"/>
    </row>
    <row r="808" spans="1:12" s="23" customFormat="1" ht="17.25" customHeight="1">
      <c r="A808" s="1012" t="s">
        <v>70</v>
      </c>
      <c r="B808" s="1013" t="s">
        <v>459</v>
      </c>
      <c r="C808" s="1014"/>
      <c r="D808" s="1015"/>
      <c r="E808" s="1014"/>
      <c r="F808" s="1055"/>
      <c r="G808" s="1012" t="s">
        <v>70</v>
      </c>
      <c r="H808" s="1013" t="s">
        <v>459</v>
      </c>
      <c r="I808" s="1014"/>
      <c r="J808" s="1015"/>
      <c r="K808" s="1014"/>
      <c r="L808" s="999"/>
    </row>
    <row r="809" spans="1:12" s="23" customFormat="1" ht="17.25" customHeight="1">
      <c r="A809" s="1016" t="s">
        <v>71</v>
      </c>
      <c r="B809" s="1017" t="s">
        <v>460</v>
      </c>
      <c r="C809" s="1014"/>
      <c r="D809" s="1014"/>
      <c r="E809" s="1014"/>
      <c r="F809" s="1055"/>
      <c r="G809" s="1016" t="s">
        <v>71</v>
      </c>
      <c r="H809" s="1017" t="s">
        <v>460</v>
      </c>
      <c r="I809" s="1014"/>
      <c r="J809" s="1014"/>
      <c r="K809" s="1014"/>
      <c r="L809" s="999"/>
    </row>
    <row r="810" spans="1:12" s="23" customFormat="1" ht="17.25" customHeight="1">
      <c r="A810" s="1016" t="s">
        <v>72</v>
      </c>
      <c r="B810" s="1018" t="s">
        <v>461</v>
      </c>
      <c r="C810" s="1014"/>
      <c r="D810" s="1014"/>
      <c r="E810" s="1007">
        <f>SUM(E809)</f>
        <v>0</v>
      </c>
      <c r="F810" s="1055"/>
      <c r="G810" s="1016" t="s">
        <v>72</v>
      </c>
      <c r="H810" s="1018" t="s">
        <v>461</v>
      </c>
      <c r="I810" s="1014"/>
      <c r="J810" s="1014"/>
      <c r="K810" s="1007">
        <f>SUM(K809)</f>
        <v>0</v>
      </c>
      <c r="L810" s="999"/>
    </row>
    <row r="811" spans="1:12" s="23" customFormat="1" ht="17.25" customHeight="1">
      <c r="A811" s="1020" t="s">
        <v>73</v>
      </c>
      <c r="B811" s="1021" t="s">
        <v>381</v>
      </c>
      <c r="C811" s="1022"/>
      <c r="D811" s="1022"/>
      <c r="E811" s="1022" t="e">
        <f>(E799+E800+E801+E802+E803+E804+E805+E806+E807)-E810</f>
        <v>#VALUE!</v>
      </c>
      <c r="F811" s="1057"/>
      <c r="G811" s="1020" t="s">
        <v>73</v>
      </c>
      <c r="H811" s="1021" t="s">
        <v>381</v>
      </c>
      <c r="I811" s="1022"/>
      <c r="J811" s="1022"/>
      <c r="K811" s="1022" t="e">
        <f>(K799+K800+K801+K802+K803+K804+K805+K806+K807)-K810</f>
        <v>#VALUE!</v>
      </c>
      <c r="L811" s="1024" t="e">
        <f>E811+K811</f>
        <v>#VALUE!</v>
      </c>
    </row>
    <row r="812" spans="1:12" s="23" customFormat="1" ht="17.25" customHeight="1">
      <c r="A812" s="1058"/>
      <c r="B812" s="1058"/>
      <c r="C812" s="1058"/>
      <c r="D812" s="1058"/>
      <c r="E812" s="1058"/>
      <c r="F812" s="1058"/>
      <c r="G812" s="1058"/>
      <c r="H812" s="1058"/>
      <c r="I812" s="1058"/>
      <c r="J812" s="1058"/>
      <c r="K812" s="1058"/>
      <c r="L812" s="999"/>
    </row>
    <row r="813" spans="1:12" s="23" customFormat="1" ht="17.25" customHeight="1">
      <c r="A813" s="1059" t="str">
        <f>A796</f>
        <v>LƯƠNG THÁNG 09/2025</v>
      </c>
      <c r="B813" s="1058"/>
      <c r="C813" s="1058"/>
      <c r="D813" s="1058"/>
      <c r="E813" s="1054">
        <f>VLOOKUP(B814,'CNKT '!$D$101:$AF$165,26,0)</f>
        <v>7547102</v>
      </c>
      <c r="F813" s="1055"/>
      <c r="G813" s="1059" t="str">
        <f>A813</f>
        <v>LƯƠNG THÁNG 09/2025</v>
      </c>
      <c r="H813" s="1058"/>
      <c r="I813" s="1058"/>
      <c r="J813" s="998"/>
      <c r="K813" s="1054">
        <f>VLOOKUP(H814,'CNKT '!$D$101:$AF$165,26,0)</f>
        <v>8249507</v>
      </c>
      <c r="L813" s="999"/>
    </row>
    <row r="814" spans="1:12" s="23" customFormat="1" ht="17.25" customHeight="1">
      <c r="A814" s="1028" t="s">
        <v>13</v>
      </c>
      <c r="B814" s="1000" t="str">
        <f>'CNKT '!D109</f>
        <v>N. Xúc</v>
      </c>
      <c r="C814" s="1006"/>
      <c r="D814" s="1000" t="s">
        <v>353</v>
      </c>
      <c r="E814" s="1000" t="s">
        <v>16</v>
      </c>
      <c r="F814" s="1055"/>
      <c r="G814" s="1028" t="s">
        <v>13</v>
      </c>
      <c r="H814" s="1000" t="str">
        <f>'CNKT '!D110</f>
        <v>N. Lẹ</v>
      </c>
      <c r="I814" s="1006"/>
      <c r="J814" s="1000" t="s">
        <v>353</v>
      </c>
      <c r="K814" s="1000" t="s">
        <v>16</v>
      </c>
      <c r="L814" s="999"/>
    </row>
    <row r="815" spans="1:12" s="23" customFormat="1" ht="17.25" customHeight="1">
      <c r="A815" s="1004" t="s">
        <v>354</v>
      </c>
      <c r="B815" s="1005" t="s">
        <v>454</v>
      </c>
      <c r="C815" s="1006">
        <f>VLOOKUP(B814,'SẢN LƯỢNG'!$D$98:$AR$160,37,0)</f>
        <v>3360</v>
      </c>
      <c r="D815" s="1007"/>
      <c r="E815" s="1007"/>
      <c r="F815" s="1055"/>
      <c r="G815" s="1004" t="s">
        <v>354</v>
      </c>
      <c r="H815" s="1005" t="s">
        <v>454</v>
      </c>
      <c r="I815" s="1006">
        <f>VLOOKUP(H814,'SẢN LƯỢNG'!$D$98:$AR$160,37,0)</f>
        <v>3684</v>
      </c>
      <c r="J815" s="1007"/>
      <c r="K815" s="1007"/>
      <c r="L815" s="999"/>
    </row>
    <row r="816" spans="1:12" s="23" customFormat="1" ht="17.25" customHeight="1">
      <c r="A816" s="1004" t="s">
        <v>68</v>
      </c>
      <c r="B816" s="1008" t="s">
        <v>380</v>
      </c>
      <c r="C816" s="581">
        <f>VLOOKUP(B814,'CNKT '!$D$100:$AC$165,3,0)</f>
        <v>0</v>
      </c>
      <c r="D816" s="582">
        <v>25000</v>
      </c>
      <c r="E816" s="1007">
        <f t="shared" ref="E816:E821" si="176">C816*D816</f>
        <v>0</v>
      </c>
      <c r="F816" s="1055"/>
      <c r="G816" s="1004" t="s">
        <v>68</v>
      </c>
      <c r="H816" s="1008" t="s">
        <v>380</v>
      </c>
      <c r="I816" s="581">
        <f>VLOOKUP(H814,'CNKT '!$D$100:$AC$165,3,0)</f>
        <v>0</v>
      </c>
      <c r="J816" s="582">
        <v>25000</v>
      </c>
      <c r="K816" s="1007">
        <f t="shared" ref="K816:K821" si="177">I816*J816</f>
        <v>0</v>
      </c>
      <c r="L816" s="999"/>
    </row>
    <row r="817" spans="1:12" s="23" customFormat="1" ht="17.25" customHeight="1">
      <c r="A817" s="1004" t="s">
        <v>269</v>
      </c>
      <c r="B817" s="1009" t="s">
        <v>455</v>
      </c>
      <c r="C817" s="1010" t="str">
        <f>VLOOKUP(B814,'CNKT '!$D$100:$AC$165,11,0)</f>
        <v>A</v>
      </c>
      <c r="D817" s="583">
        <f>46.1*$B$2</f>
        <v>30424.156000000003</v>
      </c>
      <c r="E817" s="1007" t="e">
        <f t="shared" si="176"/>
        <v>#VALUE!</v>
      </c>
      <c r="F817" s="1055"/>
      <c r="G817" s="1004" t="s">
        <v>269</v>
      </c>
      <c r="H817" s="1009" t="s">
        <v>455</v>
      </c>
      <c r="I817" s="1010" t="str">
        <f>VLOOKUP(H814,'CNKT '!$D$100:$AC$165,11,0)</f>
        <v>A</v>
      </c>
      <c r="J817" s="583">
        <f>46.1*$B$2</f>
        <v>30424.156000000003</v>
      </c>
      <c r="K817" s="1007" t="e">
        <f t="shared" si="177"/>
        <v>#VALUE!</v>
      </c>
      <c r="L817" s="999"/>
    </row>
    <row r="818" spans="1:12" s="23" customFormat="1" ht="17.25" customHeight="1">
      <c r="A818" s="1004" t="s">
        <v>356</v>
      </c>
      <c r="B818" s="1009" t="s">
        <v>456</v>
      </c>
      <c r="C818" s="1010">
        <f>VLOOKUP(B814,'CNKT '!$D$100:$AC$165,12,0)</f>
        <v>6100817</v>
      </c>
      <c r="D818" s="582">
        <f>76.9*$B$2</f>
        <v>50750.924000000006</v>
      </c>
      <c r="E818" s="1007">
        <f t="shared" si="176"/>
        <v>309622099904.90802</v>
      </c>
      <c r="F818" s="1055"/>
      <c r="G818" s="1004" t="s">
        <v>356</v>
      </c>
      <c r="H818" s="1009" t="s">
        <v>456</v>
      </c>
      <c r="I818" s="1010">
        <f>VLOOKUP(H814,'CNKT '!$D$100:$AC$165,12,0)</f>
        <v>6772798</v>
      </c>
      <c r="J818" s="582">
        <f>76.9*$B$2</f>
        <v>50750.924000000006</v>
      </c>
      <c r="K818" s="1007">
        <f t="shared" si="177"/>
        <v>343725756565.35205</v>
      </c>
      <c r="L818" s="999"/>
    </row>
    <row r="819" spans="1:12" s="23" customFormat="1" ht="17.25" customHeight="1">
      <c r="A819" s="1004" t="s">
        <v>69</v>
      </c>
      <c r="B819" s="1009" t="s">
        <v>457</v>
      </c>
      <c r="C819" s="1010">
        <f>VLOOKUP(B814,'CNKT '!$D$100:$AC$165,8,0)</f>
        <v>1522.6776709716671</v>
      </c>
      <c r="D819" s="582">
        <f>IF(C815="A",6.1,IF(C815="B",5.8,IF(C815="C",5.5,IF(C815="C.",5.5,IF(C815="D",5.2)))))*$B$2</f>
        <v>0</v>
      </c>
      <c r="E819" s="1007">
        <f t="shared" si="176"/>
        <v>0</v>
      </c>
      <c r="F819" s="1055"/>
      <c r="G819" s="1004" t="s">
        <v>69</v>
      </c>
      <c r="H819" s="1009" t="s">
        <v>457</v>
      </c>
      <c r="I819" s="1010">
        <f>VLOOKUP(H814,'CNKT '!$D$100:$AC$165,8,0)</f>
        <v>1691.9612844925045</v>
      </c>
      <c r="J819" s="582">
        <f>IF(I815="A",6.1,IF(I815="B",5.8,IF(I815="C",5.5,IF(I815="C.",5.5,IF(I815="D",5.2)))))*$B$2</f>
        <v>0</v>
      </c>
      <c r="K819" s="1007">
        <f t="shared" si="177"/>
        <v>0</v>
      </c>
      <c r="L819" s="999"/>
    </row>
    <row r="820" spans="1:12" s="23" customFormat="1" ht="17.25" customHeight="1">
      <c r="A820" s="1064" t="s">
        <v>433</v>
      </c>
      <c r="B820" s="1065" t="s">
        <v>458</v>
      </c>
      <c r="C820" s="1066">
        <f>VLOOKUP(B814,'CNKT '!$D$99:$AC$165,13,0)</f>
        <v>26</v>
      </c>
      <c r="D820" s="1074">
        <f>92.2*$B$2</f>
        <v>60848.312000000005</v>
      </c>
      <c r="E820" s="1068">
        <f t="shared" si="176"/>
        <v>1582056.1120000002</v>
      </c>
      <c r="F820" s="1055"/>
      <c r="G820" s="1064" t="s">
        <v>433</v>
      </c>
      <c r="H820" s="1065" t="s">
        <v>458</v>
      </c>
      <c r="I820" s="1066">
        <f>VLOOKUP(H814,'CNKT '!$D$99:$AC$165,13,0)</f>
        <v>27</v>
      </c>
      <c r="J820" s="1074">
        <f>92.2*$B$2</f>
        <v>60848.312000000005</v>
      </c>
      <c r="K820" s="1068">
        <f t="shared" si="177"/>
        <v>1642904.4240000001</v>
      </c>
      <c r="L820" s="999"/>
    </row>
    <row r="821" spans="1:12" s="23" customFormat="1" ht="17.25" customHeight="1">
      <c r="A821" s="1004" t="s">
        <v>390</v>
      </c>
      <c r="B821" s="1009" t="s">
        <v>434</v>
      </c>
      <c r="C821" s="1010">
        <f>VLOOKUP(B814,'CNKT '!$D$100:$AC$165,14,0)</f>
        <v>1</v>
      </c>
      <c r="D821" s="582">
        <f>153.6*$B$2</f>
        <v>101369.856</v>
      </c>
      <c r="E821" s="1007">
        <f t="shared" si="176"/>
        <v>101369.856</v>
      </c>
      <c r="F821" s="1055"/>
      <c r="G821" s="1004" t="s">
        <v>390</v>
      </c>
      <c r="H821" s="1009" t="s">
        <v>434</v>
      </c>
      <c r="I821" s="1010">
        <f>VLOOKUP(H814,'CNKT '!$D$100:$AC$165,14,0)</f>
        <v>1</v>
      </c>
      <c r="J821" s="582">
        <f>153.6*$B$2</f>
        <v>101369.856</v>
      </c>
      <c r="K821" s="1007">
        <f t="shared" si="177"/>
        <v>101369.856</v>
      </c>
      <c r="L821" s="999"/>
    </row>
    <row r="822" spans="1:12" s="23" customFormat="1" ht="17.25" customHeight="1">
      <c r="A822" s="1064" t="s">
        <v>781</v>
      </c>
      <c r="B822" s="1065" t="s">
        <v>435</v>
      </c>
      <c r="C822" s="1066">
        <f>VLOOKUP(B814,'CNKT '!$D$101:$AC$165,18,0)</f>
        <v>0</v>
      </c>
      <c r="D822" s="1067">
        <v>100000</v>
      </c>
      <c r="E822" s="1068">
        <f>C822*D822</f>
        <v>0</v>
      </c>
      <c r="F822" s="1055"/>
      <c r="G822" s="1064" t="s">
        <v>781</v>
      </c>
      <c r="H822" s="1065" t="s">
        <v>435</v>
      </c>
      <c r="I822" s="1066">
        <f>VLOOKUP(H814,'CNKT '!$D$101:$AC$165,18,0)</f>
        <v>0</v>
      </c>
      <c r="J822" s="1067">
        <v>100000</v>
      </c>
      <c r="K822" s="1068">
        <f>I822*J822</f>
        <v>0</v>
      </c>
      <c r="L822" s="999"/>
    </row>
    <row r="823" spans="1:12" s="23" customFormat="1" ht="17.25" customHeight="1">
      <c r="A823" s="1004" t="s">
        <v>394</v>
      </c>
      <c r="B823" s="1009" t="s">
        <v>435</v>
      </c>
      <c r="C823" s="1010">
        <f>VLOOKUP(B814,'CNKT '!$D$101:$AC$165,19,0)</f>
        <v>0</v>
      </c>
      <c r="D823" s="582">
        <v>20000</v>
      </c>
      <c r="E823" s="1007">
        <f>C823*D823</f>
        <v>0</v>
      </c>
      <c r="F823" s="1055"/>
      <c r="G823" s="1004" t="s">
        <v>394</v>
      </c>
      <c r="H823" s="1009" t="s">
        <v>435</v>
      </c>
      <c r="I823" s="1010">
        <f>VLOOKUP(H814,'CNKT '!$D$101:$AC$165,19,0)</f>
        <v>0</v>
      </c>
      <c r="J823" s="582">
        <v>20000</v>
      </c>
      <c r="K823" s="1007">
        <f>I823*J823</f>
        <v>0</v>
      </c>
      <c r="L823" s="999"/>
    </row>
    <row r="824" spans="1:12" s="23" customFormat="1" ht="17.25" customHeight="1">
      <c r="A824" s="1004" t="s">
        <v>731</v>
      </c>
      <c r="B824" s="1011" t="s">
        <v>732</v>
      </c>
      <c r="C824" s="1010"/>
      <c r="D824" s="582"/>
      <c r="E824" s="1007">
        <f>VLOOKUP(B814,'CNKT '!$D$101:$AG$165,28,0)</f>
        <v>9</v>
      </c>
      <c r="F824" s="1055"/>
      <c r="G824" s="1004" t="s">
        <v>731</v>
      </c>
      <c r="H824" s="1011" t="s">
        <v>732</v>
      </c>
      <c r="I824" s="1010"/>
      <c r="J824" s="582"/>
      <c r="K824" s="1007">
        <f>VLOOKUP(H814,'CNKT '!$D$101:$AG$165,28,0)</f>
        <v>10</v>
      </c>
      <c r="L824" s="999"/>
    </row>
    <row r="825" spans="1:12" s="23" customFormat="1" ht="17.25" customHeight="1">
      <c r="A825" s="1012" t="s">
        <v>70</v>
      </c>
      <c r="B825" s="1013" t="s">
        <v>459</v>
      </c>
      <c r="C825" s="1014"/>
      <c r="D825" s="1015"/>
      <c r="E825" s="1014"/>
      <c r="F825" s="1055"/>
      <c r="G825" s="1012" t="s">
        <v>70</v>
      </c>
      <c r="H825" s="1013" t="s">
        <v>459</v>
      </c>
      <c r="I825" s="1014"/>
      <c r="J825" s="1015"/>
      <c r="K825" s="1014"/>
      <c r="L825" s="999"/>
    </row>
    <row r="826" spans="1:12" s="23" customFormat="1" ht="17.25" customHeight="1">
      <c r="A826" s="1016" t="s">
        <v>71</v>
      </c>
      <c r="B826" s="1017" t="s">
        <v>460</v>
      </c>
      <c r="C826" s="1014"/>
      <c r="D826" s="1014"/>
      <c r="E826" s="1014"/>
      <c r="F826" s="1055"/>
      <c r="G826" s="1016" t="s">
        <v>71</v>
      </c>
      <c r="H826" s="1017" t="s">
        <v>460</v>
      </c>
      <c r="I826" s="1014"/>
      <c r="J826" s="1014"/>
      <c r="K826" s="1014"/>
      <c r="L826" s="999"/>
    </row>
    <row r="827" spans="1:12" s="23" customFormat="1" ht="17.25" customHeight="1">
      <c r="A827" s="1016" t="s">
        <v>72</v>
      </c>
      <c r="B827" s="1018" t="s">
        <v>461</v>
      </c>
      <c r="C827" s="1014"/>
      <c r="D827" s="1014"/>
      <c r="E827" s="1007">
        <f>SUM(E826)</f>
        <v>0</v>
      </c>
      <c r="F827" s="1055"/>
      <c r="G827" s="1016" t="s">
        <v>72</v>
      </c>
      <c r="H827" s="1018" t="s">
        <v>461</v>
      </c>
      <c r="I827" s="1014"/>
      <c r="J827" s="1014"/>
      <c r="K827" s="1007">
        <f>SUM(K826)</f>
        <v>0</v>
      </c>
      <c r="L827" s="999"/>
    </row>
    <row r="828" spans="1:12" s="23" customFormat="1" ht="17.25" customHeight="1">
      <c r="A828" s="1020" t="s">
        <v>73</v>
      </c>
      <c r="B828" s="1021" t="s">
        <v>381</v>
      </c>
      <c r="C828" s="1022"/>
      <c r="D828" s="1022"/>
      <c r="E828" s="1022" t="e">
        <f>(E816+E817+E818+E819+E820+E821+E822+E823+E824)-E827</f>
        <v>#VALUE!</v>
      </c>
      <c r="F828" s="1055"/>
      <c r="G828" s="1020" t="s">
        <v>73</v>
      </c>
      <c r="H828" s="1021" t="s">
        <v>381</v>
      </c>
      <c r="I828" s="1022"/>
      <c r="J828" s="1022"/>
      <c r="K828" s="1022" t="e">
        <f>(K816+K817+K818+K819+K820+K821+K822+K823+K824)-K827</f>
        <v>#VALUE!</v>
      </c>
      <c r="L828" s="1024" t="e">
        <f>E828+K828</f>
        <v>#VALUE!</v>
      </c>
    </row>
    <row r="829" spans="1:12" s="23" customFormat="1" ht="17.25" customHeight="1">
      <c r="A829" s="1058"/>
      <c r="B829" s="1058"/>
      <c r="C829" s="1058"/>
      <c r="D829" s="1058"/>
      <c r="E829" s="1058"/>
      <c r="F829" s="1058"/>
      <c r="G829" s="1058"/>
      <c r="H829" s="1058"/>
      <c r="I829" s="1058"/>
      <c r="J829" s="1058"/>
      <c r="K829" s="1058"/>
      <c r="L829" s="999"/>
    </row>
    <row r="830" spans="1:12" s="23" customFormat="1" ht="17.25" customHeight="1">
      <c r="A830" s="1059" t="str">
        <f>A813</f>
        <v>LƯƠNG THÁNG 09/2025</v>
      </c>
      <c r="B830" s="1058"/>
      <c r="C830" s="1058"/>
      <c r="D830" s="1058"/>
      <c r="E830" s="1054">
        <f>VLOOKUP(B831,'CNKT '!$D$101:$AF$165,26,0)</f>
        <v>8056033</v>
      </c>
      <c r="F830" s="1055"/>
      <c r="G830" s="1059" t="str">
        <f>A830</f>
        <v>LƯƠNG THÁNG 09/2025</v>
      </c>
      <c r="H830" s="1058"/>
      <c r="I830" s="1058"/>
      <c r="J830" s="998"/>
      <c r="K830" s="1054">
        <f>VLOOKUP(H831,'CNKT '!$D$101:$AF$165,26,0)</f>
        <v>6262544</v>
      </c>
      <c r="L830" s="999"/>
    </row>
    <row r="831" spans="1:12" s="23" customFormat="1" ht="17.25" customHeight="1">
      <c r="A831" s="1028" t="s">
        <v>13</v>
      </c>
      <c r="B831" s="1000" t="str">
        <f>'CNKT '!D111</f>
        <v>N . Thích</v>
      </c>
      <c r="C831" s="1006"/>
      <c r="D831" s="1000" t="s">
        <v>353</v>
      </c>
      <c r="E831" s="1000" t="s">
        <v>16</v>
      </c>
      <c r="F831" s="1055"/>
      <c r="G831" s="1028" t="s">
        <v>13</v>
      </c>
      <c r="H831" s="1000" t="str">
        <f>'CNKT '!D112</f>
        <v>N. Cong Mi</v>
      </c>
      <c r="I831" s="1006"/>
      <c r="J831" s="1000" t="s">
        <v>353</v>
      </c>
      <c r="K831" s="1000" t="s">
        <v>16</v>
      </c>
      <c r="L831" s="999"/>
    </row>
    <row r="832" spans="1:12" s="23" customFormat="1" ht="17.25" customHeight="1">
      <c r="A832" s="1004" t="s">
        <v>354</v>
      </c>
      <c r="B832" s="1005" t="s">
        <v>454</v>
      </c>
      <c r="C832" s="1006">
        <f>VLOOKUP(B831,'SẢN LƯỢNG'!$D$98:$AR$160,37,0)</f>
        <v>3611</v>
      </c>
      <c r="D832" s="1007"/>
      <c r="E832" s="1007"/>
      <c r="F832" s="1055"/>
      <c r="G832" s="1004" t="s">
        <v>354</v>
      </c>
      <c r="H832" s="1005" t="s">
        <v>454</v>
      </c>
      <c r="I832" s="1006">
        <f>VLOOKUP(H831,'SẢN LƯỢNG'!$D$98:$AR$160,37,0)</f>
        <v>3380</v>
      </c>
      <c r="J832" s="1007"/>
      <c r="K832" s="1007"/>
      <c r="L832" s="999"/>
    </row>
    <row r="833" spans="1:12" s="23" customFormat="1" ht="17.25" customHeight="1">
      <c r="A833" s="1004" t="s">
        <v>68</v>
      </c>
      <c r="B833" s="1008" t="s">
        <v>380</v>
      </c>
      <c r="C833" s="581">
        <f>VLOOKUP(B831,'CNKT '!$D$100:$AC$165,3,0)</f>
        <v>0</v>
      </c>
      <c r="D833" s="582">
        <v>25000</v>
      </c>
      <c r="E833" s="1007">
        <f t="shared" ref="E833:E838" si="178">C833*D833</f>
        <v>0</v>
      </c>
      <c r="F833" s="1055"/>
      <c r="G833" s="1004" t="s">
        <v>68</v>
      </c>
      <c r="H833" s="1008" t="s">
        <v>380</v>
      </c>
      <c r="I833" s="581">
        <f>VLOOKUP(H831,'CNKT '!$D$100:$AC$165,3,0)</f>
        <v>0</v>
      </c>
      <c r="J833" s="582">
        <v>25000</v>
      </c>
      <c r="K833" s="1007">
        <f t="shared" ref="K833:K838" si="179">I833*J833</f>
        <v>0</v>
      </c>
      <c r="L833" s="999"/>
    </row>
    <row r="834" spans="1:12" s="23" customFormat="1" ht="17.25" customHeight="1">
      <c r="A834" s="1004" t="s">
        <v>269</v>
      </c>
      <c r="B834" s="1009" t="s">
        <v>455</v>
      </c>
      <c r="C834" s="1010" t="str">
        <f>VLOOKUP(B831,'CNKT '!$D$100:$AC$165,11,0)</f>
        <v>A</v>
      </c>
      <c r="D834" s="583">
        <f>46.1*$B$2</f>
        <v>30424.156000000003</v>
      </c>
      <c r="E834" s="1007" t="e">
        <f t="shared" si="178"/>
        <v>#VALUE!</v>
      </c>
      <c r="F834" s="1055"/>
      <c r="G834" s="1004" t="s">
        <v>269</v>
      </c>
      <c r="H834" s="1009" t="s">
        <v>455</v>
      </c>
      <c r="I834" s="1010" t="str">
        <f>VLOOKUP(H831,'CNKT '!$D$100:$AC$165,11,0)</f>
        <v>A</v>
      </c>
      <c r="J834" s="583">
        <f>46.1*$B$2</f>
        <v>30424.156000000003</v>
      </c>
      <c r="K834" s="1007" t="e">
        <f t="shared" si="179"/>
        <v>#VALUE!</v>
      </c>
      <c r="L834" s="999"/>
    </row>
    <row r="835" spans="1:12" s="23" customFormat="1" ht="17.25" customHeight="1">
      <c r="A835" s="1004" t="s">
        <v>356</v>
      </c>
      <c r="B835" s="1009" t="s">
        <v>456</v>
      </c>
      <c r="C835" s="1010">
        <f>VLOOKUP(B831,'CNKT '!$D$100:$AC$165,12,0)</f>
        <v>6579324</v>
      </c>
      <c r="D835" s="582">
        <f>76.9*$B$2</f>
        <v>50750.924000000006</v>
      </c>
      <c r="E835" s="1007">
        <f t="shared" si="178"/>
        <v>333906772295.37604</v>
      </c>
      <c r="F835" s="1055"/>
      <c r="G835" s="1004" t="s">
        <v>356</v>
      </c>
      <c r="H835" s="1009" t="s">
        <v>456</v>
      </c>
      <c r="I835" s="1010">
        <f>VLOOKUP(H831,'CNKT '!$D$100:$AC$165,12,0)</f>
        <v>4836586</v>
      </c>
      <c r="J835" s="582">
        <f>76.9*$B$2</f>
        <v>50750.924000000006</v>
      </c>
      <c r="K835" s="1007">
        <f t="shared" si="179"/>
        <v>245461208505.46402</v>
      </c>
      <c r="L835" s="999"/>
    </row>
    <row r="836" spans="1:12" s="23" customFormat="1" ht="17.25" customHeight="1">
      <c r="A836" s="1004" t="s">
        <v>69</v>
      </c>
      <c r="B836" s="1009" t="s">
        <v>457</v>
      </c>
      <c r="C836" s="1010">
        <f>VLOOKUP(B831,'CNKT '!$D$100:$AC$165,8,0)</f>
        <v>1642.5322190458517</v>
      </c>
      <c r="D836" s="582">
        <f>IF(C832="A",6.1,IF(C832="B",5.8,IF(C832="C",5.5,IF(C832="C.",5.5,IF(C832="D",5.2)))))*$B$2</f>
        <v>0</v>
      </c>
      <c r="E836" s="1007">
        <f t="shared" si="178"/>
        <v>0</v>
      </c>
      <c r="F836" s="1055"/>
      <c r="G836" s="1004" t="s">
        <v>69</v>
      </c>
      <c r="H836" s="1009" t="s">
        <v>457</v>
      </c>
      <c r="I836" s="1010">
        <f>VLOOKUP(H831,'CNKT '!$D$100:$AC$165,8,0)</f>
        <v>1182.7981678561873</v>
      </c>
      <c r="J836" s="582">
        <f>IF(I832="A",6.1,IF(I832="B",5.8,IF(I832="C",5.5,IF(I832="C.",5.5,IF(I832="D",5.2)))))*$B$2</f>
        <v>0</v>
      </c>
      <c r="K836" s="1007">
        <f t="shared" si="179"/>
        <v>0</v>
      </c>
      <c r="L836" s="999"/>
    </row>
    <row r="837" spans="1:12" s="23" customFormat="1" ht="17.25" customHeight="1">
      <c r="A837" s="1064" t="s">
        <v>433</v>
      </c>
      <c r="B837" s="1065" t="s">
        <v>458</v>
      </c>
      <c r="C837" s="1066">
        <f>VLOOKUP(B831,'CNKT '!$D$99:$AC$165,13,0)</f>
        <v>27</v>
      </c>
      <c r="D837" s="1074">
        <f>92.2*$B$2</f>
        <v>60848.312000000005</v>
      </c>
      <c r="E837" s="1068">
        <f t="shared" si="178"/>
        <v>1642904.4240000001</v>
      </c>
      <c r="F837" s="1055"/>
      <c r="G837" s="1064" t="s">
        <v>433</v>
      </c>
      <c r="H837" s="1065" t="s">
        <v>458</v>
      </c>
      <c r="I837" s="1066">
        <f>VLOOKUP(H831,'CNKT '!$D$99:$AC$165,13,0)</f>
        <v>27</v>
      </c>
      <c r="J837" s="1074">
        <f>92.2*$B$2</f>
        <v>60848.312000000005</v>
      </c>
      <c r="K837" s="1068">
        <f t="shared" si="179"/>
        <v>1642904.4240000001</v>
      </c>
      <c r="L837" s="999"/>
    </row>
    <row r="838" spans="1:12" s="23" customFormat="1" ht="17.25" customHeight="1">
      <c r="A838" s="1004" t="s">
        <v>390</v>
      </c>
      <c r="B838" s="1009" t="s">
        <v>434</v>
      </c>
      <c r="C838" s="1010">
        <f>VLOOKUP(B831,'CNKT '!$D$100:$AC$165,14,0)</f>
        <v>1</v>
      </c>
      <c r="D838" s="582">
        <f>153.6*$B$2</f>
        <v>101369.856</v>
      </c>
      <c r="E838" s="1007">
        <f t="shared" si="178"/>
        <v>101369.856</v>
      </c>
      <c r="F838" s="1055"/>
      <c r="G838" s="1004" t="s">
        <v>390</v>
      </c>
      <c r="H838" s="1009" t="s">
        <v>434</v>
      </c>
      <c r="I838" s="1010">
        <f>VLOOKUP(H831,'CNKT '!$D$100:$AC$165,14,0)</f>
        <v>0</v>
      </c>
      <c r="J838" s="582">
        <f>153.6*$B$2</f>
        <v>101369.856</v>
      </c>
      <c r="K838" s="1007">
        <f t="shared" si="179"/>
        <v>0</v>
      </c>
      <c r="L838" s="999"/>
    </row>
    <row r="839" spans="1:12" s="23" customFormat="1" ht="17.25" customHeight="1">
      <c r="A839" s="1064" t="s">
        <v>781</v>
      </c>
      <c r="B839" s="1065" t="s">
        <v>435</v>
      </c>
      <c r="C839" s="1066">
        <f>VLOOKUP(B831,'CNKT '!$D$101:$AC$165,18,0)</f>
        <v>0</v>
      </c>
      <c r="D839" s="1067">
        <v>100000</v>
      </c>
      <c r="E839" s="1068">
        <f>C839*D839</f>
        <v>0</v>
      </c>
      <c r="F839" s="1055"/>
      <c r="G839" s="1064" t="s">
        <v>781</v>
      </c>
      <c r="H839" s="1065" t="s">
        <v>435</v>
      </c>
      <c r="I839" s="1066">
        <f>VLOOKUP(H831,'CNKT '!$D$101:$AC$165,18,0)</f>
        <v>0</v>
      </c>
      <c r="J839" s="1067">
        <v>100000</v>
      </c>
      <c r="K839" s="1068">
        <f>I839*J839</f>
        <v>0</v>
      </c>
      <c r="L839" s="999"/>
    </row>
    <row r="840" spans="1:12" s="23" customFormat="1" ht="17.25" customHeight="1">
      <c r="A840" s="1004" t="s">
        <v>394</v>
      </c>
      <c r="B840" s="1009" t="s">
        <v>435</v>
      </c>
      <c r="C840" s="1010">
        <f>VLOOKUP(B831,'CNKT '!$D$101:$AC$165,19,0)</f>
        <v>0</v>
      </c>
      <c r="D840" s="582">
        <v>20000</v>
      </c>
      <c r="E840" s="1007">
        <f>C840*D840</f>
        <v>0</v>
      </c>
      <c r="F840" s="1055"/>
      <c r="G840" s="1004" t="s">
        <v>394</v>
      </c>
      <c r="H840" s="1009" t="s">
        <v>435</v>
      </c>
      <c r="I840" s="1010">
        <f>VLOOKUP(H831,'CNKT '!$D$101:$AC$165,19,0)</f>
        <v>0</v>
      </c>
      <c r="J840" s="582">
        <v>20000</v>
      </c>
      <c r="K840" s="1007">
        <f>I840*J840</f>
        <v>0</v>
      </c>
      <c r="L840" s="999"/>
    </row>
    <row r="841" spans="1:12" s="23" customFormat="1" ht="17.25" customHeight="1">
      <c r="A841" s="1004" t="s">
        <v>731</v>
      </c>
      <c r="B841" s="1011" t="s">
        <v>732</v>
      </c>
      <c r="C841" s="1010"/>
      <c r="D841" s="582"/>
      <c r="E841" s="1007">
        <f>VLOOKUP(B831,'CNKT '!$D$101:$AG$165,28,0)</f>
        <v>11</v>
      </c>
      <c r="F841" s="1055"/>
      <c r="G841" s="1004" t="s">
        <v>731</v>
      </c>
      <c r="H841" s="1011" t="s">
        <v>732</v>
      </c>
      <c r="I841" s="1010"/>
      <c r="J841" s="582"/>
      <c r="K841" s="1007">
        <f>VLOOKUP(H831,'CNKT '!$D$101:$AG$165,28,0)</f>
        <v>12</v>
      </c>
      <c r="L841" s="999"/>
    </row>
    <row r="842" spans="1:12" s="23" customFormat="1" ht="17.25" customHeight="1">
      <c r="A842" s="1012" t="s">
        <v>70</v>
      </c>
      <c r="B842" s="1013" t="s">
        <v>459</v>
      </c>
      <c r="C842" s="1014"/>
      <c r="D842" s="1015"/>
      <c r="E842" s="1014"/>
      <c r="F842" s="1055"/>
      <c r="G842" s="1012" t="s">
        <v>70</v>
      </c>
      <c r="H842" s="1013" t="s">
        <v>459</v>
      </c>
      <c r="I842" s="1014"/>
      <c r="J842" s="1015"/>
      <c r="K842" s="1014"/>
      <c r="L842" s="999"/>
    </row>
    <row r="843" spans="1:12" s="23" customFormat="1" ht="17.25" customHeight="1">
      <c r="A843" s="1016" t="s">
        <v>71</v>
      </c>
      <c r="B843" s="1017" t="s">
        <v>460</v>
      </c>
      <c r="C843" s="1014"/>
      <c r="D843" s="1014"/>
      <c r="E843" s="1014"/>
      <c r="F843" s="1055"/>
      <c r="G843" s="1016" t="s">
        <v>71</v>
      </c>
      <c r="H843" s="1017" t="s">
        <v>460</v>
      </c>
      <c r="I843" s="1014"/>
      <c r="J843" s="1014"/>
      <c r="K843" s="1014"/>
      <c r="L843" s="999"/>
    </row>
    <row r="844" spans="1:12" s="23" customFormat="1" ht="17.25" customHeight="1">
      <c r="A844" s="1016" t="s">
        <v>72</v>
      </c>
      <c r="B844" s="1018" t="s">
        <v>461</v>
      </c>
      <c r="C844" s="1014"/>
      <c r="D844" s="1014"/>
      <c r="E844" s="1007">
        <f>SUM(E843)</f>
        <v>0</v>
      </c>
      <c r="F844" s="1055"/>
      <c r="G844" s="1016" t="s">
        <v>72</v>
      </c>
      <c r="H844" s="1018" t="s">
        <v>461</v>
      </c>
      <c r="I844" s="1014"/>
      <c r="J844" s="1014"/>
      <c r="K844" s="1007">
        <f>SUM(K843)</f>
        <v>0</v>
      </c>
      <c r="L844" s="999"/>
    </row>
    <row r="845" spans="1:12" s="23" customFormat="1" ht="17.25" customHeight="1">
      <c r="A845" s="1020" t="s">
        <v>73</v>
      </c>
      <c r="B845" s="1021" t="s">
        <v>381</v>
      </c>
      <c r="C845" s="1022"/>
      <c r="D845" s="1022"/>
      <c r="E845" s="1022" t="e">
        <f>(E833+E834+E835+E836+E837+E838+E839+E840+E841)-E844</f>
        <v>#VALUE!</v>
      </c>
      <c r="F845" s="1055"/>
      <c r="G845" s="1020" t="s">
        <v>73</v>
      </c>
      <c r="H845" s="1021" t="s">
        <v>381</v>
      </c>
      <c r="I845" s="1022"/>
      <c r="J845" s="1022"/>
      <c r="K845" s="1022" t="e">
        <f>(K833+K834+K835+K836+K837+K838+K839+K840+K841)-K844</f>
        <v>#VALUE!</v>
      </c>
      <c r="L845" s="1024" t="e">
        <f>E845+K845</f>
        <v>#VALUE!</v>
      </c>
    </row>
    <row r="846" spans="1:12" s="23" customFormat="1" ht="17.25" customHeight="1">
      <c r="A846" s="1058"/>
      <c r="B846" s="1058"/>
      <c r="C846" s="1058"/>
      <c r="D846" s="1058"/>
      <c r="E846" s="1058"/>
      <c r="F846" s="1058"/>
      <c r="G846" s="1058"/>
      <c r="H846" s="1058"/>
      <c r="I846" s="1058"/>
      <c r="J846" s="1058"/>
      <c r="K846" s="1058"/>
      <c r="L846" s="999"/>
    </row>
    <row r="847" spans="1:12" s="23" customFormat="1" ht="17.25" customHeight="1">
      <c r="A847" s="1059" t="str">
        <f>A830</f>
        <v>LƯƠNG THÁNG 09/2025</v>
      </c>
      <c r="B847" s="1058"/>
      <c r="C847" s="1058"/>
      <c r="D847" s="1058"/>
      <c r="E847" s="1054">
        <f>VLOOKUP(B848,'CNKT '!$D$101:$AF$165,26,0)</f>
        <v>3774482</v>
      </c>
      <c r="F847" s="1055"/>
      <c r="G847" s="1059" t="str">
        <f>A847</f>
        <v>LƯƠNG THÁNG 09/2025</v>
      </c>
      <c r="H847" s="1058"/>
      <c r="I847" s="1058"/>
      <c r="J847" s="998"/>
      <c r="K847" s="1054">
        <f>VLOOKUP(H848,'CNKT '!$D$101:$AF$165,26,0)</f>
        <v>10802170</v>
      </c>
      <c r="L847" s="999"/>
    </row>
    <row r="848" spans="1:12" s="23" customFormat="1" ht="17.25" customHeight="1">
      <c r="A848" s="1028" t="s">
        <v>13</v>
      </c>
      <c r="B848" s="1000" t="str">
        <f>'CNKT '!D113</f>
        <v>T. Na</v>
      </c>
      <c r="C848" s="1006"/>
      <c r="D848" s="1000" t="s">
        <v>353</v>
      </c>
      <c r="E848" s="1000" t="s">
        <v>16</v>
      </c>
      <c r="F848" s="1055"/>
      <c r="G848" s="1028" t="s">
        <v>13</v>
      </c>
      <c r="H848" s="1000" t="str">
        <f>'CNKT '!D114</f>
        <v>T. Khăm Mặn</v>
      </c>
      <c r="I848" s="1006"/>
      <c r="J848" s="1000" t="s">
        <v>353</v>
      </c>
      <c r="K848" s="1000" t="s">
        <v>16</v>
      </c>
      <c r="L848" s="999"/>
    </row>
    <row r="849" spans="1:12" s="23" customFormat="1" ht="17.25" customHeight="1">
      <c r="A849" s="1004" t="s">
        <v>354</v>
      </c>
      <c r="B849" s="1005" t="s">
        <v>454</v>
      </c>
      <c r="C849" s="1006">
        <f>VLOOKUP(B848,'SẢN LƯỢNG'!$D$98:$AR$160,37,0)</f>
        <v>3343</v>
      </c>
      <c r="D849" s="1007"/>
      <c r="E849" s="1007"/>
      <c r="F849" s="1055"/>
      <c r="G849" s="1004" t="s">
        <v>354</v>
      </c>
      <c r="H849" s="1005" t="s">
        <v>454</v>
      </c>
      <c r="I849" s="1006">
        <f>VLOOKUP(H848,'SẢN LƯỢNG'!$D$98:$AR$160,37,0)</f>
        <v>5122</v>
      </c>
      <c r="J849" s="1007"/>
      <c r="K849" s="1007"/>
      <c r="L849" s="999"/>
    </row>
    <row r="850" spans="1:12" s="23" customFormat="1" ht="17.25" customHeight="1">
      <c r="A850" s="1004" t="s">
        <v>68</v>
      </c>
      <c r="B850" s="1008" t="s">
        <v>380</v>
      </c>
      <c r="C850" s="581">
        <f>VLOOKUP(B848,'CNKT '!$D$100:$AC$165,3,0)</f>
        <v>0</v>
      </c>
      <c r="D850" s="582">
        <v>25000</v>
      </c>
      <c r="E850" s="1007">
        <f t="shared" ref="E850:E855" si="180">C850*D850</f>
        <v>0</v>
      </c>
      <c r="F850" s="1055"/>
      <c r="G850" s="1004" t="s">
        <v>68</v>
      </c>
      <c r="H850" s="1008" t="s">
        <v>380</v>
      </c>
      <c r="I850" s="581">
        <f>VLOOKUP(H848,'CNKT '!$D$100:$AC$165,3,0)</f>
        <v>0</v>
      </c>
      <c r="J850" s="582">
        <v>25000</v>
      </c>
      <c r="K850" s="1007">
        <f t="shared" ref="K850:K855" si="181">I850*J850</f>
        <v>0</v>
      </c>
      <c r="L850" s="999"/>
    </row>
    <row r="851" spans="1:12" s="23" customFormat="1" ht="17.25" customHeight="1">
      <c r="A851" s="1004" t="s">
        <v>269</v>
      </c>
      <c r="B851" s="1009" t="s">
        <v>455</v>
      </c>
      <c r="C851" s="1010" t="str">
        <f>VLOOKUP(B848,'CNKT '!$D$100:$AC$165,11,0)</f>
        <v>B</v>
      </c>
      <c r="D851" s="583">
        <f>46.1*$B$2</f>
        <v>30424.156000000003</v>
      </c>
      <c r="E851" s="1007" t="e">
        <f t="shared" si="180"/>
        <v>#VALUE!</v>
      </c>
      <c r="F851" s="1055"/>
      <c r="G851" s="1004" t="s">
        <v>269</v>
      </c>
      <c r="H851" s="1009" t="s">
        <v>455</v>
      </c>
      <c r="I851" s="1010" t="str">
        <f>VLOOKUP(H848,'CNKT '!$D$100:$AC$165,11,0)</f>
        <v>A</v>
      </c>
      <c r="J851" s="583">
        <f>46.1*$B$2</f>
        <v>30424.156000000003</v>
      </c>
      <c r="K851" s="1007" t="e">
        <f t="shared" si="181"/>
        <v>#VALUE!</v>
      </c>
      <c r="L851" s="999"/>
    </row>
    <row r="852" spans="1:12" s="23" customFormat="1" ht="17.25" customHeight="1">
      <c r="A852" s="1004" t="s">
        <v>356</v>
      </c>
      <c r="B852" s="1009" t="s">
        <v>456</v>
      </c>
      <c r="C852" s="1010">
        <f>VLOOKUP(B848,'CNKT '!$D$100:$AC$165,12,0)</f>
        <v>3135575</v>
      </c>
      <c r="D852" s="582">
        <f>76.9*$B$2</f>
        <v>50750.924000000006</v>
      </c>
      <c r="E852" s="1007">
        <f t="shared" si="180"/>
        <v>159133328521.30002</v>
      </c>
      <c r="F852" s="1055"/>
      <c r="G852" s="1004" t="s">
        <v>356</v>
      </c>
      <c r="H852" s="1009" t="s">
        <v>456</v>
      </c>
      <c r="I852" s="1010">
        <f>VLOOKUP(H848,'CNKT '!$D$100:$AC$165,12,0)</f>
        <v>9325461</v>
      </c>
      <c r="J852" s="582">
        <f>76.9*$B$2</f>
        <v>50750.924000000006</v>
      </c>
      <c r="K852" s="1007">
        <f t="shared" si="181"/>
        <v>473275762475.96405</v>
      </c>
      <c r="L852" s="999"/>
    </row>
    <row r="853" spans="1:12" s="23" customFormat="1" ht="17.25" customHeight="1">
      <c r="A853" s="1004" t="s">
        <v>69</v>
      </c>
      <c r="B853" s="1009" t="s">
        <v>457</v>
      </c>
      <c r="C853" s="1010">
        <f>VLOOKUP(B848,'CNKT '!$D$100:$AC$165,8,0)</f>
        <v>771.1809060393706</v>
      </c>
      <c r="D853" s="582">
        <f>IF(C849="A",6.1,IF(C849="B",5.8,IF(C849="C",5.5,IF(C849="C.",5.5,IF(C849="D",5.2)))))*$B$2</f>
        <v>0</v>
      </c>
      <c r="E853" s="1007">
        <f t="shared" si="180"/>
        <v>0</v>
      </c>
      <c r="F853" s="1055"/>
      <c r="G853" s="1004" t="s">
        <v>69</v>
      </c>
      <c r="H853" s="1009" t="s">
        <v>457</v>
      </c>
      <c r="I853" s="1010">
        <f>VLOOKUP(H848,'CNKT '!$D$100:$AC$165,8,0)</f>
        <v>2327.9777549299661</v>
      </c>
      <c r="J853" s="582">
        <f>IF(I849="A",6.1,IF(I849="B",5.8,IF(I849="C",5.5,IF(I849="C.",5.5,IF(I849="D",5.2)))))*$B$2</f>
        <v>0</v>
      </c>
      <c r="K853" s="1007">
        <f t="shared" si="181"/>
        <v>0</v>
      </c>
      <c r="L853" s="999"/>
    </row>
    <row r="854" spans="1:12" s="23" customFormat="1" ht="17.25" customHeight="1">
      <c r="A854" s="1064" t="s">
        <v>433</v>
      </c>
      <c r="B854" s="1065" t="s">
        <v>458</v>
      </c>
      <c r="C854" s="1066">
        <f>VLOOKUP(B848,'CNKT '!$D$99:$AC$165,13,0)</f>
        <v>21</v>
      </c>
      <c r="D854" s="1074">
        <f>92.2*$B$2</f>
        <v>60848.312000000005</v>
      </c>
      <c r="E854" s="1068">
        <f t="shared" si="180"/>
        <v>1277814.5520000001</v>
      </c>
      <c r="F854" s="1055"/>
      <c r="G854" s="1064" t="s">
        <v>433</v>
      </c>
      <c r="H854" s="1065" t="s">
        <v>458</v>
      </c>
      <c r="I854" s="1066">
        <f>VLOOKUP(H848,'CNKT '!$D$99:$AC$165,13,0)</f>
        <v>27</v>
      </c>
      <c r="J854" s="1074">
        <f>92.2*$B$2</f>
        <v>60848.312000000005</v>
      </c>
      <c r="K854" s="1068">
        <f t="shared" si="181"/>
        <v>1642904.4240000001</v>
      </c>
      <c r="L854" s="999"/>
    </row>
    <row r="855" spans="1:12" s="23" customFormat="1" ht="17.25" customHeight="1">
      <c r="A855" s="1004" t="s">
        <v>390</v>
      </c>
      <c r="B855" s="1009" t="s">
        <v>434</v>
      </c>
      <c r="C855" s="1010">
        <f>VLOOKUP(B848,'CNKT '!$D$100:$AC$165,14,0)</f>
        <v>0</v>
      </c>
      <c r="D855" s="582">
        <f>153.6*$B$2</f>
        <v>101369.856</v>
      </c>
      <c r="E855" s="1007">
        <f t="shared" si="180"/>
        <v>0</v>
      </c>
      <c r="F855" s="1055"/>
      <c r="G855" s="1004" t="s">
        <v>390</v>
      </c>
      <c r="H855" s="1009" t="s">
        <v>434</v>
      </c>
      <c r="I855" s="1010">
        <f>VLOOKUP(H848,'CNKT '!$D$100:$AC$165,14,0)</f>
        <v>1</v>
      </c>
      <c r="J855" s="582">
        <f>153.6*$B$2</f>
        <v>101369.856</v>
      </c>
      <c r="K855" s="1007">
        <f t="shared" si="181"/>
        <v>101369.856</v>
      </c>
      <c r="L855" s="999"/>
    </row>
    <row r="856" spans="1:12" s="23" customFormat="1" ht="17.25" customHeight="1">
      <c r="A856" s="1064" t="s">
        <v>781</v>
      </c>
      <c r="B856" s="1065" t="s">
        <v>435</v>
      </c>
      <c r="C856" s="1066">
        <f>VLOOKUP(B848,'CNKT '!$D$101:$AC$165,18,0)</f>
        <v>0</v>
      </c>
      <c r="D856" s="1067">
        <v>100000</v>
      </c>
      <c r="E856" s="1068">
        <f>C856*D856</f>
        <v>0</v>
      </c>
      <c r="F856" s="1055"/>
      <c r="G856" s="1064" t="s">
        <v>781</v>
      </c>
      <c r="H856" s="1065" t="s">
        <v>435</v>
      </c>
      <c r="I856" s="1066">
        <f>VLOOKUP(H848,'CNKT '!$D$101:$AC$165,18,0)</f>
        <v>0</v>
      </c>
      <c r="J856" s="1067">
        <v>100000</v>
      </c>
      <c r="K856" s="1068">
        <f>I856*J856</f>
        <v>0</v>
      </c>
      <c r="L856" s="999"/>
    </row>
    <row r="857" spans="1:12" s="23" customFormat="1" ht="17.25" customHeight="1">
      <c r="A857" s="1004" t="s">
        <v>394</v>
      </c>
      <c r="B857" s="1009" t="s">
        <v>435</v>
      </c>
      <c r="C857" s="1010">
        <f>VLOOKUP(B848,'CNKT '!$D$101:$AC$165,19,0)</f>
        <v>0</v>
      </c>
      <c r="D857" s="582">
        <v>20000</v>
      </c>
      <c r="E857" s="1007">
        <f>C857*D857</f>
        <v>0</v>
      </c>
      <c r="F857" s="1055"/>
      <c r="G857" s="1004" t="s">
        <v>394</v>
      </c>
      <c r="H857" s="1009" t="s">
        <v>435</v>
      </c>
      <c r="I857" s="1010">
        <f>VLOOKUP(H848,'CNKT '!$D$101:$AC$165,19,0)</f>
        <v>0</v>
      </c>
      <c r="J857" s="582">
        <v>20000</v>
      </c>
      <c r="K857" s="1007">
        <f>I857*J857</f>
        <v>0</v>
      </c>
      <c r="L857" s="999"/>
    </row>
    <row r="858" spans="1:12" s="23" customFormat="1" ht="17.25" customHeight="1">
      <c r="A858" s="1004" t="s">
        <v>731</v>
      </c>
      <c r="B858" s="1011" t="s">
        <v>732</v>
      </c>
      <c r="C858" s="1010"/>
      <c r="D858" s="582"/>
      <c r="E858" s="1007">
        <f>VLOOKUP(B848,'CNKT '!$D$101:$AG$165,28,0)</f>
        <v>13</v>
      </c>
      <c r="F858" s="1055"/>
      <c r="G858" s="1004" t="s">
        <v>731</v>
      </c>
      <c r="H858" s="1011" t="s">
        <v>732</v>
      </c>
      <c r="I858" s="1010"/>
      <c r="J858" s="582"/>
      <c r="K858" s="1007">
        <f>VLOOKUP(H848,'CNKT '!$D$101:$AG$165,28,0)</f>
        <v>14</v>
      </c>
      <c r="L858" s="999"/>
    </row>
    <row r="859" spans="1:12" s="23" customFormat="1" ht="17.25" customHeight="1">
      <c r="A859" s="1012" t="s">
        <v>70</v>
      </c>
      <c r="B859" s="1013" t="s">
        <v>459</v>
      </c>
      <c r="C859" s="1014"/>
      <c r="D859" s="1015"/>
      <c r="E859" s="1014"/>
      <c r="F859" s="1055"/>
      <c r="G859" s="1012" t="s">
        <v>70</v>
      </c>
      <c r="H859" s="1013" t="s">
        <v>459</v>
      </c>
      <c r="I859" s="1014"/>
      <c r="J859" s="1015"/>
      <c r="K859" s="1014"/>
      <c r="L859" s="999"/>
    </row>
    <row r="860" spans="1:12" s="23" customFormat="1" ht="17.25" customHeight="1">
      <c r="A860" s="1016" t="s">
        <v>71</v>
      </c>
      <c r="B860" s="1017" t="s">
        <v>460</v>
      </c>
      <c r="C860" s="1014"/>
      <c r="D860" s="1014"/>
      <c r="E860" s="1014"/>
      <c r="F860" s="1055"/>
      <c r="G860" s="1016" t="s">
        <v>71</v>
      </c>
      <c r="H860" s="1017" t="s">
        <v>460</v>
      </c>
      <c r="I860" s="1014"/>
      <c r="J860" s="1014"/>
      <c r="K860" s="1014"/>
      <c r="L860" s="999"/>
    </row>
    <row r="861" spans="1:12" s="23" customFormat="1" ht="17.25" customHeight="1">
      <c r="A861" s="1016" t="s">
        <v>72</v>
      </c>
      <c r="B861" s="1018" t="s">
        <v>461</v>
      </c>
      <c r="C861" s="1014"/>
      <c r="D861" s="1014"/>
      <c r="E861" s="1007">
        <f>SUM(E860)</f>
        <v>0</v>
      </c>
      <c r="F861" s="1057"/>
      <c r="G861" s="1016" t="s">
        <v>72</v>
      </c>
      <c r="H861" s="1018" t="s">
        <v>461</v>
      </c>
      <c r="I861" s="1014"/>
      <c r="J861" s="1014"/>
      <c r="K861" s="1007">
        <f>SUM(K860)</f>
        <v>0</v>
      </c>
      <c r="L861" s="999"/>
    </row>
    <row r="862" spans="1:12" s="23" customFormat="1" ht="17.25" customHeight="1">
      <c r="A862" s="1020" t="s">
        <v>73</v>
      </c>
      <c r="B862" s="1021" t="s">
        <v>381</v>
      </c>
      <c r="C862" s="1022"/>
      <c r="D862" s="1022"/>
      <c r="E862" s="1022" t="e">
        <f>(E850+E851+E852+E853+E854+E855+E856+E857+E858)-E861</f>
        <v>#VALUE!</v>
      </c>
      <c r="F862" s="1057"/>
      <c r="G862" s="1020" t="s">
        <v>73</v>
      </c>
      <c r="H862" s="1021" t="s">
        <v>381</v>
      </c>
      <c r="I862" s="1022"/>
      <c r="J862" s="1022"/>
      <c r="K862" s="1022" t="e">
        <f>(K850+K851+K852+K853+K854+K855+K856+K857+K858)-K861</f>
        <v>#VALUE!</v>
      </c>
      <c r="L862" s="1024" t="e">
        <f>E862+K862</f>
        <v>#VALUE!</v>
      </c>
    </row>
    <row r="863" spans="1:12" s="23" customFormat="1" ht="9.75" customHeight="1">
      <c r="A863" s="1058"/>
      <c r="B863" s="1058"/>
      <c r="C863" s="1058"/>
      <c r="D863" s="1058"/>
      <c r="E863" s="1058"/>
      <c r="F863" s="1058"/>
      <c r="G863" s="1058"/>
      <c r="H863" s="1058"/>
      <c r="I863" s="1058"/>
      <c r="J863" s="1058"/>
      <c r="K863" s="1058"/>
      <c r="L863" s="999"/>
    </row>
    <row r="864" spans="1:12" s="23" customFormat="1" ht="17.25" customHeight="1">
      <c r="A864" s="1059" t="str">
        <f>A847</f>
        <v>LƯƠNG THÁNG 09/2025</v>
      </c>
      <c r="B864" s="1058"/>
      <c r="C864" s="1058"/>
      <c r="D864" s="1058"/>
      <c r="E864" s="1054">
        <f>VLOOKUP(B865,'CNKT '!$D$101:$AF$165,26,0)</f>
        <v>8646013</v>
      </c>
      <c r="F864" s="1055"/>
      <c r="G864" s="1059" t="str">
        <f>A864</f>
        <v>LƯƠNG THÁNG 09/2025</v>
      </c>
      <c r="H864" s="1058"/>
      <c r="I864" s="1058"/>
      <c r="J864" s="998"/>
      <c r="K864" s="1054">
        <f>VLOOKUP(H865,'CNKT '!$D$101:$AF$165,26,0)</f>
        <v>7579730</v>
      </c>
      <c r="L864" s="999"/>
    </row>
    <row r="865" spans="1:12" s="23" customFormat="1" ht="17.25" customHeight="1">
      <c r="A865" s="1028" t="s">
        <v>13</v>
      </c>
      <c r="B865" s="1000" t="str">
        <f>'CNKT '!D115</f>
        <v>T . In Tong</v>
      </c>
      <c r="C865" s="1006"/>
      <c r="D865" s="1000" t="s">
        <v>353</v>
      </c>
      <c r="E865" s="1000" t="s">
        <v>16</v>
      </c>
      <c r="F865" s="1055"/>
      <c r="G865" s="1028" t="s">
        <v>13</v>
      </c>
      <c r="H865" s="1000" t="str">
        <f>'CNKT '!D116</f>
        <v>T. Lốp</v>
      </c>
      <c r="I865" s="1006"/>
      <c r="J865" s="1000" t="s">
        <v>353</v>
      </c>
      <c r="K865" s="1000" t="s">
        <v>16</v>
      </c>
      <c r="L865" s="999"/>
    </row>
    <row r="866" spans="1:12" s="23" customFormat="1" ht="17.25" customHeight="1">
      <c r="A866" s="1004" t="s">
        <v>354</v>
      </c>
      <c r="B866" s="1005" t="s">
        <v>454</v>
      </c>
      <c r="C866" s="1006">
        <f>VLOOKUP(B865,'SẢN LƯỢNG'!$D$98:$AR$160,37,0)</f>
        <v>3751</v>
      </c>
      <c r="D866" s="1007"/>
      <c r="E866" s="1007"/>
      <c r="F866" s="1055"/>
      <c r="G866" s="1004" t="s">
        <v>354</v>
      </c>
      <c r="H866" s="1005" t="s">
        <v>454</v>
      </c>
      <c r="I866" s="1006">
        <f>VLOOKUP(H865,'SẢN LƯỢNG'!$D$98:$AR$160,37,0)</f>
        <v>1936</v>
      </c>
      <c r="J866" s="1007"/>
      <c r="K866" s="1007"/>
      <c r="L866" s="999"/>
    </row>
    <row r="867" spans="1:12" s="23" customFormat="1" ht="17.25" customHeight="1">
      <c r="A867" s="1004" t="s">
        <v>68</v>
      </c>
      <c r="B867" s="1008" t="s">
        <v>380</v>
      </c>
      <c r="C867" s="581">
        <f>VLOOKUP(B865,'CNKT '!$D$100:$AC$165,3,0)</f>
        <v>0</v>
      </c>
      <c r="D867" s="582">
        <v>25000</v>
      </c>
      <c r="E867" s="1007">
        <f t="shared" ref="E867:E872" si="182">C867*D867</f>
        <v>0</v>
      </c>
      <c r="F867" s="1055"/>
      <c r="G867" s="1004" t="s">
        <v>68</v>
      </c>
      <c r="H867" s="1008" t="s">
        <v>380</v>
      </c>
      <c r="I867" s="581">
        <f>VLOOKUP(H865,'CNKT '!$D$100:$AC$165,3,0)</f>
        <v>0</v>
      </c>
      <c r="J867" s="582">
        <v>25000</v>
      </c>
      <c r="K867" s="1007">
        <f t="shared" ref="K867:K872" si="183">I867*J867</f>
        <v>0</v>
      </c>
      <c r="L867" s="999"/>
    </row>
    <row r="868" spans="1:12" s="23" customFormat="1" ht="17.25" customHeight="1">
      <c r="A868" s="1004" t="s">
        <v>269</v>
      </c>
      <c r="B868" s="1009" t="s">
        <v>455</v>
      </c>
      <c r="C868" s="1010" t="str">
        <f>VLOOKUP(B865,'CNKT '!$D$100:$AC$165,11,0)</f>
        <v>A</v>
      </c>
      <c r="D868" s="583">
        <f>46.1*$B$2</f>
        <v>30424.156000000003</v>
      </c>
      <c r="E868" s="1007" t="e">
        <f t="shared" si="182"/>
        <v>#VALUE!</v>
      </c>
      <c r="F868" s="1055"/>
      <c r="G868" s="1004" t="s">
        <v>269</v>
      </c>
      <c r="H868" s="1009" t="s">
        <v>455</v>
      </c>
      <c r="I868" s="1010" t="str">
        <f>VLOOKUP(H865,'CNKT '!$D$100:$AC$165,11,0)</f>
        <v>A</v>
      </c>
      <c r="J868" s="583">
        <f>46.1*$B$2</f>
        <v>30424.156000000003</v>
      </c>
      <c r="K868" s="1007" t="e">
        <f t="shared" si="183"/>
        <v>#VALUE!</v>
      </c>
      <c r="L868" s="999"/>
    </row>
    <row r="869" spans="1:12" s="23" customFormat="1" ht="17.25" customHeight="1">
      <c r="A869" s="1004" t="s">
        <v>356</v>
      </c>
      <c r="B869" s="1009" t="s">
        <v>456</v>
      </c>
      <c r="C869" s="1010">
        <f>VLOOKUP(B865,'CNKT '!$D$100:$AC$165,12,0)</f>
        <v>7169304</v>
      </c>
      <c r="D869" s="582">
        <f>76.9*$B$2</f>
        <v>50750.924000000006</v>
      </c>
      <c r="E869" s="1007">
        <f t="shared" si="182"/>
        <v>363848802436.89606</v>
      </c>
      <c r="F869" s="1055"/>
      <c r="G869" s="1004" t="s">
        <v>356</v>
      </c>
      <c r="H869" s="1009" t="s">
        <v>456</v>
      </c>
      <c r="I869" s="1010">
        <f>VLOOKUP(H865,'CNKT '!$D$100:$AC$165,12,0)</f>
        <v>6103021</v>
      </c>
      <c r="J869" s="582">
        <f>76.9*$B$2</f>
        <v>50750.924000000006</v>
      </c>
      <c r="K869" s="1007">
        <f t="shared" si="183"/>
        <v>309733954941.40405</v>
      </c>
      <c r="L869" s="999"/>
    </row>
    <row r="870" spans="1:12" s="23" customFormat="1" ht="17.25" customHeight="1">
      <c r="A870" s="1004" t="s">
        <v>69</v>
      </c>
      <c r="B870" s="1009" t="s">
        <v>457</v>
      </c>
      <c r="C870" s="1010">
        <f>VLOOKUP(B865,'CNKT '!$D$100:$AC$165,8,0)</f>
        <v>1796.06851968103</v>
      </c>
      <c r="D870" s="582">
        <f>IF(C866="A",6.1,IF(C866="B",5.8,IF(C866="C",5.5,IF(C866="C.",5.5,IF(C866="D",5.2)))))*$B$2</f>
        <v>0</v>
      </c>
      <c r="E870" s="1007">
        <f t="shared" si="182"/>
        <v>0</v>
      </c>
      <c r="F870" s="1055"/>
      <c r="G870" s="1004" t="s">
        <v>69</v>
      </c>
      <c r="H870" s="1009" t="s">
        <v>457</v>
      </c>
      <c r="I870" s="1010">
        <f>VLOOKUP(H865,'CNKT '!$D$100:$AC$165,8,0)</f>
        <v>1571.6693110603849</v>
      </c>
      <c r="J870" s="582">
        <f>IF(I866="A",6.1,IF(I866="B",5.8,IF(I866="C",5.5,IF(I866="C.",5.5,IF(I866="D",5.2)))))*$B$2</f>
        <v>0</v>
      </c>
      <c r="K870" s="1007">
        <f t="shared" si="183"/>
        <v>0</v>
      </c>
      <c r="L870" s="999"/>
    </row>
    <row r="871" spans="1:12" s="23" customFormat="1" ht="17.25" customHeight="1">
      <c r="A871" s="1064" t="s">
        <v>433</v>
      </c>
      <c r="B871" s="1065" t="s">
        <v>458</v>
      </c>
      <c r="C871" s="1066">
        <f>VLOOKUP(B865,'CNKT '!$D$99:$AC$165,13,0)</f>
        <v>27</v>
      </c>
      <c r="D871" s="1074">
        <f>92.2*$B$2</f>
        <v>60848.312000000005</v>
      </c>
      <c r="E871" s="1068">
        <f t="shared" si="182"/>
        <v>1642904.4240000001</v>
      </c>
      <c r="F871" s="1055"/>
      <c r="G871" s="1064" t="s">
        <v>433</v>
      </c>
      <c r="H871" s="1065" t="s">
        <v>458</v>
      </c>
      <c r="I871" s="1066">
        <f>VLOOKUP(H865,'CNKT '!$D$99:$AC$165,13,0)</f>
        <v>27</v>
      </c>
      <c r="J871" s="1074">
        <f>92.2*$B$2</f>
        <v>60848.312000000005</v>
      </c>
      <c r="K871" s="1068">
        <f t="shared" si="183"/>
        <v>1642904.4240000001</v>
      </c>
      <c r="L871" s="999"/>
    </row>
    <row r="872" spans="1:12" s="23" customFormat="1" ht="17.25" customHeight="1">
      <c r="A872" s="1004" t="s">
        <v>390</v>
      </c>
      <c r="B872" s="1009" t="s">
        <v>434</v>
      </c>
      <c r="C872" s="1010">
        <f>VLOOKUP(B865,'CNKT '!$D$100:$AC$165,14,0)</f>
        <v>1</v>
      </c>
      <c r="D872" s="582">
        <f>153.6*$B$2</f>
        <v>101369.856</v>
      </c>
      <c r="E872" s="1007">
        <f t="shared" si="182"/>
        <v>101369.856</v>
      </c>
      <c r="F872" s="1055"/>
      <c r="G872" s="1004" t="s">
        <v>390</v>
      </c>
      <c r="H872" s="1009" t="s">
        <v>434</v>
      </c>
      <c r="I872" s="1010">
        <f>VLOOKUP(H865,'CNKT '!$D$100:$AC$165,14,0)</f>
        <v>1</v>
      </c>
      <c r="J872" s="582">
        <f>153.6*$B$2</f>
        <v>101369.856</v>
      </c>
      <c r="K872" s="1007">
        <f t="shared" si="183"/>
        <v>101369.856</v>
      </c>
      <c r="L872" s="999"/>
    </row>
    <row r="873" spans="1:12" s="23" customFormat="1" ht="17.25" customHeight="1">
      <c r="A873" s="1064" t="s">
        <v>781</v>
      </c>
      <c r="B873" s="1065" t="s">
        <v>435</v>
      </c>
      <c r="C873" s="1066">
        <f>VLOOKUP(B865,'CNKT '!$D$101:$AC$165,18,0)</f>
        <v>0</v>
      </c>
      <c r="D873" s="1067">
        <v>100000</v>
      </c>
      <c r="E873" s="1068">
        <f>C873*D873</f>
        <v>0</v>
      </c>
      <c r="F873" s="1055"/>
      <c r="G873" s="1064" t="s">
        <v>781</v>
      </c>
      <c r="H873" s="1065" t="s">
        <v>435</v>
      </c>
      <c r="I873" s="1066">
        <f>VLOOKUP(H865,'CNKT '!$D$101:$AC$165,18,0)</f>
        <v>0</v>
      </c>
      <c r="J873" s="1067">
        <v>100000</v>
      </c>
      <c r="K873" s="1068">
        <f>I873*J873</f>
        <v>0</v>
      </c>
      <c r="L873" s="999"/>
    </row>
    <row r="874" spans="1:12" s="23" customFormat="1" ht="17.25" customHeight="1">
      <c r="A874" s="1004" t="s">
        <v>394</v>
      </c>
      <c r="B874" s="1009" t="s">
        <v>435</v>
      </c>
      <c r="C874" s="1010">
        <f>VLOOKUP(B865,'CNKT '!$D$101:$AC$165,19,0)</f>
        <v>0</v>
      </c>
      <c r="D874" s="582">
        <v>20000</v>
      </c>
      <c r="E874" s="1007">
        <f>C874*D874</f>
        <v>0</v>
      </c>
      <c r="F874" s="1055"/>
      <c r="G874" s="1004" t="s">
        <v>394</v>
      </c>
      <c r="H874" s="1009" t="s">
        <v>435</v>
      </c>
      <c r="I874" s="1010">
        <f>VLOOKUP(H865,'CNKT '!$D$101:$AC$165,19,0)</f>
        <v>0</v>
      </c>
      <c r="J874" s="582">
        <v>20000</v>
      </c>
      <c r="K874" s="1007">
        <f>I874*J874</f>
        <v>0</v>
      </c>
      <c r="L874" s="999"/>
    </row>
    <row r="875" spans="1:12" s="23" customFormat="1" ht="17.25" customHeight="1">
      <c r="A875" s="1004" t="s">
        <v>731</v>
      </c>
      <c r="B875" s="1011" t="s">
        <v>732</v>
      </c>
      <c r="C875" s="1010"/>
      <c r="D875" s="582"/>
      <c r="E875" s="1007">
        <f>VLOOKUP(B865,'CNKT '!$D$101:$AG$165,28,0)</f>
        <v>15</v>
      </c>
      <c r="F875" s="1055"/>
      <c r="G875" s="1004" t="s">
        <v>731</v>
      </c>
      <c r="H875" s="1011" t="s">
        <v>732</v>
      </c>
      <c r="I875" s="1010"/>
      <c r="J875" s="582"/>
      <c r="K875" s="1007">
        <f>VLOOKUP(H865,'CNKT '!$D$101:$AG$165,28,0)</f>
        <v>16</v>
      </c>
      <c r="L875" s="999"/>
    </row>
    <row r="876" spans="1:12" s="23" customFormat="1" ht="17.25" customHeight="1">
      <c r="A876" s="1012" t="s">
        <v>70</v>
      </c>
      <c r="B876" s="1013" t="s">
        <v>459</v>
      </c>
      <c r="C876" s="1014"/>
      <c r="D876" s="1015"/>
      <c r="E876" s="1014"/>
      <c r="F876" s="1055"/>
      <c r="G876" s="1012" t="s">
        <v>70</v>
      </c>
      <c r="H876" s="1013" t="s">
        <v>459</v>
      </c>
      <c r="I876" s="1014"/>
      <c r="J876" s="1015"/>
      <c r="K876" s="1014"/>
      <c r="L876" s="999"/>
    </row>
    <row r="877" spans="1:12" s="23" customFormat="1" ht="17.25" customHeight="1">
      <c r="A877" s="1016" t="s">
        <v>71</v>
      </c>
      <c r="B877" s="1017" t="s">
        <v>460</v>
      </c>
      <c r="C877" s="1014"/>
      <c r="D877" s="1014"/>
      <c r="E877" s="1014"/>
      <c r="F877" s="1055"/>
      <c r="G877" s="1016" t="s">
        <v>71</v>
      </c>
      <c r="H877" s="1017" t="s">
        <v>460</v>
      </c>
      <c r="I877" s="1014"/>
      <c r="J877" s="1014"/>
      <c r="K877" s="1014"/>
      <c r="L877" s="999"/>
    </row>
    <row r="878" spans="1:12" s="23" customFormat="1" ht="17.25" customHeight="1">
      <c r="A878" s="1016" t="s">
        <v>72</v>
      </c>
      <c r="B878" s="1018" t="s">
        <v>461</v>
      </c>
      <c r="C878" s="1014"/>
      <c r="D878" s="1014"/>
      <c r="E878" s="1007">
        <f>SUM(E877)</f>
        <v>0</v>
      </c>
      <c r="F878" s="1057"/>
      <c r="G878" s="1016" t="s">
        <v>72</v>
      </c>
      <c r="H878" s="1018" t="s">
        <v>461</v>
      </c>
      <c r="I878" s="1014"/>
      <c r="J878" s="1014"/>
      <c r="K878" s="1007">
        <f>SUM(K877)</f>
        <v>0</v>
      </c>
      <c r="L878" s="999"/>
    </row>
    <row r="879" spans="1:12" s="23" customFormat="1" ht="17.25" customHeight="1">
      <c r="A879" s="1020" t="s">
        <v>73</v>
      </c>
      <c r="B879" s="1021" t="s">
        <v>381</v>
      </c>
      <c r="C879" s="1022"/>
      <c r="D879" s="1022"/>
      <c r="E879" s="1022" t="e">
        <f>(E867+E868+E869+E870+E871+E872+E873+E874+E875)-E878</f>
        <v>#VALUE!</v>
      </c>
      <c r="F879" s="1057"/>
      <c r="G879" s="1020" t="s">
        <v>73</v>
      </c>
      <c r="H879" s="1021" t="s">
        <v>381</v>
      </c>
      <c r="I879" s="1022"/>
      <c r="J879" s="1022"/>
      <c r="K879" s="1022" t="e">
        <f>(K867+K868+K869+K870+K871+K872+K873+K874+K875)-K878</f>
        <v>#VALUE!</v>
      </c>
      <c r="L879" s="1024" t="e">
        <f>E879+K879</f>
        <v>#VALUE!</v>
      </c>
    </row>
    <row r="880" spans="1:12" s="23" customFormat="1" ht="17.25" customHeight="1">
      <c r="A880" s="1058"/>
      <c r="B880" s="1058"/>
      <c r="C880" s="1058"/>
      <c r="D880" s="1058"/>
      <c r="E880" s="1058"/>
      <c r="F880" s="1058"/>
      <c r="G880" s="1058"/>
      <c r="H880" s="1058"/>
      <c r="I880" s="1058"/>
      <c r="J880" s="1058"/>
      <c r="K880" s="1058"/>
      <c r="L880" s="999"/>
    </row>
    <row r="881" spans="1:12" s="23" customFormat="1" ht="17.25" customHeight="1">
      <c r="A881" s="1059" t="str">
        <f>A864</f>
        <v>LƯƠNG THÁNG 09/2025</v>
      </c>
      <c r="B881" s="1058"/>
      <c r="C881" s="1058"/>
      <c r="D881" s="1058"/>
      <c r="E881" s="1054">
        <f>VLOOKUP(B882,'CNKT '!$D$101:$AF$165,26,0)</f>
        <v>12241715</v>
      </c>
      <c r="F881" s="1055"/>
      <c r="G881" s="1059" t="str">
        <f>A881</f>
        <v>LƯƠNG THÁNG 09/2025</v>
      </c>
      <c r="H881" s="1058"/>
      <c r="I881" s="1058"/>
      <c r="J881" s="998"/>
      <c r="K881" s="1054">
        <f>VLOOKUP(H882,'CNKT '!$D$101:$AF$165,26,0)</f>
        <v>9169909</v>
      </c>
      <c r="L881" s="999"/>
    </row>
    <row r="882" spans="1:12" s="23" customFormat="1" ht="17.25" customHeight="1">
      <c r="A882" s="1028" t="s">
        <v>13</v>
      </c>
      <c r="B882" s="1000" t="str">
        <f>'CNKT '!D117</f>
        <v>T. Lăm Phêng</v>
      </c>
      <c r="C882" s="1006"/>
      <c r="D882" s="1000" t="s">
        <v>353</v>
      </c>
      <c r="E882" s="1000" t="s">
        <v>16</v>
      </c>
      <c r="F882" s="1055"/>
      <c r="G882" s="1028" t="s">
        <v>13</v>
      </c>
      <c r="H882" s="1000" t="str">
        <f>'CNKT '!D118</f>
        <v>T Xèng</v>
      </c>
      <c r="I882" s="1006"/>
      <c r="J882" s="1000" t="s">
        <v>353</v>
      </c>
      <c r="K882" s="1000" t="s">
        <v>16</v>
      </c>
      <c r="L882" s="999"/>
    </row>
    <row r="883" spans="1:12" s="23" customFormat="1" ht="17.25" customHeight="1">
      <c r="A883" s="1004" t="s">
        <v>354</v>
      </c>
      <c r="B883" s="1005" t="s">
        <v>454</v>
      </c>
      <c r="C883" s="1006">
        <f>VLOOKUP(B882,'SẢN LƯỢNG'!$D$98:$AR$160,37,0)</f>
        <v>5990</v>
      </c>
      <c r="D883" s="1007"/>
      <c r="E883" s="1007"/>
      <c r="F883" s="1055"/>
      <c r="G883" s="1004" t="s">
        <v>354</v>
      </c>
      <c r="H883" s="1005" t="s">
        <v>454</v>
      </c>
      <c r="I883" s="1006">
        <f>VLOOKUP(H882,'SẢN LƯỢNG'!$D$98:$AR$160,37,0)</f>
        <v>4489</v>
      </c>
      <c r="J883" s="1007"/>
      <c r="K883" s="1007"/>
      <c r="L883" s="999"/>
    </row>
    <row r="884" spans="1:12" s="23" customFormat="1" ht="17.25" customHeight="1">
      <c r="A884" s="1004" t="s">
        <v>68</v>
      </c>
      <c r="B884" s="1008" t="s">
        <v>380</v>
      </c>
      <c r="C884" s="581">
        <f>VLOOKUP(B882,'CNKT '!$D$100:$AC$165,3,0)</f>
        <v>0</v>
      </c>
      <c r="D884" s="582">
        <v>25000</v>
      </c>
      <c r="E884" s="1007">
        <f t="shared" ref="E884:E889" si="184">C884*D884</f>
        <v>0</v>
      </c>
      <c r="F884" s="1055"/>
      <c r="G884" s="1004" t="s">
        <v>68</v>
      </c>
      <c r="H884" s="1008" t="s">
        <v>380</v>
      </c>
      <c r="I884" s="581">
        <f>VLOOKUP(H882,'CNKT '!$D$100:$AC$165,3,0)</f>
        <v>0</v>
      </c>
      <c r="J884" s="582">
        <v>25000</v>
      </c>
      <c r="K884" s="1007">
        <f t="shared" ref="K884:K889" si="185">I884*J884</f>
        <v>0</v>
      </c>
      <c r="L884" s="999"/>
    </row>
    <row r="885" spans="1:12" s="23" customFormat="1" ht="17.25" customHeight="1">
      <c r="A885" s="1004" t="s">
        <v>269</v>
      </c>
      <c r="B885" s="1009" t="s">
        <v>455</v>
      </c>
      <c r="C885" s="1010" t="str">
        <f>VLOOKUP(B882,'CNKT '!$D$100:$AC$165,11,0)</f>
        <v>A</v>
      </c>
      <c r="D885" s="583">
        <f>46.1*$B$2</f>
        <v>30424.156000000003</v>
      </c>
      <c r="E885" s="1007" t="e">
        <f t="shared" si="184"/>
        <v>#VALUE!</v>
      </c>
      <c r="F885" s="1055"/>
      <c r="G885" s="1004" t="s">
        <v>269</v>
      </c>
      <c r="H885" s="1009" t="s">
        <v>455</v>
      </c>
      <c r="I885" s="1010" t="str">
        <f>VLOOKUP(H882,'CNKT '!$D$100:$AC$165,11,0)</f>
        <v>A</v>
      </c>
      <c r="J885" s="583">
        <f>46.1*$B$2</f>
        <v>30424.156000000003</v>
      </c>
      <c r="K885" s="1007" t="e">
        <f t="shared" si="185"/>
        <v>#VALUE!</v>
      </c>
      <c r="L885" s="999"/>
    </row>
    <row r="886" spans="1:12" s="23" customFormat="1" ht="17.25" customHeight="1">
      <c r="A886" s="1004" t="s">
        <v>356</v>
      </c>
      <c r="B886" s="1009" t="s">
        <v>456</v>
      </c>
      <c r="C886" s="1010">
        <f>VLOOKUP(B882,'CNKT '!$D$100:$AC$165,12,0)</f>
        <v>10915757</v>
      </c>
      <c r="D886" s="582">
        <f>76.9*$B$2</f>
        <v>50750.924000000006</v>
      </c>
      <c r="E886" s="1007">
        <f t="shared" si="184"/>
        <v>553984753909.46802</v>
      </c>
      <c r="F886" s="1055"/>
      <c r="G886" s="1004" t="s">
        <v>356</v>
      </c>
      <c r="H886" s="1009" t="s">
        <v>456</v>
      </c>
      <c r="I886" s="1010">
        <f>VLOOKUP(H882,'CNKT '!$D$100:$AC$165,12,0)</f>
        <v>7693200</v>
      </c>
      <c r="J886" s="582">
        <f>76.9*$B$2</f>
        <v>50750.924000000006</v>
      </c>
      <c r="K886" s="1007">
        <f t="shared" si="185"/>
        <v>390437008516.80005</v>
      </c>
      <c r="L886" s="999"/>
    </row>
    <row r="887" spans="1:12" s="23" customFormat="1" ht="17.25" customHeight="1">
      <c r="A887" s="1004" t="s">
        <v>69</v>
      </c>
      <c r="B887" s="1009" t="s">
        <v>457</v>
      </c>
      <c r="C887" s="1010">
        <f>VLOOKUP(B882,'CNKT '!$D$100:$AC$165,8,0)</f>
        <v>2725.1599799349283</v>
      </c>
      <c r="D887" s="582">
        <f>IF(C883="A",6.1,IF(C883="B",5.8,IF(C883="C",5.5,IF(C883="C.",5.5,IF(C883="D",5.2)))))*$B$2</f>
        <v>0</v>
      </c>
      <c r="E887" s="1007">
        <f t="shared" si="184"/>
        <v>0</v>
      </c>
      <c r="F887" s="1055"/>
      <c r="G887" s="1004" t="s">
        <v>69</v>
      </c>
      <c r="H887" s="1009" t="s">
        <v>457</v>
      </c>
      <c r="I887" s="1010">
        <f>VLOOKUP(H882,'CNKT '!$D$100:$AC$165,8,0)</f>
        <v>1911.5488141758647</v>
      </c>
      <c r="J887" s="582">
        <f>IF(I883="A",6.1,IF(I883="B",5.8,IF(I883="C",5.5,IF(I883="C.",5.5,IF(I883="D",5.2)))))*$B$2</f>
        <v>0</v>
      </c>
      <c r="K887" s="1007">
        <f t="shared" si="185"/>
        <v>0</v>
      </c>
      <c r="L887" s="999"/>
    </row>
    <row r="888" spans="1:12" s="23" customFormat="1" ht="17.25" customHeight="1">
      <c r="A888" s="1064" t="s">
        <v>433</v>
      </c>
      <c r="B888" s="1065" t="s">
        <v>458</v>
      </c>
      <c r="C888" s="1066">
        <f>VLOOKUP(B882,'CNKT '!$D$99:$AC$165,13,0)</f>
        <v>27</v>
      </c>
      <c r="D888" s="1074">
        <f>92.2*$B$2</f>
        <v>60848.312000000005</v>
      </c>
      <c r="E888" s="1068">
        <f t="shared" si="184"/>
        <v>1642904.4240000001</v>
      </c>
      <c r="F888" s="1055"/>
      <c r="G888" s="1064" t="s">
        <v>433</v>
      </c>
      <c r="H888" s="1065" t="s">
        <v>458</v>
      </c>
      <c r="I888" s="1066">
        <f>VLOOKUP(H882,'CNKT '!$D$99:$AC$165,13,0)</f>
        <v>27</v>
      </c>
      <c r="J888" s="1074">
        <f>92.2*$B$2</f>
        <v>60848.312000000005</v>
      </c>
      <c r="K888" s="1068">
        <f t="shared" si="185"/>
        <v>1642904.4240000001</v>
      </c>
      <c r="L888" s="999"/>
    </row>
    <row r="889" spans="1:12" s="23" customFormat="1" ht="17.25" customHeight="1">
      <c r="A889" s="1004" t="s">
        <v>390</v>
      </c>
      <c r="B889" s="1009" t="s">
        <v>434</v>
      </c>
      <c r="C889" s="1010">
        <f>VLOOKUP(B882,'CNKT '!$D$100:$AC$165,14,0)</f>
        <v>2</v>
      </c>
      <c r="D889" s="582">
        <f>153.6*$B$2</f>
        <v>101369.856</v>
      </c>
      <c r="E889" s="1007">
        <f t="shared" si="184"/>
        <v>202739.712</v>
      </c>
      <c r="F889" s="1055"/>
      <c r="G889" s="1004" t="s">
        <v>390</v>
      </c>
      <c r="H889" s="1009" t="s">
        <v>434</v>
      </c>
      <c r="I889" s="1010">
        <f>VLOOKUP(H882,'CNKT '!$D$100:$AC$165,14,0)</f>
        <v>1</v>
      </c>
      <c r="J889" s="582">
        <f>153.6*$B$2</f>
        <v>101369.856</v>
      </c>
      <c r="K889" s="1007">
        <f t="shared" si="185"/>
        <v>101369.856</v>
      </c>
      <c r="L889" s="999"/>
    </row>
    <row r="890" spans="1:12" s="23" customFormat="1" ht="17.25" customHeight="1">
      <c r="A890" s="1064" t="s">
        <v>781</v>
      </c>
      <c r="B890" s="1065" t="s">
        <v>435</v>
      </c>
      <c r="C890" s="1066">
        <f>VLOOKUP(B882,'CNKT '!$D$101:$AC$165,18,0)</f>
        <v>0</v>
      </c>
      <c r="D890" s="1067">
        <v>100000</v>
      </c>
      <c r="E890" s="1068">
        <f>C890*D890</f>
        <v>0</v>
      </c>
      <c r="F890" s="1055"/>
      <c r="G890" s="1064" t="s">
        <v>781</v>
      </c>
      <c r="H890" s="1065" t="s">
        <v>435</v>
      </c>
      <c r="I890" s="1066">
        <f>VLOOKUP(H882,'CNKT '!$D$101:$AC$165,18,0)</f>
        <v>0</v>
      </c>
      <c r="J890" s="1067">
        <v>100000</v>
      </c>
      <c r="K890" s="1068">
        <f>I890*J890</f>
        <v>0</v>
      </c>
      <c r="L890" s="999"/>
    </row>
    <row r="891" spans="1:12" s="23" customFormat="1" ht="17.25" customHeight="1">
      <c r="A891" s="1004" t="s">
        <v>394</v>
      </c>
      <c r="B891" s="1009" t="s">
        <v>435</v>
      </c>
      <c r="C891" s="1010">
        <f>VLOOKUP(B882,'CNKT '!$D$101:$AC$165,19,0)</f>
        <v>0</v>
      </c>
      <c r="D891" s="582">
        <v>20000</v>
      </c>
      <c r="E891" s="1007">
        <f>C891*D891</f>
        <v>0</v>
      </c>
      <c r="F891" s="1055"/>
      <c r="G891" s="1004" t="s">
        <v>394</v>
      </c>
      <c r="H891" s="1009" t="s">
        <v>435</v>
      </c>
      <c r="I891" s="1010">
        <f>VLOOKUP(H882,'CNKT '!$D$101:$AC$165,19,0)</f>
        <v>0</v>
      </c>
      <c r="J891" s="582">
        <v>20000</v>
      </c>
      <c r="K891" s="1007">
        <f>I891*J891</f>
        <v>0</v>
      </c>
      <c r="L891" s="999"/>
    </row>
    <row r="892" spans="1:12" s="23" customFormat="1" ht="17.25" customHeight="1">
      <c r="A892" s="1004" t="s">
        <v>731</v>
      </c>
      <c r="B892" s="1011" t="s">
        <v>732</v>
      </c>
      <c r="C892" s="1010"/>
      <c r="D892" s="582"/>
      <c r="E892" s="1007">
        <f>VLOOKUP(B882,'CNKT '!$D$101:$AG$165,28,0)</f>
        <v>17</v>
      </c>
      <c r="F892" s="1055"/>
      <c r="G892" s="1004" t="s">
        <v>731</v>
      </c>
      <c r="H892" s="1011" t="s">
        <v>732</v>
      </c>
      <c r="I892" s="1010"/>
      <c r="J892" s="582"/>
      <c r="K892" s="1007">
        <f>VLOOKUP(H882,'CNKT '!$D$101:$AG$165,28,0)</f>
        <v>18</v>
      </c>
      <c r="L892" s="999"/>
    </row>
    <row r="893" spans="1:12" s="23" customFormat="1" ht="17.25" customHeight="1">
      <c r="A893" s="1012" t="s">
        <v>70</v>
      </c>
      <c r="B893" s="1013" t="s">
        <v>459</v>
      </c>
      <c r="C893" s="1014"/>
      <c r="D893" s="1015"/>
      <c r="E893" s="1014"/>
      <c r="F893" s="1055"/>
      <c r="G893" s="1012" t="s">
        <v>70</v>
      </c>
      <c r="H893" s="1013" t="s">
        <v>459</v>
      </c>
      <c r="I893" s="1014"/>
      <c r="J893" s="1015"/>
      <c r="K893" s="1014"/>
      <c r="L893" s="999"/>
    </row>
    <row r="894" spans="1:12" s="23" customFormat="1" ht="17.25" customHeight="1">
      <c r="A894" s="1016" t="s">
        <v>71</v>
      </c>
      <c r="B894" s="1017" t="s">
        <v>460</v>
      </c>
      <c r="C894" s="1014"/>
      <c r="D894" s="1014"/>
      <c r="E894" s="1014"/>
      <c r="F894" s="1055"/>
      <c r="G894" s="1016" t="s">
        <v>71</v>
      </c>
      <c r="H894" s="1017" t="s">
        <v>460</v>
      </c>
      <c r="I894" s="1014"/>
      <c r="J894" s="1014"/>
      <c r="K894" s="1014"/>
      <c r="L894" s="999"/>
    </row>
    <row r="895" spans="1:12" s="23" customFormat="1" ht="17.25" customHeight="1">
      <c r="A895" s="1016" t="s">
        <v>72</v>
      </c>
      <c r="B895" s="1018" t="s">
        <v>461</v>
      </c>
      <c r="C895" s="1014"/>
      <c r="D895" s="1014"/>
      <c r="E895" s="1007">
        <f>SUM(E894)</f>
        <v>0</v>
      </c>
      <c r="F895" s="1060"/>
      <c r="G895" s="1016" t="s">
        <v>72</v>
      </c>
      <c r="H895" s="1018" t="s">
        <v>461</v>
      </c>
      <c r="I895" s="1014"/>
      <c r="J895" s="1014"/>
      <c r="K895" s="1007">
        <f>SUM(K894)</f>
        <v>0</v>
      </c>
      <c r="L895" s="999"/>
    </row>
    <row r="896" spans="1:12" s="23" customFormat="1" ht="17.25" customHeight="1">
      <c r="A896" s="1020" t="s">
        <v>73</v>
      </c>
      <c r="B896" s="1021" t="s">
        <v>381</v>
      </c>
      <c r="C896" s="1022"/>
      <c r="D896" s="1022"/>
      <c r="E896" s="1022" t="e">
        <f>(E884+E885+E886+E887+E888+E889+E890+E891+E892)-E895</f>
        <v>#VALUE!</v>
      </c>
      <c r="F896" s="1060"/>
      <c r="G896" s="1020" t="s">
        <v>73</v>
      </c>
      <c r="H896" s="1021" t="s">
        <v>381</v>
      </c>
      <c r="I896" s="1022"/>
      <c r="J896" s="1022"/>
      <c r="K896" s="1022" t="e">
        <f>(K884+K885+K886+K887+K888+K889+K890+K891+K892)-K895</f>
        <v>#VALUE!</v>
      </c>
      <c r="L896" s="1024" t="e">
        <f>E896+K896</f>
        <v>#VALUE!</v>
      </c>
    </row>
    <row r="897" spans="1:12" s="23" customFormat="1" ht="69.75" customHeight="1">
      <c r="A897" s="1058"/>
      <c r="B897" s="1058"/>
      <c r="C897" s="1058"/>
      <c r="D897" s="1058"/>
      <c r="E897" s="1058"/>
      <c r="F897" s="1058"/>
      <c r="G897" s="1058"/>
      <c r="H897" s="1058"/>
      <c r="I897" s="1058"/>
      <c r="J897" s="1058"/>
      <c r="K897" s="1058"/>
      <c r="L897" s="999"/>
    </row>
    <row r="898" spans="1:12" s="23" customFormat="1" ht="17.25" customHeight="1">
      <c r="A898" s="1059" t="str">
        <f>A881</f>
        <v>LƯƠNG THÁNG 09/2025</v>
      </c>
      <c r="B898" s="1058"/>
      <c r="C898" s="1058"/>
      <c r="D898" s="1058"/>
      <c r="E898" s="1054">
        <f>VLOOKUP(B899,'CNKT '!$D$101:$AF$165,26,0)</f>
        <v>8450705</v>
      </c>
      <c r="F898" s="1055"/>
      <c r="G898" s="1059" t="str">
        <f>A898</f>
        <v>LƯƠNG THÁNG 09/2025</v>
      </c>
      <c r="H898" s="1058"/>
      <c r="I898" s="1058"/>
      <c r="J898" s="998"/>
      <c r="K898" s="1054">
        <f>VLOOKUP(H899,'CNKT '!$D$101:$AF$165,26,0)</f>
        <v>6381776</v>
      </c>
      <c r="L898" s="999"/>
    </row>
    <row r="899" spans="1:12" s="23" customFormat="1" ht="17.25" customHeight="1">
      <c r="A899" s="1028" t="s">
        <v>13</v>
      </c>
      <c r="B899" s="1000" t="str">
        <f>'CNKT '!D119</f>
        <v>T. May</v>
      </c>
      <c r="C899" s="1006"/>
      <c r="D899" s="1000" t="s">
        <v>353</v>
      </c>
      <c r="E899" s="1000" t="s">
        <v>16</v>
      </c>
      <c r="F899" s="1055"/>
      <c r="G899" s="1028" t="s">
        <v>13</v>
      </c>
      <c r="H899" s="1000" t="str">
        <f>'CNKT '!D120</f>
        <v>T. Huôn</v>
      </c>
      <c r="I899" s="1006"/>
      <c r="J899" s="1000" t="s">
        <v>353</v>
      </c>
      <c r="K899" s="1000" t="s">
        <v>16</v>
      </c>
      <c r="L899" s="999"/>
    </row>
    <row r="900" spans="1:12" s="23" customFormat="1" ht="17.25" customHeight="1">
      <c r="A900" s="1004" t="s">
        <v>354</v>
      </c>
      <c r="B900" s="1005" t="s">
        <v>454</v>
      </c>
      <c r="C900" s="1006">
        <f>VLOOKUP(B899,'SẢN LƯỢNG'!$D$98:$AR$160,37,0)</f>
        <v>4071</v>
      </c>
      <c r="D900" s="1007"/>
      <c r="E900" s="1007"/>
      <c r="F900" s="1055"/>
      <c r="G900" s="1004" t="s">
        <v>354</v>
      </c>
      <c r="H900" s="1005" t="s">
        <v>454</v>
      </c>
      <c r="I900" s="1006">
        <f>VLOOKUP(H899,'SẢN LƯỢNG'!$D$98:$AR$160,37,0)</f>
        <v>3307</v>
      </c>
      <c r="J900" s="1007"/>
      <c r="K900" s="1007"/>
      <c r="L900" s="999"/>
    </row>
    <row r="901" spans="1:12" s="23" customFormat="1" ht="17.25" customHeight="1">
      <c r="A901" s="1004" t="s">
        <v>68</v>
      </c>
      <c r="B901" s="1008" t="s">
        <v>380</v>
      </c>
      <c r="C901" s="581">
        <f>VLOOKUP(B899,'CNKT '!$D$100:$AC$165,3,0)</f>
        <v>0</v>
      </c>
      <c r="D901" s="582">
        <v>25000</v>
      </c>
      <c r="E901" s="1007">
        <f t="shared" ref="E901:E906" si="186">C901*D901</f>
        <v>0</v>
      </c>
      <c r="F901" s="1055"/>
      <c r="G901" s="1004" t="s">
        <v>68</v>
      </c>
      <c r="H901" s="1008" t="s">
        <v>380</v>
      </c>
      <c r="I901" s="581">
        <f>VLOOKUP(H899,'CNKT '!$D$100:$AC$165,3,0)</f>
        <v>0</v>
      </c>
      <c r="J901" s="582">
        <v>25000</v>
      </c>
      <c r="K901" s="1007">
        <f t="shared" ref="K901:K906" si="187">I901*J901</f>
        <v>0</v>
      </c>
      <c r="L901" s="999"/>
    </row>
    <row r="902" spans="1:12" s="23" customFormat="1" ht="17.25" customHeight="1">
      <c r="A902" s="1004" t="s">
        <v>269</v>
      </c>
      <c r="B902" s="1009" t="s">
        <v>455</v>
      </c>
      <c r="C902" s="1010" t="str">
        <f>VLOOKUP(B899,'CNKT '!$D$100:$AC$165,11,0)</f>
        <v>A</v>
      </c>
      <c r="D902" s="583">
        <f>46.1*$B$2</f>
        <v>30424.156000000003</v>
      </c>
      <c r="E902" s="1007" t="e">
        <f t="shared" si="186"/>
        <v>#VALUE!</v>
      </c>
      <c r="F902" s="1055"/>
      <c r="G902" s="1004" t="s">
        <v>269</v>
      </c>
      <c r="H902" s="1009" t="s">
        <v>455</v>
      </c>
      <c r="I902" s="1010" t="str">
        <f>VLOOKUP(H899,'CNKT '!$D$100:$AC$165,11,0)</f>
        <v>A</v>
      </c>
      <c r="J902" s="583">
        <f>46.1*$B$2</f>
        <v>30424.156000000003</v>
      </c>
      <c r="K902" s="1007" t="e">
        <f t="shared" si="187"/>
        <v>#VALUE!</v>
      </c>
      <c r="L902" s="999"/>
    </row>
    <row r="903" spans="1:12" s="23" customFormat="1" ht="17.25" customHeight="1">
      <c r="A903" s="1004" t="s">
        <v>356</v>
      </c>
      <c r="B903" s="1009" t="s">
        <v>456</v>
      </c>
      <c r="C903" s="1010">
        <f>VLOOKUP(B899,'CNKT '!$D$100:$AC$165,12,0)</f>
        <v>7004420</v>
      </c>
      <c r="D903" s="582">
        <f>76.9*$B$2</f>
        <v>50750.924000000006</v>
      </c>
      <c r="E903" s="1007">
        <f t="shared" si="186"/>
        <v>355480787084.08002</v>
      </c>
      <c r="F903" s="1055"/>
      <c r="G903" s="1004" t="s">
        <v>356</v>
      </c>
      <c r="H903" s="1009" t="s">
        <v>456</v>
      </c>
      <c r="I903" s="1010">
        <f>VLOOKUP(H899,'CNKT '!$D$100:$AC$165,12,0)</f>
        <v>4965916</v>
      </c>
      <c r="J903" s="582">
        <f>76.9*$B$2</f>
        <v>50750.924000000006</v>
      </c>
      <c r="K903" s="1007">
        <f t="shared" si="187"/>
        <v>252024825506.38403</v>
      </c>
      <c r="L903" s="999"/>
    </row>
    <row r="904" spans="1:12" s="23" customFormat="1" ht="17.25" customHeight="1">
      <c r="A904" s="1004" t="s">
        <v>69</v>
      </c>
      <c r="B904" s="1009" t="s">
        <v>457</v>
      </c>
      <c r="C904" s="1010">
        <f>VLOOKUP(B899,'CNKT '!$D$100:$AC$165,8,0)</f>
        <v>1740.9529245812223</v>
      </c>
      <c r="D904" s="582">
        <f>IF(C900="A",6.1,IF(C900="B",5.8,IF(C900="C",5.5,IF(C900="C.",5.5,IF(C900="D",5.2)))))*$B$2</f>
        <v>0</v>
      </c>
      <c r="E904" s="1007">
        <f t="shared" si="186"/>
        <v>0</v>
      </c>
      <c r="F904" s="1055"/>
      <c r="G904" s="1004" t="s">
        <v>69</v>
      </c>
      <c r="H904" s="1009" t="s">
        <v>457</v>
      </c>
      <c r="I904" s="1010">
        <f>VLOOKUP(H899,'CNKT '!$D$100:$AC$165,8,0)</f>
        <v>1219.9793232806605</v>
      </c>
      <c r="J904" s="582">
        <f>IF(I900="A",6.1,IF(I900="B",5.8,IF(I900="C",5.5,IF(I900="C.",5.5,IF(I900="D",5.2)))))*$B$2</f>
        <v>0</v>
      </c>
      <c r="K904" s="1007">
        <f t="shared" si="187"/>
        <v>0</v>
      </c>
      <c r="L904" s="999"/>
    </row>
    <row r="905" spans="1:12" s="23" customFormat="1" ht="17.25" customHeight="1">
      <c r="A905" s="1064" t="s">
        <v>433</v>
      </c>
      <c r="B905" s="1065" t="s">
        <v>458</v>
      </c>
      <c r="C905" s="1066">
        <f>VLOOKUP(B899,'CNKT '!$D$99:$AC$165,13,0)</f>
        <v>26</v>
      </c>
      <c r="D905" s="1074">
        <f>92.2*$B$2</f>
        <v>60848.312000000005</v>
      </c>
      <c r="E905" s="1068">
        <f t="shared" si="186"/>
        <v>1582056.1120000002</v>
      </c>
      <c r="F905" s="1055"/>
      <c r="G905" s="1064" t="s">
        <v>433</v>
      </c>
      <c r="H905" s="1065" t="s">
        <v>458</v>
      </c>
      <c r="I905" s="1066">
        <f>VLOOKUP(H899,'CNKT '!$D$99:$AC$165,13,0)</f>
        <v>25</v>
      </c>
      <c r="J905" s="1074">
        <f>92.2*$B$2</f>
        <v>60848.312000000005</v>
      </c>
      <c r="K905" s="1068">
        <f t="shared" si="187"/>
        <v>1521207.8</v>
      </c>
      <c r="L905" s="999"/>
    </row>
    <row r="906" spans="1:12" s="23" customFormat="1" ht="17.25" customHeight="1">
      <c r="A906" s="1004" t="s">
        <v>390</v>
      </c>
      <c r="B906" s="1009" t="s">
        <v>434</v>
      </c>
      <c r="C906" s="1010">
        <f>VLOOKUP(B899,'CNKT '!$D$100:$AC$165,14,0)</f>
        <v>1</v>
      </c>
      <c r="D906" s="582">
        <f>153.6*$B$2</f>
        <v>101369.856</v>
      </c>
      <c r="E906" s="1007">
        <f t="shared" si="186"/>
        <v>101369.856</v>
      </c>
      <c r="F906" s="1055"/>
      <c r="G906" s="1004" t="s">
        <v>390</v>
      </c>
      <c r="H906" s="1009" t="s">
        <v>434</v>
      </c>
      <c r="I906" s="1010">
        <f>VLOOKUP(H899,'CNKT '!$D$100:$AC$165,14,0)</f>
        <v>1</v>
      </c>
      <c r="J906" s="582">
        <f>153.6*$B$2</f>
        <v>101369.856</v>
      </c>
      <c r="K906" s="1007">
        <f t="shared" si="187"/>
        <v>101369.856</v>
      </c>
      <c r="L906" s="999"/>
    </row>
    <row r="907" spans="1:12" s="23" customFormat="1" ht="17.25" customHeight="1">
      <c r="A907" s="1064" t="s">
        <v>781</v>
      </c>
      <c r="B907" s="1065" t="s">
        <v>435</v>
      </c>
      <c r="C907" s="1066">
        <f>VLOOKUP(B899,'CNKT '!$D$101:$AC$165,18,0)</f>
        <v>0</v>
      </c>
      <c r="D907" s="1067">
        <v>100000</v>
      </c>
      <c r="E907" s="1068">
        <f>C907*D907</f>
        <v>0</v>
      </c>
      <c r="F907" s="1055"/>
      <c r="G907" s="1064" t="s">
        <v>781</v>
      </c>
      <c r="H907" s="1065" t="s">
        <v>435</v>
      </c>
      <c r="I907" s="1066">
        <f>VLOOKUP(H899,'CNKT '!$D$101:$AC$165,18,0)</f>
        <v>0</v>
      </c>
      <c r="J907" s="1067">
        <v>100000</v>
      </c>
      <c r="K907" s="1068">
        <f>I907*J907</f>
        <v>0</v>
      </c>
      <c r="L907" s="999"/>
    </row>
    <row r="908" spans="1:12" s="23" customFormat="1" ht="17.25" customHeight="1">
      <c r="A908" s="1004" t="s">
        <v>394</v>
      </c>
      <c r="B908" s="1009" t="s">
        <v>435</v>
      </c>
      <c r="C908" s="1010">
        <f>VLOOKUP(B899,'CNKT '!$D$101:$AC$165,19,0)</f>
        <v>0</v>
      </c>
      <c r="D908" s="582">
        <v>20000</v>
      </c>
      <c r="E908" s="1007">
        <f>C908*D908</f>
        <v>0</v>
      </c>
      <c r="F908" s="1055"/>
      <c r="G908" s="1004" t="s">
        <v>394</v>
      </c>
      <c r="H908" s="1009" t="s">
        <v>435</v>
      </c>
      <c r="I908" s="1010">
        <f>VLOOKUP(H899,'CNKT '!$D$101:$AC$165,19,0)</f>
        <v>0</v>
      </c>
      <c r="J908" s="582">
        <v>20000</v>
      </c>
      <c r="K908" s="1007">
        <f>I908*J908</f>
        <v>0</v>
      </c>
      <c r="L908" s="999"/>
    </row>
    <row r="909" spans="1:12" s="23" customFormat="1" ht="17.25" customHeight="1">
      <c r="A909" s="1004" t="s">
        <v>731</v>
      </c>
      <c r="B909" s="1011" t="s">
        <v>732</v>
      </c>
      <c r="C909" s="1010"/>
      <c r="D909" s="582"/>
      <c r="E909" s="1007">
        <f>VLOOKUP(B899,'CNKT '!$D$101:$AG$165,28,0)</f>
        <v>19</v>
      </c>
      <c r="F909" s="1055"/>
      <c r="G909" s="1004" t="s">
        <v>731</v>
      </c>
      <c r="H909" s="1011" t="s">
        <v>732</v>
      </c>
      <c r="I909" s="1010"/>
      <c r="J909" s="582"/>
      <c r="K909" s="1007">
        <f>VLOOKUP(H899,'CNKT '!$D$101:$AG$165,28,0)</f>
        <v>20</v>
      </c>
      <c r="L909" s="999"/>
    </row>
    <row r="910" spans="1:12" s="23" customFormat="1" ht="17.25" customHeight="1">
      <c r="A910" s="1012" t="s">
        <v>70</v>
      </c>
      <c r="B910" s="1013" t="s">
        <v>459</v>
      </c>
      <c r="C910" s="1014"/>
      <c r="D910" s="1015"/>
      <c r="E910" s="1014"/>
      <c r="F910" s="1055"/>
      <c r="G910" s="1012" t="s">
        <v>70</v>
      </c>
      <c r="H910" s="1013" t="s">
        <v>459</v>
      </c>
      <c r="I910" s="1014"/>
      <c r="J910" s="1015"/>
      <c r="K910" s="1014"/>
      <c r="L910" s="999"/>
    </row>
    <row r="911" spans="1:12" s="23" customFormat="1" ht="17.25" customHeight="1">
      <c r="A911" s="1016" t="s">
        <v>71</v>
      </c>
      <c r="B911" s="1017" t="s">
        <v>460</v>
      </c>
      <c r="C911" s="1014"/>
      <c r="D911" s="1014"/>
      <c r="E911" s="1014"/>
      <c r="F911" s="1055"/>
      <c r="G911" s="1016" t="s">
        <v>71</v>
      </c>
      <c r="H911" s="1017" t="s">
        <v>460</v>
      </c>
      <c r="I911" s="1014"/>
      <c r="J911" s="1014"/>
      <c r="K911" s="1014"/>
      <c r="L911" s="999"/>
    </row>
    <row r="912" spans="1:12" s="23" customFormat="1" ht="17.25" customHeight="1">
      <c r="A912" s="1016" t="s">
        <v>72</v>
      </c>
      <c r="B912" s="1018" t="s">
        <v>461</v>
      </c>
      <c r="C912" s="1014"/>
      <c r="D912" s="1014"/>
      <c r="E912" s="1007">
        <f>SUM(E911)</f>
        <v>0</v>
      </c>
      <c r="F912" s="1057"/>
      <c r="G912" s="1016" t="s">
        <v>72</v>
      </c>
      <c r="H912" s="1018" t="s">
        <v>461</v>
      </c>
      <c r="I912" s="1014"/>
      <c r="J912" s="1014"/>
      <c r="K912" s="1007">
        <f>SUM(K911)</f>
        <v>0</v>
      </c>
      <c r="L912" s="999"/>
    </row>
    <row r="913" spans="1:12" s="23" customFormat="1" ht="17.25" customHeight="1">
      <c r="A913" s="1020" t="s">
        <v>73</v>
      </c>
      <c r="B913" s="1021" t="s">
        <v>381</v>
      </c>
      <c r="C913" s="1022"/>
      <c r="D913" s="1022"/>
      <c r="E913" s="1022" t="e">
        <f>(E901+E902+E903+E904+E905+E906+E907+E908+E909)-E912</f>
        <v>#VALUE!</v>
      </c>
      <c r="F913" s="1057"/>
      <c r="G913" s="1020" t="s">
        <v>73</v>
      </c>
      <c r="H913" s="1021" t="s">
        <v>381</v>
      </c>
      <c r="I913" s="1022"/>
      <c r="J913" s="1022"/>
      <c r="K913" s="1022" t="e">
        <f>(K901+K902+K903+K904+K905+K906+K907+K908+K909)-K912</f>
        <v>#VALUE!</v>
      </c>
      <c r="L913" s="1024" t="e">
        <f>E913+K913</f>
        <v>#VALUE!</v>
      </c>
    </row>
    <row r="914" spans="1:12" s="23" customFormat="1" ht="17.25" customHeight="1">
      <c r="A914" s="1058"/>
      <c r="B914" s="1058"/>
      <c r="C914" s="1058"/>
      <c r="D914" s="1058"/>
      <c r="E914" s="1058"/>
      <c r="F914" s="1058"/>
      <c r="G914" s="1058"/>
      <c r="H914" s="1058"/>
      <c r="I914" s="1058"/>
      <c r="J914" s="1058"/>
      <c r="K914" s="1058"/>
      <c r="L914" s="999"/>
    </row>
    <row r="915" spans="1:12" s="23" customFormat="1" ht="17.25" customHeight="1">
      <c r="A915" s="1059" t="str">
        <f>A898</f>
        <v>LƯƠNG THÁNG 09/2025</v>
      </c>
      <c r="B915" s="1058"/>
      <c r="C915" s="1058"/>
      <c r="D915" s="1058"/>
      <c r="E915" s="1054">
        <f>VLOOKUP(B916,'CNKT '!$D$101:$AF$165,26,0)</f>
        <v>6348057</v>
      </c>
      <c r="F915" s="1055"/>
      <c r="G915" s="1059" t="str">
        <f>A915</f>
        <v>LƯƠNG THÁNG 09/2025</v>
      </c>
      <c r="H915" s="1058"/>
      <c r="I915" s="1058"/>
      <c r="J915" s="998"/>
      <c r="K915" s="1054">
        <f>VLOOKUP(H916,'CNKT '!$D$101:$AF$165,26,0)</f>
        <v>7797665</v>
      </c>
      <c r="L915" s="999"/>
    </row>
    <row r="916" spans="1:12" s="23" customFormat="1" ht="17.25" customHeight="1">
      <c r="A916" s="1028" t="s">
        <v>13</v>
      </c>
      <c r="B916" s="1000" t="str">
        <f>'CNKT '!D121</f>
        <v>N. Lay</v>
      </c>
      <c r="C916" s="1006"/>
      <c r="D916" s="1000" t="s">
        <v>353</v>
      </c>
      <c r="E916" s="1000" t="s">
        <v>16</v>
      </c>
      <c r="F916" s="1055"/>
      <c r="G916" s="1028" t="s">
        <v>13</v>
      </c>
      <c r="H916" s="1000" t="str">
        <f>'CNKT '!D122</f>
        <v>N. Pon</v>
      </c>
      <c r="I916" s="1006"/>
      <c r="J916" s="1000" t="s">
        <v>353</v>
      </c>
      <c r="K916" s="1000" t="s">
        <v>16</v>
      </c>
      <c r="L916" s="999"/>
    </row>
    <row r="917" spans="1:12" s="23" customFormat="1" ht="17.25" customHeight="1">
      <c r="A917" s="1004" t="s">
        <v>354</v>
      </c>
      <c r="B917" s="1005" t="s">
        <v>454</v>
      </c>
      <c r="C917" s="1006">
        <f>VLOOKUP(B916,'SẢN LƯỢNG'!$D$98:$AR$160,37,0)</f>
        <v>3221</v>
      </c>
      <c r="D917" s="1007"/>
      <c r="E917" s="1007"/>
      <c r="F917" s="1055"/>
      <c r="G917" s="1004" t="s">
        <v>354</v>
      </c>
      <c r="H917" s="1005" t="s">
        <v>454</v>
      </c>
      <c r="I917" s="1006">
        <f>VLOOKUP(H916,'SẢN LƯỢNG'!$D$98:$AR$160,37,0)</f>
        <v>4600</v>
      </c>
      <c r="J917" s="1007"/>
      <c r="K917" s="1007"/>
      <c r="L917" s="999"/>
    </row>
    <row r="918" spans="1:12" s="23" customFormat="1" ht="17.25" customHeight="1">
      <c r="A918" s="1004" t="s">
        <v>68</v>
      </c>
      <c r="B918" s="1008" t="s">
        <v>380</v>
      </c>
      <c r="C918" s="581">
        <f>VLOOKUP(B916,'CNKT '!$D$100:$AC$165,3,0)</f>
        <v>0</v>
      </c>
      <c r="D918" s="582">
        <v>25000</v>
      </c>
      <c r="E918" s="1007">
        <f t="shared" ref="E918:E923" si="188">C918*D918</f>
        <v>0</v>
      </c>
      <c r="F918" s="1055"/>
      <c r="G918" s="1004" t="s">
        <v>68</v>
      </c>
      <c r="H918" s="1008" t="s">
        <v>380</v>
      </c>
      <c r="I918" s="581">
        <f>VLOOKUP(H916,'CNKT '!$D$100:$AC$165,3,0)</f>
        <v>0</v>
      </c>
      <c r="J918" s="582">
        <v>25000</v>
      </c>
      <c r="K918" s="1007">
        <f t="shared" ref="K918:K923" si="189">I918*J918</f>
        <v>0</v>
      </c>
      <c r="L918" s="999"/>
    </row>
    <row r="919" spans="1:12" s="23" customFormat="1" ht="17.25" customHeight="1">
      <c r="A919" s="1004" t="s">
        <v>269</v>
      </c>
      <c r="B919" s="1009" t="s">
        <v>455</v>
      </c>
      <c r="C919" s="1010" t="str">
        <f>VLOOKUP(B916,'CNKT '!$D$100:$AC$165,11,0)</f>
        <v>A</v>
      </c>
      <c r="D919" s="583">
        <f>46.1*$B$2</f>
        <v>30424.156000000003</v>
      </c>
      <c r="E919" s="1007" t="e">
        <f t="shared" si="188"/>
        <v>#VALUE!</v>
      </c>
      <c r="F919" s="1055"/>
      <c r="G919" s="1004" t="s">
        <v>269</v>
      </c>
      <c r="H919" s="1009" t="s">
        <v>455</v>
      </c>
      <c r="I919" s="1010" t="str">
        <f>VLOOKUP(H916,'CNKT '!$D$100:$AC$165,11,0)</f>
        <v>A</v>
      </c>
      <c r="J919" s="583">
        <f>46.1*$B$2</f>
        <v>30424.156000000003</v>
      </c>
      <c r="K919" s="1007" t="e">
        <f t="shared" si="189"/>
        <v>#VALUE!</v>
      </c>
      <c r="L919" s="999"/>
    </row>
    <row r="920" spans="1:12" s="23" customFormat="1" ht="17.25" customHeight="1">
      <c r="A920" s="1004" t="s">
        <v>356</v>
      </c>
      <c r="B920" s="1009" t="s">
        <v>456</v>
      </c>
      <c r="C920" s="1010">
        <f>VLOOKUP(B916,'CNKT '!$D$100:$AC$165,12,0)</f>
        <v>4932197</v>
      </c>
      <c r="D920" s="582">
        <f>76.9*$B$2</f>
        <v>50750.924000000006</v>
      </c>
      <c r="E920" s="1007">
        <f t="shared" si="188"/>
        <v>250313555100.02805</v>
      </c>
      <c r="F920" s="1055"/>
      <c r="G920" s="1004" t="s">
        <v>356</v>
      </c>
      <c r="H920" s="1009" t="s">
        <v>456</v>
      </c>
      <c r="I920" s="1010">
        <f>VLOOKUP(H916,'CNKT '!$D$100:$AC$165,12,0)</f>
        <v>6381805</v>
      </c>
      <c r="J920" s="582">
        <f>76.9*$B$2</f>
        <v>50750.924000000006</v>
      </c>
      <c r="K920" s="1007">
        <f t="shared" si="189"/>
        <v>323882500537.82007</v>
      </c>
      <c r="L920" s="999"/>
    </row>
    <row r="921" spans="1:12" s="23" customFormat="1" ht="17.25" customHeight="1">
      <c r="A921" s="1004" t="s">
        <v>69</v>
      </c>
      <c r="B921" s="1009" t="s">
        <v>457</v>
      </c>
      <c r="C921" s="1010">
        <f>VLOOKUP(B916,'CNKT '!$D$100:$AC$165,8,0)</f>
        <v>1213.8553682695708</v>
      </c>
      <c r="D921" s="582">
        <f>IF(C917="A",6.1,IF(C917="B",5.8,IF(C917="C",5.5,IF(C917="C.",5.5,IF(C917="D",5.2)))))*$B$2</f>
        <v>0</v>
      </c>
      <c r="E921" s="1007">
        <f t="shared" si="188"/>
        <v>0</v>
      </c>
      <c r="F921" s="1055"/>
      <c r="G921" s="1004" t="s">
        <v>69</v>
      </c>
      <c r="H921" s="1009" t="s">
        <v>457</v>
      </c>
      <c r="I921" s="1010">
        <f>VLOOKUP(H916,'CNKT '!$D$100:$AC$165,8,0)</f>
        <v>1555.9219981747256</v>
      </c>
      <c r="J921" s="582">
        <f>IF(I917="A",6.1,IF(I917="B",5.8,IF(I917="C",5.5,IF(I917="C.",5.5,IF(I917="D",5.2)))))*$B$2</f>
        <v>0</v>
      </c>
      <c r="K921" s="1007">
        <f t="shared" si="189"/>
        <v>0</v>
      </c>
      <c r="L921" s="999"/>
    </row>
    <row r="922" spans="1:12" s="23" customFormat="1" ht="17.25" customHeight="1">
      <c r="A922" s="1064" t="s">
        <v>433</v>
      </c>
      <c r="B922" s="1065" t="s">
        <v>458</v>
      </c>
      <c r="C922" s="1066">
        <f>VLOOKUP(B916,'CNKT '!$D$99:$AC$165,13,0)</f>
        <v>25</v>
      </c>
      <c r="D922" s="1074">
        <f>92.2*$B$2</f>
        <v>60848.312000000005</v>
      </c>
      <c r="E922" s="1068">
        <f t="shared" si="188"/>
        <v>1521207.8</v>
      </c>
      <c r="F922" s="1055"/>
      <c r="G922" s="1064" t="s">
        <v>433</v>
      </c>
      <c r="H922" s="1065" t="s">
        <v>458</v>
      </c>
      <c r="I922" s="1066">
        <f>VLOOKUP(H916,'CNKT '!$D$99:$AC$165,13,0)</f>
        <v>25</v>
      </c>
      <c r="J922" s="1074">
        <f>92.2*$B$2</f>
        <v>60848.312000000005</v>
      </c>
      <c r="K922" s="1068">
        <f t="shared" si="189"/>
        <v>1521207.8</v>
      </c>
      <c r="L922" s="999"/>
    </row>
    <row r="923" spans="1:12" s="23" customFormat="1" ht="17.25" customHeight="1">
      <c r="A923" s="1004" t="s">
        <v>390</v>
      </c>
      <c r="B923" s="1009" t="s">
        <v>434</v>
      </c>
      <c r="C923" s="1010">
        <f>VLOOKUP(B916,'CNKT '!$D$100:$AC$165,14,0)</f>
        <v>1</v>
      </c>
      <c r="D923" s="582">
        <f>153.6*$B$2</f>
        <v>101369.856</v>
      </c>
      <c r="E923" s="1007">
        <f t="shared" si="188"/>
        <v>101369.856</v>
      </c>
      <c r="F923" s="1055"/>
      <c r="G923" s="1004" t="s">
        <v>390</v>
      </c>
      <c r="H923" s="1009" t="s">
        <v>434</v>
      </c>
      <c r="I923" s="1010">
        <f>VLOOKUP(H916,'CNKT '!$D$100:$AC$165,14,0)</f>
        <v>1</v>
      </c>
      <c r="J923" s="582">
        <f>153.6*$B$2</f>
        <v>101369.856</v>
      </c>
      <c r="K923" s="1007">
        <f t="shared" si="189"/>
        <v>101369.856</v>
      </c>
      <c r="L923" s="999"/>
    </row>
    <row r="924" spans="1:12" s="23" customFormat="1" ht="17.25" customHeight="1">
      <c r="A924" s="1064" t="s">
        <v>781</v>
      </c>
      <c r="B924" s="1065" t="s">
        <v>435</v>
      </c>
      <c r="C924" s="1066">
        <f>VLOOKUP(B916,'CNKT '!$D$101:$AC$165,18,0)</f>
        <v>0</v>
      </c>
      <c r="D924" s="1067">
        <v>100000</v>
      </c>
      <c r="E924" s="1068">
        <f>C924*D924</f>
        <v>0</v>
      </c>
      <c r="F924" s="1055"/>
      <c r="G924" s="1064" t="s">
        <v>781</v>
      </c>
      <c r="H924" s="1065" t="s">
        <v>435</v>
      </c>
      <c r="I924" s="1066">
        <f>VLOOKUP(H916,'CNKT '!$D$101:$AC$165,18,0)</f>
        <v>0</v>
      </c>
      <c r="J924" s="1067">
        <v>100000</v>
      </c>
      <c r="K924" s="1068">
        <f>I924*J924</f>
        <v>0</v>
      </c>
      <c r="L924" s="999"/>
    </row>
    <row r="925" spans="1:12" s="23" customFormat="1" ht="17.25" customHeight="1">
      <c r="A925" s="1004" t="s">
        <v>394</v>
      </c>
      <c r="B925" s="1009" t="s">
        <v>435</v>
      </c>
      <c r="C925" s="1010">
        <f>VLOOKUP(B916,'CNKT '!$D$101:$AC$165,19,0)</f>
        <v>0</v>
      </c>
      <c r="D925" s="582">
        <v>20000</v>
      </c>
      <c r="E925" s="1007">
        <f>C925*D925</f>
        <v>0</v>
      </c>
      <c r="F925" s="1055"/>
      <c r="G925" s="1004" t="s">
        <v>394</v>
      </c>
      <c r="H925" s="1009" t="s">
        <v>435</v>
      </c>
      <c r="I925" s="1010">
        <f>VLOOKUP(H916,'CNKT '!$D$101:$AC$165,19,0)</f>
        <v>0</v>
      </c>
      <c r="J925" s="582">
        <v>20000</v>
      </c>
      <c r="K925" s="1007">
        <f>I925*J925</f>
        <v>0</v>
      </c>
      <c r="L925" s="999"/>
    </row>
    <row r="926" spans="1:12" s="23" customFormat="1" ht="17.25" customHeight="1">
      <c r="A926" s="1004" t="s">
        <v>731</v>
      </c>
      <c r="B926" s="1011" t="s">
        <v>732</v>
      </c>
      <c r="C926" s="1010"/>
      <c r="D926" s="582"/>
      <c r="E926" s="1007">
        <f>VLOOKUP(B916,'CNKT '!$D$101:$AG$165,28,0)</f>
        <v>21</v>
      </c>
      <c r="F926" s="1055"/>
      <c r="G926" s="1004" t="s">
        <v>731</v>
      </c>
      <c r="H926" s="1011" t="s">
        <v>732</v>
      </c>
      <c r="I926" s="1010"/>
      <c r="J926" s="582"/>
      <c r="K926" s="1007">
        <f>VLOOKUP(H916,'CNKT '!$D$101:$AG$165,28,0)</f>
        <v>22</v>
      </c>
      <c r="L926" s="999"/>
    </row>
    <row r="927" spans="1:12" s="23" customFormat="1" ht="17.25" customHeight="1">
      <c r="A927" s="1012" t="s">
        <v>70</v>
      </c>
      <c r="B927" s="1013" t="s">
        <v>459</v>
      </c>
      <c r="C927" s="1014"/>
      <c r="D927" s="1015"/>
      <c r="E927" s="1014"/>
      <c r="F927" s="1055"/>
      <c r="G927" s="1012" t="s">
        <v>70</v>
      </c>
      <c r="H927" s="1013" t="s">
        <v>459</v>
      </c>
      <c r="I927" s="1014"/>
      <c r="J927" s="1015"/>
      <c r="K927" s="1014"/>
      <c r="L927" s="999"/>
    </row>
    <row r="928" spans="1:12" s="23" customFormat="1" ht="17.25" customHeight="1">
      <c r="A928" s="1016" t="s">
        <v>71</v>
      </c>
      <c r="B928" s="1017" t="s">
        <v>460</v>
      </c>
      <c r="C928" s="1014"/>
      <c r="D928" s="1014"/>
      <c r="E928" s="1014"/>
      <c r="F928" s="1055"/>
      <c r="G928" s="1016" t="s">
        <v>71</v>
      </c>
      <c r="H928" s="1017" t="s">
        <v>460</v>
      </c>
      <c r="I928" s="1014"/>
      <c r="J928" s="1014"/>
      <c r="K928" s="1014"/>
      <c r="L928" s="999"/>
    </row>
    <row r="929" spans="1:12" s="23" customFormat="1" ht="17.25" customHeight="1">
      <c r="A929" s="1016" t="s">
        <v>72</v>
      </c>
      <c r="B929" s="1018" t="s">
        <v>461</v>
      </c>
      <c r="C929" s="1014"/>
      <c r="D929" s="1014"/>
      <c r="E929" s="1007">
        <f>SUM(E928)</f>
        <v>0</v>
      </c>
      <c r="F929" s="1057"/>
      <c r="G929" s="1016" t="s">
        <v>72</v>
      </c>
      <c r="H929" s="1018" t="s">
        <v>461</v>
      </c>
      <c r="I929" s="1014"/>
      <c r="J929" s="1014"/>
      <c r="K929" s="1007">
        <f>SUM(K928)</f>
        <v>0</v>
      </c>
      <c r="L929" s="999"/>
    </row>
    <row r="930" spans="1:12" s="23" customFormat="1" ht="17.25" customHeight="1">
      <c r="A930" s="1020" t="s">
        <v>73</v>
      </c>
      <c r="B930" s="1021" t="s">
        <v>381</v>
      </c>
      <c r="C930" s="1022"/>
      <c r="D930" s="1022"/>
      <c r="E930" s="1022" t="e">
        <f>(E918+E919+E920+E921+E922+E923+E924+E925+E926)-E929</f>
        <v>#VALUE!</v>
      </c>
      <c r="F930" s="1057"/>
      <c r="G930" s="1020" t="s">
        <v>73</v>
      </c>
      <c r="H930" s="1021" t="s">
        <v>381</v>
      </c>
      <c r="I930" s="1022"/>
      <c r="J930" s="1022"/>
      <c r="K930" s="1022" t="e">
        <f>(K918+K919+K920+K921+K922+K923+K924+K925+K926)-K929</f>
        <v>#VALUE!</v>
      </c>
      <c r="L930" s="1024" t="e">
        <f>E930+K930</f>
        <v>#VALUE!</v>
      </c>
    </row>
    <row r="931" spans="1:12" s="23" customFormat="1" ht="17.25" customHeight="1">
      <c r="A931" s="1058"/>
      <c r="B931" s="1058"/>
      <c r="C931" s="1058"/>
      <c r="D931" s="1058"/>
      <c r="E931" s="1058"/>
      <c r="F931" s="1058"/>
      <c r="G931" s="1058"/>
      <c r="H931" s="1058"/>
      <c r="I931" s="1058"/>
      <c r="J931" s="1058"/>
      <c r="K931" s="1058"/>
      <c r="L931" s="999"/>
    </row>
    <row r="932" spans="1:12" s="23" customFormat="1" ht="17.25" customHeight="1">
      <c r="A932" s="1059" t="str">
        <f>A915</f>
        <v>LƯƠNG THÁNG 09/2025</v>
      </c>
      <c r="B932" s="1058"/>
      <c r="C932" s="1058"/>
      <c r="D932" s="1058"/>
      <c r="E932" s="1054">
        <f>VLOOKUP(B933,'CNKT '!$D$101:$AF$165,26,0)</f>
        <v>7556100</v>
      </c>
      <c r="F932" s="1055"/>
      <c r="G932" s="1059" t="str">
        <f>A932</f>
        <v>LƯƠNG THÁNG 09/2025</v>
      </c>
      <c r="H932" s="1058"/>
      <c r="I932" s="1058"/>
      <c r="J932" s="998"/>
      <c r="K932" s="1054">
        <f>VLOOKUP(H933,'CNKT '!$D$101:$AF$165,26,0)</f>
        <v>7503629</v>
      </c>
      <c r="L932" s="999"/>
    </row>
    <row r="933" spans="1:12" s="23" customFormat="1" ht="17.25" customHeight="1">
      <c r="A933" s="1028" t="s">
        <v>13</v>
      </c>
      <c r="B933" s="1000" t="str">
        <f>'CNKT '!D123</f>
        <v>N. Bun Đi</v>
      </c>
      <c r="C933" s="1006"/>
      <c r="D933" s="1000" t="s">
        <v>353</v>
      </c>
      <c r="E933" s="1000" t="s">
        <v>16</v>
      </c>
      <c r="F933" s="1055"/>
      <c r="G933" s="1028" t="s">
        <v>13</v>
      </c>
      <c r="H933" s="1000" t="str">
        <f>'CNKT '!D124</f>
        <v>N. Phon</v>
      </c>
      <c r="I933" s="1006"/>
      <c r="J933" s="1000" t="s">
        <v>353</v>
      </c>
      <c r="K933" s="1000" t="s">
        <v>16</v>
      </c>
      <c r="L933" s="999"/>
    </row>
    <row r="934" spans="1:12" s="23" customFormat="1" ht="17.25" customHeight="1">
      <c r="A934" s="1004" t="s">
        <v>354</v>
      </c>
      <c r="B934" s="1005" t="s">
        <v>454</v>
      </c>
      <c r="C934" s="1006">
        <f>VLOOKUP(B933,'SẢN LƯỢNG'!$D$98:$AR$160,37,0)</f>
        <v>3770</v>
      </c>
      <c r="D934" s="1007"/>
      <c r="E934" s="1007"/>
      <c r="F934" s="1055"/>
      <c r="G934" s="1004" t="s">
        <v>354</v>
      </c>
      <c r="H934" s="1005" t="s">
        <v>454</v>
      </c>
      <c r="I934" s="1006">
        <f>VLOOKUP(H933,'SẢN LƯỢNG'!$D$98:$AR$160,37,0)</f>
        <v>3706</v>
      </c>
      <c r="J934" s="1007"/>
      <c r="K934" s="1007"/>
      <c r="L934" s="999"/>
    </row>
    <row r="935" spans="1:12" s="23" customFormat="1" ht="17.25" customHeight="1">
      <c r="A935" s="1004" t="s">
        <v>68</v>
      </c>
      <c r="B935" s="1008" t="s">
        <v>380</v>
      </c>
      <c r="C935" s="581">
        <f>VLOOKUP(B933,'CNKT '!$D$100:$AC$165,3,0)</f>
        <v>0</v>
      </c>
      <c r="D935" s="582">
        <v>25000</v>
      </c>
      <c r="E935" s="1007">
        <f t="shared" ref="E935:E940" si="190">C935*D935</f>
        <v>0</v>
      </c>
      <c r="F935" s="1055"/>
      <c r="G935" s="1004" t="s">
        <v>68</v>
      </c>
      <c r="H935" s="1008" t="s">
        <v>380</v>
      </c>
      <c r="I935" s="581">
        <f>VLOOKUP(H933,'CNKT '!$D$100:$AC$165,3,0)</f>
        <v>0</v>
      </c>
      <c r="J935" s="582">
        <v>25000</v>
      </c>
      <c r="K935" s="1007">
        <f t="shared" ref="K935:K940" si="191">I935*J935</f>
        <v>0</v>
      </c>
      <c r="L935" s="999"/>
    </row>
    <row r="936" spans="1:12" s="23" customFormat="1" ht="17.25" customHeight="1">
      <c r="A936" s="1004" t="s">
        <v>269</v>
      </c>
      <c r="B936" s="1009" t="s">
        <v>455</v>
      </c>
      <c r="C936" s="1010" t="str">
        <f>VLOOKUP(B933,'CNKT '!$D$100:$AC$165,11,0)</f>
        <v>A</v>
      </c>
      <c r="D936" s="583">
        <f>46.1*$B$2</f>
        <v>30424.156000000003</v>
      </c>
      <c r="E936" s="1007" t="e">
        <f t="shared" si="190"/>
        <v>#VALUE!</v>
      </c>
      <c r="F936" s="1055"/>
      <c r="G936" s="1004" t="s">
        <v>269</v>
      </c>
      <c r="H936" s="1009" t="s">
        <v>455</v>
      </c>
      <c r="I936" s="1010" t="str">
        <f>VLOOKUP(H933,'CNKT '!$D$100:$AC$165,11,0)</f>
        <v>B</v>
      </c>
      <c r="J936" s="583">
        <f>46.1*$B$2</f>
        <v>30424.156000000003</v>
      </c>
      <c r="K936" s="1007" t="e">
        <f t="shared" si="191"/>
        <v>#VALUE!</v>
      </c>
      <c r="L936" s="999"/>
    </row>
    <row r="937" spans="1:12" s="23" customFormat="1" ht="17.25" customHeight="1">
      <c r="A937" s="1004" t="s">
        <v>356</v>
      </c>
      <c r="B937" s="1009" t="s">
        <v>456</v>
      </c>
      <c r="C937" s="1010">
        <f>VLOOKUP(B933,'CNKT '!$D$100:$AC$165,12,0)</f>
        <v>6079391</v>
      </c>
      <c r="D937" s="582">
        <f>76.9*$B$2</f>
        <v>50750.924000000006</v>
      </c>
      <c r="E937" s="1007">
        <f t="shared" si="190"/>
        <v>308534710607.28406</v>
      </c>
      <c r="F937" s="1055"/>
      <c r="G937" s="1004" t="s">
        <v>356</v>
      </c>
      <c r="H937" s="1009" t="s">
        <v>456</v>
      </c>
      <c r="I937" s="1010">
        <f>VLOOKUP(H933,'CNKT '!$D$100:$AC$165,12,0)</f>
        <v>6026920</v>
      </c>
      <c r="J937" s="582">
        <f>76.9*$B$2</f>
        <v>50750.924000000006</v>
      </c>
      <c r="K937" s="1007">
        <f t="shared" si="191"/>
        <v>305871758874.08002</v>
      </c>
      <c r="L937" s="999"/>
    </row>
    <row r="938" spans="1:12" s="23" customFormat="1" ht="17.25" customHeight="1">
      <c r="A938" s="1004" t="s">
        <v>69</v>
      </c>
      <c r="B938" s="1009" t="s">
        <v>457</v>
      </c>
      <c r="C938" s="1010">
        <f>VLOOKUP(B933,'CNKT '!$D$100:$AC$165,8,0)</f>
        <v>1502.993529864593</v>
      </c>
      <c r="D938" s="582">
        <f>IF(C934="A",6.1,IF(C934="B",5.8,IF(C934="C",5.5,IF(C934="C.",5.5,IF(C934="D",5.2)))))*$B$2</f>
        <v>0</v>
      </c>
      <c r="E938" s="1007">
        <f t="shared" si="190"/>
        <v>0</v>
      </c>
      <c r="F938" s="1055"/>
      <c r="G938" s="1004" t="s">
        <v>69</v>
      </c>
      <c r="H938" s="1009" t="s">
        <v>457</v>
      </c>
      <c r="I938" s="1010">
        <f>VLOOKUP(H933,'CNKT '!$D$100:$AC$165,8,0)</f>
        <v>1574.7312885659298</v>
      </c>
      <c r="J938" s="582">
        <f>IF(I934="A",6.1,IF(I934="B",5.8,IF(I934="C",5.5,IF(I934="C.",5.5,IF(I934="D",5.2)))))*$B$2</f>
        <v>0</v>
      </c>
      <c r="K938" s="1007">
        <f t="shared" si="191"/>
        <v>0</v>
      </c>
      <c r="L938" s="999"/>
    </row>
    <row r="939" spans="1:12" s="23" customFormat="1" ht="17.25" customHeight="1">
      <c r="A939" s="1064" t="s">
        <v>433</v>
      </c>
      <c r="B939" s="1065" t="s">
        <v>458</v>
      </c>
      <c r="C939" s="1066">
        <f>VLOOKUP(B933,'CNKT '!$D$99:$AC$165,13,0)</f>
        <v>27</v>
      </c>
      <c r="D939" s="1074">
        <f>92.2*$B$2</f>
        <v>60848.312000000005</v>
      </c>
      <c r="E939" s="1068">
        <f t="shared" si="190"/>
        <v>1642904.4240000001</v>
      </c>
      <c r="F939" s="1055"/>
      <c r="G939" s="1064" t="s">
        <v>433</v>
      </c>
      <c r="H939" s="1065" t="s">
        <v>458</v>
      </c>
      <c r="I939" s="1066">
        <f>VLOOKUP(H933,'CNKT '!$D$99:$AC$165,13,0)</f>
        <v>27</v>
      </c>
      <c r="J939" s="1074">
        <f>92.2*$B$2</f>
        <v>60848.312000000005</v>
      </c>
      <c r="K939" s="1068">
        <f t="shared" si="191"/>
        <v>1642904.4240000001</v>
      </c>
      <c r="L939" s="999"/>
    </row>
    <row r="940" spans="1:12" s="23" customFormat="1" ht="17.25" customHeight="1">
      <c r="A940" s="1004" t="s">
        <v>390</v>
      </c>
      <c r="B940" s="1009" t="s">
        <v>434</v>
      </c>
      <c r="C940" s="1010">
        <f>VLOOKUP(B933,'CNKT '!$D$100:$AC$165,14,0)</f>
        <v>1</v>
      </c>
      <c r="D940" s="582">
        <f>153.6*$B$2</f>
        <v>101369.856</v>
      </c>
      <c r="E940" s="1007">
        <f t="shared" si="190"/>
        <v>101369.856</v>
      </c>
      <c r="F940" s="1055"/>
      <c r="G940" s="1004" t="s">
        <v>390</v>
      </c>
      <c r="H940" s="1009" t="s">
        <v>434</v>
      </c>
      <c r="I940" s="1010">
        <f>VLOOKUP(H933,'CNKT '!$D$100:$AC$165,14,0)</f>
        <v>1</v>
      </c>
      <c r="J940" s="582">
        <f>153.6*$B$2</f>
        <v>101369.856</v>
      </c>
      <c r="K940" s="1007">
        <f t="shared" si="191"/>
        <v>101369.856</v>
      </c>
      <c r="L940" s="999"/>
    </row>
    <row r="941" spans="1:12" s="23" customFormat="1" ht="17.25" customHeight="1">
      <c r="A941" s="1064" t="s">
        <v>781</v>
      </c>
      <c r="B941" s="1065" t="s">
        <v>435</v>
      </c>
      <c r="C941" s="1066">
        <f>VLOOKUP(B933,'CNKT '!$D$101:$AC$165,18,0)</f>
        <v>0</v>
      </c>
      <c r="D941" s="1067">
        <v>100000</v>
      </c>
      <c r="E941" s="1068">
        <f>C941*D941</f>
        <v>0</v>
      </c>
      <c r="F941" s="1055"/>
      <c r="G941" s="1064" t="s">
        <v>781</v>
      </c>
      <c r="H941" s="1065" t="s">
        <v>435</v>
      </c>
      <c r="I941" s="1066">
        <f>VLOOKUP(H933,'CNKT '!$D$101:$AC$165,18,0)</f>
        <v>0</v>
      </c>
      <c r="J941" s="1067">
        <v>100000</v>
      </c>
      <c r="K941" s="1068">
        <f>I941*J941</f>
        <v>0</v>
      </c>
      <c r="L941" s="999"/>
    </row>
    <row r="942" spans="1:12" s="23" customFormat="1" ht="17.25" customHeight="1">
      <c r="A942" s="1004" t="s">
        <v>394</v>
      </c>
      <c r="B942" s="1009" t="s">
        <v>435</v>
      </c>
      <c r="C942" s="1010">
        <f>VLOOKUP(B933,'CNKT '!$D$101:$AC$165,19,0)</f>
        <v>0</v>
      </c>
      <c r="D942" s="582">
        <v>20000</v>
      </c>
      <c r="E942" s="1007">
        <f>C942*D942</f>
        <v>0</v>
      </c>
      <c r="F942" s="1055"/>
      <c r="G942" s="1004" t="s">
        <v>394</v>
      </c>
      <c r="H942" s="1009" t="s">
        <v>435</v>
      </c>
      <c r="I942" s="1010">
        <f>VLOOKUP(H933,'CNKT '!$D$101:$AC$165,19,0)</f>
        <v>0</v>
      </c>
      <c r="J942" s="582">
        <v>20000</v>
      </c>
      <c r="K942" s="1007">
        <f>I942*J942</f>
        <v>0</v>
      </c>
      <c r="L942" s="999"/>
    </row>
    <row r="943" spans="1:12" s="23" customFormat="1" ht="17.25" customHeight="1">
      <c r="A943" s="1004" t="s">
        <v>731</v>
      </c>
      <c r="B943" s="1011" t="s">
        <v>732</v>
      </c>
      <c r="C943" s="1010"/>
      <c r="D943" s="582"/>
      <c r="E943" s="1007">
        <f>VLOOKUP(B933,'CNKT '!$D$101:$AG$165,28,0)</f>
        <v>23</v>
      </c>
      <c r="F943" s="1055"/>
      <c r="G943" s="1004" t="s">
        <v>731</v>
      </c>
      <c r="H943" s="1011" t="s">
        <v>732</v>
      </c>
      <c r="I943" s="1010"/>
      <c r="J943" s="582"/>
      <c r="K943" s="1007">
        <f>VLOOKUP(H933,'CNKT '!$D$101:$AG$165,28,0)</f>
        <v>24</v>
      </c>
      <c r="L943" s="999"/>
    </row>
    <row r="944" spans="1:12" s="23" customFormat="1" ht="17.25" customHeight="1">
      <c r="A944" s="1012" t="s">
        <v>70</v>
      </c>
      <c r="B944" s="1013" t="s">
        <v>459</v>
      </c>
      <c r="C944" s="1014"/>
      <c r="D944" s="1015"/>
      <c r="E944" s="1014"/>
      <c r="F944" s="1055"/>
      <c r="G944" s="1012" t="s">
        <v>70</v>
      </c>
      <c r="H944" s="1013" t="s">
        <v>459</v>
      </c>
      <c r="I944" s="1014"/>
      <c r="J944" s="1015"/>
      <c r="K944" s="1014"/>
      <c r="L944" s="999"/>
    </row>
    <row r="945" spans="1:12" s="23" customFormat="1" ht="17.25" customHeight="1">
      <c r="A945" s="1016" t="s">
        <v>71</v>
      </c>
      <c r="B945" s="1017" t="s">
        <v>460</v>
      </c>
      <c r="C945" s="1014"/>
      <c r="D945" s="1014"/>
      <c r="E945" s="1014"/>
      <c r="F945" s="1055"/>
      <c r="G945" s="1016" t="s">
        <v>71</v>
      </c>
      <c r="H945" s="1017" t="s">
        <v>460</v>
      </c>
      <c r="I945" s="1014"/>
      <c r="J945" s="1014"/>
      <c r="K945" s="1014"/>
      <c r="L945" s="999"/>
    </row>
    <row r="946" spans="1:12" s="23" customFormat="1" ht="17.25" customHeight="1">
      <c r="A946" s="1016" t="s">
        <v>72</v>
      </c>
      <c r="B946" s="1018" t="s">
        <v>461</v>
      </c>
      <c r="C946" s="1014"/>
      <c r="D946" s="1014"/>
      <c r="E946" s="1007">
        <f>SUM(E945)</f>
        <v>0</v>
      </c>
      <c r="F946" s="1060"/>
      <c r="G946" s="1016" t="s">
        <v>72</v>
      </c>
      <c r="H946" s="1018" t="s">
        <v>461</v>
      </c>
      <c r="I946" s="1014"/>
      <c r="J946" s="1014"/>
      <c r="K946" s="1007">
        <f>SUM(K945)</f>
        <v>0</v>
      </c>
      <c r="L946" s="999"/>
    </row>
    <row r="947" spans="1:12" s="23" customFormat="1" ht="17.25" customHeight="1">
      <c r="A947" s="1020" t="s">
        <v>73</v>
      </c>
      <c r="B947" s="1021" t="s">
        <v>381</v>
      </c>
      <c r="C947" s="1022"/>
      <c r="D947" s="1022"/>
      <c r="E947" s="1022" t="e">
        <f>(E935+E936+E937+E938+E939+E940+E941+E942+E943)-E946</f>
        <v>#VALUE!</v>
      </c>
      <c r="F947" s="1060"/>
      <c r="G947" s="1020" t="s">
        <v>73</v>
      </c>
      <c r="H947" s="1021" t="s">
        <v>381</v>
      </c>
      <c r="I947" s="1022"/>
      <c r="J947" s="1022"/>
      <c r="K947" s="1022" t="e">
        <f>(K935+K936+K937+K938+K939+K940+K941+K942+K943)-K946</f>
        <v>#VALUE!</v>
      </c>
      <c r="L947" s="1024" t="e">
        <f>E947+K947</f>
        <v>#VALUE!</v>
      </c>
    </row>
    <row r="948" spans="1:12" s="23" customFormat="1" ht="25.15" customHeight="1">
      <c r="A948" s="1058"/>
      <c r="B948" s="1058"/>
      <c r="C948" s="1058"/>
      <c r="D948" s="1058"/>
      <c r="E948" s="1058"/>
      <c r="F948" s="1058"/>
      <c r="G948" s="1058"/>
      <c r="H948" s="1058"/>
      <c r="I948" s="1058"/>
      <c r="J948" s="1058"/>
      <c r="K948" s="1058"/>
      <c r="L948" s="999"/>
    </row>
    <row r="949" spans="1:12" s="23" customFormat="1" ht="17.25" customHeight="1">
      <c r="A949" s="1059" t="str">
        <f>A932</f>
        <v>LƯƠNG THÁNG 09/2025</v>
      </c>
      <c r="B949" s="1058"/>
      <c r="C949" s="1058"/>
      <c r="D949" s="1058"/>
      <c r="E949" s="1054">
        <f>VLOOKUP(B950,'CNKT '!$D$101:$AF$165,26,0)</f>
        <v>9004508</v>
      </c>
      <c r="F949" s="1055"/>
      <c r="G949" s="1059" t="str">
        <f>A949</f>
        <v>LƯƠNG THÁNG 09/2025</v>
      </c>
      <c r="H949" s="1058"/>
      <c r="I949" s="1058"/>
      <c r="J949" s="998"/>
      <c r="K949" s="1054">
        <f>VLOOKUP(H950,'CNKT '!$D$101:$AF$165,26,0)</f>
        <v>9303580</v>
      </c>
      <c r="L949" s="999"/>
    </row>
    <row r="950" spans="1:12" s="23" customFormat="1" ht="17.25" customHeight="1">
      <c r="A950" s="1028" t="s">
        <v>13</v>
      </c>
      <c r="B950" s="1000" t="str">
        <f>'CNKT '!D125</f>
        <v xml:space="preserve">N. Bun </v>
      </c>
      <c r="C950" s="1006"/>
      <c r="D950" s="1000" t="s">
        <v>353</v>
      </c>
      <c r="E950" s="1000" t="s">
        <v>16</v>
      </c>
      <c r="F950" s="1055"/>
      <c r="G950" s="1028" t="s">
        <v>13</v>
      </c>
      <c r="H950" s="1000" t="str">
        <f>'CNKT '!D126</f>
        <v>N. Phu Văn</v>
      </c>
      <c r="I950" s="1006"/>
      <c r="J950" s="1000" t="s">
        <v>353</v>
      </c>
      <c r="K950" s="1000" t="s">
        <v>16</v>
      </c>
      <c r="L950" s="999"/>
    </row>
    <row r="951" spans="1:12" s="23" customFormat="1" ht="17.25" customHeight="1">
      <c r="A951" s="1004" t="s">
        <v>354</v>
      </c>
      <c r="B951" s="1005" t="s">
        <v>454</v>
      </c>
      <c r="C951" s="1006">
        <f>VLOOKUP(B950,'SẢN LƯỢNG'!$D$98:$AR$160,37,0)</f>
        <v>4599</v>
      </c>
      <c r="D951" s="1007"/>
      <c r="E951" s="1007"/>
      <c r="F951" s="1055"/>
      <c r="G951" s="1004" t="s">
        <v>354</v>
      </c>
      <c r="H951" s="1005" t="s">
        <v>454</v>
      </c>
      <c r="I951" s="1006">
        <f>VLOOKUP(H950,'SẢN LƯỢNG'!$D$98:$AR$160,37,0)</f>
        <v>4476</v>
      </c>
      <c r="J951" s="1007"/>
      <c r="K951" s="1007"/>
      <c r="L951" s="999"/>
    </row>
    <row r="952" spans="1:12" s="23" customFormat="1" ht="17.25" customHeight="1">
      <c r="A952" s="1004" t="s">
        <v>68</v>
      </c>
      <c r="B952" s="1008" t="s">
        <v>380</v>
      </c>
      <c r="C952" s="581">
        <f>VLOOKUP(B950,'CNKT '!$D$100:$AC$165,3,0)</f>
        <v>0</v>
      </c>
      <c r="D952" s="582">
        <v>25000</v>
      </c>
      <c r="E952" s="1007">
        <f t="shared" ref="E952:E957" si="192">C952*D952</f>
        <v>0</v>
      </c>
      <c r="F952" s="1055"/>
      <c r="G952" s="1004" t="s">
        <v>68</v>
      </c>
      <c r="H952" s="1008" t="s">
        <v>380</v>
      </c>
      <c r="I952" s="581">
        <f>VLOOKUP(H950,'CNKT '!$D$100:$AC$165,3,0)</f>
        <v>0</v>
      </c>
      <c r="J952" s="582">
        <v>25000</v>
      </c>
      <c r="K952" s="1007">
        <f t="shared" ref="K952:K957" si="193">I952*J952</f>
        <v>0</v>
      </c>
      <c r="L952" s="999"/>
    </row>
    <row r="953" spans="1:12" s="23" customFormat="1" ht="17.25" customHeight="1">
      <c r="A953" s="1004" t="s">
        <v>269</v>
      </c>
      <c r="B953" s="1009" t="s">
        <v>455</v>
      </c>
      <c r="C953" s="1010" t="str">
        <f>VLOOKUP(B950,'CNKT '!$D$100:$AC$165,11,0)</f>
        <v>A</v>
      </c>
      <c r="D953" s="583">
        <f>46.1*$B$2</f>
        <v>30424.156000000003</v>
      </c>
      <c r="E953" s="1007" t="e">
        <f t="shared" si="192"/>
        <v>#VALUE!</v>
      </c>
      <c r="F953" s="1055"/>
      <c r="G953" s="1004" t="s">
        <v>269</v>
      </c>
      <c r="H953" s="1009" t="s">
        <v>455</v>
      </c>
      <c r="I953" s="1010" t="str">
        <f>VLOOKUP(H950,'CNKT '!$D$100:$AC$165,11,0)</f>
        <v>A</v>
      </c>
      <c r="J953" s="583">
        <f>46.1*$B$2</f>
        <v>30424.156000000003</v>
      </c>
      <c r="K953" s="1007" t="e">
        <f t="shared" si="193"/>
        <v>#VALUE!</v>
      </c>
      <c r="L953" s="999"/>
    </row>
    <row r="954" spans="1:12" s="23" customFormat="1" ht="17.25" customHeight="1">
      <c r="A954" s="1004" t="s">
        <v>356</v>
      </c>
      <c r="B954" s="1009" t="s">
        <v>456</v>
      </c>
      <c r="C954" s="1010">
        <f>VLOOKUP(B950,'CNKT '!$D$100:$AC$165,12,0)</f>
        <v>7527799</v>
      </c>
      <c r="D954" s="582">
        <f>76.9*$B$2</f>
        <v>50750.924000000006</v>
      </c>
      <c r="E954" s="1007">
        <f t="shared" si="192"/>
        <v>382042754936.27606</v>
      </c>
      <c r="F954" s="1055"/>
      <c r="G954" s="1004" t="s">
        <v>356</v>
      </c>
      <c r="H954" s="1009" t="s">
        <v>456</v>
      </c>
      <c r="I954" s="1010">
        <f>VLOOKUP(H950,'CNKT '!$D$100:$AC$165,12,0)</f>
        <v>7826871</v>
      </c>
      <c r="J954" s="582">
        <f>76.9*$B$2</f>
        <v>50750.924000000006</v>
      </c>
      <c r="K954" s="1007">
        <f t="shared" si="193"/>
        <v>397220935278.80408</v>
      </c>
      <c r="L954" s="999"/>
    </row>
    <row r="955" spans="1:12" s="23" customFormat="1" ht="17.25" customHeight="1">
      <c r="A955" s="1004" t="s">
        <v>69</v>
      </c>
      <c r="B955" s="1009" t="s">
        <v>457</v>
      </c>
      <c r="C955" s="1010">
        <f>VLOOKUP(B950,'CNKT '!$D$100:$AC$165,8,0)</f>
        <v>1863.4320248030169</v>
      </c>
      <c r="D955" s="582">
        <f>IF(C951="A",6.1,IF(C951="B",5.8,IF(C951="C",5.5,IF(C951="C.",5.5,IF(C951="D",5.2)))))*$B$2</f>
        <v>0</v>
      </c>
      <c r="E955" s="1007">
        <f t="shared" si="192"/>
        <v>0</v>
      </c>
      <c r="F955" s="1055"/>
      <c r="G955" s="1004" t="s">
        <v>69</v>
      </c>
      <c r="H955" s="1009" t="s">
        <v>457</v>
      </c>
      <c r="I955" s="1010">
        <f>VLOOKUP(H950,'CNKT '!$D$100:$AC$165,8,0)</f>
        <v>1947.8551188844681</v>
      </c>
      <c r="J955" s="582">
        <f>IF(I951="A",6.1,IF(I951="B",5.8,IF(I951="C",5.5,IF(I951="C.",5.5,IF(I951="D",5.2)))))*$B$2</f>
        <v>0</v>
      </c>
      <c r="K955" s="1007">
        <f t="shared" si="193"/>
        <v>0</v>
      </c>
      <c r="L955" s="999"/>
    </row>
    <row r="956" spans="1:12" s="23" customFormat="1" ht="17.25" customHeight="1">
      <c r="A956" s="1064" t="s">
        <v>433</v>
      </c>
      <c r="B956" s="1065" t="s">
        <v>458</v>
      </c>
      <c r="C956" s="1066">
        <f>VLOOKUP(B950,'CNKT '!$D$99:$AC$165,13,0)</f>
        <v>27</v>
      </c>
      <c r="D956" s="1074">
        <f>92.2*$B$2</f>
        <v>60848.312000000005</v>
      </c>
      <c r="E956" s="1068">
        <f t="shared" si="192"/>
        <v>1642904.4240000001</v>
      </c>
      <c r="F956" s="1055"/>
      <c r="G956" s="1064" t="s">
        <v>433</v>
      </c>
      <c r="H956" s="1065" t="s">
        <v>458</v>
      </c>
      <c r="I956" s="1066">
        <f>VLOOKUP(H950,'CNKT '!$D$99:$AC$165,13,0)</f>
        <v>27</v>
      </c>
      <c r="J956" s="1074">
        <f>92.2*$B$2</f>
        <v>60848.312000000005</v>
      </c>
      <c r="K956" s="1068">
        <f t="shared" si="193"/>
        <v>1642904.4240000001</v>
      </c>
      <c r="L956" s="999"/>
    </row>
    <row r="957" spans="1:12" s="23" customFormat="1" ht="17.25" customHeight="1">
      <c r="A957" s="1004" t="s">
        <v>390</v>
      </c>
      <c r="B957" s="1009" t="s">
        <v>434</v>
      </c>
      <c r="C957" s="1010">
        <f>VLOOKUP(B950,'CNKT '!$D$100:$AC$165,14,0)</f>
        <v>1</v>
      </c>
      <c r="D957" s="582">
        <f>153.6*$B$2</f>
        <v>101369.856</v>
      </c>
      <c r="E957" s="1007">
        <f t="shared" si="192"/>
        <v>101369.856</v>
      </c>
      <c r="F957" s="1055"/>
      <c r="G957" s="1004" t="s">
        <v>390</v>
      </c>
      <c r="H957" s="1009" t="s">
        <v>434</v>
      </c>
      <c r="I957" s="1010">
        <f>VLOOKUP(H950,'CNKT '!$D$100:$AC$165,14,0)</f>
        <v>1</v>
      </c>
      <c r="J957" s="582">
        <f>153.6*$B$2</f>
        <v>101369.856</v>
      </c>
      <c r="K957" s="1007">
        <f t="shared" si="193"/>
        <v>101369.856</v>
      </c>
      <c r="L957" s="999"/>
    </row>
    <row r="958" spans="1:12" s="23" customFormat="1" ht="17.25" customHeight="1">
      <c r="A958" s="1064" t="s">
        <v>781</v>
      </c>
      <c r="B958" s="1065" t="s">
        <v>435</v>
      </c>
      <c r="C958" s="1066">
        <f>VLOOKUP(B950,'CNKT '!$D$101:$AC$165,18,0)</f>
        <v>0</v>
      </c>
      <c r="D958" s="1067">
        <v>100000</v>
      </c>
      <c r="E958" s="1068">
        <f>C958*D958</f>
        <v>0</v>
      </c>
      <c r="F958" s="1055"/>
      <c r="G958" s="1064" t="s">
        <v>781</v>
      </c>
      <c r="H958" s="1065" t="s">
        <v>435</v>
      </c>
      <c r="I958" s="1066">
        <f>VLOOKUP(H950,'CNKT '!$D$101:$AC$165,18,0)</f>
        <v>0</v>
      </c>
      <c r="J958" s="1067">
        <v>100000</v>
      </c>
      <c r="K958" s="1068">
        <f>I958*J958</f>
        <v>0</v>
      </c>
      <c r="L958" s="999"/>
    </row>
    <row r="959" spans="1:12" s="23" customFormat="1" ht="17.25" customHeight="1">
      <c r="A959" s="1004" t="s">
        <v>394</v>
      </c>
      <c r="B959" s="1009" t="s">
        <v>435</v>
      </c>
      <c r="C959" s="1010">
        <f>VLOOKUP(B950,'CNKT '!$D$101:$AC$165,19,0)</f>
        <v>0</v>
      </c>
      <c r="D959" s="582">
        <v>20000</v>
      </c>
      <c r="E959" s="1007">
        <f>C959*D959</f>
        <v>0</v>
      </c>
      <c r="F959" s="1055"/>
      <c r="G959" s="1004" t="s">
        <v>394</v>
      </c>
      <c r="H959" s="1009" t="s">
        <v>435</v>
      </c>
      <c r="I959" s="1010">
        <f>VLOOKUP(H950,'CNKT '!$D$101:$AC$165,19,0)</f>
        <v>0</v>
      </c>
      <c r="J959" s="582">
        <v>20000</v>
      </c>
      <c r="K959" s="1007">
        <f>I959*J959</f>
        <v>0</v>
      </c>
      <c r="L959" s="999"/>
    </row>
    <row r="960" spans="1:12" s="23" customFormat="1" ht="17.25" customHeight="1">
      <c r="A960" s="1004" t="s">
        <v>731</v>
      </c>
      <c r="B960" s="1011" t="s">
        <v>732</v>
      </c>
      <c r="C960" s="1010"/>
      <c r="D960" s="582"/>
      <c r="E960" s="1007">
        <f>VLOOKUP(B950,'CNKT '!$D$101:$AG$165,28,0)</f>
        <v>25</v>
      </c>
      <c r="F960" s="1055"/>
      <c r="G960" s="1004" t="s">
        <v>731</v>
      </c>
      <c r="H960" s="1011" t="s">
        <v>732</v>
      </c>
      <c r="I960" s="1010"/>
      <c r="J960" s="582"/>
      <c r="K960" s="1007">
        <f>VLOOKUP(H950,'CNKT '!$D$101:$AG$165,28,0)</f>
        <v>26</v>
      </c>
      <c r="L960" s="999"/>
    </row>
    <row r="961" spans="1:12" s="23" customFormat="1" ht="17.25" customHeight="1">
      <c r="A961" s="1012" t="s">
        <v>70</v>
      </c>
      <c r="B961" s="1013" t="s">
        <v>459</v>
      </c>
      <c r="C961" s="1014"/>
      <c r="D961" s="1015"/>
      <c r="E961" s="1014"/>
      <c r="F961" s="1055"/>
      <c r="G961" s="1012" t="s">
        <v>70</v>
      </c>
      <c r="H961" s="1013" t="s">
        <v>459</v>
      </c>
      <c r="I961" s="1014"/>
      <c r="J961" s="1015"/>
      <c r="K961" s="1014"/>
      <c r="L961" s="999"/>
    </row>
    <row r="962" spans="1:12" s="23" customFormat="1" ht="17.25" customHeight="1">
      <c r="A962" s="1016" t="s">
        <v>71</v>
      </c>
      <c r="B962" s="1017" t="s">
        <v>460</v>
      </c>
      <c r="C962" s="1014"/>
      <c r="D962" s="1014"/>
      <c r="E962" s="1014"/>
      <c r="F962" s="1055"/>
      <c r="G962" s="1016" t="s">
        <v>71</v>
      </c>
      <c r="H962" s="1017" t="s">
        <v>460</v>
      </c>
      <c r="I962" s="1014"/>
      <c r="J962" s="1014"/>
      <c r="K962" s="1014"/>
      <c r="L962" s="999"/>
    </row>
    <row r="963" spans="1:12" s="23" customFormat="1" ht="17.25" customHeight="1">
      <c r="A963" s="1016" t="s">
        <v>72</v>
      </c>
      <c r="B963" s="1018" t="s">
        <v>461</v>
      </c>
      <c r="C963" s="1014"/>
      <c r="D963" s="1014"/>
      <c r="E963" s="1007">
        <f>SUM(E962)</f>
        <v>0</v>
      </c>
      <c r="F963" s="1057"/>
      <c r="G963" s="1016" t="s">
        <v>72</v>
      </c>
      <c r="H963" s="1018" t="s">
        <v>461</v>
      </c>
      <c r="I963" s="1014"/>
      <c r="J963" s="1014"/>
      <c r="K963" s="1007">
        <f>SUM(K962)</f>
        <v>0</v>
      </c>
      <c r="L963" s="999"/>
    </row>
    <row r="964" spans="1:12" s="23" customFormat="1" ht="17.25" customHeight="1">
      <c r="A964" s="1020" t="s">
        <v>73</v>
      </c>
      <c r="B964" s="1021" t="s">
        <v>381</v>
      </c>
      <c r="C964" s="1022"/>
      <c r="D964" s="1022"/>
      <c r="E964" s="1022" t="e">
        <f>(E952+E953+E954+E955+E956+E957+E958+E959+E960)-E963</f>
        <v>#VALUE!</v>
      </c>
      <c r="F964" s="1057"/>
      <c r="G964" s="1020" t="s">
        <v>73</v>
      </c>
      <c r="H964" s="1021" t="s">
        <v>381</v>
      </c>
      <c r="I964" s="1022"/>
      <c r="J964" s="1022"/>
      <c r="K964" s="1022" t="e">
        <f>(K952+K953+K954+K955+K956+K957+K958+K959+K960)-K963</f>
        <v>#VALUE!</v>
      </c>
      <c r="L964" s="1024" t="e">
        <f>E964+K964</f>
        <v>#VALUE!</v>
      </c>
    </row>
    <row r="965" spans="1:12" s="23" customFormat="1" ht="17.25" customHeight="1">
      <c r="A965" s="1058"/>
      <c r="B965" s="1058"/>
      <c r="C965" s="1058"/>
      <c r="D965" s="1058"/>
      <c r="E965" s="1058"/>
      <c r="F965" s="1058"/>
      <c r="G965" s="1058"/>
      <c r="H965" s="1058"/>
      <c r="I965" s="1058"/>
      <c r="J965" s="1058"/>
      <c r="K965" s="1058"/>
      <c r="L965" s="999"/>
    </row>
    <row r="966" spans="1:12" s="23" customFormat="1" ht="17.25" customHeight="1">
      <c r="A966" s="1059" t="str">
        <f>A949</f>
        <v>LƯƠNG THÁNG 09/2025</v>
      </c>
      <c r="B966" s="1058"/>
      <c r="C966" s="1058"/>
      <c r="D966" s="1058"/>
      <c r="E966" s="1054">
        <f>VLOOKUP(B967,'CNKT '!$D$101:$AF$165,26,0)</f>
        <v>10561234</v>
      </c>
      <c r="F966" s="1055"/>
      <c r="G966" s="1059" t="str">
        <f>A966</f>
        <v>LƯƠNG THÁNG 09/2025</v>
      </c>
      <c r="H966" s="1058"/>
      <c r="I966" s="1058"/>
      <c r="J966" s="998"/>
      <c r="K966" s="1054">
        <f>VLOOKUP(H967,'CNKT '!$D$101:$AF$165,26,0)</f>
        <v>9533020</v>
      </c>
      <c r="L966" s="999"/>
    </row>
    <row r="967" spans="1:12" s="23" customFormat="1" ht="17.25" customHeight="1">
      <c r="A967" s="1028" t="s">
        <v>13</v>
      </c>
      <c r="B967" s="1000" t="str">
        <f>'CNKT '!D127</f>
        <v>N. Lỷ</v>
      </c>
      <c r="C967" s="1006"/>
      <c r="D967" s="1000" t="s">
        <v>353</v>
      </c>
      <c r="E967" s="1000" t="s">
        <v>16</v>
      </c>
      <c r="F967" s="1055"/>
      <c r="G967" s="1028" t="s">
        <v>13</v>
      </c>
      <c r="H967" s="1000" t="str">
        <f>'CNKT '!D128</f>
        <v>N. Quen</v>
      </c>
      <c r="I967" s="1006"/>
      <c r="J967" s="1000" t="s">
        <v>353</v>
      </c>
      <c r="K967" s="1000" t="s">
        <v>16</v>
      </c>
      <c r="L967" s="999"/>
    </row>
    <row r="968" spans="1:12" s="23" customFormat="1" ht="17.25" customHeight="1">
      <c r="A968" s="1004" t="s">
        <v>354</v>
      </c>
      <c r="B968" s="1005" t="s">
        <v>454</v>
      </c>
      <c r="C968" s="1006">
        <f>VLOOKUP(B967,'SẢN LƯỢNG'!$D$98:$AR$160,37,0)</f>
        <v>5498</v>
      </c>
      <c r="D968" s="1007"/>
      <c r="E968" s="1007"/>
      <c r="F968" s="1055"/>
      <c r="G968" s="1004" t="s">
        <v>354</v>
      </c>
      <c r="H968" s="1005" t="s">
        <v>454</v>
      </c>
      <c r="I968" s="1006">
        <f>VLOOKUP(H967,'SẢN LƯỢNG'!$D$98:$AR$160,37,0)</f>
        <v>4337</v>
      </c>
      <c r="J968" s="1007"/>
      <c r="K968" s="1007"/>
      <c r="L968" s="999"/>
    </row>
    <row r="969" spans="1:12" s="23" customFormat="1" ht="17.25" customHeight="1">
      <c r="A969" s="1004" t="s">
        <v>68</v>
      </c>
      <c r="B969" s="1008" t="s">
        <v>380</v>
      </c>
      <c r="C969" s="581">
        <f>VLOOKUP(B967,'CNKT '!$D$100:$AC$165,3,0)</f>
        <v>0</v>
      </c>
      <c r="D969" s="582">
        <v>25000</v>
      </c>
      <c r="E969" s="1007">
        <f t="shared" ref="E969:E974" si="194">C969*D969</f>
        <v>0</v>
      </c>
      <c r="F969" s="1055"/>
      <c r="G969" s="1004" t="s">
        <v>68</v>
      </c>
      <c r="H969" s="1008" t="s">
        <v>380</v>
      </c>
      <c r="I969" s="581">
        <f>VLOOKUP(H967,'CNKT '!$D$100:$AC$165,3,0)</f>
        <v>0</v>
      </c>
      <c r="J969" s="582">
        <v>25000</v>
      </c>
      <c r="K969" s="1007">
        <f t="shared" ref="K969:K974" si="195">I969*J969</f>
        <v>0</v>
      </c>
      <c r="L969" s="999"/>
    </row>
    <row r="970" spans="1:12" s="23" customFormat="1" ht="17.25" customHeight="1">
      <c r="A970" s="1004" t="s">
        <v>269</v>
      </c>
      <c r="B970" s="1009" t="s">
        <v>455</v>
      </c>
      <c r="C970" s="1010" t="str">
        <f>VLOOKUP(B967,'CNKT '!$D$100:$AC$165,11,0)</f>
        <v>A</v>
      </c>
      <c r="D970" s="583">
        <f>46.1*$B$2</f>
        <v>30424.156000000003</v>
      </c>
      <c r="E970" s="1007" t="e">
        <f t="shared" si="194"/>
        <v>#VALUE!</v>
      </c>
      <c r="F970" s="1055"/>
      <c r="G970" s="1004" t="s">
        <v>269</v>
      </c>
      <c r="H970" s="1009" t="s">
        <v>455</v>
      </c>
      <c r="I970" s="1010" t="str">
        <f>VLOOKUP(H967,'CNKT '!$D$100:$AC$165,11,0)</f>
        <v>A</v>
      </c>
      <c r="J970" s="583">
        <f>46.1*$B$2</f>
        <v>30424.156000000003</v>
      </c>
      <c r="K970" s="1007" t="e">
        <f t="shared" si="195"/>
        <v>#VALUE!</v>
      </c>
      <c r="L970" s="999"/>
    </row>
    <row r="971" spans="1:12" s="23" customFormat="1" ht="17.25" customHeight="1">
      <c r="A971" s="1004" t="s">
        <v>356</v>
      </c>
      <c r="B971" s="1009" t="s">
        <v>456</v>
      </c>
      <c r="C971" s="1010">
        <f>VLOOKUP(B967,'CNKT '!$D$100:$AC$165,12,0)</f>
        <v>9084525</v>
      </c>
      <c r="D971" s="582">
        <f>76.9*$B$2</f>
        <v>50750.924000000006</v>
      </c>
      <c r="E971" s="1007">
        <f t="shared" si="194"/>
        <v>461048037851.10004</v>
      </c>
      <c r="F971" s="1055"/>
      <c r="G971" s="1004" t="s">
        <v>356</v>
      </c>
      <c r="H971" s="1009" t="s">
        <v>456</v>
      </c>
      <c r="I971" s="1010">
        <f>VLOOKUP(H967,'CNKT '!$D$100:$AC$165,12,0)</f>
        <v>8207062</v>
      </c>
      <c r="J971" s="582">
        <f>76.9*$B$2</f>
        <v>50750.924000000006</v>
      </c>
      <c r="K971" s="1007">
        <f t="shared" si="195"/>
        <v>416515979825.28802</v>
      </c>
      <c r="L971" s="999"/>
    </row>
    <row r="972" spans="1:12" s="23" customFormat="1" ht="17.25" customHeight="1">
      <c r="A972" s="1004" t="s">
        <v>69</v>
      </c>
      <c r="B972" s="1009" t="s">
        <v>457</v>
      </c>
      <c r="C972" s="1010">
        <f>VLOOKUP(B967,'CNKT '!$D$100:$AC$165,8,0)</f>
        <v>2250.5534665754744</v>
      </c>
      <c r="D972" s="582">
        <f>IF(C968="A",6.1,IF(C968="B",5.8,IF(C968="C",5.5,IF(C968="C.",5.5,IF(C968="D",5.2)))))*$B$2</f>
        <v>0</v>
      </c>
      <c r="E972" s="1007">
        <f t="shared" si="194"/>
        <v>0</v>
      </c>
      <c r="F972" s="1055"/>
      <c r="G972" s="1004" t="s">
        <v>69</v>
      </c>
      <c r="H972" s="1009" t="s">
        <v>457</v>
      </c>
      <c r="I972" s="1010">
        <f>VLOOKUP(H967,'CNKT '!$D$100:$AC$165,8,0)</f>
        <v>2054.5869062206034</v>
      </c>
      <c r="J972" s="582">
        <f>IF(I968="A",6.1,IF(I968="B",5.8,IF(I968="C",5.5,IF(I968="C.",5.5,IF(I968="D",5.2)))))*$B$2</f>
        <v>0</v>
      </c>
      <c r="K972" s="1007">
        <f t="shared" si="195"/>
        <v>0</v>
      </c>
      <c r="L972" s="999"/>
    </row>
    <row r="973" spans="1:12" s="23" customFormat="1" ht="17.25" customHeight="1">
      <c r="A973" s="1064" t="s">
        <v>433</v>
      </c>
      <c r="B973" s="1065" t="s">
        <v>458</v>
      </c>
      <c r="C973" s="1066">
        <f>VLOOKUP(B967,'CNKT '!$D$99:$AC$165,13,0)</f>
        <v>27</v>
      </c>
      <c r="D973" s="1074">
        <f>92.2*$B$2</f>
        <v>60848.312000000005</v>
      </c>
      <c r="E973" s="1068">
        <f t="shared" si="194"/>
        <v>1642904.4240000001</v>
      </c>
      <c r="F973" s="1055"/>
      <c r="G973" s="1064" t="s">
        <v>433</v>
      </c>
      <c r="H973" s="1065" t="s">
        <v>458</v>
      </c>
      <c r="I973" s="1066">
        <f>VLOOKUP(H967,'CNKT '!$D$99:$AC$165,13,0)</f>
        <v>27</v>
      </c>
      <c r="J973" s="1074">
        <f>92.2*$B$2</f>
        <v>60848.312000000005</v>
      </c>
      <c r="K973" s="1068">
        <f t="shared" si="195"/>
        <v>1642904.4240000001</v>
      </c>
      <c r="L973" s="999"/>
    </row>
    <row r="974" spans="1:12" s="23" customFormat="1" ht="17.25" customHeight="1">
      <c r="A974" s="1004" t="s">
        <v>390</v>
      </c>
      <c r="B974" s="1009" t="s">
        <v>434</v>
      </c>
      <c r="C974" s="1010">
        <f>VLOOKUP(B967,'CNKT '!$D$100:$AC$165,14,0)</f>
        <v>1</v>
      </c>
      <c r="D974" s="582">
        <f>153.6*$B$2</f>
        <v>101369.856</v>
      </c>
      <c r="E974" s="1007">
        <f t="shared" si="194"/>
        <v>101369.856</v>
      </c>
      <c r="F974" s="1055"/>
      <c r="G974" s="1004" t="s">
        <v>390</v>
      </c>
      <c r="H974" s="1009" t="s">
        <v>434</v>
      </c>
      <c r="I974" s="1010">
        <f>VLOOKUP(H967,'CNKT '!$D$100:$AC$165,14,0)</f>
        <v>2</v>
      </c>
      <c r="J974" s="582">
        <f>153.6*$B$2</f>
        <v>101369.856</v>
      </c>
      <c r="K974" s="1007">
        <f t="shared" si="195"/>
        <v>202739.712</v>
      </c>
      <c r="L974" s="999"/>
    </row>
    <row r="975" spans="1:12" s="23" customFormat="1" ht="17.25" customHeight="1">
      <c r="A975" s="1064" t="s">
        <v>781</v>
      </c>
      <c r="B975" s="1065" t="s">
        <v>435</v>
      </c>
      <c r="C975" s="1066">
        <f>VLOOKUP(B967,'CNKT '!$D$101:$AC$165,18,0)</f>
        <v>0</v>
      </c>
      <c r="D975" s="1067">
        <v>100000</v>
      </c>
      <c r="E975" s="1068">
        <f>C975*D975</f>
        <v>0</v>
      </c>
      <c r="F975" s="1055"/>
      <c r="G975" s="1064" t="s">
        <v>781</v>
      </c>
      <c r="H975" s="1065" t="s">
        <v>435</v>
      </c>
      <c r="I975" s="1066">
        <f>VLOOKUP(H967,'CNKT '!$D$101:$AC$165,18,0)</f>
        <v>0</v>
      </c>
      <c r="J975" s="1067">
        <v>100000</v>
      </c>
      <c r="K975" s="1068">
        <f>I975*J975</f>
        <v>0</v>
      </c>
      <c r="L975" s="999"/>
    </row>
    <row r="976" spans="1:12" s="23" customFormat="1" ht="17.25" customHeight="1">
      <c r="A976" s="1004" t="s">
        <v>394</v>
      </c>
      <c r="B976" s="1009" t="s">
        <v>435</v>
      </c>
      <c r="C976" s="1010">
        <f>VLOOKUP(B967,'CNKT '!$D$101:$AC$165,19,0)</f>
        <v>0</v>
      </c>
      <c r="D976" s="582">
        <v>20000</v>
      </c>
      <c r="E976" s="1007">
        <f>C976*D976</f>
        <v>0</v>
      </c>
      <c r="F976" s="1055"/>
      <c r="G976" s="1004" t="s">
        <v>394</v>
      </c>
      <c r="H976" s="1009" t="s">
        <v>435</v>
      </c>
      <c r="I976" s="1010">
        <f>VLOOKUP(H967,'CNKT '!$D$101:$AC$165,19,0)</f>
        <v>0</v>
      </c>
      <c r="J976" s="582">
        <v>20000</v>
      </c>
      <c r="K976" s="1007">
        <f>I976*J976</f>
        <v>0</v>
      </c>
      <c r="L976" s="999"/>
    </row>
    <row r="977" spans="1:12" s="23" customFormat="1" ht="17.25" customHeight="1">
      <c r="A977" s="1004" t="s">
        <v>731</v>
      </c>
      <c r="B977" s="1011" t="s">
        <v>732</v>
      </c>
      <c r="C977" s="1010"/>
      <c r="D977" s="582"/>
      <c r="E977" s="1007">
        <f>VLOOKUP(B967,'CNKT '!$D$101:$AG$165,28,0)</f>
        <v>27</v>
      </c>
      <c r="F977" s="1055"/>
      <c r="G977" s="1004" t="s">
        <v>731</v>
      </c>
      <c r="H977" s="1011" t="s">
        <v>732</v>
      </c>
      <c r="I977" s="1010"/>
      <c r="J977" s="582"/>
      <c r="K977" s="1007">
        <f>VLOOKUP(H967,'CNKT '!$D$101:$AG$165,28,0)</f>
        <v>28</v>
      </c>
      <c r="L977" s="999"/>
    </row>
    <row r="978" spans="1:12" s="23" customFormat="1" ht="17.25" customHeight="1">
      <c r="A978" s="1012" t="s">
        <v>70</v>
      </c>
      <c r="B978" s="1013" t="s">
        <v>459</v>
      </c>
      <c r="C978" s="1014"/>
      <c r="D978" s="1015"/>
      <c r="E978" s="1014"/>
      <c r="F978" s="1055"/>
      <c r="G978" s="1012" t="s">
        <v>70</v>
      </c>
      <c r="H978" s="1013" t="s">
        <v>459</v>
      </c>
      <c r="I978" s="1014"/>
      <c r="J978" s="1015"/>
      <c r="K978" s="1014"/>
      <c r="L978" s="999"/>
    </row>
    <row r="979" spans="1:12" s="23" customFormat="1" ht="17.25" customHeight="1">
      <c r="A979" s="1016" t="s">
        <v>71</v>
      </c>
      <c r="B979" s="1017" t="s">
        <v>460</v>
      </c>
      <c r="C979" s="1014"/>
      <c r="D979" s="1014"/>
      <c r="E979" s="1014"/>
      <c r="F979" s="1055"/>
      <c r="G979" s="1016" t="s">
        <v>71</v>
      </c>
      <c r="H979" s="1017" t="s">
        <v>460</v>
      </c>
      <c r="I979" s="1014"/>
      <c r="J979" s="1014"/>
      <c r="K979" s="1014"/>
      <c r="L979" s="999"/>
    </row>
    <row r="980" spans="1:12" s="23" customFormat="1" ht="17.25" customHeight="1">
      <c r="A980" s="1016" t="s">
        <v>72</v>
      </c>
      <c r="B980" s="1018" t="s">
        <v>461</v>
      </c>
      <c r="C980" s="1014"/>
      <c r="D980" s="1014"/>
      <c r="E980" s="1007">
        <f>SUM(E979)</f>
        <v>0</v>
      </c>
      <c r="F980" s="1057"/>
      <c r="G980" s="1016" t="s">
        <v>72</v>
      </c>
      <c r="H980" s="1018" t="s">
        <v>461</v>
      </c>
      <c r="I980" s="1014"/>
      <c r="J980" s="1014"/>
      <c r="K980" s="1007">
        <f>SUM(K979)</f>
        <v>0</v>
      </c>
      <c r="L980" s="999"/>
    </row>
    <row r="981" spans="1:12" s="23" customFormat="1" ht="17.25" customHeight="1">
      <c r="A981" s="1020" t="s">
        <v>73</v>
      </c>
      <c r="B981" s="1021" t="s">
        <v>381</v>
      </c>
      <c r="C981" s="1022"/>
      <c r="D981" s="1022"/>
      <c r="E981" s="1022" t="e">
        <f>(E969+E970+E971+E972+E973+E974+E975+E976+E977)-E980</f>
        <v>#VALUE!</v>
      </c>
      <c r="F981" s="1057"/>
      <c r="G981" s="1020" t="s">
        <v>73</v>
      </c>
      <c r="H981" s="1021" t="s">
        <v>381</v>
      </c>
      <c r="I981" s="1022"/>
      <c r="J981" s="1022"/>
      <c r="K981" s="1022" t="e">
        <f>(K969+K970+K971+K972+K973+K974+K975+K976+K977)-K980</f>
        <v>#VALUE!</v>
      </c>
      <c r="L981" s="1024" t="e">
        <f>E981+K981</f>
        <v>#VALUE!</v>
      </c>
    </row>
    <row r="982" spans="1:12" s="23" customFormat="1" ht="66.75" customHeight="1">
      <c r="A982" s="1058"/>
      <c r="B982" s="1058"/>
      <c r="C982" s="1058"/>
      <c r="D982" s="1058"/>
      <c r="E982" s="1058"/>
      <c r="F982" s="1058"/>
      <c r="G982" s="1058"/>
      <c r="H982" s="1058"/>
      <c r="I982" s="1058"/>
      <c r="J982" s="1058"/>
      <c r="K982" s="1058"/>
      <c r="L982" s="999"/>
    </row>
    <row r="983" spans="1:12" s="23" customFormat="1" ht="17.25" customHeight="1">
      <c r="A983" s="1059" t="str">
        <f>A966</f>
        <v>LƯƠNG THÁNG 09/2025</v>
      </c>
      <c r="B983" s="1058"/>
      <c r="C983" s="1058"/>
      <c r="D983" s="1058"/>
      <c r="E983" s="1054">
        <f>VLOOKUP(B984,'CNKT '!$D$101:$AF$165,26,0)</f>
        <v>7795599</v>
      </c>
      <c r="F983" s="1055"/>
      <c r="G983" s="1059" t="str">
        <f>A983</f>
        <v>LƯƠNG THÁNG 09/2025</v>
      </c>
      <c r="H983" s="1058"/>
      <c r="I983" s="1058"/>
      <c r="J983" s="998"/>
      <c r="K983" s="1054">
        <f>VLOOKUP(H984,'CNKT '!$D$101:$AF$165,26,0)</f>
        <v>10299908</v>
      </c>
      <c r="L983" s="999"/>
    </row>
    <row r="984" spans="1:12" s="23" customFormat="1" ht="17.25" customHeight="1">
      <c r="A984" s="1028" t="s">
        <v>13</v>
      </c>
      <c r="B984" s="1000" t="str">
        <f>'CNKT '!D129</f>
        <v>T. Xi Nuôn</v>
      </c>
      <c r="C984" s="1006"/>
      <c r="D984" s="1000" t="s">
        <v>353</v>
      </c>
      <c r="E984" s="1000" t="s">
        <v>16</v>
      </c>
      <c r="F984" s="1055"/>
      <c r="G984" s="1028" t="s">
        <v>13</v>
      </c>
      <c r="H984" s="1000" t="str">
        <f>'CNKT '!D130</f>
        <v>N. Ốc</v>
      </c>
      <c r="I984" s="1006"/>
      <c r="J984" s="1000" t="s">
        <v>353</v>
      </c>
      <c r="K984" s="1000" t="s">
        <v>16</v>
      </c>
      <c r="L984" s="999"/>
    </row>
    <row r="985" spans="1:12" s="23" customFormat="1" ht="17.25" customHeight="1">
      <c r="A985" s="1004" t="s">
        <v>354</v>
      </c>
      <c r="B985" s="1005" t="s">
        <v>454</v>
      </c>
      <c r="C985" s="1006">
        <f>VLOOKUP(B984,'SẢN LƯỢNG'!$D$98:$AR$160,37,0)</f>
        <v>3743</v>
      </c>
      <c r="D985" s="1007"/>
      <c r="E985" s="1007"/>
      <c r="F985" s="1055"/>
      <c r="G985" s="1004" t="s">
        <v>354</v>
      </c>
      <c r="H985" s="1005" t="s">
        <v>454</v>
      </c>
      <c r="I985" s="1006">
        <f>VLOOKUP(H984,'SẢN LƯỢNG'!$D$98:$AR$160,37,0)</f>
        <v>5520</v>
      </c>
      <c r="J985" s="1007"/>
      <c r="K985" s="1007"/>
      <c r="L985" s="999"/>
    </row>
    <row r="986" spans="1:12" s="23" customFormat="1" ht="17.25" customHeight="1">
      <c r="A986" s="1004" t="s">
        <v>68</v>
      </c>
      <c r="B986" s="1008" t="s">
        <v>380</v>
      </c>
      <c r="C986" s="581">
        <f>VLOOKUP(B984,'CNKT '!$D$100:$AC$165,3,0)</f>
        <v>0</v>
      </c>
      <c r="D986" s="582">
        <v>25000</v>
      </c>
      <c r="E986" s="1007">
        <f t="shared" ref="E986:E991" si="196">C986*D986</f>
        <v>0</v>
      </c>
      <c r="F986" s="1055"/>
      <c r="G986" s="1004" t="s">
        <v>68</v>
      </c>
      <c r="H986" s="1008" t="s">
        <v>380</v>
      </c>
      <c r="I986" s="581">
        <f>VLOOKUP(H984,'CNKT '!$D$100:$AC$165,3,0)</f>
        <v>0</v>
      </c>
      <c r="J986" s="582">
        <v>25000</v>
      </c>
      <c r="K986" s="1007">
        <f t="shared" ref="K986:K991" si="197">I986*J986</f>
        <v>0</v>
      </c>
      <c r="L986" s="999"/>
    </row>
    <row r="987" spans="1:12" s="23" customFormat="1" ht="17.25" customHeight="1">
      <c r="A987" s="1004" t="s">
        <v>269</v>
      </c>
      <c r="B987" s="1009" t="s">
        <v>455</v>
      </c>
      <c r="C987" s="1010" t="str">
        <f>VLOOKUP(B984,'CNKT '!$D$100:$AC$165,11,0)</f>
        <v>A</v>
      </c>
      <c r="D987" s="583">
        <f>46.1*$B$2</f>
        <v>30424.156000000003</v>
      </c>
      <c r="E987" s="1007" t="e">
        <f t="shared" si="196"/>
        <v>#VALUE!</v>
      </c>
      <c r="F987" s="1055"/>
      <c r="G987" s="1004" t="s">
        <v>269</v>
      </c>
      <c r="H987" s="1009" t="s">
        <v>455</v>
      </c>
      <c r="I987" s="1010" t="str">
        <f>VLOOKUP(H984,'CNKT '!$D$100:$AC$165,11,0)</f>
        <v>A</v>
      </c>
      <c r="J987" s="583">
        <f>46.1*$B$2</f>
        <v>30424.156000000003</v>
      </c>
      <c r="K987" s="1007" t="e">
        <f t="shared" si="197"/>
        <v>#VALUE!</v>
      </c>
      <c r="L987" s="999"/>
    </row>
    <row r="988" spans="1:12" s="23" customFormat="1" ht="17.25" customHeight="1">
      <c r="A988" s="1004" t="s">
        <v>356</v>
      </c>
      <c r="B988" s="1009" t="s">
        <v>456</v>
      </c>
      <c r="C988" s="1010">
        <f>VLOOKUP(B984,'CNKT '!$D$100:$AC$165,12,0)</f>
        <v>6318890</v>
      </c>
      <c r="D988" s="582">
        <f>76.9*$B$2</f>
        <v>50750.924000000006</v>
      </c>
      <c r="E988" s="1007">
        <f t="shared" si="196"/>
        <v>320689506154.36005</v>
      </c>
      <c r="F988" s="1055"/>
      <c r="G988" s="1004" t="s">
        <v>356</v>
      </c>
      <c r="H988" s="1009" t="s">
        <v>456</v>
      </c>
      <c r="I988" s="1010">
        <f>VLOOKUP(H984,'CNKT '!$D$100:$AC$165,12,0)</f>
        <v>8823199</v>
      </c>
      <c r="J988" s="582">
        <f>76.9*$B$2</f>
        <v>50750.924000000006</v>
      </c>
      <c r="K988" s="1007">
        <f t="shared" si="197"/>
        <v>447785501885.87604</v>
      </c>
      <c r="L988" s="999"/>
    </row>
    <row r="989" spans="1:12" s="23" customFormat="1" ht="17.25" customHeight="1">
      <c r="A989" s="1004" t="s">
        <v>69</v>
      </c>
      <c r="B989" s="1009" t="s">
        <v>457</v>
      </c>
      <c r="C989" s="1010">
        <f>VLOOKUP(B984,'CNKT '!$D$100:$AC$165,8,0)</f>
        <v>1568.169908196905</v>
      </c>
      <c r="D989" s="582">
        <f>IF(C985="A",6.1,IF(C985="B",5.8,IF(C985="C",5.5,IF(C985="C.",5.5,IF(C985="D",5.2)))))*$B$2</f>
        <v>0</v>
      </c>
      <c r="E989" s="1007">
        <f t="shared" si="196"/>
        <v>0</v>
      </c>
      <c r="F989" s="1055"/>
      <c r="G989" s="1004" t="s">
        <v>69</v>
      </c>
      <c r="H989" s="1009" t="s">
        <v>457</v>
      </c>
      <c r="I989" s="1010">
        <f>VLOOKUP(H984,'CNKT '!$D$100:$AC$165,8,0)</f>
        <v>2179.6905585900076</v>
      </c>
      <c r="J989" s="582">
        <f>IF(I985="A",6.1,IF(I985="B",5.8,IF(I985="C",5.5,IF(I985="C.",5.5,IF(I985="D",5.2)))))*$B$2</f>
        <v>0</v>
      </c>
      <c r="K989" s="1007">
        <f t="shared" si="197"/>
        <v>0</v>
      </c>
      <c r="L989" s="999"/>
    </row>
    <row r="990" spans="1:12" s="23" customFormat="1" ht="17.25" customHeight="1">
      <c r="A990" s="1064" t="s">
        <v>433</v>
      </c>
      <c r="B990" s="1065" t="s">
        <v>458</v>
      </c>
      <c r="C990" s="1066">
        <f>VLOOKUP(B984,'CNKT '!$D$99:$AC$165,13,0)</f>
        <v>27</v>
      </c>
      <c r="D990" s="1074">
        <f>92.2*$B$2</f>
        <v>60848.312000000005</v>
      </c>
      <c r="E990" s="1068">
        <f t="shared" si="196"/>
        <v>1642904.4240000001</v>
      </c>
      <c r="F990" s="1055"/>
      <c r="G990" s="1064" t="s">
        <v>433</v>
      </c>
      <c r="H990" s="1065" t="s">
        <v>458</v>
      </c>
      <c r="I990" s="1066">
        <f>VLOOKUP(H984,'CNKT '!$D$99:$AC$165,13,0)</f>
        <v>27</v>
      </c>
      <c r="J990" s="1074">
        <f>92.2*$B$2</f>
        <v>60848.312000000005</v>
      </c>
      <c r="K990" s="1068">
        <f t="shared" si="197"/>
        <v>1642904.4240000001</v>
      </c>
      <c r="L990" s="999"/>
    </row>
    <row r="991" spans="1:12" s="23" customFormat="1" ht="17.25" customHeight="1">
      <c r="A991" s="1004" t="s">
        <v>390</v>
      </c>
      <c r="B991" s="1009" t="s">
        <v>434</v>
      </c>
      <c r="C991" s="1010">
        <f>VLOOKUP(B984,'CNKT '!$D$100:$AC$165,14,0)</f>
        <v>1</v>
      </c>
      <c r="D991" s="582">
        <f>153.6*$B$2</f>
        <v>101369.856</v>
      </c>
      <c r="E991" s="1007">
        <f t="shared" si="196"/>
        <v>101369.856</v>
      </c>
      <c r="F991" s="1055"/>
      <c r="G991" s="1004" t="s">
        <v>390</v>
      </c>
      <c r="H991" s="1009" t="s">
        <v>434</v>
      </c>
      <c r="I991" s="1010">
        <f>VLOOKUP(H984,'CNKT '!$D$100:$AC$165,14,0)</f>
        <v>1</v>
      </c>
      <c r="J991" s="582">
        <f>153.6*$B$2</f>
        <v>101369.856</v>
      </c>
      <c r="K991" s="1007">
        <f t="shared" si="197"/>
        <v>101369.856</v>
      </c>
      <c r="L991" s="999"/>
    </row>
    <row r="992" spans="1:12" s="23" customFormat="1" ht="17.25" customHeight="1">
      <c r="A992" s="1064" t="s">
        <v>781</v>
      </c>
      <c r="B992" s="1065" t="s">
        <v>435</v>
      </c>
      <c r="C992" s="1066">
        <f>VLOOKUP(B984,'CNKT '!$D$101:$AC$165,18,0)</f>
        <v>0</v>
      </c>
      <c r="D992" s="1067">
        <v>100000</v>
      </c>
      <c r="E992" s="1068">
        <f>C992*D992</f>
        <v>0</v>
      </c>
      <c r="F992" s="1055"/>
      <c r="G992" s="1064" t="s">
        <v>781</v>
      </c>
      <c r="H992" s="1065" t="s">
        <v>435</v>
      </c>
      <c r="I992" s="1066">
        <f>VLOOKUP(H984,'CNKT '!$D$101:$AC$165,18,0)</f>
        <v>0</v>
      </c>
      <c r="J992" s="1067">
        <v>100000</v>
      </c>
      <c r="K992" s="1068">
        <f>I992*J992</f>
        <v>0</v>
      </c>
      <c r="L992" s="999"/>
    </row>
    <row r="993" spans="1:12" s="23" customFormat="1" ht="17.25" customHeight="1">
      <c r="A993" s="1004" t="s">
        <v>394</v>
      </c>
      <c r="B993" s="1009" t="s">
        <v>435</v>
      </c>
      <c r="C993" s="1010">
        <f>VLOOKUP(B984,'CNKT '!$D$101:$AC$165,19,0)</f>
        <v>0</v>
      </c>
      <c r="D993" s="582">
        <v>20000</v>
      </c>
      <c r="E993" s="1007">
        <f>C993*D993</f>
        <v>0</v>
      </c>
      <c r="F993" s="1055"/>
      <c r="G993" s="1004" t="s">
        <v>394</v>
      </c>
      <c r="H993" s="1009" t="s">
        <v>435</v>
      </c>
      <c r="I993" s="1010">
        <f>VLOOKUP(H984,'CNKT '!$D$101:$AC$165,19,0)</f>
        <v>0</v>
      </c>
      <c r="J993" s="582">
        <v>20000</v>
      </c>
      <c r="K993" s="1007">
        <f>I993*J993</f>
        <v>0</v>
      </c>
      <c r="L993" s="999"/>
    </row>
    <row r="994" spans="1:12" s="23" customFormat="1" ht="17.25" customHeight="1">
      <c r="A994" s="1004" t="s">
        <v>731</v>
      </c>
      <c r="B994" s="1011" t="s">
        <v>732</v>
      </c>
      <c r="C994" s="1010"/>
      <c r="D994" s="582"/>
      <c r="E994" s="1007">
        <f>VLOOKUP(B984,'CNKT '!$D$101:$AG$165,28,0)</f>
        <v>29</v>
      </c>
      <c r="F994" s="1055"/>
      <c r="G994" s="1004" t="s">
        <v>731</v>
      </c>
      <c r="H994" s="1011" t="s">
        <v>732</v>
      </c>
      <c r="I994" s="1010"/>
      <c r="J994" s="582"/>
      <c r="K994" s="1007">
        <f>VLOOKUP(H984,'CNKT '!$D$101:$AG$165,28,0)</f>
        <v>30</v>
      </c>
      <c r="L994" s="999"/>
    </row>
    <row r="995" spans="1:12" s="23" customFormat="1" ht="17.25" customHeight="1">
      <c r="A995" s="1012" t="s">
        <v>70</v>
      </c>
      <c r="B995" s="1013" t="s">
        <v>459</v>
      </c>
      <c r="C995" s="1014"/>
      <c r="D995" s="1015"/>
      <c r="E995" s="1014"/>
      <c r="F995" s="1055"/>
      <c r="G995" s="1012" t="s">
        <v>70</v>
      </c>
      <c r="H995" s="1013" t="s">
        <v>459</v>
      </c>
      <c r="I995" s="1014"/>
      <c r="J995" s="1015"/>
      <c r="K995" s="1014"/>
      <c r="L995" s="999"/>
    </row>
    <row r="996" spans="1:12" s="23" customFormat="1" ht="17.25" customHeight="1">
      <c r="A996" s="1016" t="s">
        <v>71</v>
      </c>
      <c r="B996" s="1017" t="s">
        <v>460</v>
      </c>
      <c r="C996" s="1014"/>
      <c r="D996" s="1014"/>
      <c r="E996" s="1014"/>
      <c r="F996" s="1055"/>
      <c r="G996" s="1016" t="s">
        <v>71</v>
      </c>
      <c r="H996" s="1017" t="s">
        <v>460</v>
      </c>
      <c r="I996" s="1014"/>
      <c r="J996" s="1014"/>
      <c r="K996" s="1014"/>
      <c r="L996" s="999"/>
    </row>
    <row r="997" spans="1:12" s="23" customFormat="1" ht="17.25" customHeight="1">
      <c r="A997" s="1016" t="s">
        <v>72</v>
      </c>
      <c r="B997" s="1018" t="s">
        <v>461</v>
      </c>
      <c r="C997" s="1014"/>
      <c r="D997" s="1014"/>
      <c r="E997" s="1007">
        <f>SUM(E996)</f>
        <v>0</v>
      </c>
      <c r="F997" s="1060"/>
      <c r="G997" s="1016" t="s">
        <v>72</v>
      </c>
      <c r="H997" s="1018" t="s">
        <v>461</v>
      </c>
      <c r="I997" s="1014"/>
      <c r="J997" s="1014"/>
      <c r="K997" s="1007">
        <f>SUM(K996)</f>
        <v>0</v>
      </c>
      <c r="L997" s="999"/>
    </row>
    <row r="998" spans="1:12" s="23" customFormat="1" ht="17.25" customHeight="1">
      <c r="A998" s="1020" t="s">
        <v>73</v>
      </c>
      <c r="B998" s="1021" t="s">
        <v>381</v>
      </c>
      <c r="C998" s="1022"/>
      <c r="D998" s="1022"/>
      <c r="E998" s="1022" t="e">
        <f>(E986+E987+E988+E989+E990+E991+E992+E993+E994)-E997</f>
        <v>#VALUE!</v>
      </c>
      <c r="F998" s="1060"/>
      <c r="G998" s="1020" t="s">
        <v>73</v>
      </c>
      <c r="H998" s="1021" t="s">
        <v>381</v>
      </c>
      <c r="I998" s="1022"/>
      <c r="J998" s="1022"/>
      <c r="K998" s="1022" t="e">
        <f>(K986+K987+K988+K989+K990+K991+K992+K993+K994)-K997</f>
        <v>#VALUE!</v>
      </c>
      <c r="L998" s="1024" t="e">
        <f>E998+K998</f>
        <v>#VALUE!</v>
      </c>
    </row>
    <row r="999" spans="1:12" s="23" customFormat="1" ht="17.25" customHeight="1">
      <c r="A999" s="1058"/>
      <c r="B999" s="1058"/>
      <c r="C999" s="1058"/>
      <c r="D999" s="1058"/>
      <c r="E999" s="1058"/>
      <c r="F999" s="1058"/>
      <c r="G999" s="1058"/>
      <c r="H999" s="1058"/>
      <c r="I999" s="1058"/>
      <c r="J999" s="1058"/>
      <c r="K999" s="1058"/>
      <c r="L999" s="999"/>
    </row>
    <row r="1000" spans="1:12" s="23" customFormat="1" ht="17.25" customHeight="1">
      <c r="A1000" s="1059" t="str">
        <f>A983</f>
        <v>LƯƠNG THÁNG 09/2025</v>
      </c>
      <c r="B1000" s="1058"/>
      <c r="C1000" s="1058"/>
      <c r="D1000" s="1058"/>
      <c r="E1000" s="1054">
        <f>VLOOKUP(B1001,'CNKT '!$D$101:$AF$165,26,0)</f>
        <v>9453691</v>
      </c>
      <c r="F1000" s="1055"/>
      <c r="G1000" s="1059" t="str">
        <f>A1000</f>
        <v>LƯƠNG THÁNG 09/2025</v>
      </c>
      <c r="H1000" s="1058"/>
      <c r="I1000" s="1058"/>
      <c r="J1000" s="998"/>
      <c r="K1000" s="1054">
        <f>VLOOKUP(H1001,'CNKT '!$D$101:$AF$165,26,0)</f>
        <v>8340453</v>
      </c>
      <c r="L1000" s="999"/>
    </row>
    <row r="1001" spans="1:12" s="23" customFormat="1" ht="17.25" customHeight="1">
      <c r="A1001" s="1028" t="s">
        <v>13</v>
      </c>
      <c r="B1001" s="1000" t="str">
        <f>'CNKT '!D131</f>
        <v>T. Văn Nô</v>
      </c>
      <c r="C1001" s="1006"/>
      <c r="D1001" s="1000" t="s">
        <v>353</v>
      </c>
      <c r="E1001" s="1000" t="s">
        <v>16</v>
      </c>
      <c r="F1001" s="1055"/>
      <c r="G1001" s="1028" t="s">
        <v>13</v>
      </c>
      <c r="H1001" s="1000" t="str">
        <f>'CNKT '!D132</f>
        <v>N. Văn Ta</v>
      </c>
      <c r="I1001" s="1006"/>
      <c r="J1001" s="1000" t="s">
        <v>353</v>
      </c>
      <c r="K1001" s="1000" t="s">
        <v>16</v>
      </c>
      <c r="L1001" s="999"/>
    </row>
    <row r="1002" spans="1:12" s="23" customFormat="1" ht="17.25" customHeight="1">
      <c r="A1002" s="1004" t="s">
        <v>354</v>
      </c>
      <c r="B1002" s="1005" t="s">
        <v>454</v>
      </c>
      <c r="C1002" s="1006">
        <f>VLOOKUP(B1001,'SẢN LƯỢNG'!$D$98:$AR$160,37,0)</f>
        <v>4670</v>
      </c>
      <c r="D1002" s="1007"/>
      <c r="E1002" s="1007"/>
      <c r="F1002" s="1055"/>
      <c r="G1002" s="1004" t="s">
        <v>354</v>
      </c>
      <c r="H1002" s="1005" t="s">
        <v>454</v>
      </c>
      <c r="I1002" s="1006">
        <f>VLOOKUP(H1001,'SẢN LƯỢNG'!$D$98:$AR$160,37,0)</f>
        <v>4914</v>
      </c>
      <c r="J1002" s="1007"/>
      <c r="K1002" s="1007"/>
      <c r="L1002" s="999"/>
    </row>
    <row r="1003" spans="1:12" s="23" customFormat="1" ht="17.25" customHeight="1">
      <c r="A1003" s="1004" t="s">
        <v>68</v>
      </c>
      <c r="B1003" s="1008" t="s">
        <v>380</v>
      </c>
      <c r="C1003" s="581">
        <f>VLOOKUP(B1001,'CNKT '!$D$100:$AC$165,3,0)</f>
        <v>0</v>
      </c>
      <c r="D1003" s="582">
        <v>25000</v>
      </c>
      <c r="E1003" s="1007">
        <f t="shared" ref="E1003:E1008" si="198">C1003*D1003</f>
        <v>0</v>
      </c>
      <c r="F1003" s="1055"/>
      <c r="G1003" s="1004" t="s">
        <v>68</v>
      </c>
      <c r="H1003" s="1008" t="s">
        <v>380</v>
      </c>
      <c r="I1003" s="581">
        <f>VLOOKUP(H1001,'CNKT '!$D$100:$AC$165,3,0)</f>
        <v>0</v>
      </c>
      <c r="J1003" s="582">
        <v>25000</v>
      </c>
      <c r="K1003" s="1007">
        <f t="shared" ref="K1003:K1008" si="199">I1003*J1003</f>
        <v>0</v>
      </c>
      <c r="L1003" s="999"/>
    </row>
    <row r="1004" spans="1:12" s="23" customFormat="1" ht="17.25" customHeight="1">
      <c r="A1004" s="1004" t="s">
        <v>269</v>
      </c>
      <c r="B1004" s="1009" t="s">
        <v>455</v>
      </c>
      <c r="C1004" s="1010" t="str">
        <f>VLOOKUP(B1001,'CNKT '!$D$100:$AC$165,11,0)</f>
        <v>A</v>
      </c>
      <c r="D1004" s="583">
        <f>46.1*$B$2</f>
        <v>30424.156000000003</v>
      </c>
      <c r="E1004" s="1007" t="e">
        <f t="shared" si="198"/>
        <v>#VALUE!</v>
      </c>
      <c r="F1004" s="1055"/>
      <c r="G1004" s="1004" t="s">
        <v>269</v>
      </c>
      <c r="H1004" s="1009" t="s">
        <v>455</v>
      </c>
      <c r="I1004" s="1010" t="str">
        <f>VLOOKUP(H1001,'CNKT '!$D$100:$AC$165,11,0)</f>
        <v>A</v>
      </c>
      <c r="J1004" s="583">
        <f>46.1*$B$2</f>
        <v>30424.156000000003</v>
      </c>
      <c r="K1004" s="1007" t="e">
        <f t="shared" si="199"/>
        <v>#VALUE!</v>
      </c>
      <c r="L1004" s="999"/>
    </row>
    <row r="1005" spans="1:12" s="23" customFormat="1" ht="17.25" customHeight="1">
      <c r="A1005" s="1004" t="s">
        <v>356</v>
      </c>
      <c r="B1005" s="1009" t="s">
        <v>456</v>
      </c>
      <c r="C1005" s="1010">
        <f>VLOOKUP(B1001,'CNKT '!$D$100:$AC$165,12,0)</f>
        <v>7976982</v>
      </c>
      <c r="D1005" s="582">
        <f>76.9*$B$2</f>
        <v>50750.924000000006</v>
      </c>
      <c r="E1005" s="1007">
        <f t="shared" si="198"/>
        <v>404839207231.36804</v>
      </c>
      <c r="F1005" s="1055"/>
      <c r="G1005" s="1004" t="s">
        <v>356</v>
      </c>
      <c r="H1005" s="1009" t="s">
        <v>456</v>
      </c>
      <c r="I1005" s="1010">
        <f>VLOOKUP(H1001,'CNKT '!$D$100:$AC$165,12,0)</f>
        <v>7075344</v>
      </c>
      <c r="J1005" s="582">
        <f>76.9*$B$2</f>
        <v>50750.924000000006</v>
      </c>
      <c r="K1005" s="1007">
        <f t="shared" si="199"/>
        <v>359080245617.85602</v>
      </c>
      <c r="L1005" s="999"/>
    </row>
    <row r="1006" spans="1:12" s="23" customFormat="1" ht="17.25" customHeight="1">
      <c r="A1006" s="1004" t="s">
        <v>69</v>
      </c>
      <c r="B1006" s="1009" t="s">
        <v>457</v>
      </c>
      <c r="C1006" s="1010">
        <f>VLOOKUP(B1001,'CNKT '!$D$100:$AC$165,8,0)</f>
        <v>1981.5368714454617</v>
      </c>
      <c r="D1006" s="582">
        <f>IF(C1002="A",6.1,IF(C1002="B",5.8,IF(C1002="C",5.5,IF(C1002="C.",5.5,IF(C1002="D",5.2)))))*$B$2</f>
        <v>0</v>
      </c>
      <c r="E1006" s="1007">
        <f t="shared" si="198"/>
        <v>0</v>
      </c>
      <c r="F1006" s="1055"/>
      <c r="G1006" s="1004" t="s">
        <v>69</v>
      </c>
      <c r="H1006" s="1009" t="s">
        <v>457</v>
      </c>
      <c r="I1006" s="1010">
        <f>VLOOKUP(H1001,'CNKT '!$D$100:$AC$165,8,0)</f>
        <v>1731.3295667066527</v>
      </c>
      <c r="J1006" s="582">
        <f>IF(I1002="A",6.1,IF(I1002="B",5.8,IF(I1002="C",5.5,IF(I1002="C.",5.5,IF(I1002="D",5.2)))))*$B$2</f>
        <v>0</v>
      </c>
      <c r="K1006" s="1007">
        <f t="shared" si="199"/>
        <v>0</v>
      </c>
      <c r="L1006" s="999"/>
    </row>
    <row r="1007" spans="1:12" s="23" customFormat="1" ht="17.25" customHeight="1">
      <c r="A1007" s="1064" t="s">
        <v>433</v>
      </c>
      <c r="B1007" s="1065" t="s">
        <v>458</v>
      </c>
      <c r="C1007" s="1066">
        <f>VLOOKUP(B1001,'CNKT '!$D$99:$AC$165,13,0)</f>
        <v>27</v>
      </c>
      <c r="D1007" s="1074">
        <f>92.2*$B$2</f>
        <v>60848.312000000005</v>
      </c>
      <c r="E1007" s="1068">
        <f t="shared" si="198"/>
        <v>1642904.4240000001</v>
      </c>
      <c r="F1007" s="1055"/>
      <c r="G1007" s="1064" t="s">
        <v>433</v>
      </c>
      <c r="H1007" s="1065" t="s">
        <v>458</v>
      </c>
      <c r="I1007" s="1066">
        <f>VLOOKUP(H1001,'CNKT '!$D$99:$AC$165,13,0)</f>
        <v>25</v>
      </c>
      <c r="J1007" s="1074">
        <f>92.2*$B$2</f>
        <v>60848.312000000005</v>
      </c>
      <c r="K1007" s="1068">
        <f t="shared" si="199"/>
        <v>1521207.8</v>
      </c>
      <c r="L1007" s="999"/>
    </row>
    <row r="1008" spans="1:12" s="23" customFormat="1" ht="17.25" customHeight="1">
      <c r="A1008" s="1004" t="s">
        <v>390</v>
      </c>
      <c r="B1008" s="1009" t="s">
        <v>434</v>
      </c>
      <c r="C1008" s="1010">
        <f>VLOOKUP(B1001,'CNKT '!$D$100:$AC$165,14,0)</f>
        <v>1</v>
      </c>
      <c r="D1008" s="582">
        <f>153.6*$B$2</f>
        <v>101369.856</v>
      </c>
      <c r="E1008" s="1007">
        <f t="shared" si="198"/>
        <v>101369.856</v>
      </c>
      <c r="F1008" s="1055"/>
      <c r="G1008" s="1004" t="s">
        <v>390</v>
      </c>
      <c r="H1008" s="1009" t="s">
        <v>434</v>
      </c>
      <c r="I1008" s="1010">
        <f>VLOOKUP(H1001,'CNKT '!$D$100:$AC$165,14,0)</f>
        <v>2</v>
      </c>
      <c r="J1008" s="582">
        <f>153.6*$B$2</f>
        <v>101369.856</v>
      </c>
      <c r="K1008" s="1007">
        <f t="shared" si="199"/>
        <v>202739.712</v>
      </c>
      <c r="L1008" s="999"/>
    </row>
    <row r="1009" spans="1:12" s="23" customFormat="1" ht="17.25" customHeight="1">
      <c r="A1009" s="1064" t="s">
        <v>781</v>
      </c>
      <c r="B1009" s="1065" t="s">
        <v>435</v>
      </c>
      <c r="C1009" s="1066">
        <f>VLOOKUP(B1001,'CNKT '!$D$101:$AC$165,18,0)</f>
        <v>0</v>
      </c>
      <c r="D1009" s="1067">
        <v>100000</v>
      </c>
      <c r="E1009" s="1068">
        <f>C1009*D1009</f>
        <v>0</v>
      </c>
      <c r="F1009" s="1055"/>
      <c r="G1009" s="1064" t="s">
        <v>781</v>
      </c>
      <c r="H1009" s="1065" t="s">
        <v>435</v>
      </c>
      <c r="I1009" s="1066">
        <f>VLOOKUP(H1001,'CNKT '!$D$101:$AC$165,18,0)</f>
        <v>0</v>
      </c>
      <c r="J1009" s="1067">
        <v>100000</v>
      </c>
      <c r="K1009" s="1068">
        <f>I1009*J1009</f>
        <v>0</v>
      </c>
      <c r="L1009" s="999"/>
    </row>
    <row r="1010" spans="1:12" s="23" customFormat="1" ht="17.25" customHeight="1">
      <c r="A1010" s="1004" t="s">
        <v>394</v>
      </c>
      <c r="B1010" s="1009" t="s">
        <v>435</v>
      </c>
      <c r="C1010" s="1010">
        <f>VLOOKUP(B1001,'CNKT '!$D$101:$AC$165,19,0)</f>
        <v>0</v>
      </c>
      <c r="D1010" s="582">
        <v>20000</v>
      </c>
      <c r="E1010" s="1007">
        <f>C1010*D1010</f>
        <v>0</v>
      </c>
      <c r="F1010" s="1055"/>
      <c r="G1010" s="1004" t="s">
        <v>394</v>
      </c>
      <c r="H1010" s="1009" t="s">
        <v>435</v>
      </c>
      <c r="I1010" s="1010">
        <f>VLOOKUP(H1001,'CNKT '!$D$101:$AC$165,19,0)</f>
        <v>0</v>
      </c>
      <c r="J1010" s="582">
        <v>20000</v>
      </c>
      <c r="K1010" s="1007">
        <f>I1010*J1010</f>
        <v>0</v>
      </c>
      <c r="L1010" s="999"/>
    </row>
    <row r="1011" spans="1:12" s="23" customFormat="1" ht="17.25" customHeight="1">
      <c r="A1011" s="1004" t="s">
        <v>731</v>
      </c>
      <c r="B1011" s="1011" t="s">
        <v>732</v>
      </c>
      <c r="C1011" s="1010"/>
      <c r="D1011" s="582"/>
      <c r="E1011" s="1007">
        <f>VLOOKUP(B1001,'CNKT '!$D$101:$AG$165,28,0)</f>
        <v>31</v>
      </c>
      <c r="F1011" s="1055"/>
      <c r="G1011" s="1004" t="s">
        <v>731</v>
      </c>
      <c r="H1011" s="1011" t="s">
        <v>732</v>
      </c>
      <c r="I1011" s="1010"/>
      <c r="J1011" s="582"/>
      <c r="K1011" s="1007">
        <f>VLOOKUP(H1001,'CNKT '!$D$101:$AG$165,28,0)</f>
        <v>32</v>
      </c>
      <c r="L1011" s="999"/>
    </row>
    <row r="1012" spans="1:12" s="23" customFormat="1" ht="17.25" customHeight="1">
      <c r="A1012" s="1012" t="s">
        <v>70</v>
      </c>
      <c r="B1012" s="1013" t="s">
        <v>459</v>
      </c>
      <c r="C1012" s="1014"/>
      <c r="D1012" s="1015"/>
      <c r="E1012" s="1014"/>
      <c r="F1012" s="1055"/>
      <c r="G1012" s="1012" t="s">
        <v>70</v>
      </c>
      <c r="H1012" s="1013" t="s">
        <v>459</v>
      </c>
      <c r="I1012" s="1014"/>
      <c r="J1012" s="1015"/>
      <c r="K1012" s="1014"/>
      <c r="L1012" s="999"/>
    </row>
    <row r="1013" spans="1:12" s="23" customFormat="1" ht="17.25" customHeight="1">
      <c r="A1013" s="1016" t="s">
        <v>71</v>
      </c>
      <c r="B1013" s="1017" t="s">
        <v>460</v>
      </c>
      <c r="C1013" s="1014"/>
      <c r="D1013" s="1014"/>
      <c r="E1013" s="1014"/>
      <c r="F1013" s="1055"/>
      <c r="G1013" s="1016" t="s">
        <v>71</v>
      </c>
      <c r="H1013" s="1017" t="s">
        <v>460</v>
      </c>
      <c r="I1013" s="1014"/>
      <c r="J1013" s="1014"/>
      <c r="K1013" s="1014"/>
      <c r="L1013" s="999"/>
    </row>
    <row r="1014" spans="1:12" s="23" customFormat="1" ht="17.25" customHeight="1">
      <c r="A1014" s="1016" t="s">
        <v>72</v>
      </c>
      <c r="B1014" s="1018" t="s">
        <v>461</v>
      </c>
      <c r="C1014" s="1014"/>
      <c r="D1014" s="1014"/>
      <c r="E1014" s="1007">
        <f>SUM(E1013)</f>
        <v>0</v>
      </c>
      <c r="F1014" s="1057"/>
      <c r="G1014" s="1016" t="s">
        <v>72</v>
      </c>
      <c r="H1014" s="1018" t="s">
        <v>461</v>
      </c>
      <c r="I1014" s="1014"/>
      <c r="J1014" s="1014"/>
      <c r="K1014" s="1007">
        <f>SUM(K1013)</f>
        <v>0</v>
      </c>
      <c r="L1014" s="999"/>
    </row>
    <row r="1015" spans="1:12" s="23" customFormat="1" ht="17.25" customHeight="1">
      <c r="A1015" s="1020" t="s">
        <v>73</v>
      </c>
      <c r="B1015" s="1021" t="s">
        <v>381</v>
      </c>
      <c r="C1015" s="1022"/>
      <c r="D1015" s="1022"/>
      <c r="E1015" s="1022" t="e">
        <f>(E1003+E1004+E1005+E1006+E1007+E1008+E1009+E1010+E1011)-E1014</f>
        <v>#VALUE!</v>
      </c>
      <c r="F1015" s="1057"/>
      <c r="G1015" s="1020" t="s">
        <v>73</v>
      </c>
      <c r="H1015" s="1021" t="s">
        <v>381</v>
      </c>
      <c r="I1015" s="1022"/>
      <c r="J1015" s="1022"/>
      <c r="K1015" s="1022" t="e">
        <f>(K1003+K1004+K1005+K1006+K1007+K1008+K1009+K1010+K1011)-K1014</f>
        <v>#VALUE!</v>
      </c>
      <c r="L1015" s="1024" t="e">
        <f>E1015+K1015</f>
        <v>#VALUE!</v>
      </c>
    </row>
    <row r="1016" spans="1:12" s="23" customFormat="1" ht="222" customHeight="1">
      <c r="A1016" s="1058"/>
      <c r="B1016" s="1058"/>
      <c r="C1016" s="1058"/>
      <c r="D1016" s="1058"/>
      <c r="E1016" s="1058"/>
      <c r="F1016" s="1058"/>
      <c r="G1016" s="1058"/>
      <c r="H1016" s="1058"/>
      <c r="I1016" s="1058"/>
      <c r="J1016" s="1058"/>
      <c r="K1016" s="1058"/>
      <c r="L1016" s="999"/>
    </row>
    <row r="1017" spans="1:12" s="23" customFormat="1" ht="17.25" customHeight="1">
      <c r="A1017" s="1059" t="str">
        <f>A1000</f>
        <v>LƯƠNG THÁNG 09/2025</v>
      </c>
      <c r="B1017" s="1058"/>
      <c r="C1017" s="1058"/>
      <c r="D1017" s="1058"/>
      <c r="E1017" s="1054">
        <f>VLOOKUP(B1018,'CNKT '!$D$101:$AF$165,26,0)</f>
        <v>8374372</v>
      </c>
      <c r="F1017" s="1055"/>
      <c r="G1017" s="1059" t="str">
        <f>A1017</f>
        <v>LƯƠNG THÁNG 09/2025</v>
      </c>
      <c r="H1017" s="1058"/>
      <c r="I1017" s="1058"/>
      <c r="J1017" s="998"/>
      <c r="K1017" s="1054">
        <f>VLOOKUP(H1018,'CNKT '!$D$101:$AF$165,26,0)</f>
        <v>6393461</v>
      </c>
      <c r="L1017" s="999"/>
    </row>
    <row r="1018" spans="1:12" s="23" customFormat="1" ht="17.25" customHeight="1">
      <c r="A1018" s="1028" t="s">
        <v>13</v>
      </c>
      <c r="B1018" s="1000" t="str">
        <f>'CNKT '!D133</f>
        <v>T. Thon</v>
      </c>
      <c r="C1018" s="1006"/>
      <c r="D1018" s="1000" t="s">
        <v>353</v>
      </c>
      <c r="E1018" s="1000" t="s">
        <v>16</v>
      </c>
      <c r="F1018" s="1055"/>
      <c r="G1018" s="1028" t="s">
        <v>13</v>
      </c>
      <c r="H1018" s="1000" t="str">
        <f>'CNKT '!D134</f>
        <v>Bun Thon</v>
      </c>
      <c r="I1018" s="1006"/>
      <c r="J1018" s="1000" t="s">
        <v>353</v>
      </c>
      <c r="K1018" s="1000" t="s">
        <v>16</v>
      </c>
      <c r="L1018" s="999"/>
    </row>
    <row r="1019" spans="1:12" s="23" customFormat="1" ht="17.25" customHeight="1">
      <c r="A1019" s="1004" t="s">
        <v>354</v>
      </c>
      <c r="B1019" s="1005" t="s">
        <v>454</v>
      </c>
      <c r="C1019" s="1006">
        <f>VLOOKUP(B1018,'SẢN LƯỢNG'!$D$98:$AR$160,37,0)</f>
        <v>3610</v>
      </c>
      <c r="D1019" s="1007"/>
      <c r="E1019" s="1007"/>
      <c r="F1019" s="1055"/>
      <c r="G1019" s="1004" t="s">
        <v>354</v>
      </c>
      <c r="H1019" s="1005" t="s">
        <v>454</v>
      </c>
      <c r="I1019" s="1006">
        <f>VLOOKUP(H1018,'SẢN LƯỢNG'!$D$98:$AR$160,37,0)</f>
        <v>3738</v>
      </c>
      <c r="J1019" s="1007"/>
      <c r="K1019" s="1007"/>
      <c r="L1019" s="999"/>
    </row>
    <row r="1020" spans="1:12" s="23" customFormat="1" ht="17.25" customHeight="1">
      <c r="A1020" s="1004" t="s">
        <v>68</v>
      </c>
      <c r="B1020" s="1008" t="s">
        <v>380</v>
      </c>
      <c r="C1020" s="581">
        <f>VLOOKUP(B1018,'CNKT '!$D$100:$AC$165,3,0)</f>
        <v>0</v>
      </c>
      <c r="D1020" s="582">
        <v>25000</v>
      </c>
      <c r="E1020" s="1007">
        <f t="shared" ref="E1020:E1025" si="200">C1020*D1020</f>
        <v>0</v>
      </c>
      <c r="F1020" s="1055"/>
      <c r="G1020" s="1004" t="s">
        <v>68</v>
      </c>
      <c r="H1020" s="1008" t="s">
        <v>380</v>
      </c>
      <c r="I1020" s="581">
        <f>VLOOKUP(H1018,'CNKT '!$D$100:$AC$165,3,0)</f>
        <v>0</v>
      </c>
      <c r="J1020" s="582">
        <v>25000</v>
      </c>
      <c r="K1020" s="1007">
        <f t="shared" ref="K1020:K1025" si="201">I1020*J1020</f>
        <v>0</v>
      </c>
      <c r="L1020" s="999"/>
    </row>
    <row r="1021" spans="1:12" s="23" customFormat="1" ht="17.25" customHeight="1">
      <c r="A1021" s="1004" t="s">
        <v>269</v>
      </c>
      <c r="B1021" s="1009" t="s">
        <v>455</v>
      </c>
      <c r="C1021" s="1010" t="str">
        <f>VLOOKUP(B1018,'CNKT '!$D$100:$AC$165,11,0)</f>
        <v>A</v>
      </c>
      <c r="D1021" s="583">
        <f>46.1*$B$2</f>
        <v>30424.156000000003</v>
      </c>
      <c r="E1021" s="1007" t="e">
        <f t="shared" si="200"/>
        <v>#VALUE!</v>
      </c>
      <c r="F1021" s="1055"/>
      <c r="G1021" s="1004" t="s">
        <v>269</v>
      </c>
      <c r="H1021" s="1009" t="s">
        <v>455</v>
      </c>
      <c r="I1021" s="1010" t="str">
        <f>VLOOKUP(H1018,'CNKT '!$D$100:$AC$165,11,0)</f>
        <v>A</v>
      </c>
      <c r="J1021" s="583">
        <f>46.1*$B$2</f>
        <v>30424.156000000003</v>
      </c>
      <c r="K1021" s="1007" t="e">
        <f t="shared" si="201"/>
        <v>#VALUE!</v>
      </c>
      <c r="L1021" s="999"/>
    </row>
    <row r="1022" spans="1:12" s="23" customFormat="1" ht="17.25" customHeight="1">
      <c r="A1022" s="1004" t="s">
        <v>356</v>
      </c>
      <c r="B1022" s="1009" t="s">
        <v>456</v>
      </c>
      <c r="C1022" s="1010">
        <f>VLOOKUP(B1018,'CNKT '!$D$100:$AC$165,12,0)</f>
        <v>6928087</v>
      </c>
      <c r="D1022" s="582">
        <f>76.9*$B$2</f>
        <v>50750.924000000006</v>
      </c>
      <c r="E1022" s="1007">
        <f t="shared" si="200"/>
        <v>351606816802.38806</v>
      </c>
      <c r="F1022" s="1055"/>
      <c r="G1022" s="1004" t="s">
        <v>356</v>
      </c>
      <c r="H1022" s="1009" t="s">
        <v>456</v>
      </c>
      <c r="I1022" s="1010">
        <f>VLOOKUP(H1018,'CNKT '!$D$100:$AC$165,12,0)</f>
        <v>5038449</v>
      </c>
      <c r="J1022" s="582">
        <f>76.9*$B$2</f>
        <v>50750.924000000006</v>
      </c>
      <c r="K1022" s="1007">
        <f t="shared" si="201"/>
        <v>255705942276.87604</v>
      </c>
      <c r="L1022" s="999"/>
    </row>
    <row r="1023" spans="1:12" s="23" customFormat="1" ht="17.25" customHeight="1">
      <c r="A1023" s="1004" t="s">
        <v>69</v>
      </c>
      <c r="B1023" s="1009" t="s">
        <v>457</v>
      </c>
      <c r="C1023" s="1010">
        <f>VLOOKUP(B1018,'CNKT '!$D$100:$AC$165,8,0)</f>
        <v>1736.1412456439375</v>
      </c>
      <c r="D1023" s="582">
        <f>IF(C1019="A",6.1,IF(C1019="B",5.8,IF(C1019="C",5.5,IF(C1019="C.",5.5,IF(C1019="D",5.2)))))*$B$2</f>
        <v>0</v>
      </c>
      <c r="E1023" s="1007">
        <f t="shared" si="200"/>
        <v>0</v>
      </c>
      <c r="F1023" s="1055"/>
      <c r="G1023" s="1004" t="s">
        <v>69</v>
      </c>
      <c r="H1023" s="1009" t="s">
        <v>457</v>
      </c>
      <c r="I1023" s="1010">
        <f>VLOOKUP(H1018,'CNKT '!$D$100:$AC$165,8,0)</f>
        <v>1224.7910022179453</v>
      </c>
      <c r="J1023" s="582">
        <f>IF(I1019="A",6.1,IF(I1019="B",5.8,IF(I1019="C",5.5,IF(I1019="C.",5.5,IF(I1019="D",5.2)))))*$B$2</f>
        <v>0</v>
      </c>
      <c r="K1023" s="1007">
        <f t="shared" si="201"/>
        <v>0</v>
      </c>
      <c r="L1023" s="999"/>
    </row>
    <row r="1024" spans="1:12" s="23" customFormat="1" ht="17.25" customHeight="1">
      <c r="A1024" s="1064" t="s">
        <v>433</v>
      </c>
      <c r="B1024" s="1065" t="s">
        <v>458</v>
      </c>
      <c r="C1024" s="1066">
        <f>VLOOKUP(B1018,'CNKT '!$D$99:$AC$165,13,0)</f>
        <v>26</v>
      </c>
      <c r="D1024" s="1074">
        <f>92.2*$B$2</f>
        <v>60848.312000000005</v>
      </c>
      <c r="E1024" s="1068">
        <f t="shared" si="200"/>
        <v>1582056.1120000002</v>
      </c>
      <c r="F1024" s="1055"/>
      <c r="G1024" s="1064" t="s">
        <v>433</v>
      </c>
      <c r="H1024" s="1065" t="s">
        <v>458</v>
      </c>
      <c r="I1024" s="1066">
        <f>VLOOKUP(H1018,'CNKT '!$D$99:$AC$165,13,0)</f>
        <v>23</v>
      </c>
      <c r="J1024" s="1074">
        <f>92.2*$B$2</f>
        <v>60848.312000000005</v>
      </c>
      <c r="K1024" s="1068">
        <f t="shared" si="201"/>
        <v>1399511.1760000002</v>
      </c>
      <c r="L1024" s="999"/>
    </row>
    <row r="1025" spans="1:12" s="23" customFormat="1" ht="17.25" customHeight="1">
      <c r="A1025" s="1004" t="s">
        <v>390</v>
      </c>
      <c r="B1025" s="1009" t="s">
        <v>434</v>
      </c>
      <c r="C1025" s="1010">
        <f>VLOOKUP(B1018,'CNKT '!$D$100:$AC$165,14,0)</f>
        <v>1</v>
      </c>
      <c r="D1025" s="582">
        <f>153.6*$B$2</f>
        <v>101369.856</v>
      </c>
      <c r="E1025" s="1007">
        <f t="shared" si="200"/>
        <v>101369.856</v>
      </c>
      <c r="F1025" s="1055"/>
      <c r="G1025" s="1004" t="s">
        <v>390</v>
      </c>
      <c r="H1025" s="1009" t="s">
        <v>434</v>
      </c>
      <c r="I1025" s="1010">
        <f>VLOOKUP(H1018,'CNKT '!$D$100:$AC$165,14,0)</f>
        <v>1</v>
      </c>
      <c r="J1025" s="582">
        <f>153.6*$B$2</f>
        <v>101369.856</v>
      </c>
      <c r="K1025" s="1007">
        <f t="shared" si="201"/>
        <v>101369.856</v>
      </c>
      <c r="L1025" s="999"/>
    </row>
    <row r="1026" spans="1:12" s="23" customFormat="1" ht="17.25" customHeight="1">
      <c r="A1026" s="1064" t="s">
        <v>781</v>
      </c>
      <c r="B1026" s="1065" t="s">
        <v>435</v>
      </c>
      <c r="C1026" s="1066">
        <f>VLOOKUP(B1018,'CNKT '!$D$101:$AC$165,18,0)</f>
        <v>0</v>
      </c>
      <c r="D1026" s="1067">
        <v>100000</v>
      </c>
      <c r="E1026" s="1068">
        <f>C1026*D1026</f>
        <v>0</v>
      </c>
      <c r="F1026" s="1055"/>
      <c r="G1026" s="1064" t="s">
        <v>781</v>
      </c>
      <c r="H1026" s="1065" t="s">
        <v>435</v>
      </c>
      <c r="I1026" s="1066">
        <f>VLOOKUP(H1018,'CNKT '!$D$101:$AC$165,18,0)</f>
        <v>0</v>
      </c>
      <c r="J1026" s="1067">
        <v>100000</v>
      </c>
      <c r="K1026" s="1068">
        <f>I1026*J1026</f>
        <v>0</v>
      </c>
      <c r="L1026" s="999"/>
    </row>
    <row r="1027" spans="1:12" s="23" customFormat="1" ht="17.25" customHeight="1">
      <c r="A1027" s="1004" t="s">
        <v>394</v>
      </c>
      <c r="B1027" s="1009" t="s">
        <v>435</v>
      </c>
      <c r="C1027" s="1010">
        <f>VLOOKUP(B1018,'CNKT '!$D$101:$AC$165,19,0)</f>
        <v>0</v>
      </c>
      <c r="D1027" s="582">
        <v>20000</v>
      </c>
      <c r="E1027" s="1007">
        <f>C1027*D1027</f>
        <v>0</v>
      </c>
      <c r="F1027" s="1055"/>
      <c r="G1027" s="1004" t="s">
        <v>394</v>
      </c>
      <c r="H1027" s="1009" t="s">
        <v>435</v>
      </c>
      <c r="I1027" s="1010">
        <f>VLOOKUP(H1018,'CNKT '!$D$101:$AC$165,19,0)</f>
        <v>0</v>
      </c>
      <c r="J1027" s="582">
        <v>20000</v>
      </c>
      <c r="K1027" s="1007">
        <f>I1027*J1027</f>
        <v>0</v>
      </c>
      <c r="L1027" s="999"/>
    </row>
    <row r="1028" spans="1:12" s="23" customFormat="1" ht="17.25" customHeight="1">
      <c r="A1028" s="1004" t="s">
        <v>731</v>
      </c>
      <c r="B1028" s="1011" t="s">
        <v>732</v>
      </c>
      <c r="C1028" s="1010"/>
      <c r="D1028" s="582"/>
      <c r="E1028" s="1007">
        <f>VLOOKUP(B1018,'CNKT '!$D$101:$AG$165,28,0)</f>
        <v>33</v>
      </c>
      <c r="F1028" s="1055"/>
      <c r="G1028" s="1004" t="s">
        <v>731</v>
      </c>
      <c r="H1028" s="1011" t="s">
        <v>732</v>
      </c>
      <c r="I1028" s="1010"/>
      <c r="J1028" s="582"/>
      <c r="K1028" s="1007">
        <f>VLOOKUP(H1018,'CNKT '!$D$101:$AG$165,28,0)</f>
        <v>34</v>
      </c>
      <c r="L1028" s="999"/>
    </row>
    <row r="1029" spans="1:12" s="23" customFormat="1" ht="17.25" customHeight="1">
      <c r="A1029" s="1012" t="s">
        <v>70</v>
      </c>
      <c r="B1029" s="1013" t="s">
        <v>459</v>
      </c>
      <c r="C1029" s="1014"/>
      <c r="D1029" s="1015"/>
      <c r="E1029" s="1014"/>
      <c r="F1029" s="1055"/>
      <c r="G1029" s="1012" t="s">
        <v>70</v>
      </c>
      <c r="H1029" s="1013" t="s">
        <v>459</v>
      </c>
      <c r="I1029" s="1014"/>
      <c r="J1029" s="1015"/>
      <c r="K1029" s="1014"/>
      <c r="L1029" s="999"/>
    </row>
    <row r="1030" spans="1:12" s="23" customFormat="1" ht="17.25" customHeight="1">
      <c r="A1030" s="1016" t="s">
        <v>71</v>
      </c>
      <c r="B1030" s="1017" t="s">
        <v>460</v>
      </c>
      <c r="C1030" s="1014"/>
      <c r="D1030" s="1014"/>
      <c r="E1030" s="1014"/>
      <c r="F1030" s="1055"/>
      <c r="G1030" s="1016" t="s">
        <v>71</v>
      </c>
      <c r="H1030" s="1017" t="s">
        <v>460</v>
      </c>
      <c r="I1030" s="1014"/>
      <c r="J1030" s="1014"/>
      <c r="K1030" s="1014"/>
      <c r="L1030" s="999"/>
    </row>
    <row r="1031" spans="1:12" s="23" customFormat="1" ht="17.25" customHeight="1">
      <c r="A1031" s="1016" t="s">
        <v>72</v>
      </c>
      <c r="B1031" s="1018" t="s">
        <v>461</v>
      </c>
      <c r="C1031" s="1014"/>
      <c r="D1031" s="1014"/>
      <c r="E1031" s="1007">
        <f>SUM(E1030)</f>
        <v>0</v>
      </c>
      <c r="F1031" s="1057"/>
      <c r="G1031" s="1016" t="s">
        <v>72</v>
      </c>
      <c r="H1031" s="1018" t="s">
        <v>461</v>
      </c>
      <c r="I1031" s="1014"/>
      <c r="J1031" s="1014"/>
      <c r="K1031" s="1007">
        <f>SUM(K1030)</f>
        <v>0</v>
      </c>
      <c r="L1031" s="999"/>
    </row>
    <row r="1032" spans="1:12" s="23" customFormat="1" ht="17.25" customHeight="1">
      <c r="A1032" s="1020" t="s">
        <v>73</v>
      </c>
      <c r="B1032" s="1021" t="s">
        <v>381</v>
      </c>
      <c r="C1032" s="1022"/>
      <c r="D1032" s="1022"/>
      <c r="E1032" s="1022" t="e">
        <f>(E1020+E1021+E1022+E1023+E1024+E1025+E1026+E1027+E1028)-E1031</f>
        <v>#VALUE!</v>
      </c>
      <c r="F1032" s="1057"/>
      <c r="G1032" s="1020" t="s">
        <v>73</v>
      </c>
      <c r="H1032" s="1021" t="s">
        <v>381</v>
      </c>
      <c r="I1032" s="1022"/>
      <c r="J1032" s="1022"/>
      <c r="K1032" s="1022" t="e">
        <f>(K1020+K1021+K1022+K1023+K1024+K1025+K1026+K1027+K1028)-K1031</f>
        <v>#VALUE!</v>
      </c>
      <c r="L1032" s="1024" t="e">
        <f>E1032+K1032</f>
        <v>#VALUE!</v>
      </c>
    </row>
    <row r="1033" spans="1:12" s="23" customFormat="1" ht="17.25" customHeight="1">
      <c r="A1033" s="1058"/>
      <c r="B1033" s="1058"/>
      <c r="C1033" s="1058"/>
      <c r="D1033" s="1058"/>
      <c r="E1033" s="1058"/>
      <c r="F1033" s="1058"/>
      <c r="G1033" s="1058"/>
      <c r="H1033" s="1058"/>
      <c r="I1033" s="1058"/>
      <c r="J1033" s="1058"/>
      <c r="K1033" s="1058"/>
      <c r="L1033" s="999"/>
    </row>
    <row r="1034" spans="1:12" s="23" customFormat="1" ht="17.25" customHeight="1">
      <c r="A1034" s="1059" t="str">
        <f>A1017</f>
        <v>LƯƠNG THÁNG 09/2025</v>
      </c>
      <c r="B1034" s="1058"/>
      <c r="C1034" s="1058"/>
      <c r="D1034" s="1058"/>
      <c r="E1034" s="1054">
        <f>VLOOKUP(B1035,'CNKT '!$D$101:$AF$165,26,0)</f>
        <v>8178723</v>
      </c>
      <c r="F1034" s="1055"/>
      <c r="G1034" s="1059" t="str">
        <f>A1034</f>
        <v>LƯƠNG THÁNG 09/2025</v>
      </c>
      <c r="H1034" s="1058"/>
      <c r="I1034" s="1058"/>
      <c r="J1034" s="998"/>
      <c r="K1034" s="1054">
        <f>VLOOKUP(H1035,'CNKT '!$D$101:$AF$165,26,0)</f>
        <v>10385864</v>
      </c>
      <c r="L1034" s="999"/>
    </row>
    <row r="1035" spans="1:12" s="23" customFormat="1" ht="17.25" customHeight="1">
      <c r="A1035" s="1028" t="s">
        <v>13</v>
      </c>
      <c r="B1035" s="1000" t="str">
        <f>'CNKT '!D135</f>
        <v>Lăm Thong</v>
      </c>
      <c r="C1035" s="1006"/>
      <c r="D1035" s="1000" t="s">
        <v>353</v>
      </c>
      <c r="E1035" s="1000" t="s">
        <v>16</v>
      </c>
      <c r="F1035" s="1055"/>
      <c r="G1035" s="1028" t="s">
        <v>13</v>
      </c>
      <c r="H1035" s="1000" t="str">
        <f>'CNKT '!D136</f>
        <v>N. Xeo Khăm</v>
      </c>
      <c r="I1035" s="1006"/>
      <c r="J1035" s="1000" t="s">
        <v>353</v>
      </c>
      <c r="K1035" s="1000" t="s">
        <v>16</v>
      </c>
      <c r="L1035" s="999"/>
    </row>
    <row r="1036" spans="1:12" s="23" customFormat="1" ht="17.25" customHeight="1">
      <c r="A1036" s="1004" t="s">
        <v>354</v>
      </c>
      <c r="B1036" s="1005" t="s">
        <v>454</v>
      </c>
      <c r="C1036" s="1006">
        <f>VLOOKUP(B1035,'SẢN LƯỢNG'!$D$98:$AR$160,37,0)</f>
        <v>3820</v>
      </c>
      <c r="D1036" s="1007"/>
      <c r="E1036" s="1007"/>
      <c r="F1036" s="1055"/>
      <c r="G1036" s="1004" t="s">
        <v>354</v>
      </c>
      <c r="H1036" s="1005" t="s">
        <v>454</v>
      </c>
      <c r="I1036" s="1006">
        <f>VLOOKUP(H1035,'SẢN LƯỢNG'!$D$98:$AR$160,37,0)</f>
        <v>4770</v>
      </c>
      <c r="J1036" s="1007"/>
      <c r="K1036" s="1007"/>
      <c r="L1036" s="999"/>
    </row>
    <row r="1037" spans="1:12" s="23" customFormat="1" ht="17.25" customHeight="1">
      <c r="A1037" s="1004" t="s">
        <v>68</v>
      </c>
      <c r="B1037" s="1008" t="s">
        <v>380</v>
      </c>
      <c r="C1037" s="581">
        <f>VLOOKUP(B1035,'CNKT '!$D$100:$AC$165,3,0)</f>
        <v>0</v>
      </c>
      <c r="D1037" s="582">
        <v>25000</v>
      </c>
      <c r="E1037" s="1007">
        <f t="shared" ref="E1037:E1042" si="202">C1037*D1037</f>
        <v>0</v>
      </c>
      <c r="F1037" s="1055"/>
      <c r="G1037" s="1004" t="s">
        <v>68</v>
      </c>
      <c r="H1037" s="1008" t="s">
        <v>380</v>
      </c>
      <c r="I1037" s="581">
        <f>VLOOKUP(H1035,'CNKT '!$D$100:$AC$165,3,0)</f>
        <v>0</v>
      </c>
      <c r="J1037" s="582">
        <v>25000</v>
      </c>
      <c r="K1037" s="1007">
        <f t="shared" ref="K1037:K1042" si="203">I1037*J1037</f>
        <v>0</v>
      </c>
      <c r="L1037" s="999"/>
    </row>
    <row r="1038" spans="1:12" s="23" customFormat="1" ht="17.25" customHeight="1">
      <c r="A1038" s="1004" t="s">
        <v>269</v>
      </c>
      <c r="B1038" s="1009" t="s">
        <v>455</v>
      </c>
      <c r="C1038" s="1010" t="str">
        <f>VLOOKUP(B1035,'CNKT '!$D$100:$AC$165,11,0)</f>
        <v>A</v>
      </c>
      <c r="D1038" s="583">
        <f>46.1*$B$2</f>
        <v>30424.156000000003</v>
      </c>
      <c r="E1038" s="1007" t="e">
        <f t="shared" si="202"/>
        <v>#VALUE!</v>
      </c>
      <c r="F1038" s="1055"/>
      <c r="G1038" s="1004" t="s">
        <v>269</v>
      </c>
      <c r="H1038" s="1009" t="s">
        <v>455</v>
      </c>
      <c r="I1038" s="1010" t="str">
        <f>VLOOKUP(H1035,'CNKT '!$D$100:$AC$165,11,0)</f>
        <v>A</v>
      </c>
      <c r="J1038" s="583">
        <f>46.1*$B$2</f>
        <v>30424.156000000003</v>
      </c>
      <c r="K1038" s="1007" t="e">
        <f t="shared" si="203"/>
        <v>#VALUE!</v>
      </c>
      <c r="L1038" s="999"/>
    </row>
    <row r="1039" spans="1:12" s="23" customFormat="1" ht="17.25" customHeight="1">
      <c r="A1039" s="1004" t="s">
        <v>356</v>
      </c>
      <c r="B1039" s="1009" t="s">
        <v>456</v>
      </c>
      <c r="C1039" s="1010">
        <f>VLOOKUP(B1035,'CNKT '!$D$100:$AC$165,12,0)</f>
        <v>6793287</v>
      </c>
      <c r="D1039" s="582">
        <f>76.9*$B$2</f>
        <v>50750.924000000006</v>
      </c>
      <c r="E1039" s="1007">
        <f t="shared" si="202"/>
        <v>344765592247.18805</v>
      </c>
      <c r="F1039" s="1055"/>
      <c r="G1039" s="1004" t="s">
        <v>356</v>
      </c>
      <c r="H1039" s="1009" t="s">
        <v>456</v>
      </c>
      <c r="I1039" s="1010">
        <f>VLOOKUP(H1035,'CNKT '!$D$100:$AC$165,12,0)</f>
        <v>8909155</v>
      </c>
      <c r="J1039" s="582">
        <f>76.9*$B$2</f>
        <v>50750.924000000006</v>
      </c>
      <c r="K1039" s="1007">
        <f t="shared" si="203"/>
        <v>452147848309.22003</v>
      </c>
      <c r="L1039" s="999"/>
    </row>
    <row r="1040" spans="1:12" s="23" customFormat="1" ht="17.25" customHeight="1">
      <c r="A1040" s="1004" t="s">
        <v>69</v>
      </c>
      <c r="B1040" s="1009" t="s">
        <v>457</v>
      </c>
      <c r="C1040" s="1010">
        <f>VLOOKUP(B1035,'CNKT '!$D$100:$AC$165,8,0)</f>
        <v>1692.8361352083746</v>
      </c>
      <c r="D1040" s="582">
        <f>IF(C1036="A",6.1,IF(C1036="B",5.8,IF(C1036="C",5.5,IF(C1036="C.",5.5,IF(C1036="D",5.2)))))*$B$2</f>
        <v>0</v>
      </c>
      <c r="E1040" s="1007">
        <f t="shared" si="202"/>
        <v>0</v>
      </c>
      <c r="F1040" s="1055"/>
      <c r="G1040" s="1004" t="s">
        <v>69</v>
      </c>
      <c r="H1040" s="1009" t="s">
        <v>457</v>
      </c>
      <c r="I1040" s="1010">
        <f>VLOOKUP(H1035,'CNKT '!$D$100:$AC$165,8,0)</f>
        <v>2228.2447733207905</v>
      </c>
      <c r="J1040" s="582">
        <f>IF(I1036="A",6.1,IF(I1036="B",5.8,IF(I1036="C",5.5,IF(I1036="C.",5.5,IF(I1036="D",5.2)))))*$B$2</f>
        <v>0</v>
      </c>
      <c r="K1040" s="1007">
        <f t="shared" si="203"/>
        <v>0</v>
      </c>
      <c r="L1040" s="999"/>
    </row>
    <row r="1041" spans="1:12" s="23" customFormat="1" ht="17.25" customHeight="1">
      <c r="A1041" s="1064" t="s">
        <v>433</v>
      </c>
      <c r="B1041" s="1065" t="s">
        <v>458</v>
      </c>
      <c r="C1041" s="1066">
        <f>VLOOKUP(B1035,'CNKT '!$D$99:$AC$165,13,0)</f>
        <v>24</v>
      </c>
      <c r="D1041" s="1074">
        <f>92.2*$B$2</f>
        <v>60848.312000000005</v>
      </c>
      <c r="E1041" s="1068">
        <f t="shared" si="202"/>
        <v>1460359.4880000001</v>
      </c>
      <c r="F1041" s="1055"/>
      <c r="G1041" s="1064" t="s">
        <v>433</v>
      </c>
      <c r="H1041" s="1065" t="s">
        <v>458</v>
      </c>
      <c r="I1041" s="1066">
        <f>VLOOKUP(H1035,'CNKT '!$D$99:$AC$165,13,0)</f>
        <v>27</v>
      </c>
      <c r="J1041" s="1074">
        <f>92.2*$B$2</f>
        <v>60848.312000000005</v>
      </c>
      <c r="K1041" s="1068">
        <f t="shared" si="203"/>
        <v>1642904.4240000001</v>
      </c>
      <c r="L1041" s="999"/>
    </row>
    <row r="1042" spans="1:12" s="23" customFormat="1" ht="17.25" customHeight="1">
      <c r="A1042" s="1004" t="s">
        <v>390</v>
      </c>
      <c r="B1042" s="1009" t="s">
        <v>434</v>
      </c>
      <c r="C1042" s="1010">
        <f>VLOOKUP(B1035,'CNKT '!$D$100:$AC$165,14,0)</f>
        <v>1</v>
      </c>
      <c r="D1042" s="582">
        <f>153.6*$B$2</f>
        <v>101369.856</v>
      </c>
      <c r="E1042" s="1007">
        <f t="shared" si="202"/>
        <v>101369.856</v>
      </c>
      <c r="F1042" s="1055"/>
      <c r="G1042" s="1004" t="s">
        <v>390</v>
      </c>
      <c r="H1042" s="1009" t="s">
        <v>434</v>
      </c>
      <c r="I1042" s="1010">
        <f>VLOOKUP(H1035,'CNKT '!$D$100:$AC$165,14,0)</f>
        <v>1</v>
      </c>
      <c r="J1042" s="582">
        <f>153.6*$B$2</f>
        <v>101369.856</v>
      </c>
      <c r="K1042" s="1007">
        <f t="shared" si="203"/>
        <v>101369.856</v>
      </c>
      <c r="L1042" s="999"/>
    </row>
    <row r="1043" spans="1:12" s="23" customFormat="1" ht="17.25" customHeight="1">
      <c r="A1043" s="1064" t="s">
        <v>781</v>
      </c>
      <c r="B1043" s="1065" t="s">
        <v>435</v>
      </c>
      <c r="C1043" s="1066">
        <f>VLOOKUP(B1035,'CNKT '!$D$101:$AC$165,18,0)</f>
        <v>0</v>
      </c>
      <c r="D1043" s="1067">
        <v>100000</v>
      </c>
      <c r="E1043" s="1068">
        <f>C1043*D1043</f>
        <v>0</v>
      </c>
      <c r="F1043" s="1055"/>
      <c r="G1043" s="1064" t="s">
        <v>781</v>
      </c>
      <c r="H1043" s="1065" t="s">
        <v>435</v>
      </c>
      <c r="I1043" s="1066">
        <f>VLOOKUP(H1035,'CNKT '!$D$101:$AC$165,18,0)</f>
        <v>0</v>
      </c>
      <c r="J1043" s="1067">
        <v>100000</v>
      </c>
      <c r="K1043" s="1068">
        <f>I1043*J1043</f>
        <v>0</v>
      </c>
      <c r="L1043" s="999"/>
    </row>
    <row r="1044" spans="1:12" s="23" customFormat="1" ht="17.25" customHeight="1">
      <c r="A1044" s="1004" t="s">
        <v>394</v>
      </c>
      <c r="B1044" s="1009" t="s">
        <v>435</v>
      </c>
      <c r="C1044" s="1010">
        <f>VLOOKUP(B1035,'CNKT '!$D$101:$AC$165,19,0)</f>
        <v>0</v>
      </c>
      <c r="D1044" s="582">
        <v>20000</v>
      </c>
      <c r="E1044" s="1007">
        <f>C1044*D1044</f>
        <v>0</v>
      </c>
      <c r="F1044" s="1055"/>
      <c r="G1044" s="1004" t="s">
        <v>394</v>
      </c>
      <c r="H1044" s="1009" t="s">
        <v>435</v>
      </c>
      <c r="I1044" s="1010">
        <f>VLOOKUP(H1035,'CNKT '!$D$101:$AC$165,19,0)</f>
        <v>0</v>
      </c>
      <c r="J1044" s="582">
        <v>20000</v>
      </c>
      <c r="K1044" s="1007">
        <f>I1044*J1044</f>
        <v>0</v>
      </c>
      <c r="L1044" s="999"/>
    </row>
    <row r="1045" spans="1:12" s="23" customFormat="1" ht="17.25" customHeight="1">
      <c r="A1045" s="1004" t="s">
        <v>731</v>
      </c>
      <c r="B1045" s="1011" t="s">
        <v>732</v>
      </c>
      <c r="C1045" s="1010"/>
      <c r="D1045" s="582"/>
      <c r="E1045" s="1007">
        <f>VLOOKUP(B1035,'CNKT '!$D$101:$AG$165,28,0)</f>
        <v>35</v>
      </c>
      <c r="F1045" s="1055"/>
      <c r="G1045" s="1004" t="s">
        <v>731</v>
      </c>
      <c r="H1045" s="1011" t="s">
        <v>732</v>
      </c>
      <c r="I1045" s="1010"/>
      <c r="J1045" s="582"/>
      <c r="K1045" s="1007">
        <f>VLOOKUP(H1035,'CNKT '!$D$101:$AG$165,28,0)</f>
        <v>36</v>
      </c>
      <c r="L1045" s="999"/>
    </row>
    <row r="1046" spans="1:12" s="23" customFormat="1" ht="17.25" customHeight="1">
      <c r="A1046" s="1012" t="s">
        <v>70</v>
      </c>
      <c r="B1046" s="1013" t="s">
        <v>459</v>
      </c>
      <c r="C1046" s="1014"/>
      <c r="D1046" s="1015"/>
      <c r="E1046" s="1014"/>
      <c r="F1046" s="1055"/>
      <c r="G1046" s="1012" t="s">
        <v>70</v>
      </c>
      <c r="H1046" s="1013" t="s">
        <v>459</v>
      </c>
      <c r="I1046" s="1014"/>
      <c r="J1046" s="1015"/>
      <c r="K1046" s="1014"/>
      <c r="L1046" s="999"/>
    </row>
    <row r="1047" spans="1:12" s="23" customFormat="1" ht="17.25" customHeight="1">
      <c r="A1047" s="1016" t="s">
        <v>71</v>
      </c>
      <c r="B1047" s="1017" t="s">
        <v>460</v>
      </c>
      <c r="C1047" s="1014"/>
      <c r="D1047" s="1014"/>
      <c r="E1047" s="1014"/>
      <c r="F1047" s="1055"/>
      <c r="G1047" s="1016" t="s">
        <v>71</v>
      </c>
      <c r="H1047" s="1017" t="s">
        <v>460</v>
      </c>
      <c r="I1047" s="1014"/>
      <c r="J1047" s="1014"/>
      <c r="K1047" s="1014"/>
      <c r="L1047" s="999"/>
    </row>
    <row r="1048" spans="1:12" s="23" customFormat="1" ht="17.25" customHeight="1">
      <c r="A1048" s="1016" t="s">
        <v>72</v>
      </c>
      <c r="B1048" s="1018" t="s">
        <v>461</v>
      </c>
      <c r="C1048" s="1014"/>
      <c r="D1048" s="1014"/>
      <c r="E1048" s="1007">
        <f>SUM(E1047)</f>
        <v>0</v>
      </c>
      <c r="F1048" s="1010"/>
      <c r="G1048" s="1016" t="s">
        <v>72</v>
      </c>
      <c r="H1048" s="1018" t="s">
        <v>461</v>
      </c>
      <c r="I1048" s="1014"/>
      <c r="J1048" s="1014"/>
      <c r="K1048" s="1007">
        <f>SUM(K1047)</f>
        <v>0</v>
      </c>
      <c r="L1048" s="999"/>
    </row>
    <row r="1049" spans="1:12" s="23" customFormat="1" ht="17.25" customHeight="1">
      <c r="A1049" s="1020" t="s">
        <v>73</v>
      </c>
      <c r="B1049" s="1021" t="s">
        <v>381</v>
      </c>
      <c r="C1049" s="1022"/>
      <c r="D1049" s="1022"/>
      <c r="E1049" s="1022" t="e">
        <f>(E1037+E1038+E1039+E1040+E1041+E1042+E1043+E1044+E1045)-E1048</f>
        <v>#VALUE!</v>
      </c>
      <c r="F1049" s="1010"/>
      <c r="G1049" s="1020" t="s">
        <v>73</v>
      </c>
      <c r="H1049" s="1021" t="s">
        <v>381</v>
      </c>
      <c r="I1049" s="1022"/>
      <c r="J1049" s="1022"/>
      <c r="K1049" s="1022" t="e">
        <f>(K1037+K1038+K1039+K1040+K1041+K1042+K1043+K1044+K1045)-K1048</f>
        <v>#VALUE!</v>
      </c>
      <c r="L1049" s="1024" t="e">
        <f>E1049+K1049</f>
        <v>#VALUE!</v>
      </c>
    </row>
    <row r="1050" spans="1:12" s="23" customFormat="1" ht="17.25" customHeight="1">
      <c r="A1050" s="1058"/>
      <c r="B1050" s="1058"/>
      <c r="C1050" s="1058"/>
      <c r="D1050" s="1058"/>
      <c r="E1050" s="1058"/>
      <c r="F1050" s="1058"/>
      <c r="G1050" s="1058"/>
      <c r="H1050" s="1058"/>
      <c r="I1050" s="1058"/>
      <c r="J1050" s="1058"/>
      <c r="K1050" s="1058"/>
      <c r="L1050" s="999"/>
    </row>
    <row r="1051" spans="1:12" s="23" customFormat="1" ht="17.25" customHeight="1">
      <c r="A1051" s="1059" t="str">
        <f>A1034</f>
        <v>LƯƠNG THÁNG 09/2025</v>
      </c>
      <c r="B1051" s="1058"/>
      <c r="C1051" s="1058"/>
      <c r="D1051" s="1058"/>
      <c r="E1051" s="1054">
        <f>VLOOKUP(B1052,'CNKT '!$D$101:$AF$165,26,0)</f>
        <v>9483218</v>
      </c>
      <c r="F1051" s="1055"/>
      <c r="G1051" s="1059" t="str">
        <f>A1051</f>
        <v>LƯƠNG THÁNG 09/2025</v>
      </c>
      <c r="H1051" s="1058"/>
      <c r="I1051" s="1058"/>
      <c r="J1051" s="998"/>
      <c r="K1051" s="1054">
        <f>VLOOKUP(H1052,'CNKT '!$D$101:$AF$165,26,0)</f>
        <v>9071864</v>
      </c>
      <c r="L1051" s="999"/>
    </row>
    <row r="1052" spans="1:12" s="23" customFormat="1" ht="17.25" customHeight="1">
      <c r="A1052" s="1028" t="s">
        <v>13</v>
      </c>
      <c r="B1052" s="1000" t="str">
        <f>'CNKT '!D137</f>
        <v>T. Khăm...</v>
      </c>
      <c r="C1052" s="1006"/>
      <c r="D1052" s="1000" t="s">
        <v>353</v>
      </c>
      <c r="E1052" s="1000" t="s">
        <v>16</v>
      </c>
      <c r="F1052" s="1055"/>
      <c r="G1052" s="1028" t="s">
        <v>13</v>
      </c>
      <c r="H1052" s="1000" t="str">
        <f>'CNKT '!D138</f>
        <v>N. Túc</v>
      </c>
      <c r="I1052" s="1006"/>
      <c r="J1052" s="1000" t="s">
        <v>353</v>
      </c>
      <c r="K1052" s="1000" t="s">
        <v>16</v>
      </c>
      <c r="L1052" s="999"/>
    </row>
    <row r="1053" spans="1:12" s="23" customFormat="1" ht="17.25" customHeight="1">
      <c r="A1053" s="1004" t="s">
        <v>354</v>
      </c>
      <c r="B1053" s="1005" t="s">
        <v>454</v>
      </c>
      <c r="C1053" s="1006">
        <f>VLOOKUP(B1052,'SẢN LƯỢNG'!$D$98:$AR$160,37,0)</f>
        <v>4945</v>
      </c>
      <c r="D1053" s="1007"/>
      <c r="E1053" s="1007"/>
      <c r="F1053" s="1055"/>
      <c r="G1053" s="1004" t="s">
        <v>354</v>
      </c>
      <c r="H1053" s="1005" t="s">
        <v>454</v>
      </c>
      <c r="I1053" s="1006">
        <f>VLOOKUP(H1052,'SẢN LƯỢNG'!$D$98:$AR$160,37,0)</f>
        <v>4410</v>
      </c>
      <c r="J1053" s="1007"/>
      <c r="K1053" s="1007"/>
      <c r="L1053" s="999"/>
    </row>
    <row r="1054" spans="1:12" s="23" customFormat="1" ht="17.25" customHeight="1">
      <c r="A1054" s="1004" t="s">
        <v>68</v>
      </c>
      <c r="B1054" s="1008" t="s">
        <v>380</v>
      </c>
      <c r="C1054" s="581">
        <f>VLOOKUP(B1052,'CNKT '!$D$100:$AC$165,3,0)</f>
        <v>0</v>
      </c>
      <c r="D1054" s="582">
        <v>25000</v>
      </c>
      <c r="E1054" s="1007">
        <f t="shared" ref="E1054:E1059" si="204">C1054*D1054</f>
        <v>0</v>
      </c>
      <c r="F1054" s="1055"/>
      <c r="G1054" s="1004" t="s">
        <v>68</v>
      </c>
      <c r="H1054" s="1008" t="s">
        <v>380</v>
      </c>
      <c r="I1054" s="581">
        <f>VLOOKUP(H1052,'CNKT '!$D$100:$AC$165,3,0)</f>
        <v>0</v>
      </c>
      <c r="J1054" s="582">
        <v>25000</v>
      </c>
      <c r="K1054" s="1007">
        <f t="shared" ref="K1054:K1059" si="205">I1054*J1054</f>
        <v>0</v>
      </c>
      <c r="L1054" s="999"/>
    </row>
    <row r="1055" spans="1:12" s="23" customFormat="1" ht="17.25" customHeight="1">
      <c r="A1055" s="1004" t="s">
        <v>269</v>
      </c>
      <c r="B1055" s="1009" t="s">
        <v>455</v>
      </c>
      <c r="C1055" s="1010" t="str">
        <f>VLOOKUP(B1052,'CNKT '!$D$100:$AC$165,11,0)</f>
        <v>A</v>
      </c>
      <c r="D1055" s="583">
        <f>46.1*$B$2</f>
        <v>30424.156000000003</v>
      </c>
      <c r="E1055" s="1007" t="e">
        <f t="shared" si="204"/>
        <v>#VALUE!</v>
      </c>
      <c r="F1055" s="1055"/>
      <c r="G1055" s="1004" t="s">
        <v>269</v>
      </c>
      <c r="H1055" s="1009" t="s">
        <v>455</v>
      </c>
      <c r="I1055" s="1010" t="str">
        <f>VLOOKUP(H1052,'CNKT '!$D$100:$AC$165,11,0)</f>
        <v>A</v>
      </c>
      <c r="J1055" s="583">
        <f>46.1*$B$2</f>
        <v>30424.156000000003</v>
      </c>
      <c r="K1055" s="1007" t="e">
        <f t="shared" si="205"/>
        <v>#VALUE!</v>
      </c>
      <c r="L1055" s="999"/>
    </row>
    <row r="1056" spans="1:12" s="23" customFormat="1" ht="17.25" customHeight="1">
      <c r="A1056" s="1004" t="s">
        <v>356</v>
      </c>
      <c r="B1056" s="1009" t="s">
        <v>456</v>
      </c>
      <c r="C1056" s="1010">
        <f>VLOOKUP(B1052,'CNKT '!$D$100:$AC$165,12,0)</f>
        <v>8238435</v>
      </c>
      <c r="D1056" s="582">
        <f>76.9*$B$2</f>
        <v>50750.924000000006</v>
      </c>
      <c r="E1056" s="1007">
        <f t="shared" si="204"/>
        <v>418108188563.94006</v>
      </c>
      <c r="F1056" s="1055"/>
      <c r="G1056" s="1004" t="s">
        <v>356</v>
      </c>
      <c r="H1056" s="1009" t="s">
        <v>456</v>
      </c>
      <c r="I1056" s="1010">
        <f>VLOOKUP(H1052,'CNKT '!$D$100:$AC$165,12,0)</f>
        <v>7595155</v>
      </c>
      <c r="J1056" s="582">
        <f>76.9*$B$2</f>
        <v>50750.924000000006</v>
      </c>
      <c r="K1056" s="1007">
        <f t="shared" si="205"/>
        <v>385461134173.22003</v>
      </c>
      <c r="L1056" s="999"/>
    </row>
    <row r="1057" spans="1:13" s="23" customFormat="1" ht="17.25" customHeight="1">
      <c r="A1057" s="1004" t="s">
        <v>69</v>
      </c>
      <c r="B1057" s="1009" t="s">
        <v>457</v>
      </c>
      <c r="C1057" s="1010">
        <f>VLOOKUP(B1052,'CNKT '!$D$100:$AC$165,8,0)</f>
        <v>2042.338996198424</v>
      </c>
      <c r="D1057" s="582">
        <f>IF(C1053="A",6.1,IF(C1053="B",5.8,IF(C1053="C",5.5,IF(C1053="C.",5.5,IF(C1053="D",5.2)))))*$B$2</f>
        <v>0</v>
      </c>
      <c r="E1057" s="1007">
        <f t="shared" si="204"/>
        <v>0</v>
      </c>
      <c r="F1057" s="1055"/>
      <c r="G1057" s="1004" t="s">
        <v>69</v>
      </c>
      <c r="H1057" s="1009" t="s">
        <v>457</v>
      </c>
      <c r="I1057" s="1010">
        <f>VLOOKUP(H1052,'CNKT '!$D$100:$AC$165,8,0)</f>
        <v>1887.9278448473758</v>
      </c>
      <c r="J1057" s="582">
        <f>IF(I1053="A",6.1,IF(I1053="B",5.8,IF(I1053="C",5.5,IF(I1053="C.",5.5,IF(I1053="D",5.2)))))*$B$2</f>
        <v>0</v>
      </c>
      <c r="K1057" s="1007">
        <f t="shared" si="205"/>
        <v>0</v>
      </c>
      <c r="L1057" s="999"/>
    </row>
    <row r="1058" spans="1:13" s="23" customFormat="1" ht="17.25" customHeight="1">
      <c r="A1058" s="1064" t="s">
        <v>433</v>
      </c>
      <c r="B1058" s="1065" t="s">
        <v>458</v>
      </c>
      <c r="C1058" s="1066">
        <f>VLOOKUP(B1052,'CNKT '!$D$99:$AC$165,13,0)</f>
        <v>26</v>
      </c>
      <c r="D1058" s="1074">
        <f>92.2*$B$2</f>
        <v>60848.312000000005</v>
      </c>
      <c r="E1058" s="1068">
        <f t="shared" si="204"/>
        <v>1582056.1120000002</v>
      </c>
      <c r="F1058" s="1055"/>
      <c r="G1058" s="1064" t="s">
        <v>433</v>
      </c>
      <c r="H1058" s="1065" t="s">
        <v>458</v>
      </c>
      <c r="I1058" s="1066">
        <f>VLOOKUP(H1052,'CNKT '!$D$99:$AC$165,13,0)</f>
        <v>27</v>
      </c>
      <c r="J1058" s="1074">
        <f>92.2*$B$2</f>
        <v>60848.312000000005</v>
      </c>
      <c r="K1058" s="1068">
        <f t="shared" si="205"/>
        <v>1642904.4240000001</v>
      </c>
      <c r="L1058" s="999"/>
    </row>
    <row r="1059" spans="1:13" s="23" customFormat="1" ht="17.25" customHeight="1">
      <c r="A1059" s="1004" t="s">
        <v>390</v>
      </c>
      <c r="B1059" s="1009" t="s">
        <v>434</v>
      </c>
      <c r="C1059" s="1010">
        <f>VLOOKUP(B1052,'CNKT '!$D$100:$AC$165,14,0)</f>
        <v>1</v>
      </c>
      <c r="D1059" s="582">
        <f>153.6*$B$2</f>
        <v>101369.856</v>
      </c>
      <c r="E1059" s="1007">
        <f t="shared" si="204"/>
        <v>101369.856</v>
      </c>
      <c r="F1059" s="1055"/>
      <c r="G1059" s="1004" t="s">
        <v>390</v>
      </c>
      <c r="H1059" s="1009" t="s">
        <v>434</v>
      </c>
      <c r="I1059" s="1010">
        <f>VLOOKUP(H1052,'CNKT '!$D$100:$AC$165,14,0)</f>
        <v>1</v>
      </c>
      <c r="J1059" s="582">
        <f>153.6*$B$2</f>
        <v>101369.856</v>
      </c>
      <c r="K1059" s="1007">
        <f t="shared" si="205"/>
        <v>101369.856</v>
      </c>
      <c r="L1059" s="999"/>
    </row>
    <row r="1060" spans="1:13" s="23" customFormat="1" ht="17.25" customHeight="1">
      <c r="A1060" s="1064" t="s">
        <v>781</v>
      </c>
      <c r="B1060" s="1065" t="s">
        <v>435</v>
      </c>
      <c r="C1060" s="1066">
        <f>VLOOKUP(B1052,'CNKT '!$D$101:$AC$165,18,0)</f>
        <v>0</v>
      </c>
      <c r="D1060" s="1067">
        <v>100000</v>
      </c>
      <c r="E1060" s="1068">
        <f>C1060*D1060</f>
        <v>0</v>
      </c>
      <c r="F1060" s="1055"/>
      <c r="G1060" s="1064" t="s">
        <v>781</v>
      </c>
      <c r="H1060" s="1065" t="s">
        <v>435</v>
      </c>
      <c r="I1060" s="1066">
        <f>VLOOKUP(H1052,'CNKT '!$D$101:$AC$165,18,0)</f>
        <v>0</v>
      </c>
      <c r="J1060" s="1067">
        <v>100000</v>
      </c>
      <c r="K1060" s="1068">
        <f>I1060*J1060</f>
        <v>0</v>
      </c>
      <c r="L1060" s="999"/>
    </row>
    <row r="1061" spans="1:13" s="23" customFormat="1" ht="17.25" customHeight="1">
      <c r="A1061" s="1004" t="s">
        <v>394</v>
      </c>
      <c r="B1061" s="1009" t="s">
        <v>435</v>
      </c>
      <c r="C1061" s="1010">
        <f>VLOOKUP(B1052,'CNKT '!$D$101:$AC$165,19,0)</f>
        <v>0</v>
      </c>
      <c r="D1061" s="582">
        <v>20000</v>
      </c>
      <c r="E1061" s="1007">
        <f>C1061*D1061</f>
        <v>0</v>
      </c>
      <c r="F1061" s="1055"/>
      <c r="G1061" s="1004" t="s">
        <v>394</v>
      </c>
      <c r="H1061" s="1009" t="s">
        <v>435</v>
      </c>
      <c r="I1061" s="1010">
        <f>VLOOKUP(H1052,'CNKT '!$D$101:$AC$165,19,0)</f>
        <v>0</v>
      </c>
      <c r="J1061" s="582">
        <v>20000</v>
      </c>
      <c r="K1061" s="1007">
        <f>I1061*J1061</f>
        <v>0</v>
      </c>
      <c r="L1061" s="999"/>
    </row>
    <row r="1062" spans="1:13" s="23" customFormat="1" ht="17.25" customHeight="1">
      <c r="A1062" s="1004" t="s">
        <v>731</v>
      </c>
      <c r="B1062" s="1011" t="s">
        <v>732</v>
      </c>
      <c r="C1062" s="1010"/>
      <c r="D1062" s="582"/>
      <c r="E1062" s="1007">
        <f>VLOOKUP(B1052,'CNKT '!$D$101:$AG$165,28,0)</f>
        <v>37</v>
      </c>
      <c r="F1062" s="1055"/>
      <c r="G1062" s="1004" t="s">
        <v>731</v>
      </c>
      <c r="H1062" s="1011" t="s">
        <v>732</v>
      </c>
      <c r="I1062" s="1010"/>
      <c r="J1062" s="582"/>
      <c r="K1062" s="1007">
        <f>VLOOKUP(H1052,'CNKT '!$D$101:$AG$165,28,0)</f>
        <v>38</v>
      </c>
      <c r="L1062" s="999"/>
    </row>
    <row r="1063" spans="1:13" s="23" customFormat="1" ht="17.25" customHeight="1">
      <c r="A1063" s="1012" t="s">
        <v>70</v>
      </c>
      <c r="B1063" s="1013" t="s">
        <v>459</v>
      </c>
      <c r="C1063" s="1014"/>
      <c r="D1063" s="1015"/>
      <c r="E1063" s="1014"/>
      <c r="F1063" s="1055"/>
      <c r="G1063" s="1012" t="s">
        <v>70</v>
      </c>
      <c r="H1063" s="1013" t="s">
        <v>459</v>
      </c>
      <c r="I1063" s="1014"/>
      <c r="J1063" s="1015"/>
      <c r="K1063" s="1014"/>
      <c r="L1063" s="999"/>
    </row>
    <row r="1064" spans="1:13" s="23" customFormat="1" ht="17.25" customHeight="1">
      <c r="A1064" s="1016" t="s">
        <v>71</v>
      </c>
      <c r="B1064" s="1017" t="s">
        <v>460</v>
      </c>
      <c r="C1064" s="1014"/>
      <c r="D1064" s="1014"/>
      <c r="E1064" s="1014"/>
      <c r="F1064" s="1055"/>
      <c r="G1064" s="1016" t="s">
        <v>71</v>
      </c>
      <c r="H1064" s="1017" t="s">
        <v>460</v>
      </c>
      <c r="I1064" s="1014"/>
      <c r="J1064" s="1014"/>
      <c r="K1064" s="1014"/>
      <c r="L1064" s="999"/>
    </row>
    <row r="1065" spans="1:13" s="23" customFormat="1" ht="17.25" customHeight="1">
      <c r="A1065" s="1016" t="s">
        <v>72</v>
      </c>
      <c r="B1065" s="1018" t="s">
        <v>461</v>
      </c>
      <c r="C1065" s="1014"/>
      <c r="D1065" s="1014"/>
      <c r="E1065" s="1007">
        <f>SUM(E1064)</f>
        <v>0</v>
      </c>
      <c r="F1065" s="1060"/>
      <c r="G1065" s="1016" t="s">
        <v>72</v>
      </c>
      <c r="H1065" s="1018" t="s">
        <v>461</v>
      </c>
      <c r="I1065" s="1014"/>
      <c r="J1065" s="1014"/>
      <c r="K1065" s="1007">
        <f>SUM(K1064)</f>
        <v>0</v>
      </c>
      <c r="L1065" s="1024"/>
      <c r="M1065" s="1019"/>
    </row>
    <row r="1066" spans="1:13" s="23" customFormat="1" ht="17.25" customHeight="1">
      <c r="A1066" s="1020" t="s">
        <v>73</v>
      </c>
      <c r="B1066" s="1021" t="s">
        <v>381</v>
      </c>
      <c r="C1066" s="1022"/>
      <c r="D1066" s="1022"/>
      <c r="E1066" s="1022" t="e">
        <f>(E1054+E1055+E1056+E1057+E1058+E1059+E1060+E1061+E1062)-E1065</f>
        <v>#VALUE!</v>
      </c>
      <c r="F1066" s="1060"/>
      <c r="G1066" s="1020" t="s">
        <v>73</v>
      </c>
      <c r="H1066" s="1021" t="s">
        <v>381</v>
      </c>
      <c r="I1066" s="1022"/>
      <c r="J1066" s="1022"/>
      <c r="K1066" s="1022" t="e">
        <f>(K1054+K1055+K1056+K1057+K1058+K1059+K1060+K1061+K1062)-K1065</f>
        <v>#VALUE!</v>
      </c>
      <c r="L1066" s="1024" t="e">
        <f>E1066+K1066</f>
        <v>#VALUE!</v>
      </c>
      <c r="M1066" s="1019"/>
    </row>
    <row r="1067" spans="1:13" s="23" customFormat="1" ht="66.75" customHeight="1">
      <c r="A1067" s="1058"/>
      <c r="B1067" s="1058"/>
      <c r="C1067" s="1058"/>
      <c r="D1067" s="1058"/>
      <c r="E1067" s="1058"/>
      <c r="F1067" s="1058"/>
      <c r="G1067" s="1058"/>
      <c r="H1067" s="1058"/>
      <c r="I1067" s="1058"/>
      <c r="J1067" s="1058"/>
      <c r="K1067" s="1058"/>
      <c r="L1067" s="1024"/>
      <c r="M1067" s="1019"/>
    </row>
    <row r="1068" spans="1:13" s="23" customFormat="1" ht="17.25" customHeight="1">
      <c r="A1068" s="1059" t="str">
        <f>A1051</f>
        <v>LƯƠNG THÁNG 09/2025</v>
      </c>
      <c r="B1068" s="1058"/>
      <c r="C1068" s="1058"/>
      <c r="D1068" s="1058"/>
      <c r="E1068" s="1054">
        <f>VLOOKUP(B1069,'CNKT '!$D$101:$AF$165,26,0)</f>
        <v>10863104</v>
      </c>
      <c r="F1068" s="1055"/>
      <c r="G1068" s="1059" t="str">
        <f>A1068</f>
        <v>LƯƠNG THÁNG 09/2025</v>
      </c>
      <c r="H1068" s="1058"/>
      <c r="I1068" s="1058"/>
      <c r="J1068" s="998"/>
      <c r="K1068" s="1054">
        <f>VLOOKUP(H1069,'CNKT '!$D$101:$AF$165,26,0)</f>
        <v>9350408</v>
      </c>
      <c r="L1068" s="1024"/>
      <c r="M1068" s="1019"/>
    </row>
    <row r="1069" spans="1:13" s="23" customFormat="1" ht="17.25" customHeight="1">
      <c r="A1069" s="1028" t="s">
        <v>13</v>
      </c>
      <c r="B1069" s="1000" t="str">
        <f>'CNKT '!D139</f>
        <v>N. Pheng</v>
      </c>
      <c r="C1069" s="1006"/>
      <c r="D1069" s="1000" t="s">
        <v>353</v>
      </c>
      <c r="E1069" s="1000" t="s">
        <v>16</v>
      </c>
      <c r="F1069" s="1055"/>
      <c r="G1069" s="1028" t="s">
        <v>13</v>
      </c>
      <c r="H1069" s="1000" t="str">
        <f>'CNKT '!D140</f>
        <v>N. Mom</v>
      </c>
      <c r="I1069" s="1006"/>
      <c r="J1069" s="1000" t="s">
        <v>353</v>
      </c>
      <c r="K1069" s="1000" t="s">
        <v>16</v>
      </c>
      <c r="L1069" s="1024"/>
      <c r="M1069" s="1019"/>
    </row>
    <row r="1070" spans="1:13" s="23" customFormat="1" ht="17.25" customHeight="1">
      <c r="A1070" s="1004" t="s">
        <v>354</v>
      </c>
      <c r="B1070" s="1005" t="s">
        <v>454</v>
      </c>
      <c r="C1070" s="1006">
        <f>VLOOKUP(B1069,'SẢN LƯỢNG'!$D$98:$AR$160,37,0)</f>
        <v>5011</v>
      </c>
      <c r="D1070" s="1007"/>
      <c r="E1070" s="1007"/>
      <c r="F1070" s="1055"/>
      <c r="G1070" s="1004" t="s">
        <v>354</v>
      </c>
      <c r="H1070" s="1005" t="s">
        <v>454</v>
      </c>
      <c r="I1070" s="1006">
        <f>VLOOKUP(H1069,'SẢN LƯỢNG'!$D$98:$AR$160,37,0)</f>
        <v>4614</v>
      </c>
      <c r="J1070" s="1007"/>
      <c r="K1070" s="1007"/>
      <c r="L1070" s="1024"/>
      <c r="M1070" s="1019"/>
    </row>
    <row r="1071" spans="1:13" s="23" customFormat="1" ht="17.25" customHeight="1">
      <c r="A1071" s="1004" t="s">
        <v>68</v>
      </c>
      <c r="B1071" s="1008" t="s">
        <v>380</v>
      </c>
      <c r="C1071" s="581">
        <f>VLOOKUP(B1069,'CNKT '!$D$100:$AC$165,3,0)</f>
        <v>0</v>
      </c>
      <c r="D1071" s="582">
        <v>25000</v>
      </c>
      <c r="E1071" s="1007">
        <f t="shared" ref="E1071:E1076" si="206">C1071*D1071</f>
        <v>0</v>
      </c>
      <c r="F1071" s="1055"/>
      <c r="G1071" s="1004" t="s">
        <v>68</v>
      </c>
      <c r="H1071" s="1008" t="s">
        <v>380</v>
      </c>
      <c r="I1071" s="581">
        <f>VLOOKUP(H1069,'CNKT '!$D$100:$AC$165,3,0)</f>
        <v>0</v>
      </c>
      <c r="J1071" s="582">
        <v>25000</v>
      </c>
      <c r="K1071" s="1007">
        <f t="shared" ref="K1071:K1076" si="207">I1071*J1071</f>
        <v>0</v>
      </c>
      <c r="L1071" s="1024"/>
      <c r="M1071" s="1019"/>
    </row>
    <row r="1072" spans="1:13" s="23" customFormat="1" ht="17.25" customHeight="1">
      <c r="A1072" s="1004" t="s">
        <v>269</v>
      </c>
      <c r="B1072" s="1009" t="s">
        <v>455</v>
      </c>
      <c r="C1072" s="1010" t="str">
        <f>VLOOKUP(B1069,'CNKT '!$D$100:$AC$165,11,0)</f>
        <v>A</v>
      </c>
      <c r="D1072" s="583">
        <f>46.1*$B$2</f>
        <v>30424.156000000003</v>
      </c>
      <c r="E1072" s="1007" t="e">
        <f t="shared" si="206"/>
        <v>#VALUE!</v>
      </c>
      <c r="F1072" s="1055"/>
      <c r="G1072" s="1004" t="s">
        <v>269</v>
      </c>
      <c r="H1072" s="1009" t="s">
        <v>455</v>
      </c>
      <c r="I1072" s="1010" t="str">
        <f>VLOOKUP(H1069,'CNKT '!$D$100:$AC$165,11,0)</f>
        <v>A</v>
      </c>
      <c r="J1072" s="583">
        <f>46.1*$B$2</f>
        <v>30424.156000000003</v>
      </c>
      <c r="K1072" s="1007" t="e">
        <f t="shared" si="207"/>
        <v>#VALUE!</v>
      </c>
      <c r="L1072" s="1024"/>
      <c r="M1072" s="1019"/>
    </row>
    <row r="1073" spans="1:13" s="23" customFormat="1" ht="17.25" customHeight="1">
      <c r="A1073" s="1004" t="s">
        <v>356</v>
      </c>
      <c r="B1073" s="1009" t="s">
        <v>456</v>
      </c>
      <c r="C1073" s="1010">
        <f>VLOOKUP(B1069,'CNKT '!$D$100:$AC$165,12,0)</f>
        <v>9386395</v>
      </c>
      <c r="D1073" s="582">
        <f>76.9*$B$2</f>
        <v>50750.924000000006</v>
      </c>
      <c r="E1073" s="1007">
        <f t="shared" si="206"/>
        <v>476368219278.98004</v>
      </c>
      <c r="F1073" s="1055"/>
      <c r="G1073" s="1004" t="s">
        <v>356</v>
      </c>
      <c r="H1073" s="1009" t="s">
        <v>456</v>
      </c>
      <c r="I1073" s="1010">
        <f>VLOOKUP(H1069,'CNKT '!$D$100:$AC$165,12,0)</f>
        <v>7873699</v>
      </c>
      <c r="J1073" s="582">
        <f>76.9*$B$2</f>
        <v>50750.924000000006</v>
      </c>
      <c r="K1073" s="1007">
        <f t="shared" si="207"/>
        <v>399597499547.87604</v>
      </c>
      <c r="L1073" s="1024"/>
      <c r="M1073" s="1019"/>
    </row>
    <row r="1074" spans="1:13" s="23" customFormat="1" ht="17.25" customHeight="1">
      <c r="A1074" s="1004" t="s">
        <v>69</v>
      </c>
      <c r="B1074" s="1009" t="s">
        <v>457</v>
      </c>
      <c r="C1074" s="1010">
        <f>VLOOKUP(B1069,'CNKT '!$D$100:$AC$165,8,0)</f>
        <v>2348.0993213949755</v>
      </c>
      <c r="D1074" s="582">
        <f>IF(C1070="A",6.1,IF(C1070="B",5.8,IF(C1070="C",5.5,IF(C1070="C.",5.5,IF(C1070="D",5.2)))))*$B$2</f>
        <v>0</v>
      </c>
      <c r="E1074" s="1007">
        <f t="shared" si="206"/>
        <v>0</v>
      </c>
      <c r="F1074" s="1055"/>
      <c r="G1074" s="1004" t="s">
        <v>69</v>
      </c>
      <c r="H1074" s="1009" t="s">
        <v>457</v>
      </c>
      <c r="I1074" s="1010">
        <f>VLOOKUP(H1069,'CNKT '!$D$100:$AC$165,8,0)</f>
        <v>1955.7287753272979</v>
      </c>
      <c r="J1074" s="582">
        <f>IF(I1070="A",6.1,IF(I1070="B",5.8,IF(I1070="C",5.5,IF(I1070="C.",5.5,IF(I1070="D",5.2)))))*$B$2</f>
        <v>0</v>
      </c>
      <c r="K1074" s="1007">
        <f t="shared" si="207"/>
        <v>0</v>
      </c>
      <c r="L1074" s="1024"/>
      <c r="M1074" s="1019"/>
    </row>
    <row r="1075" spans="1:13" s="23" customFormat="1" ht="17.25" customHeight="1">
      <c r="A1075" s="1064" t="s">
        <v>433</v>
      </c>
      <c r="B1075" s="1065" t="s">
        <v>458</v>
      </c>
      <c r="C1075" s="1066">
        <f>VLOOKUP(B1069,'CNKT '!$D$99:$AC$165,13,0)</f>
        <v>27</v>
      </c>
      <c r="D1075" s="1074">
        <f>92.2*$B$2</f>
        <v>60848.312000000005</v>
      </c>
      <c r="E1075" s="1068">
        <f t="shared" si="206"/>
        <v>1642904.4240000001</v>
      </c>
      <c r="F1075" s="1055"/>
      <c r="G1075" s="1064" t="s">
        <v>433</v>
      </c>
      <c r="H1075" s="1065" t="s">
        <v>458</v>
      </c>
      <c r="I1075" s="1066">
        <f>VLOOKUP(H1069,'CNKT '!$D$99:$AC$165,13,0)</f>
        <v>27</v>
      </c>
      <c r="J1075" s="1074">
        <f>92.2*$B$2</f>
        <v>60848.312000000005</v>
      </c>
      <c r="K1075" s="1068">
        <f t="shared" si="207"/>
        <v>1642904.4240000001</v>
      </c>
      <c r="L1075" s="1024"/>
      <c r="M1075" s="1019"/>
    </row>
    <row r="1076" spans="1:13" s="23" customFormat="1" ht="17.25" customHeight="1">
      <c r="A1076" s="1004" t="s">
        <v>390</v>
      </c>
      <c r="B1076" s="1009" t="s">
        <v>434</v>
      </c>
      <c r="C1076" s="1010">
        <f>VLOOKUP(B1069,'CNKT '!$D$100:$AC$165,14,0)</f>
        <v>1</v>
      </c>
      <c r="D1076" s="582">
        <f>153.6*$B$2</f>
        <v>101369.856</v>
      </c>
      <c r="E1076" s="1007">
        <f t="shared" si="206"/>
        <v>101369.856</v>
      </c>
      <c r="F1076" s="1055"/>
      <c r="G1076" s="1004" t="s">
        <v>390</v>
      </c>
      <c r="H1076" s="1009" t="s">
        <v>434</v>
      </c>
      <c r="I1076" s="1010">
        <f>VLOOKUP(H1069,'CNKT '!$D$100:$AC$165,14,0)</f>
        <v>1</v>
      </c>
      <c r="J1076" s="582">
        <f>153.6*$B$2</f>
        <v>101369.856</v>
      </c>
      <c r="K1076" s="1007">
        <f t="shared" si="207"/>
        <v>101369.856</v>
      </c>
      <c r="L1076" s="1024"/>
      <c r="M1076" s="1019"/>
    </row>
    <row r="1077" spans="1:13" s="23" customFormat="1" ht="17.25" customHeight="1">
      <c r="A1077" s="1064" t="s">
        <v>781</v>
      </c>
      <c r="B1077" s="1065" t="s">
        <v>435</v>
      </c>
      <c r="C1077" s="1066">
        <f>VLOOKUP(B1069,'CNKT '!$D$101:$AC$165,18,0)</f>
        <v>0</v>
      </c>
      <c r="D1077" s="1067">
        <v>100000</v>
      </c>
      <c r="E1077" s="1068">
        <f>C1077*D1077</f>
        <v>0</v>
      </c>
      <c r="F1077" s="1055"/>
      <c r="G1077" s="1064" t="s">
        <v>781</v>
      </c>
      <c r="H1077" s="1065" t="s">
        <v>435</v>
      </c>
      <c r="I1077" s="1066">
        <f>VLOOKUP(H1069,'CNKT '!$D$101:$AC$165,18,0)</f>
        <v>0</v>
      </c>
      <c r="J1077" s="1067">
        <v>100000</v>
      </c>
      <c r="K1077" s="1068">
        <f>I1077*J1077</f>
        <v>0</v>
      </c>
      <c r="L1077" s="1024"/>
      <c r="M1077" s="1019"/>
    </row>
    <row r="1078" spans="1:13" s="23" customFormat="1" ht="17.25" customHeight="1">
      <c r="A1078" s="1004" t="s">
        <v>394</v>
      </c>
      <c r="B1078" s="1009" t="s">
        <v>435</v>
      </c>
      <c r="C1078" s="1010">
        <f>VLOOKUP(B1069,'CNKT '!$D$101:$AC$165,19,0)</f>
        <v>0</v>
      </c>
      <c r="D1078" s="582">
        <v>20000</v>
      </c>
      <c r="E1078" s="1007">
        <f>C1078*D1078</f>
        <v>0</v>
      </c>
      <c r="F1078" s="1055"/>
      <c r="G1078" s="1004" t="s">
        <v>394</v>
      </c>
      <c r="H1078" s="1009" t="s">
        <v>435</v>
      </c>
      <c r="I1078" s="1010">
        <f>VLOOKUP(H1069,'CNKT '!$D$101:$AC$165,19,0)</f>
        <v>0</v>
      </c>
      <c r="J1078" s="582">
        <v>20000</v>
      </c>
      <c r="K1078" s="1007">
        <f>I1078*J1078</f>
        <v>0</v>
      </c>
      <c r="L1078" s="1024"/>
      <c r="M1078" s="1019"/>
    </row>
    <row r="1079" spans="1:13" s="23" customFormat="1" ht="17.25" customHeight="1">
      <c r="A1079" s="1004" t="s">
        <v>731</v>
      </c>
      <c r="B1079" s="1011" t="s">
        <v>732</v>
      </c>
      <c r="C1079" s="1010"/>
      <c r="D1079" s="582"/>
      <c r="E1079" s="1007">
        <f>VLOOKUP(B1069,'CNKT '!$D$101:$AG$165,28,0)</f>
        <v>39</v>
      </c>
      <c r="F1079" s="1055"/>
      <c r="G1079" s="1004" t="s">
        <v>731</v>
      </c>
      <c r="H1079" s="1011" t="s">
        <v>732</v>
      </c>
      <c r="I1079" s="1010"/>
      <c r="J1079" s="582"/>
      <c r="K1079" s="1007">
        <f>VLOOKUP(H1069,'CNKT '!$D$101:$AG$165,28,0)</f>
        <v>40</v>
      </c>
      <c r="L1079" s="1024"/>
      <c r="M1079" s="1019"/>
    </row>
    <row r="1080" spans="1:13" s="23" customFormat="1" ht="17.25" customHeight="1">
      <c r="A1080" s="1012" t="s">
        <v>70</v>
      </c>
      <c r="B1080" s="1013" t="s">
        <v>459</v>
      </c>
      <c r="C1080" s="1014"/>
      <c r="D1080" s="1015"/>
      <c r="E1080" s="1014"/>
      <c r="F1080" s="1055"/>
      <c r="G1080" s="1012" t="s">
        <v>70</v>
      </c>
      <c r="H1080" s="1013" t="s">
        <v>459</v>
      </c>
      <c r="I1080" s="1014"/>
      <c r="J1080" s="1015"/>
      <c r="K1080" s="1014"/>
      <c r="L1080" s="1024"/>
      <c r="M1080" s="1019"/>
    </row>
    <row r="1081" spans="1:13" s="23" customFormat="1" ht="17.25" customHeight="1">
      <c r="A1081" s="1016" t="s">
        <v>71</v>
      </c>
      <c r="B1081" s="1017" t="s">
        <v>460</v>
      </c>
      <c r="C1081" s="1014"/>
      <c r="D1081" s="1014"/>
      <c r="E1081" s="1014"/>
      <c r="F1081" s="1055"/>
      <c r="G1081" s="1016" t="s">
        <v>71</v>
      </c>
      <c r="H1081" s="1017" t="s">
        <v>460</v>
      </c>
      <c r="I1081" s="1014"/>
      <c r="J1081" s="1014"/>
      <c r="K1081" s="1014"/>
      <c r="L1081" s="1024"/>
      <c r="M1081" s="1019"/>
    </row>
    <row r="1082" spans="1:13" s="23" customFormat="1" ht="17.25" customHeight="1">
      <c r="A1082" s="1016" t="s">
        <v>72</v>
      </c>
      <c r="B1082" s="1018" t="s">
        <v>461</v>
      </c>
      <c r="C1082" s="1014"/>
      <c r="D1082" s="1014"/>
      <c r="E1082" s="1007">
        <f>SUM(E1081)</f>
        <v>0</v>
      </c>
      <c r="F1082" s="1060"/>
      <c r="G1082" s="1016" t="s">
        <v>72</v>
      </c>
      <c r="H1082" s="1018" t="s">
        <v>461</v>
      </c>
      <c r="I1082" s="1014"/>
      <c r="J1082" s="1014"/>
      <c r="K1082" s="1007">
        <f>SUM(K1081)</f>
        <v>0</v>
      </c>
      <c r="L1082" s="1024"/>
      <c r="M1082" s="1019"/>
    </row>
    <row r="1083" spans="1:13" s="23" customFormat="1" ht="17.25" customHeight="1">
      <c r="A1083" s="1020" t="s">
        <v>73</v>
      </c>
      <c r="B1083" s="1021" t="s">
        <v>381</v>
      </c>
      <c r="C1083" s="1022"/>
      <c r="D1083" s="1022"/>
      <c r="E1083" s="1022" t="e">
        <f>(E1071+E1072+E1073+E1074+E1075+E1076+E1077+E1078+E1079)-E1082</f>
        <v>#VALUE!</v>
      </c>
      <c r="F1083" s="1060"/>
      <c r="G1083" s="1020" t="s">
        <v>73</v>
      </c>
      <c r="H1083" s="1021" t="s">
        <v>381</v>
      </c>
      <c r="I1083" s="1022"/>
      <c r="J1083" s="1022"/>
      <c r="K1083" s="1022" t="e">
        <f>(K1071+K1072+K1073+K1074+K1075+K1076+K1077+K1078+K1079)-K1082</f>
        <v>#VALUE!</v>
      </c>
      <c r="L1083" s="1024" t="e">
        <f>E1083+K1083</f>
        <v>#VALUE!</v>
      </c>
      <c r="M1083" s="1019"/>
    </row>
    <row r="1084" spans="1:13" s="23" customFormat="1" ht="238.5" customHeight="1">
      <c r="A1084" s="1058"/>
      <c r="B1084" s="1058"/>
      <c r="C1084" s="1058"/>
      <c r="D1084" s="1058"/>
      <c r="E1084" s="1058"/>
      <c r="F1084" s="1058"/>
      <c r="G1084" s="1058"/>
      <c r="H1084" s="1058"/>
      <c r="I1084" s="1058"/>
      <c r="J1084" s="1058"/>
      <c r="K1084" s="1058"/>
      <c r="L1084" s="1024"/>
      <c r="M1084" s="1019"/>
    </row>
    <row r="1085" spans="1:13" s="23" customFormat="1" ht="17.25" customHeight="1">
      <c r="A1085" s="1059" t="str">
        <f>A1068</f>
        <v>LƯƠNG THÁNG 09/2025</v>
      </c>
      <c r="B1085" s="1058"/>
      <c r="C1085" s="1058"/>
      <c r="D1085" s="1058"/>
      <c r="E1085" s="1054">
        <f>VLOOKUP(B1086,'CNKT '!$D$101:$AF$165,26,0)</f>
        <v>6357127</v>
      </c>
      <c r="F1085" s="1055"/>
      <c r="G1085" s="1059" t="str">
        <f>A1085</f>
        <v>LƯƠNG THÁNG 09/2025</v>
      </c>
      <c r="H1085" s="1058"/>
      <c r="I1085" s="1058"/>
      <c r="J1085" s="998"/>
      <c r="K1085" s="1054">
        <f>VLOOKUP(H1086,'CNKT '!$D$101:$AF$165,26,0)</f>
        <v>6263195</v>
      </c>
      <c r="L1085" s="1024"/>
      <c r="M1085" s="1019"/>
    </row>
    <row r="1086" spans="1:13" s="23" customFormat="1" ht="17.25" customHeight="1">
      <c r="A1086" s="1028" t="s">
        <v>13</v>
      </c>
      <c r="B1086" s="1000" t="str">
        <f>'CNKT '!D141</f>
        <v>T. Môn</v>
      </c>
      <c r="C1086" s="1006"/>
      <c r="D1086" s="1000" t="s">
        <v>353</v>
      </c>
      <c r="E1086" s="1000" t="s">
        <v>16</v>
      </c>
      <c r="F1086" s="1055"/>
      <c r="G1086" s="1028" t="s">
        <v>13</v>
      </c>
      <c r="H1086" s="1000" t="str">
        <f>'CNKT '!D142</f>
        <v>Khăn Hạ</v>
      </c>
      <c r="I1086" s="1006"/>
      <c r="J1086" s="1000" t="s">
        <v>353</v>
      </c>
      <c r="K1086" s="1000" t="s">
        <v>16</v>
      </c>
      <c r="L1086" s="1024"/>
      <c r="M1086" s="1019"/>
    </row>
    <row r="1087" spans="1:13" s="23" customFormat="1" ht="17.25" customHeight="1">
      <c r="A1087" s="1004" t="s">
        <v>354</v>
      </c>
      <c r="B1087" s="1005" t="s">
        <v>454</v>
      </c>
      <c r="C1087" s="1006">
        <f>VLOOKUP(B1086,'SẢN LƯỢNG'!$D$98:$AR$160,37,0)</f>
        <v>3222</v>
      </c>
      <c r="D1087" s="1007"/>
      <c r="E1087" s="1007"/>
      <c r="F1087" s="1055"/>
      <c r="G1087" s="1004" t="s">
        <v>354</v>
      </c>
      <c r="H1087" s="1005" t="s">
        <v>454</v>
      </c>
      <c r="I1087" s="1006">
        <f>VLOOKUP(H1086,'SẢN LƯỢNG'!$D$98:$AR$160,37,0)</f>
        <v>3869</v>
      </c>
      <c r="J1087" s="1007"/>
      <c r="K1087" s="1007"/>
      <c r="L1087" s="1024"/>
      <c r="M1087" s="1019"/>
    </row>
    <row r="1088" spans="1:13" s="23" customFormat="1" ht="17.25" customHeight="1">
      <c r="A1088" s="1004" t="s">
        <v>68</v>
      </c>
      <c r="B1088" s="1008" t="s">
        <v>380</v>
      </c>
      <c r="C1088" s="581">
        <f>VLOOKUP(B1086,'CNKT '!$D$100:$AC$165,3,0)</f>
        <v>0</v>
      </c>
      <c r="D1088" s="582">
        <v>25000</v>
      </c>
      <c r="E1088" s="1007">
        <f t="shared" ref="E1088:E1093" si="208">C1088*D1088</f>
        <v>0</v>
      </c>
      <c r="F1088" s="1055"/>
      <c r="G1088" s="1004" t="s">
        <v>68</v>
      </c>
      <c r="H1088" s="1008" t="s">
        <v>380</v>
      </c>
      <c r="I1088" s="581">
        <f>VLOOKUP(H1086,'CNKT '!$D$100:$AC$165,3,0)</f>
        <v>0</v>
      </c>
      <c r="J1088" s="582">
        <v>25000</v>
      </c>
      <c r="K1088" s="1007">
        <f t="shared" ref="K1088:K1093" si="209">I1088*J1088</f>
        <v>0</v>
      </c>
      <c r="L1088" s="1024"/>
      <c r="M1088" s="1019"/>
    </row>
    <row r="1089" spans="1:13" s="23" customFormat="1" ht="17.25" customHeight="1">
      <c r="A1089" s="1004" t="s">
        <v>269</v>
      </c>
      <c r="B1089" s="1009" t="s">
        <v>455</v>
      </c>
      <c r="C1089" s="1010" t="str">
        <f>VLOOKUP(B1086,'CNKT '!$D$100:$AC$165,11,0)</f>
        <v>B</v>
      </c>
      <c r="D1089" s="583">
        <f>46.1*$B$2</f>
        <v>30424.156000000003</v>
      </c>
      <c r="E1089" s="1007" t="e">
        <f t="shared" si="208"/>
        <v>#VALUE!</v>
      </c>
      <c r="F1089" s="1055"/>
      <c r="G1089" s="1004" t="s">
        <v>269</v>
      </c>
      <c r="H1089" s="1009" t="s">
        <v>455</v>
      </c>
      <c r="I1089" s="1010" t="str">
        <f>VLOOKUP(H1086,'CNKT '!$D$100:$AC$165,11,0)</f>
        <v>B</v>
      </c>
      <c r="J1089" s="583">
        <f>46.1*$B$2</f>
        <v>30424.156000000003</v>
      </c>
      <c r="K1089" s="1007" t="e">
        <f t="shared" si="209"/>
        <v>#VALUE!</v>
      </c>
      <c r="L1089" s="1024"/>
      <c r="M1089" s="1019"/>
    </row>
    <row r="1090" spans="1:13" s="23" customFormat="1" ht="17.25" customHeight="1">
      <c r="A1090" s="1004" t="s">
        <v>356</v>
      </c>
      <c r="B1090" s="1009" t="s">
        <v>456</v>
      </c>
      <c r="C1090" s="1010">
        <f>VLOOKUP(B1086,'CNKT '!$D$100:$AC$165,12,0)</f>
        <v>4880418</v>
      </c>
      <c r="D1090" s="582">
        <f>76.9*$B$2</f>
        <v>50750.924000000006</v>
      </c>
      <c r="E1090" s="1007">
        <f t="shared" si="208"/>
        <v>247685723006.23203</v>
      </c>
      <c r="F1090" s="1055"/>
      <c r="G1090" s="1004" t="s">
        <v>356</v>
      </c>
      <c r="H1090" s="1009" t="s">
        <v>456</v>
      </c>
      <c r="I1090" s="1010">
        <f>VLOOKUP(H1086,'CNKT '!$D$100:$AC$165,12,0)</f>
        <v>5079261</v>
      </c>
      <c r="J1090" s="582">
        <f>76.9*$B$2</f>
        <v>50750.924000000006</v>
      </c>
      <c r="K1090" s="1007">
        <f t="shared" si="209"/>
        <v>257777188987.16403</v>
      </c>
      <c r="L1090" s="1024"/>
      <c r="M1090" s="1019"/>
    </row>
    <row r="1091" spans="1:13" s="23" customFormat="1" ht="17.25" customHeight="1">
      <c r="A1091" s="1004" t="s">
        <v>69</v>
      </c>
      <c r="B1091" s="1009" t="s">
        <v>457</v>
      </c>
      <c r="C1091" s="1010">
        <f>VLOOKUP(B1086,'CNKT '!$D$100:$AC$165,8,0)</f>
        <v>1267.6586872955734</v>
      </c>
      <c r="D1091" s="582">
        <f>IF(C1087="A",6.1,IF(C1087="B",5.8,IF(C1087="C",5.5,IF(C1087="C.",5.5,IF(C1087="D",5.2)))))*$B$2</f>
        <v>0</v>
      </c>
      <c r="E1091" s="1007">
        <f t="shared" si="208"/>
        <v>0</v>
      </c>
      <c r="F1091" s="1055"/>
      <c r="G1091" s="1004" t="s">
        <v>69</v>
      </c>
      <c r="H1091" s="1009" t="s">
        <v>457</v>
      </c>
      <c r="I1091" s="1010">
        <f>VLOOKUP(H1086,'CNKT '!$D$100:$AC$165,8,0)</f>
        <v>1301.7778652145021</v>
      </c>
      <c r="J1091" s="582">
        <f>IF(I1087="A",6.1,IF(I1087="B",5.8,IF(I1087="C",5.5,IF(I1087="C.",5.5,IF(I1087="D",5.2)))))*$B$2</f>
        <v>0</v>
      </c>
      <c r="K1091" s="1007">
        <f t="shared" si="209"/>
        <v>0</v>
      </c>
      <c r="L1091" s="1024"/>
      <c r="M1091" s="1019"/>
    </row>
    <row r="1092" spans="1:13" s="23" customFormat="1" ht="17.25" customHeight="1">
      <c r="A1092" s="1064" t="s">
        <v>433</v>
      </c>
      <c r="B1092" s="1065" t="s">
        <v>458</v>
      </c>
      <c r="C1092" s="1066">
        <f>VLOOKUP(B1086,'CNKT '!$D$99:$AC$165,13,0)</f>
        <v>27</v>
      </c>
      <c r="D1092" s="1074">
        <f>92.2*$B$2</f>
        <v>60848.312000000005</v>
      </c>
      <c r="E1092" s="1068">
        <f t="shared" si="208"/>
        <v>1642904.4240000001</v>
      </c>
      <c r="F1092" s="1055"/>
      <c r="G1092" s="1064" t="s">
        <v>433</v>
      </c>
      <c r="H1092" s="1065" t="s">
        <v>458</v>
      </c>
      <c r="I1092" s="1066">
        <f>VLOOKUP(H1086,'CNKT '!$D$99:$AC$165,13,0)</f>
        <v>24</v>
      </c>
      <c r="J1092" s="1074">
        <f>92.2*$B$2</f>
        <v>60848.312000000005</v>
      </c>
      <c r="K1092" s="1068">
        <f t="shared" si="209"/>
        <v>1460359.4880000001</v>
      </c>
      <c r="L1092" s="1024"/>
      <c r="M1092" s="1019"/>
    </row>
    <row r="1093" spans="1:13" s="23" customFormat="1" ht="17.25" customHeight="1">
      <c r="A1093" s="1004" t="s">
        <v>390</v>
      </c>
      <c r="B1093" s="1009" t="s">
        <v>434</v>
      </c>
      <c r="C1093" s="1010">
        <f>VLOOKUP(B1086,'CNKT '!$D$100:$AC$165,14,0)</f>
        <v>1</v>
      </c>
      <c r="D1093" s="582">
        <f>153.6*$B$2</f>
        <v>101369.856</v>
      </c>
      <c r="E1093" s="1007">
        <f t="shared" si="208"/>
        <v>101369.856</v>
      </c>
      <c r="F1093" s="1055"/>
      <c r="G1093" s="1004" t="s">
        <v>390</v>
      </c>
      <c r="H1093" s="1009" t="s">
        <v>434</v>
      </c>
      <c r="I1093" s="1010">
        <f>VLOOKUP(H1086,'CNKT '!$D$100:$AC$165,14,0)</f>
        <v>1</v>
      </c>
      <c r="J1093" s="582">
        <f>153.6*$B$2</f>
        <v>101369.856</v>
      </c>
      <c r="K1093" s="1007">
        <f t="shared" si="209"/>
        <v>101369.856</v>
      </c>
      <c r="L1093" s="1024"/>
      <c r="M1093" s="1019"/>
    </row>
    <row r="1094" spans="1:13" s="23" customFormat="1" ht="17.25" customHeight="1">
      <c r="A1094" s="1064" t="s">
        <v>781</v>
      </c>
      <c r="B1094" s="1065" t="s">
        <v>435</v>
      </c>
      <c r="C1094" s="1066">
        <f>VLOOKUP(B1086,'CNKT '!$D$101:$AC$165,18,0)</f>
        <v>0</v>
      </c>
      <c r="D1094" s="1067">
        <v>100000</v>
      </c>
      <c r="E1094" s="1068">
        <f>C1094*D1094</f>
        <v>0</v>
      </c>
      <c r="F1094" s="1055"/>
      <c r="G1094" s="1064" t="s">
        <v>781</v>
      </c>
      <c r="H1094" s="1065" t="s">
        <v>435</v>
      </c>
      <c r="I1094" s="1066">
        <f>VLOOKUP(H1086,'CNKT '!$D$101:$AC$165,18,0)</f>
        <v>0</v>
      </c>
      <c r="J1094" s="1067">
        <v>100000</v>
      </c>
      <c r="K1094" s="1068">
        <f>I1094*J1094</f>
        <v>0</v>
      </c>
      <c r="L1094" s="1024"/>
      <c r="M1094" s="1019"/>
    </row>
    <row r="1095" spans="1:13" s="23" customFormat="1" ht="17.25" customHeight="1">
      <c r="A1095" s="1004" t="s">
        <v>394</v>
      </c>
      <c r="B1095" s="1009" t="s">
        <v>435</v>
      </c>
      <c r="C1095" s="1010">
        <f>VLOOKUP(B1086,'CNKT '!$D$101:$AC$165,19,0)</f>
        <v>0</v>
      </c>
      <c r="D1095" s="582">
        <v>20000</v>
      </c>
      <c r="E1095" s="1007">
        <f>C1095*D1095</f>
        <v>0</v>
      </c>
      <c r="F1095" s="1055"/>
      <c r="G1095" s="1004" t="s">
        <v>394</v>
      </c>
      <c r="H1095" s="1009" t="s">
        <v>435</v>
      </c>
      <c r="I1095" s="1010">
        <f>VLOOKUP(H1086,'CNKT '!$D$101:$AC$165,19,0)</f>
        <v>0</v>
      </c>
      <c r="J1095" s="582">
        <v>20000</v>
      </c>
      <c r="K1095" s="1007">
        <f>I1095*J1095</f>
        <v>0</v>
      </c>
      <c r="L1095" s="1024"/>
      <c r="M1095" s="1019"/>
    </row>
    <row r="1096" spans="1:13" s="23" customFormat="1" ht="17.25" customHeight="1">
      <c r="A1096" s="1004" t="s">
        <v>731</v>
      </c>
      <c r="B1096" s="1011" t="s">
        <v>732</v>
      </c>
      <c r="C1096" s="1010"/>
      <c r="D1096" s="582"/>
      <c r="E1096" s="1007">
        <f>VLOOKUP(B1086,'CNKT '!$D$101:$AG$165,28,0)</f>
        <v>41</v>
      </c>
      <c r="F1096" s="1055"/>
      <c r="G1096" s="1004" t="s">
        <v>731</v>
      </c>
      <c r="H1096" s="1011" t="s">
        <v>732</v>
      </c>
      <c r="I1096" s="1010"/>
      <c r="J1096" s="582"/>
      <c r="K1096" s="1007">
        <f>VLOOKUP(H1086,'CNKT '!$D$101:$AG$165,28,0)</f>
        <v>42</v>
      </c>
      <c r="L1096" s="1024"/>
      <c r="M1096" s="1019"/>
    </row>
    <row r="1097" spans="1:13" s="23" customFormat="1" ht="17.25" customHeight="1">
      <c r="A1097" s="1012" t="s">
        <v>70</v>
      </c>
      <c r="B1097" s="1013" t="s">
        <v>459</v>
      </c>
      <c r="C1097" s="1014"/>
      <c r="D1097" s="1015"/>
      <c r="E1097" s="1014"/>
      <c r="F1097" s="1055"/>
      <c r="G1097" s="1012" t="s">
        <v>70</v>
      </c>
      <c r="H1097" s="1013" t="s">
        <v>459</v>
      </c>
      <c r="I1097" s="1014"/>
      <c r="J1097" s="1015"/>
      <c r="K1097" s="1014"/>
      <c r="L1097" s="1024"/>
      <c r="M1097" s="1019"/>
    </row>
    <row r="1098" spans="1:13" s="23" customFormat="1" ht="17.25" customHeight="1">
      <c r="A1098" s="1016" t="s">
        <v>71</v>
      </c>
      <c r="B1098" s="1017" t="s">
        <v>460</v>
      </c>
      <c r="C1098" s="1014"/>
      <c r="D1098" s="1014"/>
      <c r="E1098" s="1014"/>
      <c r="F1098" s="1055"/>
      <c r="G1098" s="1016" t="s">
        <v>71</v>
      </c>
      <c r="H1098" s="1017" t="s">
        <v>460</v>
      </c>
      <c r="I1098" s="1014"/>
      <c r="J1098" s="1014"/>
      <c r="K1098" s="1014"/>
      <c r="L1098" s="1024"/>
      <c r="M1098" s="1019"/>
    </row>
    <row r="1099" spans="1:13" s="23" customFormat="1" ht="17.25" customHeight="1">
      <c r="A1099" s="1016" t="s">
        <v>72</v>
      </c>
      <c r="B1099" s="1018" t="s">
        <v>461</v>
      </c>
      <c r="C1099" s="1014"/>
      <c r="D1099" s="1014"/>
      <c r="E1099" s="1007">
        <f>SUM(E1098)</f>
        <v>0</v>
      </c>
      <c r="F1099" s="1060"/>
      <c r="G1099" s="1016" t="s">
        <v>72</v>
      </c>
      <c r="H1099" s="1018" t="s">
        <v>461</v>
      </c>
      <c r="I1099" s="1014"/>
      <c r="J1099" s="1014"/>
      <c r="K1099" s="1007">
        <f>SUM(K1098)</f>
        <v>0</v>
      </c>
      <c r="L1099" s="1024"/>
      <c r="M1099" s="1019"/>
    </row>
    <row r="1100" spans="1:13" s="23" customFormat="1" ht="17.25" customHeight="1">
      <c r="A1100" s="1020" t="s">
        <v>73</v>
      </c>
      <c r="B1100" s="1021" t="s">
        <v>381</v>
      </c>
      <c r="C1100" s="1022"/>
      <c r="D1100" s="1022"/>
      <c r="E1100" s="1022" t="e">
        <f>(E1088+E1089+E1090+E1091+E1092+E1093+E1094+E1095+E1096)-E1099</f>
        <v>#VALUE!</v>
      </c>
      <c r="F1100" s="1060"/>
      <c r="G1100" s="1020" t="s">
        <v>73</v>
      </c>
      <c r="H1100" s="1021" t="s">
        <v>381</v>
      </c>
      <c r="I1100" s="1022"/>
      <c r="J1100" s="1022"/>
      <c r="K1100" s="1022" t="e">
        <f>(K1088+K1089+K1090+K1091+K1092+K1093+K1094+K1095+K1096)-K1099</f>
        <v>#VALUE!</v>
      </c>
      <c r="L1100" s="1024" t="e">
        <f>E1100+K1100</f>
        <v>#VALUE!</v>
      </c>
      <c r="M1100" s="1019"/>
    </row>
    <row r="1101" spans="1:13" s="23" customFormat="1" ht="17.25" customHeight="1">
      <c r="A1101" s="1058"/>
      <c r="B1101" s="1058"/>
      <c r="C1101" s="1058"/>
      <c r="D1101" s="1058"/>
      <c r="E1101" s="1058"/>
      <c r="F1101" s="1058"/>
      <c r="G1101" s="1058"/>
      <c r="H1101" s="1058"/>
      <c r="I1101" s="1058"/>
      <c r="J1101" s="1058"/>
      <c r="K1101" s="1058"/>
      <c r="L1101" s="1024"/>
      <c r="M1101" s="1019"/>
    </row>
    <row r="1102" spans="1:13" s="23" customFormat="1" ht="17.25" customHeight="1">
      <c r="A1102" s="1059" t="str">
        <f>A1085</f>
        <v>LƯƠNG THÁNG 09/2025</v>
      </c>
      <c r="B1102" s="1058"/>
      <c r="C1102" s="1058"/>
      <c r="D1102" s="1058"/>
      <c r="E1102" s="1054">
        <f>VLOOKUP(B1103,'CNKT '!$D$101:$AF$165,26,0)</f>
        <v>7788853</v>
      </c>
      <c r="F1102" s="1055"/>
      <c r="G1102" s="1059" t="str">
        <f>A1102</f>
        <v>LƯƠNG THÁNG 09/2025</v>
      </c>
      <c r="H1102" s="1058"/>
      <c r="I1102" s="1058"/>
      <c r="J1102" s="998"/>
      <c r="K1102" s="1054">
        <f>VLOOKUP(H1103,'CNKT '!$D$101:$AF$165,26,0)</f>
        <v>6084062</v>
      </c>
      <c r="L1102" s="1024"/>
      <c r="M1102" s="1019"/>
    </row>
    <row r="1103" spans="1:13" s="23" customFormat="1" ht="17.25" customHeight="1">
      <c r="A1103" s="1028" t="s">
        <v>13</v>
      </c>
      <c r="B1103" s="1000" t="str">
        <f>'CNKT '!D143</f>
        <v>T. Chăn La .</v>
      </c>
      <c r="C1103" s="1006"/>
      <c r="D1103" s="1000" t="s">
        <v>353</v>
      </c>
      <c r="E1103" s="1000" t="s">
        <v>16</v>
      </c>
      <c r="F1103" s="1055"/>
      <c r="G1103" s="1028" t="s">
        <v>13</v>
      </c>
      <c r="H1103" s="1000" t="str">
        <f>'CNKT '!D144</f>
        <v>T. Nú</v>
      </c>
      <c r="I1103" s="1006"/>
      <c r="J1103" s="1000" t="s">
        <v>353</v>
      </c>
      <c r="K1103" s="1000" t="s">
        <v>16</v>
      </c>
      <c r="L1103" s="1024"/>
      <c r="M1103" s="1019"/>
    </row>
    <row r="1104" spans="1:13" s="23" customFormat="1" ht="17.25" customHeight="1">
      <c r="A1104" s="1004" t="s">
        <v>354</v>
      </c>
      <c r="B1104" s="1005" t="s">
        <v>454</v>
      </c>
      <c r="C1104" s="1006">
        <f>VLOOKUP(B1103,'SẢN LƯỢNG'!$D$98:$AR$160,37,0)</f>
        <v>3132</v>
      </c>
      <c r="D1104" s="1007"/>
      <c r="E1104" s="1007"/>
      <c r="F1104" s="1055"/>
      <c r="G1104" s="1004" t="s">
        <v>354</v>
      </c>
      <c r="H1104" s="1005" t="s">
        <v>454</v>
      </c>
      <c r="I1104" s="1006">
        <f>VLOOKUP(H1103,'SẢN LƯỢNG'!$D$98:$AR$160,37,0)</f>
        <v>3828</v>
      </c>
      <c r="J1104" s="1007"/>
      <c r="K1104" s="1007"/>
      <c r="L1104" s="1024"/>
      <c r="M1104" s="1019"/>
    </row>
    <row r="1105" spans="1:13" s="23" customFormat="1" ht="17.25" customHeight="1">
      <c r="A1105" s="1004" t="s">
        <v>68</v>
      </c>
      <c r="B1105" s="1008" t="s">
        <v>380</v>
      </c>
      <c r="C1105" s="581">
        <f>VLOOKUP(B1103,'CNKT '!$D$100:$AC$165,3,0)</f>
        <v>0</v>
      </c>
      <c r="D1105" s="582">
        <v>25000</v>
      </c>
      <c r="E1105" s="1007">
        <f t="shared" ref="E1105:E1110" si="210">C1105*D1105</f>
        <v>0</v>
      </c>
      <c r="F1105" s="1055"/>
      <c r="G1105" s="1004" t="s">
        <v>68</v>
      </c>
      <c r="H1105" s="1008" t="s">
        <v>380</v>
      </c>
      <c r="I1105" s="581">
        <f>VLOOKUP(H1103,'CNKT '!$D$100:$AC$165,3,0)</f>
        <v>0</v>
      </c>
      <c r="J1105" s="582">
        <v>25000</v>
      </c>
      <c r="K1105" s="1007">
        <f t="shared" ref="K1105:K1110" si="211">I1105*J1105</f>
        <v>0</v>
      </c>
      <c r="L1105" s="1024"/>
      <c r="M1105" s="1019"/>
    </row>
    <row r="1106" spans="1:13" s="23" customFormat="1" ht="17.25" customHeight="1">
      <c r="A1106" s="1004" t="s">
        <v>269</v>
      </c>
      <c r="B1106" s="1009" t="s">
        <v>455</v>
      </c>
      <c r="C1106" s="1010" t="str">
        <f>VLOOKUP(B1103,'CNKT '!$D$100:$AC$165,11,0)</f>
        <v>A</v>
      </c>
      <c r="D1106" s="583">
        <f>46.1*$B$2</f>
        <v>30424.156000000003</v>
      </c>
      <c r="E1106" s="1007" t="e">
        <f t="shared" si="210"/>
        <v>#VALUE!</v>
      </c>
      <c r="F1106" s="1055"/>
      <c r="G1106" s="1004" t="s">
        <v>269</v>
      </c>
      <c r="H1106" s="1009" t="s">
        <v>455</v>
      </c>
      <c r="I1106" s="1010" t="str">
        <f>VLOOKUP(H1103,'CNKT '!$D$100:$AC$165,11,0)</f>
        <v>B</v>
      </c>
      <c r="J1106" s="583">
        <f>46.1*$B$2</f>
        <v>30424.156000000003</v>
      </c>
      <c r="K1106" s="1007" t="e">
        <f t="shared" si="211"/>
        <v>#VALUE!</v>
      </c>
      <c r="L1106" s="1024"/>
      <c r="M1106" s="1019"/>
    </row>
    <row r="1107" spans="1:13" s="23" customFormat="1" ht="17.25" customHeight="1">
      <c r="A1107" s="1004" t="s">
        <v>356</v>
      </c>
      <c r="B1107" s="1009" t="s">
        <v>456</v>
      </c>
      <c r="C1107" s="1010">
        <f>VLOOKUP(B1103,'CNKT '!$D$100:$AC$165,12,0)</f>
        <v>6342568</v>
      </c>
      <c r="D1107" s="582">
        <f>76.9*$B$2</f>
        <v>50750.924000000006</v>
      </c>
      <c r="E1107" s="1007">
        <f t="shared" si="210"/>
        <v>321891186532.83203</v>
      </c>
      <c r="F1107" s="1055"/>
      <c r="G1107" s="1004" t="s">
        <v>356</v>
      </c>
      <c r="H1107" s="1009" t="s">
        <v>456</v>
      </c>
      <c r="I1107" s="1010">
        <f>VLOOKUP(H1103,'CNKT '!$D$100:$AC$165,12,0)</f>
        <v>4869703</v>
      </c>
      <c r="J1107" s="582">
        <f>76.9*$B$2</f>
        <v>50750.924000000006</v>
      </c>
      <c r="K1107" s="1007">
        <f t="shared" si="211"/>
        <v>247141926855.57202</v>
      </c>
      <c r="L1107" s="1024"/>
      <c r="M1107" s="1019"/>
    </row>
    <row r="1108" spans="1:13" s="23" customFormat="1" ht="17.25" customHeight="1">
      <c r="A1108" s="1004" t="s">
        <v>69</v>
      </c>
      <c r="B1108" s="1009" t="s">
        <v>457</v>
      </c>
      <c r="C1108" s="1010">
        <f>VLOOKUP(B1103,'CNKT '!$D$100:$AC$165,8,0)</f>
        <v>1595.290280388874</v>
      </c>
      <c r="D1108" s="582">
        <f>IF(C1104="A",6.1,IF(C1104="B",5.8,IF(C1104="C",5.5,IF(C1104="C.",5.5,IF(C1104="D",5.2)))))*$B$2</f>
        <v>0</v>
      </c>
      <c r="E1108" s="1007">
        <f t="shared" si="210"/>
        <v>0</v>
      </c>
      <c r="F1108" s="1055"/>
      <c r="G1108" s="1004" t="s">
        <v>69</v>
      </c>
      <c r="H1108" s="1009" t="s">
        <v>457</v>
      </c>
      <c r="I1108" s="1010">
        <f>VLOOKUP(H1103,'CNKT '!$D$100:$AC$165,8,0)</f>
        <v>1244.0377179670845</v>
      </c>
      <c r="J1108" s="582">
        <f>IF(I1104="A",6.1,IF(I1104="B",5.8,IF(I1104="C",5.5,IF(I1104="C.",5.5,IF(I1104="D",5.2)))))*$B$2</f>
        <v>0</v>
      </c>
      <c r="K1108" s="1007">
        <f t="shared" si="211"/>
        <v>0</v>
      </c>
      <c r="L1108" s="1024"/>
      <c r="M1108" s="1019"/>
    </row>
    <row r="1109" spans="1:13" s="23" customFormat="1" ht="17.25" customHeight="1">
      <c r="A1109" s="1064" t="s">
        <v>433</v>
      </c>
      <c r="B1109" s="1065" t="s">
        <v>458</v>
      </c>
      <c r="C1109" s="1066">
        <f>VLOOKUP(B1103,'CNKT '!$D$99:$AC$165,13,0)</f>
        <v>26</v>
      </c>
      <c r="D1109" s="1074">
        <f>92.2*$B$2</f>
        <v>60848.312000000005</v>
      </c>
      <c r="E1109" s="1068">
        <f t="shared" si="210"/>
        <v>1582056.1120000002</v>
      </c>
      <c r="F1109" s="1055"/>
      <c r="G1109" s="1064" t="s">
        <v>433</v>
      </c>
      <c r="H1109" s="1065" t="s">
        <v>458</v>
      </c>
      <c r="I1109" s="1066">
        <f>VLOOKUP(H1103,'CNKT '!$D$99:$AC$165,13,0)</f>
        <v>25</v>
      </c>
      <c r="J1109" s="1074">
        <f>92.2*$B$2</f>
        <v>60848.312000000005</v>
      </c>
      <c r="K1109" s="1068">
        <f t="shared" si="211"/>
        <v>1521207.8</v>
      </c>
      <c r="L1109" s="1024"/>
      <c r="M1109" s="1019"/>
    </row>
    <row r="1110" spans="1:13" s="23" customFormat="1" ht="17.25" customHeight="1">
      <c r="A1110" s="1004" t="s">
        <v>390</v>
      </c>
      <c r="B1110" s="1009" t="s">
        <v>434</v>
      </c>
      <c r="C1110" s="1010">
        <f>VLOOKUP(B1103,'CNKT '!$D$100:$AC$165,14,0)</f>
        <v>1</v>
      </c>
      <c r="D1110" s="582">
        <f>153.6*$B$2</f>
        <v>101369.856</v>
      </c>
      <c r="E1110" s="1007">
        <f t="shared" si="210"/>
        <v>101369.856</v>
      </c>
      <c r="F1110" s="1055"/>
      <c r="G1110" s="1004" t="s">
        <v>390</v>
      </c>
      <c r="H1110" s="1009" t="s">
        <v>434</v>
      </c>
      <c r="I1110" s="1010">
        <f>VLOOKUP(H1103,'CNKT '!$D$100:$AC$165,14,0)</f>
        <v>1</v>
      </c>
      <c r="J1110" s="582">
        <f>153.6*$B$2</f>
        <v>101369.856</v>
      </c>
      <c r="K1110" s="1007">
        <f t="shared" si="211"/>
        <v>101369.856</v>
      </c>
      <c r="L1110" s="1024"/>
      <c r="M1110" s="1019"/>
    </row>
    <row r="1111" spans="1:13" s="23" customFormat="1" ht="17.25" customHeight="1">
      <c r="A1111" s="1064" t="s">
        <v>781</v>
      </c>
      <c r="B1111" s="1065" t="s">
        <v>435</v>
      </c>
      <c r="C1111" s="1066">
        <f>VLOOKUP(B1103,'CNKT '!$D$101:$AC$165,18,0)</f>
        <v>0</v>
      </c>
      <c r="D1111" s="1067">
        <v>100000</v>
      </c>
      <c r="E1111" s="1068">
        <f>C1111*D1111</f>
        <v>0</v>
      </c>
      <c r="F1111" s="1055"/>
      <c r="G1111" s="1064" t="s">
        <v>781</v>
      </c>
      <c r="H1111" s="1065" t="s">
        <v>435</v>
      </c>
      <c r="I1111" s="1066">
        <f>VLOOKUP(H1103,'CNKT '!$D$101:$AC$165,18,0)</f>
        <v>0</v>
      </c>
      <c r="J1111" s="1067">
        <v>100000</v>
      </c>
      <c r="K1111" s="1068">
        <f>I1111*J1111</f>
        <v>0</v>
      </c>
      <c r="L1111" s="1024"/>
      <c r="M1111" s="1019"/>
    </row>
    <row r="1112" spans="1:13" s="23" customFormat="1" ht="17.25" customHeight="1">
      <c r="A1112" s="1004" t="s">
        <v>394</v>
      </c>
      <c r="B1112" s="1009" t="s">
        <v>435</v>
      </c>
      <c r="C1112" s="1010">
        <f>VLOOKUP(B1103,'CNKT '!$D$101:$AC$165,19,0)</f>
        <v>0</v>
      </c>
      <c r="D1112" s="582">
        <v>20000</v>
      </c>
      <c r="E1112" s="1007">
        <f>C1112*D1112</f>
        <v>0</v>
      </c>
      <c r="F1112" s="1055"/>
      <c r="G1112" s="1004" t="s">
        <v>394</v>
      </c>
      <c r="H1112" s="1009" t="s">
        <v>435</v>
      </c>
      <c r="I1112" s="1010">
        <f>VLOOKUP(H1103,'CNKT '!$D$101:$AC$165,19,0)</f>
        <v>0</v>
      </c>
      <c r="J1112" s="582">
        <v>20000</v>
      </c>
      <c r="K1112" s="1007">
        <f>I1112*J1112</f>
        <v>0</v>
      </c>
      <c r="L1112" s="1024"/>
      <c r="M1112" s="1019"/>
    </row>
    <row r="1113" spans="1:13" s="23" customFormat="1" ht="17.25" customHeight="1">
      <c r="A1113" s="1004" t="s">
        <v>731</v>
      </c>
      <c r="B1113" s="1011" t="s">
        <v>732</v>
      </c>
      <c r="C1113" s="1010"/>
      <c r="D1113" s="582"/>
      <c r="E1113" s="1007">
        <f>VLOOKUP(B1103,'CNKT '!$D$101:$AG$165,28,0)</f>
        <v>43</v>
      </c>
      <c r="F1113" s="1055"/>
      <c r="G1113" s="1004" t="s">
        <v>731</v>
      </c>
      <c r="H1113" s="1011" t="s">
        <v>732</v>
      </c>
      <c r="I1113" s="1010"/>
      <c r="J1113" s="582"/>
      <c r="K1113" s="1007">
        <f>VLOOKUP(H1103,'CNKT '!$D$101:$AG$165,28,0)</f>
        <v>44</v>
      </c>
      <c r="L1113" s="1024"/>
      <c r="M1113" s="1019"/>
    </row>
    <row r="1114" spans="1:13" s="23" customFormat="1" ht="17.25" customHeight="1">
      <c r="A1114" s="1012" t="s">
        <v>70</v>
      </c>
      <c r="B1114" s="1013" t="s">
        <v>459</v>
      </c>
      <c r="C1114" s="1014"/>
      <c r="D1114" s="1015"/>
      <c r="E1114" s="1014"/>
      <c r="F1114" s="1055"/>
      <c r="G1114" s="1012" t="s">
        <v>70</v>
      </c>
      <c r="H1114" s="1013" t="s">
        <v>459</v>
      </c>
      <c r="I1114" s="1014"/>
      <c r="J1114" s="1015"/>
      <c r="K1114" s="1014"/>
      <c r="L1114" s="1024"/>
      <c r="M1114" s="1019"/>
    </row>
    <row r="1115" spans="1:13" s="23" customFormat="1" ht="17.25" customHeight="1">
      <c r="A1115" s="1016" t="s">
        <v>71</v>
      </c>
      <c r="B1115" s="1017" t="s">
        <v>460</v>
      </c>
      <c r="C1115" s="1014"/>
      <c r="D1115" s="1014"/>
      <c r="E1115" s="1014"/>
      <c r="F1115" s="1055"/>
      <c r="G1115" s="1016" t="s">
        <v>71</v>
      </c>
      <c r="H1115" s="1017" t="s">
        <v>460</v>
      </c>
      <c r="I1115" s="1014"/>
      <c r="J1115" s="1014"/>
      <c r="K1115" s="1014"/>
      <c r="L1115" s="1024"/>
      <c r="M1115" s="1019"/>
    </row>
    <row r="1116" spans="1:13" s="23" customFormat="1" ht="17.25" customHeight="1">
      <c r="A1116" s="1016" t="s">
        <v>72</v>
      </c>
      <c r="B1116" s="1018" t="s">
        <v>461</v>
      </c>
      <c r="C1116" s="1014"/>
      <c r="D1116" s="1014"/>
      <c r="E1116" s="1007">
        <f>SUM(E1115)</f>
        <v>0</v>
      </c>
      <c r="F1116" s="1060"/>
      <c r="G1116" s="1016" t="s">
        <v>72</v>
      </c>
      <c r="H1116" s="1018" t="s">
        <v>461</v>
      </c>
      <c r="I1116" s="1014"/>
      <c r="J1116" s="1014"/>
      <c r="K1116" s="1007">
        <f>SUM(K1115)</f>
        <v>0</v>
      </c>
      <c r="L1116" s="1024"/>
      <c r="M1116" s="1019"/>
    </row>
    <row r="1117" spans="1:13" s="23" customFormat="1" ht="17.25" customHeight="1">
      <c r="A1117" s="1020" t="s">
        <v>73</v>
      </c>
      <c r="B1117" s="1021" t="s">
        <v>381</v>
      </c>
      <c r="C1117" s="1022"/>
      <c r="D1117" s="1022"/>
      <c r="E1117" s="1022" t="e">
        <f>(E1105+E1106+E1107+E1108+E1109+E1110+E1111+E1112+E1113)-E1116</f>
        <v>#VALUE!</v>
      </c>
      <c r="F1117" s="1060"/>
      <c r="G1117" s="1020" t="s">
        <v>73</v>
      </c>
      <c r="H1117" s="1021" t="s">
        <v>381</v>
      </c>
      <c r="I1117" s="1022"/>
      <c r="J1117" s="1022"/>
      <c r="K1117" s="1022" t="e">
        <f>(K1105+K1106+K1107+K1108+K1109+K1110+K1111+K1112+K1113)-K1116</f>
        <v>#VALUE!</v>
      </c>
      <c r="L1117" s="1024" t="e">
        <f>E1117+K1117</f>
        <v>#VALUE!</v>
      </c>
      <c r="M1117" s="1019"/>
    </row>
    <row r="1118" spans="1:13" s="23" customFormat="1" ht="17.25" customHeight="1">
      <c r="A1118" s="1058"/>
      <c r="B1118" s="1058"/>
      <c r="C1118" s="1058"/>
      <c r="D1118" s="1058"/>
      <c r="E1118" s="1058"/>
      <c r="F1118" s="1058"/>
      <c r="G1118" s="1058"/>
      <c r="H1118" s="1058"/>
      <c r="I1118" s="1058"/>
      <c r="J1118" s="1058"/>
      <c r="K1118" s="1058"/>
      <c r="L1118" s="1024"/>
      <c r="M1118" s="1019"/>
    </row>
    <row r="1119" spans="1:13" s="23" customFormat="1" ht="17.25" customHeight="1">
      <c r="A1119" s="1059" t="str">
        <f>A1102</f>
        <v>LƯƠNG THÁNG 09/2025</v>
      </c>
      <c r="B1119" s="1058"/>
      <c r="C1119" s="1058"/>
      <c r="D1119" s="1058"/>
      <c r="E1119" s="1054">
        <f>VLOOKUP(B1120,'CNKT '!$D$101:$AF$165,26,0)</f>
        <v>8029583</v>
      </c>
      <c r="F1119" s="1055"/>
      <c r="G1119" s="1059" t="str">
        <f>A1119</f>
        <v>LƯƠNG THÁNG 09/2025</v>
      </c>
      <c r="H1119" s="1058"/>
      <c r="I1119" s="1058"/>
      <c r="J1119" s="998"/>
      <c r="K1119" s="1054">
        <f>VLOOKUP(H1120,'CNKT '!$D$101:$AF$165,26,0)</f>
        <v>9385617</v>
      </c>
      <c r="L1119" s="1024"/>
      <c r="M1119" s="1019"/>
    </row>
    <row r="1120" spans="1:13" s="23" customFormat="1" ht="17.25" customHeight="1">
      <c r="A1120" s="1028" t="s">
        <v>13</v>
      </c>
      <c r="B1120" s="1000" t="str">
        <f>'CNKT '!D145</f>
        <v>T. Xan Nha</v>
      </c>
      <c r="C1120" s="1006"/>
      <c r="D1120" s="1000" t="s">
        <v>353</v>
      </c>
      <c r="E1120" s="1000" t="s">
        <v>16</v>
      </c>
      <c r="F1120" s="1055"/>
      <c r="G1120" s="1028" t="s">
        <v>13</v>
      </c>
      <c r="H1120" s="1000" t="str">
        <f>'CNKT '!D146</f>
        <v>T. A lem</v>
      </c>
      <c r="I1120" s="1006"/>
      <c r="J1120" s="1000" t="s">
        <v>353</v>
      </c>
      <c r="K1120" s="1000" t="s">
        <v>16</v>
      </c>
      <c r="L1120" s="1024"/>
      <c r="M1120" s="1019"/>
    </row>
    <row r="1121" spans="1:13" s="23" customFormat="1" ht="17.25" customHeight="1">
      <c r="A1121" s="1004" t="s">
        <v>354</v>
      </c>
      <c r="B1121" s="1005" t="s">
        <v>454</v>
      </c>
      <c r="C1121" s="1006">
        <f>VLOOKUP(B1120,'SẢN LƯỢNG'!$D$98:$AR$160,37,0)</f>
        <v>3602</v>
      </c>
      <c r="D1121" s="1007"/>
      <c r="E1121" s="1007"/>
      <c r="F1121" s="1055"/>
      <c r="G1121" s="1004" t="s">
        <v>354</v>
      </c>
      <c r="H1121" s="1005" t="s">
        <v>454</v>
      </c>
      <c r="I1121" s="1006">
        <f>VLOOKUP(H1120,'SẢN LƯỢNG'!$D$98:$AR$160,37,0)</f>
        <v>3622</v>
      </c>
      <c r="J1121" s="1007"/>
      <c r="K1121" s="1007"/>
      <c r="L1121" s="1024"/>
      <c r="M1121" s="1019"/>
    </row>
    <row r="1122" spans="1:13" s="23" customFormat="1" ht="17.25" customHeight="1">
      <c r="A1122" s="1004" t="s">
        <v>68</v>
      </c>
      <c r="B1122" s="1008" t="s">
        <v>380</v>
      </c>
      <c r="C1122" s="581">
        <f>VLOOKUP(B1120,'CNKT '!$D$100:$AC$165,3,0)</f>
        <v>0</v>
      </c>
      <c r="D1122" s="582">
        <v>25000</v>
      </c>
      <c r="E1122" s="1007">
        <f t="shared" ref="E1122:E1127" si="212">C1122*D1122</f>
        <v>0</v>
      </c>
      <c r="F1122" s="1055"/>
      <c r="G1122" s="1004" t="s">
        <v>68</v>
      </c>
      <c r="H1122" s="1008" t="s">
        <v>380</v>
      </c>
      <c r="I1122" s="581">
        <f>VLOOKUP(H1120,'CNKT '!$D$100:$AC$165,3,0)</f>
        <v>0</v>
      </c>
      <c r="J1122" s="582">
        <v>25000</v>
      </c>
      <c r="K1122" s="1007">
        <f t="shared" ref="K1122:K1127" si="213">I1122*J1122</f>
        <v>0</v>
      </c>
      <c r="L1122" s="1024"/>
      <c r="M1122" s="1019"/>
    </row>
    <row r="1123" spans="1:13" s="23" customFormat="1" ht="17.25" customHeight="1">
      <c r="A1123" s="1004" t="s">
        <v>269</v>
      </c>
      <c r="B1123" s="1009" t="s">
        <v>455</v>
      </c>
      <c r="C1123" s="1010" t="str">
        <f>VLOOKUP(B1120,'CNKT '!$D$100:$AC$165,11,0)</f>
        <v>B</v>
      </c>
      <c r="D1123" s="583">
        <f>46.1*$B$2</f>
        <v>30424.156000000003</v>
      </c>
      <c r="E1123" s="1007" t="e">
        <f t="shared" si="212"/>
        <v>#VALUE!</v>
      </c>
      <c r="F1123" s="1055"/>
      <c r="G1123" s="1004" t="s">
        <v>269</v>
      </c>
      <c r="H1123" s="1009" t="s">
        <v>455</v>
      </c>
      <c r="I1123" s="1010" t="str">
        <f>VLOOKUP(H1120,'CNKT '!$D$100:$AC$165,11,0)</f>
        <v>A</v>
      </c>
      <c r="J1123" s="583">
        <f>46.1*$B$2</f>
        <v>30424.156000000003</v>
      </c>
      <c r="K1123" s="1007" t="e">
        <f t="shared" si="213"/>
        <v>#VALUE!</v>
      </c>
      <c r="L1123" s="1024"/>
      <c r="M1123" s="1019"/>
    </row>
    <row r="1124" spans="1:13" s="23" customFormat="1" ht="17.25" customHeight="1">
      <c r="A1124" s="1004" t="s">
        <v>356</v>
      </c>
      <c r="B1124" s="1009" t="s">
        <v>456</v>
      </c>
      <c r="C1124" s="1010">
        <f>VLOOKUP(B1120,'CNKT '!$D$100:$AC$165,12,0)</f>
        <v>6583298</v>
      </c>
      <c r="D1124" s="582">
        <f>76.9*$B$2</f>
        <v>50750.924000000006</v>
      </c>
      <c r="E1124" s="1007">
        <f t="shared" si="212"/>
        <v>334108456467.35205</v>
      </c>
      <c r="F1124" s="1055"/>
      <c r="G1124" s="1004" t="s">
        <v>356</v>
      </c>
      <c r="H1124" s="1009" t="s">
        <v>456</v>
      </c>
      <c r="I1124" s="1010">
        <f>VLOOKUP(H1120,'CNKT '!$D$100:$AC$165,12,0)</f>
        <v>7969757</v>
      </c>
      <c r="J1124" s="582">
        <f>76.9*$B$2</f>
        <v>50750.924000000006</v>
      </c>
      <c r="K1124" s="1007">
        <f t="shared" si="213"/>
        <v>404472531805.46808</v>
      </c>
      <c r="L1124" s="1024"/>
      <c r="M1124" s="1019"/>
    </row>
    <row r="1125" spans="1:13" s="23" customFormat="1" ht="17.25" customHeight="1">
      <c r="A1125" s="1004" t="s">
        <v>69</v>
      </c>
      <c r="B1125" s="1009" t="s">
        <v>457</v>
      </c>
      <c r="C1125" s="1010">
        <f>VLOOKUP(B1120,'CNKT '!$D$100:$AC$165,8,0)</f>
        <v>1735.2663949280677</v>
      </c>
      <c r="D1125" s="582">
        <f>IF(C1121="A",6.1,IF(C1121="B",5.8,IF(C1121="C",5.5,IF(C1121="C.",5.5,IF(C1121="D",5.2)))))*$B$2</f>
        <v>0</v>
      </c>
      <c r="E1125" s="1007">
        <f t="shared" si="212"/>
        <v>0</v>
      </c>
      <c r="F1125" s="1055"/>
      <c r="G1125" s="1004" t="s">
        <v>69</v>
      </c>
      <c r="H1125" s="1009" t="s">
        <v>457</v>
      </c>
      <c r="I1125" s="1010">
        <f>VLOOKUP(H1120,'CNKT '!$D$100:$AC$165,8,0)</f>
        <v>2015.2186240064552</v>
      </c>
      <c r="J1125" s="582">
        <f>IF(I1121="A",6.1,IF(I1121="B",5.8,IF(I1121="C",5.5,IF(I1121="C.",5.5,IF(I1121="D",5.2)))))*$B$2</f>
        <v>0</v>
      </c>
      <c r="K1125" s="1007">
        <f t="shared" si="213"/>
        <v>0</v>
      </c>
      <c r="L1125" s="1024"/>
      <c r="M1125" s="1019"/>
    </row>
    <row r="1126" spans="1:13" s="23" customFormat="1" ht="17.25" customHeight="1">
      <c r="A1126" s="1064" t="s">
        <v>433</v>
      </c>
      <c r="B1126" s="1065" t="s">
        <v>458</v>
      </c>
      <c r="C1126" s="1066">
        <f>VLOOKUP(B1120,'CNKT '!$D$99:$AC$165,13,0)</f>
        <v>26</v>
      </c>
      <c r="D1126" s="1074">
        <f>92.2*$B$2</f>
        <v>60848.312000000005</v>
      </c>
      <c r="E1126" s="1068">
        <f t="shared" si="212"/>
        <v>1582056.1120000002</v>
      </c>
      <c r="F1126" s="1055"/>
      <c r="G1126" s="1064" t="s">
        <v>433</v>
      </c>
      <c r="H1126" s="1065" t="s">
        <v>458</v>
      </c>
      <c r="I1126" s="1066">
        <f>VLOOKUP(H1120,'CNKT '!$D$99:$AC$165,13,0)</f>
        <v>25</v>
      </c>
      <c r="J1126" s="1074">
        <f>92.2*$B$2</f>
        <v>60848.312000000005</v>
      </c>
      <c r="K1126" s="1068">
        <f t="shared" si="213"/>
        <v>1521207.8</v>
      </c>
      <c r="L1126" s="1024"/>
      <c r="M1126" s="1019"/>
    </row>
    <row r="1127" spans="1:13" s="23" customFormat="1" ht="17.25" customHeight="1">
      <c r="A1127" s="1004" t="s">
        <v>390</v>
      </c>
      <c r="B1127" s="1009" t="s">
        <v>434</v>
      </c>
      <c r="C1127" s="1010">
        <f>VLOOKUP(B1120,'CNKT '!$D$100:$AC$165,14,0)</f>
        <v>1</v>
      </c>
      <c r="D1127" s="582">
        <f>153.6*$B$2</f>
        <v>101369.856</v>
      </c>
      <c r="E1127" s="1007">
        <f t="shared" si="212"/>
        <v>101369.856</v>
      </c>
      <c r="F1127" s="1055"/>
      <c r="G1127" s="1004" t="s">
        <v>390</v>
      </c>
      <c r="H1127" s="1009" t="s">
        <v>434</v>
      </c>
      <c r="I1127" s="1010">
        <f>VLOOKUP(H1120,'CNKT '!$D$100:$AC$165,14,0)</f>
        <v>1</v>
      </c>
      <c r="J1127" s="582">
        <f>153.6*$B$2</f>
        <v>101369.856</v>
      </c>
      <c r="K1127" s="1007">
        <f t="shared" si="213"/>
        <v>101369.856</v>
      </c>
      <c r="L1127" s="1024"/>
      <c r="M1127" s="1019"/>
    </row>
    <row r="1128" spans="1:13" s="23" customFormat="1" ht="17.25" customHeight="1">
      <c r="A1128" s="1064" t="s">
        <v>781</v>
      </c>
      <c r="B1128" s="1065" t="s">
        <v>435</v>
      </c>
      <c r="C1128" s="1066">
        <f>VLOOKUP(B1120,'CNKT '!$D$101:$AC$165,18,0)</f>
        <v>0</v>
      </c>
      <c r="D1128" s="1067">
        <v>100000</v>
      </c>
      <c r="E1128" s="1068">
        <f>C1128*D1128</f>
        <v>0</v>
      </c>
      <c r="F1128" s="1055"/>
      <c r="G1128" s="1064" t="s">
        <v>781</v>
      </c>
      <c r="H1128" s="1065" t="s">
        <v>435</v>
      </c>
      <c r="I1128" s="1066">
        <f>VLOOKUP(H1120,'CNKT '!$D$101:$AC$165,18,0)</f>
        <v>0</v>
      </c>
      <c r="J1128" s="1067">
        <v>100000</v>
      </c>
      <c r="K1128" s="1068">
        <f>I1128*J1128</f>
        <v>0</v>
      </c>
      <c r="L1128" s="1024"/>
      <c r="M1128" s="1019"/>
    </row>
    <row r="1129" spans="1:13" s="23" customFormat="1" ht="17.25" customHeight="1">
      <c r="A1129" s="1004" t="s">
        <v>394</v>
      </c>
      <c r="B1129" s="1009" t="s">
        <v>435</v>
      </c>
      <c r="C1129" s="1010">
        <f>VLOOKUP(B1120,'CNKT '!$D$101:$AC$165,19,0)</f>
        <v>0</v>
      </c>
      <c r="D1129" s="582">
        <v>20000</v>
      </c>
      <c r="E1129" s="1007">
        <f>C1129*D1129</f>
        <v>0</v>
      </c>
      <c r="F1129" s="1055"/>
      <c r="G1129" s="1004" t="s">
        <v>394</v>
      </c>
      <c r="H1129" s="1009" t="s">
        <v>435</v>
      </c>
      <c r="I1129" s="1010">
        <f>VLOOKUP(H1120,'CNKT '!$D$101:$AC$165,19,0)</f>
        <v>0</v>
      </c>
      <c r="J1129" s="582">
        <v>20000</v>
      </c>
      <c r="K1129" s="1007">
        <f>I1129*J1129</f>
        <v>0</v>
      </c>
      <c r="L1129" s="1024"/>
      <c r="M1129" s="1019"/>
    </row>
    <row r="1130" spans="1:13" s="23" customFormat="1" ht="17.25" customHeight="1">
      <c r="A1130" s="1004" t="s">
        <v>731</v>
      </c>
      <c r="B1130" s="1011" t="s">
        <v>732</v>
      </c>
      <c r="C1130" s="1010"/>
      <c r="D1130" s="582"/>
      <c r="E1130" s="1007">
        <f>VLOOKUP(B1120,'CNKT '!$D$101:$AG$165,28,0)</f>
        <v>45</v>
      </c>
      <c r="F1130" s="1055"/>
      <c r="G1130" s="1004" t="s">
        <v>731</v>
      </c>
      <c r="H1130" s="1011" t="s">
        <v>732</v>
      </c>
      <c r="I1130" s="1010"/>
      <c r="J1130" s="582"/>
      <c r="K1130" s="1007">
        <f>VLOOKUP(H1120,'CNKT '!$D$101:$AG$165,28,0)</f>
        <v>46</v>
      </c>
      <c r="L1130" s="1024"/>
      <c r="M1130" s="1019"/>
    </row>
    <row r="1131" spans="1:13" s="23" customFormat="1" ht="17.25" customHeight="1">
      <c r="A1131" s="1012" t="s">
        <v>70</v>
      </c>
      <c r="B1131" s="1013" t="s">
        <v>459</v>
      </c>
      <c r="C1131" s="1014"/>
      <c r="D1131" s="1015"/>
      <c r="E1131" s="1014"/>
      <c r="F1131" s="1055"/>
      <c r="G1131" s="1012" t="s">
        <v>70</v>
      </c>
      <c r="H1131" s="1013" t="s">
        <v>459</v>
      </c>
      <c r="I1131" s="1014"/>
      <c r="J1131" s="1015"/>
      <c r="K1131" s="1014"/>
      <c r="L1131" s="1024"/>
      <c r="M1131" s="1019"/>
    </row>
    <row r="1132" spans="1:13" s="23" customFormat="1" ht="17.25" customHeight="1">
      <c r="A1132" s="1016" t="s">
        <v>71</v>
      </c>
      <c r="B1132" s="1017" t="s">
        <v>460</v>
      </c>
      <c r="C1132" s="1014"/>
      <c r="D1132" s="1014"/>
      <c r="E1132" s="1014"/>
      <c r="F1132" s="1055"/>
      <c r="G1132" s="1016" t="s">
        <v>71</v>
      </c>
      <c r="H1132" s="1017" t="s">
        <v>460</v>
      </c>
      <c r="I1132" s="1014"/>
      <c r="J1132" s="1014"/>
      <c r="K1132" s="1014"/>
      <c r="L1132" s="1024"/>
      <c r="M1132" s="1019"/>
    </row>
    <row r="1133" spans="1:13" s="23" customFormat="1" ht="17.25" customHeight="1">
      <c r="A1133" s="1016" t="s">
        <v>72</v>
      </c>
      <c r="B1133" s="1018" t="s">
        <v>461</v>
      </c>
      <c r="C1133" s="1014"/>
      <c r="D1133" s="1014"/>
      <c r="E1133" s="1007">
        <f>SUM(E1132)</f>
        <v>0</v>
      </c>
      <c r="F1133" s="1060"/>
      <c r="G1133" s="1016" t="s">
        <v>72</v>
      </c>
      <c r="H1133" s="1018" t="s">
        <v>461</v>
      </c>
      <c r="I1133" s="1014"/>
      <c r="J1133" s="1014"/>
      <c r="K1133" s="1007">
        <f>SUM(K1132)</f>
        <v>0</v>
      </c>
      <c r="L1133" s="1024"/>
      <c r="M1133" s="1019"/>
    </row>
    <row r="1134" spans="1:13" s="23" customFormat="1" ht="17.25" customHeight="1">
      <c r="A1134" s="1020" t="s">
        <v>73</v>
      </c>
      <c r="B1134" s="1021" t="s">
        <v>381</v>
      </c>
      <c r="C1134" s="1022"/>
      <c r="D1134" s="1022"/>
      <c r="E1134" s="1022" t="e">
        <f>(E1122+E1123+E1124+E1125+E1126+E1127+E1128+E1129+E1130)-E1133</f>
        <v>#VALUE!</v>
      </c>
      <c r="F1134" s="1060"/>
      <c r="G1134" s="1020" t="s">
        <v>73</v>
      </c>
      <c r="H1134" s="1021" t="s">
        <v>381</v>
      </c>
      <c r="I1134" s="1022"/>
      <c r="J1134" s="1022"/>
      <c r="K1134" s="1022" t="e">
        <f>(K1122+K1123+K1124+K1125+K1126+K1127+K1128+K1129+K1130)-K1133</f>
        <v>#VALUE!</v>
      </c>
      <c r="L1134" s="1024" t="e">
        <f>E1134+K1134</f>
        <v>#VALUE!</v>
      </c>
      <c r="M1134" s="1019"/>
    </row>
    <row r="1135" spans="1:13" s="23" customFormat="1" ht="17.25" customHeight="1">
      <c r="A1135" s="1058"/>
      <c r="B1135" s="1058"/>
      <c r="C1135" s="1058"/>
      <c r="D1135" s="1058"/>
      <c r="E1135" s="1058"/>
      <c r="F1135" s="1058"/>
      <c r="G1135" s="1058"/>
      <c r="H1135" s="1058"/>
      <c r="I1135" s="1058"/>
      <c r="J1135" s="1058"/>
      <c r="K1135" s="1058"/>
      <c r="L1135" s="1024"/>
      <c r="M1135" s="1019"/>
    </row>
    <row r="1136" spans="1:13" s="23" customFormat="1" ht="17.25" customHeight="1">
      <c r="A1136" s="1059" t="str">
        <f>A1119</f>
        <v>LƯƠNG THÁNG 09/2025</v>
      </c>
      <c r="B1136" s="1058"/>
      <c r="C1136" s="1058"/>
      <c r="D1136" s="1058"/>
      <c r="E1136" s="1054">
        <f>VLOOKUP(B1137,'CNKT '!$D$101:$AF$165,26,0)</f>
        <v>8123185</v>
      </c>
      <c r="F1136" s="1055"/>
      <c r="G1136" s="1059" t="str">
        <f>A1136</f>
        <v>LƯƠNG THÁNG 09/2025</v>
      </c>
      <c r="H1136" s="1058"/>
      <c r="I1136" s="1058"/>
      <c r="J1136" s="998"/>
      <c r="K1136" s="1054">
        <f>VLOOKUP(H1137,'CNKT '!$D$101:$AF$165,26,0)</f>
        <v>10984648</v>
      </c>
      <c r="L1136" s="1024"/>
      <c r="M1136" s="1019"/>
    </row>
    <row r="1137" spans="1:13" s="23" customFormat="1" ht="17.25" customHeight="1">
      <c r="A1137" s="1028" t="s">
        <v>13</v>
      </c>
      <c r="B1137" s="1000" t="str">
        <f>'CNKT '!D147</f>
        <v>T. Phan</v>
      </c>
      <c r="C1137" s="1006"/>
      <c r="D1137" s="1000" t="s">
        <v>353</v>
      </c>
      <c r="E1137" s="1000" t="s">
        <v>16</v>
      </c>
      <c r="F1137" s="1055"/>
      <c r="G1137" s="1028" t="s">
        <v>13</v>
      </c>
      <c r="H1137" s="1000" t="str">
        <f>'CNKT '!D148</f>
        <v>T . Cổ</v>
      </c>
      <c r="I1137" s="1006"/>
      <c r="J1137" s="1000" t="s">
        <v>353</v>
      </c>
      <c r="K1137" s="1000" t="s">
        <v>16</v>
      </c>
      <c r="L1137" s="1024"/>
      <c r="M1137" s="1019"/>
    </row>
    <row r="1138" spans="1:13" s="23" customFormat="1" ht="17.25" customHeight="1">
      <c r="A1138" s="1004" t="s">
        <v>354</v>
      </c>
      <c r="B1138" s="1005" t="s">
        <v>454</v>
      </c>
      <c r="C1138" s="1006">
        <f>VLOOKUP(B1137,'SẢN LƯỢNG'!$D$98:$AR$160,37,0)</f>
        <v>4178</v>
      </c>
      <c r="D1138" s="1007"/>
      <c r="E1138" s="1007"/>
      <c r="F1138" s="1055"/>
      <c r="G1138" s="1004" t="s">
        <v>354</v>
      </c>
      <c r="H1138" s="1005" t="s">
        <v>454</v>
      </c>
      <c r="I1138" s="1006">
        <f>VLOOKUP(H1137,'SẢN LƯỢNG'!$D$98:$AR$160,37,0)</f>
        <v>5271</v>
      </c>
      <c r="J1138" s="1007"/>
      <c r="K1138" s="1007"/>
      <c r="L1138" s="1024"/>
      <c r="M1138" s="1019"/>
    </row>
    <row r="1139" spans="1:13" s="23" customFormat="1" ht="17.25" customHeight="1">
      <c r="A1139" s="1004" t="s">
        <v>68</v>
      </c>
      <c r="B1139" s="1008" t="s">
        <v>380</v>
      </c>
      <c r="C1139" s="581">
        <f>VLOOKUP(B1137,'CNKT '!$D$100:$AC$165,3,0)</f>
        <v>0</v>
      </c>
      <c r="D1139" s="582">
        <v>25000</v>
      </c>
      <c r="E1139" s="1007">
        <f t="shared" ref="E1139:E1144" si="214">C1139*D1139</f>
        <v>0</v>
      </c>
      <c r="F1139" s="1055"/>
      <c r="G1139" s="1004" t="s">
        <v>68</v>
      </c>
      <c r="H1139" s="1008" t="s">
        <v>380</v>
      </c>
      <c r="I1139" s="581">
        <f>VLOOKUP(H1137,'CNKT '!$D$100:$AC$165,3,0)</f>
        <v>0</v>
      </c>
      <c r="J1139" s="582">
        <v>25000</v>
      </c>
      <c r="K1139" s="1007">
        <f t="shared" ref="K1139:K1144" si="215">I1139*J1139</f>
        <v>0</v>
      </c>
      <c r="L1139" s="1024"/>
      <c r="M1139" s="1019"/>
    </row>
    <row r="1140" spans="1:13" s="23" customFormat="1" ht="17.25" customHeight="1">
      <c r="A1140" s="1004" t="s">
        <v>269</v>
      </c>
      <c r="B1140" s="1009" t="s">
        <v>455</v>
      </c>
      <c r="C1140" s="1010" t="str">
        <f>VLOOKUP(B1137,'CNKT '!$D$100:$AC$165,11,0)</f>
        <v>B</v>
      </c>
      <c r="D1140" s="583">
        <f>46.1*$B$2</f>
        <v>30424.156000000003</v>
      </c>
      <c r="E1140" s="1007" t="e">
        <f t="shared" si="214"/>
        <v>#VALUE!</v>
      </c>
      <c r="F1140" s="1055"/>
      <c r="G1140" s="1004" t="s">
        <v>269</v>
      </c>
      <c r="H1140" s="1009" t="s">
        <v>455</v>
      </c>
      <c r="I1140" s="1010" t="str">
        <f>VLOOKUP(H1137,'CNKT '!$D$100:$AC$165,11,0)</f>
        <v>B</v>
      </c>
      <c r="J1140" s="583">
        <f>46.1*$B$2</f>
        <v>30424.156000000003</v>
      </c>
      <c r="K1140" s="1007" t="e">
        <f t="shared" si="215"/>
        <v>#VALUE!</v>
      </c>
      <c r="L1140" s="1024"/>
      <c r="M1140" s="1019"/>
    </row>
    <row r="1141" spans="1:13" s="23" customFormat="1" ht="17.25" customHeight="1">
      <c r="A1141" s="1004" t="s">
        <v>356</v>
      </c>
      <c r="B1141" s="1009" t="s">
        <v>456</v>
      </c>
      <c r="C1141" s="1010">
        <f>VLOOKUP(B1137,'CNKT '!$D$100:$AC$165,12,0)</f>
        <v>6646476</v>
      </c>
      <c r="D1141" s="582">
        <f>76.9*$B$2</f>
        <v>50750.924000000006</v>
      </c>
      <c r="E1141" s="1007">
        <f t="shared" si="214"/>
        <v>337314798343.82404</v>
      </c>
      <c r="F1141" s="1055"/>
      <c r="G1141" s="1004" t="s">
        <v>356</v>
      </c>
      <c r="H1141" s="1009" t="s">
        <v>456</v>
      </c>
      <c r="I1141" s="1010">
        <f>VLOOKUP(H1137,'CNKT '!$D$100:$AC$165,12,0)</f>
        <v>9507939</v>
      </c>
      <c r="J1141" s="582">
        <f>76.9*$B$2</f>
        <v>50750.924000000006</v>
      </c>
      <c r="K1141" s="1007">
        <f t="shared" si="215"/>
        <v>482536689585.63605</v>
      </c>
      <c r="L1141" s="1024"/>
      <c r="M1141" s="1019"/>
    </row>
    <row r="1142" spans="1:13" s="23" customFormat="1" ht="17.25" customHeight="1">
      <c r="A1142" s="1004" t="s">
        <v>69</v>
      </c>
      <c r="B1142" s="1009" t="s">
        <v>457</v>
      </c>
      <c r="C1142" s="1010">
        <f>VLOOKUP(B1137,'CNKT '!$D$100:$AC$165,8,0)</f>
        <v>1733.5166934963277</v>
      </c>
      <c r="D1142" s="582">
        <f>IF(C1138="A",6.1,IF(C1138="B",5.8,IF(C1138="C",5.5,IF(C1138="C.",5.5,IF(C1138="D",5.2)))))*$B$2</f>
        <v>0</v>
      </c>
      <c r="E1142" s="1007">
        <f t="shared" si="214"/>
        <v>0</v>
      </c>
      <c r="F1142" s="1055"/>
      <c r="G1142" s="1004" t="s">
        <v>69</v>
      </c>
      <c r="H1142" s="1009" t="s">
        <v>457</v>
      </c>
      <c r="I1142" s="1010">
        <f>VLOOKUP(H1137,'CNKT '!$D$100:$AC$165,8,0)</f>
        <v>2503.8227488198286</v>
      </c>
      <c r="J1142" s="582">
        <f>IF(I1138="A",6.1,IF(I1138="B",5.8,IF(I1138="C",5.5,IF(I1138="C.",5.5,IF(I1138="D",5.2)))))*$B$2</f>
        <v>0</v>
      </c>
      <c r="K1142" s="1007">
        <f t="shared" si="215"/>
        <v>0</v>
      </c>
      <c r="L1142" s="1024"/>
      <c r="M1142" s="1019"/>
    </row>
    <row r="1143" spans="1:13" s="23" customFormat="1" ht="17.25" customHeight="1">
      <c r="A1143" s="1064" t="s">
        <v>433</v>
      </c>
      <c r="B1143" s="1065" t="s">
        <v>458</v>
      </c>
      <c r="C1143" s="1066">
        <f>VLOOKUP(B1137,'CNKT '!$D$99:$AC$165,13,0)</f>
        <v>27</v>
      </c>
      <c r="D1143" s="1074">
        <f>92.2*$B$2</f>
        <v>60848.312000000005</v>
      </c>
      <c r="E1143" s="1068">
        <f t="shared" si="214"/>
        <v>1642904.4240000001</v>
      </c>
      <c r="F1143" s="1055"/>
      <c r="G1143" s="1064" t="s">
        <v>433</v>
      </c>
      <c r="H1143" s="1065" t="s">
        <v>458</v>
      </c>
      <c r="I1143" s="1066">
        <f>VLOOKUP(H1137,'CNKT '!$D$99:$AC$165,13,0)</f>
        <v>27</v>
      </c>
      <c r="J1143" s="1074">
        <f>92.2*$B$2</f>
        <v>60848.312000000005</v>
      </c>
      <c r="K1143" s="1068">
        <f t="shared" si="215"/>
        <v>1642904.4240000001</v>
      </c>
      <c r="L1143" s="1024"/>
      <c r="M1143" s="1019"/>
    </row>
    <row r="1144" spans="1:13" s="23" customFormat="1" ht="17.25" customHeight="1">
      <c r="A1144" s="1004" t="s">
        <v>390</v>
      </c>
      <c r="B1144" s="1009" t="s">
        <v>434</v>
      </c>
      <c r="C1144" s="1010">
        <f>VLOOKUP(B1137,'CNKT '!$D$100:$AC$165,14,0)</f>
        <v>1</v>
      </c>
      <c r="D1144" s="582">
        <f>153.6*$B$2</f>
        <v>101369.856</v>
      </c>
      <c r="E1144" s="1007">
        <f t="shared" si="214"/>
        <v>101369.856</v>
      </c>
      <c r="F1144" s="1055"/>
      <c r="G1144" s="1004" t="s">
        <v>390</v>
      </c>
      <c r="H1144" s="1009" t="s">
        <v>434</v>
      </c>
      <c r="I1144" s="1010">
        <f>VLOOKUP(H1137,'CNKT '!$D$100:$AC$165,14,0)</f>
        <v>1</v>
      </c>
      <c r="J1144" s="582">
        <f>153.6*$B$2</f>
        <v>101369.856</v>
      </c>
      <c r="K1144" s="1007">
        <f t="shared" si="215"/>
        <v>101369.856</v>
      </c>
      <c r="L1144" s="1024"/>
      <c r="M1144" s="1019"/>
    </row>
    <row r="1145" spans="1:13" s="23" customFormat="1" ht="17.25" customHeight="1">
      <c r="A1145" s="1064" t="s">
        <v>781</v>
      </c>
      <c r="B1145" s="1065" t="s">
        <v>435</v>
      </c>
      <c r="C1145" s="1066">
        <f>VLOOKUP(B1137,'CNKT '!$D$101:$AC$165,18,0)</f>
        <v>0</v>
      </c>
      <c r="D1145" s="1067">
        <v>100000</v>
      </c>
      <c r="E1145" s="1068">
        <f>C1145*D1145</f>
        <v>0</v>
      </c>
      <c r="F1145" s="1055"/>
      <c r="G1145" s="1064" t="s">
        <v>781</v>
      </c>
      <c r="H1145" s="1065" t="s">
        <v>435</v>
      </c>
      <c r="I1145" s="1066">
        <f>VLOOKUP(H1137,'CNKT '!$D$101:$AC$165,18,0)</f>
        <v>0</v>
      </c>
      <c r="J1145" s="1067">
        <v>100000</v>
      </c>
      <c r="K1145" s="1068">
        <f>I1145*J1145</f>
        <v>0</v>
      </c>
      <c r="L1145" s="1024"/>
      <c r="M1145" s="1019"/>
    </row>
    <row r="1146" spans="1:13" s="23" customFormat="1" ht="17.25" customHeight="1">
      <c r="A1146" s="1004" t="s">
        <v>394</v>
      </c>
      <c r="B1146" s="1009" t="s">
        <v>435</v>
      </c>
      <c r="C1146" s="1010">
        <f>VLOOKUP(B1137,'CNKT '!$D$101:$AC$165,19,0)</f>
        <v>0</v>
      </c>
      <c r="D1146" s="582">
        <v>20000</v>
      </c>
      <c r="E1146" s="1007">
        <f>C1146*D1146</f>
        <v>0</v>
      </c>
      <c r="F1146" s="1055"/>
      <c r="G1146" s="1004" t="s">
        <v>394</v>
      </c>
      <c r="H1146" s="1009" t="s">
        <v>435</v>
      </c>
      <c r="I1146" s="1010">
        <f>VLOOKUP(H1137,'CNKT '!$D$101:$AC$165,19,0)</f>
        <v>0</v>
      </c>
      <c r="J1146" s="582">
        <v>20000</v>
      </c>
      <c r="K1146" s="1007">
        <f>I1146*J1146</f>
        <v>0</v>
      </c>
      <c r="L1146" s="1024"/>
      <c r="M1146" s="1019"/>
    </row>
    <row r="1147" spans="1:13" s="23" customFormat="1" ht="17.25" customHeight="1">
      <c r="A1147" s="1004" t="s">
        <v>731</v>
      </c>
      <c r="B1147" s="1011" t="s">
        <v>732</v>
      </c>
      <c r="C1147" s="1010"/>
      <c r="D1147" s="582"/>
      <c r="E1147" s="1007">
        <f>VLOOKUP(B1137,'CNKT '!$D$101:$AG$165,28,0)</f>
        <v>47</v>
      </c>
      <c r="F1147" s="1055"/>
      <c r="G1147" s="1004" t="s">
        <v>731</v>
      </c>
      <c r="H1147" s="1011" t="s">
        <v>732</v>
      </c>
      <c r="I1147" s="1010"/>
      <c r="J1147" s="582"/>
      <c r="K1147" s="1007">
        <f>VLOOKUP(H1137,'CNKT '!$D$101:$AG$165,28,0)</f>
        <v>48</v>
      </c>
      <c r="L1147" s="1024"/>
      <c r="M1147" s="1019"/>
    </row>
    <row r="1148" spans="1:13" s="23" customFormat="1" ht="17.25" customHeight="1">
      <c r="A1148" s="1012" t="s">
        <v>70</v>
      </c>
      <c r="B1148" s="1013" t="s">
        <v>459</v>
      </c>
      <c r="C1148" s="1014"/>
      <c r="D1148" s="1015"/>
      <c r="E1148" s="1014"/>
      <c r="F1148" s="1055"/>
      <c r="G1148" s="1012" t="s">
        <v>70</v>
      </c>
      <c r="H1148" s="1013" t="s">
        <v>459</v>
      </c>
      <c r="I1148" s="1014"/>
      <c r="J1148" s="1015"/>
      <c r="K1148" s="1014"/>
      <c r="L1148" s="1024"/>
      <c r="M1148" s="1019"/>
    </row>
    <row r="1149" spans="1:13" s="23" customFormat="1" ht="17.25" customHeight="1">
      <c r="A1149" s="1016" t="s">
        <v>71</v>
      </c>
      <c r="B1149" s="1017" t="s">
        <v>460</v>
      </c>
      <c r="C1149" s="1014"/>
      <c r="D1149" s="1014"/>
      <c r="E1149" s="1014"/>
      <c r="F1149" s="1055"/>
      <c r="G1149" s="1016" t="s">
        <v>71</v>
      </c>
      <c r="H1149" s="1017" t="s">
        <v>460</v>
      </c>
      <c r="I1149" s="1014"/>
      <c r="J1149" s="1014"/>
      <c r="K1149" s="1014"/>
      <c r="L1149" s="1024"/>
      <c r="M1149" s="1019"/>
    </row>
    <row r="1150" spans="1:13" s="23" customFormat="1" ht="17.25" customHeight="1">
      <c r="A1150" s="1016" t="s">
        <v>72</v>
      </c>
      <c r="B1150" s="1018" t="s">
        <v>461</v>
      </c>
      <c r="C1150" s="1014"/>
      <c r="D1150" s="1014"/>
      <c r="E1150" s="1007">
        <f>SUM(E1149)</f>
        <v>0</v>
      </c>
      <c r="F1150" s="1060"/>
      <c r="G1150" s="1016" t="s">
        <v>72</v>
      </c>
      <c r="H1150" s="1018" t="s">
        <v>461</v>
      </c>
      <c r="I1150" s="1014"/>
      <c r="J1150" s="1014"/>
      <c r="K1150" s="1007">
        <f>SUM(K1149)</f>
        <v>0</v>
      </c>
      <c r="L1150" s="1024"/>
      <c r="M1150" s="1019"/>
    </row>
    <row r="1151" spans="1:13" s="23" customFormat="1" ht="17.25" customHeight="1">
      <c r="A1151" s="1020" t="s">
        <v>73</v>
      </c>
      <c r="B1151" s="1021" t="s">
        <v>381</v>
      </c>
      <c r="C1151" s="1022"/>
      <c r="D1151" s="1022"/>
      <c r="E1151" s="1022" t="e">
        <f>(E1139+E1140+E1141+E1142+E1143+E1144+E1145+E1146+E1147)-E1150</f>
        <v>#VALUE!</v>
      </c>
      <c r="F1151" s="1060"/>
      <c r="G1151" s="1020" t="s">
        <v>73</v>
      </c>
      <c r="H1151" s="1021" t="s">
        <v>381</v>
      </c>
      <c r="I1151" s="1022"/>
      <c r="J1151" s="1022"/>
      <c r="K1151" s="1022" t="e">
        <f>(K1139+K1140+K1141+K1142+K1143+K1144+K1145+K1146+K1147)-K1150</f>
        <v>#VALUE!</v>
      </c>
      <c r="L1151" s="1024" t="e">
        <f>E1151+K1151</f>
        <v>#VALUE!</v>
      </c>
      <c r="M1151" s="1019"/>
    </row>
    <row r="1152" spans="1:13" s="23" customFormat="1" ht="69" customHeight="1">
      <c r="A1152" s="1058"/>
      <c r="B1152" s="1058"/>
      <c r="C1152" s="1058"/>
      <c r="D1152" s="1058"/>
      <c r="E1152" s="1058"/>
      <c r="F1152" s="1058"/>
      <c r="G1152" s="1058"/>
      <c r="H1152" s="1058"/>
      <c r="I1152" s="1058"/>
      <c r="J1152" s="1058"/>
      <c r="K1152" s="1058"/>
      <c r="L1152" s="1024"/>
      <c r="M1152" s="1019"/>
    </row>
    <row r="1153" spans="1:13" s="23" customFormat="1" ht="17.25" customHeight="1">
      <c r="A1153" s="1059" t="str">
        <f>A1136</f>
        <v>LƯƠNG THÁNG 09/2025</v>
      </c>
      <c r="B1153" s="1058"/>
      <c r="C1153" s="1058"/>
      <c r="D1153" s="1058"/>
      <c r="E1153" s="1054">
        <f>VLOOKUP(B1154,'CNKT '!$D$101:$AF$165,26,0)</f>
        <v>7841108</v>
      </c>
      <c r="F1153" s="1055"/>
      <c r="G1153" s="1059" t="str">
        <f>A1153</f>
        <v>LƯƠNG THÁNG 09/2025</v>
      </c>
      <c r="H1153" s="1058"/>
      <c r="I1153" s="1058"/>
      <c r="J1153" s="998"/>
      <c r="K1153" s="1054">
        <f>VLOOKUP(H1154,'CNKT '!$D$101:$AF$165,26,0)</f>
        <v>9080009</v>
      </c>
      <c r="L1153" s="1024"/>
      <c r="M1153" s="1019"/>
    </row>
    <row r="1154" spans="1:13" s="23" customFormat="1" ht="17.25" customHeight="1">
      <c r="A1154" s="1028" t="s">
        <v>13</v>
      </c>
      <c r="B1154" s="1000" t="str">
        <f>'CNKT '!D149</f>
        <v>N. Phim Pha</v>
      </c>
      <c r="C1154" s="1006"/>
      <c r="D1154" s="1000" t="s">
        <v>353</v>
      </c>
      <c r="E1154" s="1000" t="s">
        <v>16</v>
      </c>
      <c r="F1154" s="1055"/>
      <c r="G1154" s="1028" t="s">
        <v>13</v>
      </c>
      <c r="H1154" s="1000" t="str">
        <f>'CNKT '!D150</f>
        <v xml:space="preserve">T. Xeng </v>
      </c>
      <c r="I1154" s="1006"/>
      <c r="J1154" s="1000" t="s">
        <v>353</v>
      </c>
      <c r="K1154" s="1000" t="s">
        <v>16</v>
      </c>
      <c r="L1154" s="1024"/>
      <c r="M1154" s="1019"/>
    </row>
    <row r="1155" spans="1:13" s="23" customFormat="1" ht="17.25" customHeight="1">
      <c r="A1155" s="1004" t="s">
        <v>354</v>
      </c>
      <c r="B1155" s="1005" t="s">
        <v>454</v>
      </c>
      <c r="C1155" s="1006">
        <f>VLOOKUP(B1154,'SẢN LƯỢNG'!$D$98:$AR$160,37,0)</f>
        <v>3572</v>
      </c>
      <c r="D1155" s="1007"/>
      <c r="E1155" s="1007"/>
      <c r="F1155" s="1055"/>
      <c r="G1155" s="1004" t="s">
        <v>354</v>
      </c>
      <c r="H1155" s="1005" t="s">
        <v>454</v>
      </c>
      <c r="I1155" s="1006">
        <f>VLOOKUP(H1154,'SẢN LƯỢNG'!$D$98:$AR$160,37,0)</f>
        <v>4297</v>
      </c>
      <c r="J1155" s="1007"/>
      <c r="K1155" s="1007"/>
      <c r="L1155" s="1024"/>
      <c r="M1155" s="1019"/>
    </row>
    <row r="1156" spans="1:13" s="23" customFormat="1" ht="17.25" customHeight="1">
      <c r="A1156" s="1004" t="s">
        <v>68</v>
      </c>
      <c r="B1156" s="1008" t="s">
        <v>380</v>
      </c>
      <c r="C1156" s="581">
        <f>VLOOKUP(B1154,'CNKT '!$D$100:$AC$165,3,0)</f>
        <v>0</v>
      </c>
      <c r="D1156" s="582">
        <v>25000</v>
      </c>
      <c r="E1156" s="1007">
        <f t="shared" ref="E1156:E1161" si="216">C1156*D1156</f>
        <v>0</v>
      </c>
      <c r="F1156" s="1055"/>
      <c r="G1156" s="1004" t="s">
        <v>68</v>
      </c>
      <c r="H1156" s="1008" t="s">
        <v>380</v>
      </c>
      <c r="I1156" s="581">
        <f>VLOOKUP(H1154,'CNKT '!$D$100:$AC$165,3,0)</f>
        <v>0</v>
      </c>
      <c r="J1156" s="582">
        <v>25000</v>
      </c>
      <c r="K1156" s="1007">
        <f t="shared" ref="K1156:K1161" si="217">I1156*J1156</f>
        <v>0</v>
      </c>
      <c r="L1156" s="1024"/>
      <c r="M1156" s="1019"/>
    </row>
    <row r="1157" spans="1:13" s="23" customFormat="1" ht="17.25" customHeight="1">
      <c r="A1157" s="1004" t="s">
        <v>269</v>
      </c>
      <c r="B1157" s="1009" t="s">
        <v>455</v>
      </c>
      <c r="C1157" s="1010" t="str">
        <f>VLOOKUP(B1154,'CNKT '!$D$100:$AC$165,11,0)</f>
        <v>B</v>
      </c>
      <c r="D1157" s="583">
        <f>46.1*$B$2</f>
        <v>30424.156000000003</v>
      </c>
      <c r="E1157" s="1007" t="e">
        <f t="shared" si="216"/>
        <v>#VALUE!</v>
      </c>
      <c r="F1157" s="1055"/>
      <c r="G1157" s="1004" t="s">
        <v>269</v>
      </c>
      <c r="H1157" s="1009" t="s">
        <v>455</v>
      </c>
      <c r="I1157" s="1010" t="str">
        <f>VLOOKUP(H1154,'CNKT '!$D$100:$AC$165,11,0)</f>
        <v>B</v>
      </c>
      <c r="J1157" s="583">
        <f>46.1*$B$2</f>
        <v>30424.156000000003</v>
      </c>
      <c r="K1157" s="1007" t="e">
        <f t="shared" si="217"/>
        <v>#VALUE!</v>
      </c>
      <c r="L1157" s="1024"/>
      <c r="M1157" s="1019"/>
    </row>
    <row r="1158" spans="1:13" s="23" customFormat="1" ht="17.25" customHeight="1">
      <c r="A1158" s="1004" t="s">
        <v>356</v>
      </c>
      <c r="B1158" s="1009" t="s">
        <v>456</v>
      </c>
      <c r="C1158" s="1010">
        <f>VLOOKUP(B1154,'CNKT '!$D$100:$AC$165,12,0)</f>
        <v>6455672</v>
      </c>
      <c r="D1158" s="582">
        <f>76.9*$B$2</f>
        <v>50750.924000000006</v>
      </c>
      <c r="E1158" s="1007">
        <f t="shared" si="216"/>
        <v>327631319040.92804</v>
      </c>
      <c r="F1158" s="1055"/>
      <c r="G1158" s="1004" t="s">
        <v>356</v>
      </c>
      <c r="H1158" s="1009" t="s">
        <v>456</v>
      </c>
      <c r="I1158" s="1010">
        <f>VLOOKUP(H1154,'CNKT '!$D$100:$AC$165,12,0)</f>
        <v>7603300</v>
      </c>
      <c r="J1158" s="582">
        <f>76.9*$B$2</f>
        <v>50750.924000000006</v>
      </c>
      <c r="K1158" s="1007">
        <f t="shared" si="217"/>
        <v>385874500449.20007</v>
      </c>
      <c r="L1158" s="1024"/>
      <c r="M1158" s="1019"/>
    </row>
    <row r="1159" spans="1:13" s="23" customFormat="1" ht="17.25" customHeight="1">
      <c r="A1159" s="1004" t="s">
        <v>69</v>
      </c>
      <c r="B1159" s="1009" t="s">
        <v>457</v>
      </c>
      <c r="C1159" s="1010">
        <f>VLOOKUP(B1154,'CNKT '!$D$100:$AC$165,8,0)</f>
        <v>1700.2723662932692</v>
      </c>
      <c r="D1159" s="582">
        <f>IF(C1155="A",6.1,IF(C1155="B",5.8,IF(C1155="C",5.5,IF(C1155="C.",5.5,IF(C1155="D",5.2)))))*$B$2</f>
        <v>0</v>
      </c>
      <c r="E1159" s="1007">
        <f t="shared" si="216"/>
        <v>0</v>
      </c>
      <c r="F1159" s="1055"/>
      <c r="G1159" s="1004" t="s">
        <v>69</v>
      </c>
      <c r="H1159" s="1009" t="s">
        <v>457</v>
      </c>
      <c r="I1159" s="1010">
        <f>VLOOKUP(H1154,'CNKT '!$D$100:$AC$165,8,0)</f>
        <v>1999.4713111207959</v>
      </c>
      <c r="J1159" s="582">
        <f>IF(I1155="A",6.1,IF(I1155="B",5.8,IF(I1155="C",5.5,IF(I1155="C.",5.5,IF(I1155="D",5.2)))))*$B$2</f>
        <v>0</v>
      </c>
      <c r="K1159" s="1007">
        <f t="shared" si="217"/>
        <v>0</v>
      </c>
      <c r="L1159" s="1024"/>
      <c r="M1159" s="1019"/>
    </row>
    <row r="1160" spans="1:13" s="23" customFormat="1" ht="17.25" customHeight="1">
      <c r="A1160" s="1064" t="s">
        <v>433</v>
      </c>
      <c r="B1160" s="1065" t="s">
        <v>458</v>
      </c>
      <c r="C1160" s="1066">
        <f>VLOOKUP(B1154,'CNKT '!$D$99:$AC$165,13,0)</f>
        <v>24</v>
      </c>
      <c r="D1160" s="1074">
        <f>92.2*$B$2</f>
        <v>60848.312000000005</v>
      </c>
      <c r="E1160" s="1068">
        <f t="shared" si="216"/>
        <v>1460359.4880000001</v>
      </c>
      <c r="F1160" s="1055"/>
      <c r="G1160" s="1064" t="s">
        <v>433</v>
      </c>
      <c r="H1160" s="1065" t="s">
        <v>458</v>
      </c>
      <c r="I1160" s="1066">
        <f>VLOOKUP(H1154,'CNKT '!$D$99:$AC$165,13,0)</f>
        <v>27</v>
      </c>
      <c r="J1160" s="1074">
        <f>92.2*$B$2</f>
        <v>60848.312000000005</v>
      </c>
      <c r="K1160" s="1068">
        <f t="shared" si="217"/>
        <v>1642904.4240000001</v>
      </c>
      <c r="L1160" s="1024"/>
      <c r="M1160" s="1019"/>
    </row>
    <row r="1161" spans="1:13" s="23" customFormat="1" ht="17.25" customHeight="1">
      <c r="A1161" s="1004" t="s">
        <v>390</v>
      </c>
      <c r="B1161" s="1009" t="s">
        <v>434</v>
      </c>
      <c r="C1161" s="1010">
        <f>VLOOKUP(B1154,'CNKT '!$D$100:$AC$165,14,0)</f>
        <v>1</v>
      </c>
      <c r="D1161" s="582">
        <f>153.6*$B$2</f>
        <v>101369.856</v>
      </c>
      <c r="E1161" s="1007">
        <f t="shared" si="216"/>
        <v>101369.856</v>
      </c>
      <c r="F1161" s="1055"/>
      <c r="G1161" s="1004" t="s">
        <v>390</v>
      </c>
      <c r="H1161" s="1009" t="s">
        <v>434</v>
      </c>
      <c r="I1161" s="1010">
        <f>VLOOKUP(H1154,'CNKT '!$D$100:$AC$165,14,0)</f>
        <v>1</v>
      </c>
      <c r="J1161" s="582">
        <f>153.6*$B$2</f>
        <v>101369.856</v>
      </c>
      <c r="K1161" s="1007">
        <f t="shared" si="217"/>
        <v>101369.856</v>
      </c>
      <c r="L1161" s="1024"/>
      <c r="M1161" s="1019"/>
    </row>
    <row r="1162" spans="1:13" s="23" customFormat="1" ht="17.25" customHeight="1">
      <c r="A1162" s="1064" t="s">
        <v>781</v>
      </c>
      <c r="B1162" s="1065" t="s">
        <v>435</v>
      </c>
      <c r="C1162" s="1066">
        <f>VLOOKUP(B1154,'CNKT '!$D$101:$AC$165,18,0)</f>
        <v>0</v>
      </c>
      <c r="D1162" s="1067">
        <v>100000</v>
      </c>
      <c r="E1162" s="1068">
        <f>C1162*D1162</f>
        <v>0</v>
      </c>
      <c r="F1162" s="1055"/>
      <c r="G1162" s="1064" t="s">
        <v>781</v>
      </c>
      <c r="H1162" s="1065" t="s">
        <v>435</v>
      </c>
      <c r="I1162" s="1066">
        <f>VLOOKUP(H1154,'CNKT '!$D$101:$AC$165,18,0)</f>
        <v>0</v>
      </c>
      <c r="J1162" s="1067">
        <v>100000</v>
      </c>
      <c r="K1162" s="1068">
        <f>I1162*J1162</f>
        <v>0</v>
      </c>
      <c r="L1162" s="1024"/>
      <c r="M1162" s="1019"/>
    </row>
    <row r="1163" spans="1:13" s="23" customFormat="1" ht="17.25" customHeight="1">
      <c r="A1163" s="1004" t="s">
        <v>394</v>
      </c>
      <c r="B1163" s="1009" t="s">
        <v>435</v>
      </c>
      <c r="C1163" s="1010">
        <f>VLOOKUP(B1154,'CNKT '!$D$101:$AC$165,19,0)</f>
        <v>0</v>
      </c>
      <c r="D1163" s="582">
        <v>20000</v>
      </c>
      <c r="E1163" s="1007">
        <f>C1163*D1163</f>
        <v>0</v>
      </c>
      <c r="F1163" s="1055"/>
      <c r="G1163" s="1004" t="s">
        <v>394</v>
      </c>
      <c r="H1163" s="1009" t="s">
        <v>435</v>
      </c>
      <c r="I1163" s="1010">
        <f>VLOOKUP(H1154,'CNKT '!$D$101:$AC$165,19,0)</f>
        <v>0</v>
      </c>
      <c r="J1163" s="582">
        <v>20000</v>
      </c>
      <c r="K1163" s="1007">
        <f>I1163*J1163</f>
        <v>0</v>
      </c>
      <c r="L1163" s="1024"/>
      <c r="M1163" s="1019"/>
    </row>
    <row r="1164" spans="1:13" s="23" customFormat="1" ht="17.25" customHeight="1">
      <c r="A1164" s="1004" t="s">
        <v>731</v>
      </c>
      <c r="B1164" s="1011" t="s">
        <v>732</v>
      </c>
      <c r="C1164" s="1010"/>
      <c r="D1164" s="582"/>
      <c r="E1164" s="1007">
        <f>VLOOKUP(B1154,'CNKT '!$D$101:$AG$165,28,0)</f>
        <v>49</v>
      </c>
      <c r="F1164" s="1055"/>
      <c r="G1164" s="1004" t="s">
        <v>731</v>
      </c>
      <c r="H1164" s="1011" t="s">
        <v>732</v>
      </c>
      <c r="I1164" s="1010"/>
      <c r="J1164" s="582"/>
      <c r="K1164" s="1007">
        <f>VLOOKUP(H1154,'CNKT '!$D$101:$AG$165,28,0)</f>
        <v>50</v>
      </c>
      <c r="L1164" s="1024"/>
      <c r="M1164" s="1019"/>
    </row>
    <row r="1165" spans="1:13" s="23" customFormat="1" ht="17.25" customHeight="1">
      <c r="A1165" s="1012" t="s">
        <v>70</v>
      </c>
      <c r="B1165" s="1013" t="s">
        <v>459</v>
      </c>
      <c r="C1165" s="1014"/>
      <c r="D1165" s="1015"/>
      <c r="E1165" s="1014"/>
      <c r="F1165" s="1055"/>
      <c r="G1165" s="1012" t="s">
        <v>70</v>
      </c>
      <c r="H1165" s="1013" t="s">
        <v>459</v>
      </c>
      <c r="I1165" s="1014"/>
      <c r="J1165" s="1015"/>
      <c r="K1165" s="1014"/>
      <c r="L1165" s="1024"/>
      <c r="M1165" s="1019"/>
    </row>
    <row r="1166" spans="1:13" s="23" customFormat="1" ht="17.25" customHeight="1">
      <c r="A1166" s="1016" t="s">
        <v>71</v>
      </c>
      <c r="B1166" s="1017" t="s">
        <v>460</v>
      </c>
      <c r="C1166" s="1014"/>
      <c r="D1166" s="1014"/>
      <c r="E1166" s="1014"/>
      <c r="F1166" s="1055"/>
      <c r="G1166" s="1016" t="s">
        <v>71</v>
      </c>
      <c r="H1166" s="1017" t="s">
        <v>460</v>
      </c>
      <c r="I1166" s="1014"/>
      <c r="J1166" s="1014"/>
      <c r="K1166" s="1014"/>
      <c r="L1166" s="1024"/>
      <c r="M1166" s="1019"/>
    </row>
    <row r="1167" spans="1:13" s="23" customFormat="1" ht="17.25" customHeight="1">
      <c r="A1167" s="1016" t="s">
        <v>72</v>
      </c>
      <c r="B1167" s="1018" t="s">
        <v>461</v>
      </c>
      <c r="C1167" s="1014"/>
      <c r="D1167" s="1014"/>
      <c r="E1167" s="1007">
        <f>SUM(E1166)</f>
        <v>0</v>
      </c>
      <c r="F1167" s="1060"/>
      <c r="G1167" s="1016" t="s">
        <v>72</v>
      </c>
      <c r="H1167" s="1018" t="s">
        <v>461</v>
      </c>
      <c r="I1167" s="1014"/>
      <c r="J1167" s="1014"/>
      <c r="K1167" s="1007">
        <f>SUM(K1166)</f>
        <v>0</v>
      </c>
      <c r="L1167" s="1024"/>
      <c r="M1167" s="1019"/>
    </row>
    <row r="1168" spans="1:13" s="23" customFormat="1" ht="17.25" customHeight="1">
      <c r="A1168" s="1020" t="s">
        <v>73</v>
      </c>
      <c r="B1168" s="1021" t="s">
        <v>381</v>
      </c>
      <c r="C1168" s="1022"/>
      <c r="D1168" s="1022"/>
      <c r="E1168" s="1022" t="e">
        <f>(E1156+E1157+E1158+E1159+E1160+E1161+E1162+E1163+E1164)-E1167</f>
        <v>#VALUE!</v>
      </c>
      <c r="F1168" s="1060"/>
      <c r="G1168" s="1020" t="s">
        <v>73</v>
      </c>
      <c r="H1168" s="1021" t="s">
        <v>381</v>
      </c>
      <c r="I1168" s="1022"/>
      <c r="J1168" s="1022"/>
      <c r="K1168" s="1022" t="e">
        <f>(K1156+K1157+K1158+K1159+K1160+K1161+K1162+K1163+K1164)-K1167</f>
        <v>#VALUE!</v>
      </c>
      <c r="L1168" s="1024" t="e">
        <f>E1168+K1168</f>
        <v>#VALUE!</v>
      </c>
      <c r="M1168" s="1019"/>
    </row>
    <row r="1169" spans="1:13" s="23" customFormat="1" ht="17.25" customHeight="1">
      <c r="A1169" s="1058"/>
      <c r="B1169" s="1058"/>
      <c r="C1169" s="1058"/>
      <c r="D1169" s="1058"/>
      <c r="E1169" s="1058"/>
      <c r="F1169" s="1058"/>
      <c r="G1169" s="1058"/>
      <c r="H1169" s="1058"/>
      <c r="I1169" s="1058"/>
      <c r="J1169" s="1058"/>
      <c r="K1169" s="1058"/>
      <c r="L1169" s="1024"/>
      <c r="M1169" s="1019"/>
    </row>
    <row r="1170" spans="1:13" s="23" customFormat="1" ht="17.25" customHeight="1">
      <c r="A1170" s="1059" t="str">
        <f>A1153</f>
        <v>LƯƠNG THÁNG 09/2025</v>
      </c>
      <c r="B1170" s="1058"/>
      <c r="C1170" s="1058"/>
      <c r="D1170" s="1058"/>
      <c r="E1170" s="1054">
        <f>VLOOKUP(B1171,'CNKT '!$D$101:$AF$165,26,0)</f>
        <v>9336090</v>
      </c>
      <c r="F1170" s="1055"/>
      <c r="G1170" s="1059" t="str">
        <f>A1170</f>
        <v>LƯƠNG THÁNG 09/2025</v>
      </c>
      <c r="H1170" s="1058"/>
      <c r="I1170" s="1058"/>
      <c r="J1170" s="998"/>
      <c r="K1170" s="1054">
        <f>VLOOKUP(H1171,'CNKT '!$D$101:$AF$165,26,0)</f>
        <v>8362216</v>
      </c>
      <c r="L1170" s="1024"/>
      <c r="M1170" s="1019"/>
    </row>
    <row r="1171" spans="1:13" s="23" customFormat="1" ht="17.25" customHeight="1">
      <c r="A1171" s="1028" t="s">
        <v>13</v>
      </c>
      <c r="B1171" s="1000" t="str">
        <f>'CNKT '!D151</f>
        <v>T. Vạt</v>
      </c>
      <c r="C1171" s="1006"/>
      <c r="D1171" s="1000" t="s">
        <v>353</v>
      </c>
      <c r="E1171" s="1000" t="s">
        <v>16</v>
      </c>
      <c r="F1171" s="1055"/>
      <c r="G1171" s="1028" t="s">
        <v>13</v>
      </c>
      <c r="H1171" s="1000" t="str">
        <f>'CNKT '!D152</f>
        <v>T. Lay</v>
      </c>
      <c r="I1171" s="1006"/>
      <c r="J1171" s="1000" t="s">
        <v>353</v>
      </c>
      <c r="K1171" s="1000" t="s">
        <v>16</v>
      </c>
      <c r="L1171" s="1024"/>
      <c r="M1171" s="1019"/>
    </row>
    <row r="1172" spans="1:13" s="23" customFormat="1" ht="17.25" customHeight="1">
      <c r="A1172" s="1004" t="s">
        <v>354</v>
      </c>
      <c r="B1172" s="1005" t="s">
        <v>454</v>
      </c>
      <c r="C1172" s="1006">
        <f>VLOOKUP(B1171,'SẢN LƯỢNG'!$D$98:$AR$160,37,0)</f>
        <v>4565</v>
      </c>
      <c r="D1172" s="1007"/>
      <c r="E1172" s="1007"/>
      <c r="F1172" s="1055"/>
      <c r="G1172" s="1004" t="s">
        <v>354</v>
      </c>
      <c r="H1172" s="1005" t="s">
        <v>454</v>
      </c>
      <c r="I1172" s="1006">
        <f>VLOOKUP(H1171,'SẢN LƯỢNG'!$D$98:$AR$160,37,0)</f>
        <v>4269</v>
      </c>
      <c r="J1172" s="1007"/>
      <c r="K1172" s="1007"/>
      <c r="L1172" s="1024"/>
      <c r="M1172" s="1019"/>
    </row>
    <row r="1173" spans="1:13" s="23" customFormat="1" ht="17.25" customHeight="1">
      <c r="A1173" s="1004" t="s">
        <v>68</v>
      </c>
      <c r="B1173" s="1008" t="s">
        <v>380</v>
      </c>
      <c r="C1173" s="581">
        <f>VLOOKUP(B1171,'CNKT '!$D$100:$AC$165,3,0)</f>
        <v>0</v>
      </c>
      <c r="D1173" s="582">
        <v>25000</v>
      </c>
      <c r="E1173" s="1007">
        <f t="shared" ref="E1173:E1178" si="218">C1173*D1173</f>
        <v>0</v>
      </c>
      <c r="F1173" s="1055"/>
      <c r="G1173" s="1004" t="s">
        <v>68</v>
      </c>
      <c r="H1173" s="1008" t="s">
        <v>380</v>
      </c>
      <c r="I1173" s="581">
        <f>VLOOKUP(H1171,'CNKT '!$D$100:$AC$165,3,0)</f>
        <v>0</v>
      </c>
      <c r="J1173" s="582">
        <v>25000</v>
      </c>
      <c r="K1173" s="1007">
        <f t="shared" ref="K1173:K1178" si="219">I1173*J1173</f>
        <v>0</v>
      </c>
      <c r="L1173" s="1024"/>
      <c r="M1173" s="1019"/>
    </row>
    <row r="1174" spans="1:13" s="23" customFormat="1" ht="17.25" customHeight="1">
      <c r="A1174" s="1004" t="s">
        <v>269</v>
      </c>
      <c r="B1174" s="1009" t="s">
        <v>455</v>
      </c>
      <c r="C1174" s="1010" t="str">
        <f>VLOOKUP(B1171,'CNKT '!$D$100:$AC$165,11,0)</f>
        <v>B</v>
      </c>
      <c r="D1174" s="583">
        <f>46.1*$B$2</f>
        <v>30424.156000000003</v>
      </c>
      <c r="E1174" s="1007" t="e">
        <f t="shared" si="218"/>
        <v>#VALUE!</v>
      </c>
      <c r="F1174" s="1055"/>
      <c r="G1174" s="1004" t="s">
        <v>269</v>
      </c>
      <c r="H1174" s="1009" t="s">
        <v>455</v>
      </c>
      <c r="I1174" s="1010" t="str">
        <f>VLOOKUP(H1171,'CNKT '!$D$100:$AC$165,11,0)</f>
        <v>A</v>
      </c>
      <c r="J1174" s="583">
        <f>46.1*$B$2</f>
        <v>30424.156000000003</v>
      </c>
      <c r="K1174" s="1007" t="e">
        <f t="shared" si="219"/>
        <v>#VALUE!</v>
      </c>
      <c r="L1174" s="1024"/>
      <c r="M1174" s="1019"/>
    </row>
    <row r="1175" spans="1:13" s="23" customFormat="1" ht="17.25" customHeight="1">
      <c r="A1175" s="1004" t="s">
        <v>356</v>
      </c>
      <c r="B1175" s="1009" t="s">
        <v>456</v>
      </c>
      <c r="C1175" s="1010">
        <f>VLOOKUP(B1171,'CNKT '!$D$100:$AC$165,12,0)</f>
        <v>7889805</v>
      </c>
      <c r="D1175" s="582">
        <f>76.9*$B$2</f>
        <v>50750.924000000006</v>
      </c>
      <c r="E1175" s="1007">
        <f t="shared" si="218"/>
        <v>400414893929.82007</v>
      </c>
      <c r="F1175" s="1055"/>
      <c r="G1175" s="1004" t="s">
        <v>356</v>
      </c>
      <c r="H1175" s="1009" t="s">
        <v>456</v>
      </c>
      <c r="I1175" s="1010">
        <f>VLOOKUP(H1171,'CNKT '!$D$100:$AC$165,12,0)</f>
        <v>6946356</v>
      </c>
      <c r="J1175" s="582">
        <f>76.9*$B$2</f>
        <v>50750.924000000006</v>
      </c>
      <c r="K1175" s="1007">
        <f t="shared" si="219"/>
        <v>352533985432.94403</v>
      </c>
      <c r="L1175" s="1024"/>
      <c r="M1175" s="1019"/>
    </row>
    <row r="1176" spans="1:13" s="23" customFormat="1" ht="17.25" customHeight="1">
      <c r="A1176" s="1004" t="s">
        <v>69</v>
      </c>
      <c r="B1176" s="1009" t="s">
        <v>457</v>
      </c>
      <c r="C1176" s="1010">
        <f>VLOOKUP(B1171,'CNKT '!$D$100:$AC$165,8,0)</f>
        <v>2071.2090698221327</v>
      </c>
      <c r="D1176" s="582">
        <f>IF(C1172="A",6.1,IF(C1172="B",5.8,IF(C1172="C",5.5,IF(C1172="C.",5.5,IF(C1172="D",5.2)))))*$B$2</f>
        <v>0</v>
      </c>
      <c r="E1176" s="1007">
        <f t="shared" si="218"/>
        <v>0</v>
      </c>
      <c r="F1176" s="1055"/>
      <c r="G1176" s="1004" t="s">
        <v>69</v>
      </c>
      <c r="H1176" s="1009" t="s">
        <v>457</v>
      </c>
      <c r="I1176" s="1010">
        <f>VLOOKUP(H1171,'CNKT '!$D$100:$AC$165,8,0)</f>
        <v>1718.6442313265384</v>
      </c>
      <c r="J1176" s="582">
        <f>IF(I1172="A",6.1,IF(I1172="B",5.8,IF(I1172="C",5.5,IF(I1172="C.",5.5,IF(I1172="D",5.2)))))*$B$2</f>
        <v>0</v>
      </c>
      <c r="K1176" s="1007">
        <f t="shared" si="219"/>
        <v>0</v>
      </c>
      <c r="L1176" s="1024"/>
      <c r="M1176" s="1019"/>
    </row>
    <row r="1177" spans="1:13" s="23" customFormat="1" ht="17.25" customHeight="1">
      <c r="A1177" s="1064" t="s">
        <v>433</v>
      </c>
      <c r="B1177" s="1065" t="s">
        <v>458</v>
      </c>
      <c r="C1177" s="1066">
        <f>VLOOKUP(B1171,'CNKT '!$D$99:$AC$165,13,0)</f>
        <v>26</v>
      </c>
      <c r="D1177" s="1074">
        <f>92.2*$B$2</f>
        <v>60848.312000000005</v>
      </c>
      <c r="E1177" s="1068">
        <f t="shared" si="218"/>
        <v>1582056.1120000002</v>
      </c>
      <c r="F1177" s="1055"/>
      <c r="G1177" s="1064" t="s">
        <v>433</v>
      </c>
      <c r="H1177" s="1065" t="s">
        <v>458</v>
      </c>
      <c r="I1177" s="1066">
        <f>VLOOKUP(H1171,'CNKT '!$D$99:$AC$165,13,0)</f>
        <v>25</v>
      </c>
      <c r="J1177" s="1074">
        <f>92.2*$B$2</f>
        <v>60848.312000000005</v>
      </c>
      <c r="K1177" s="1068">
        <f t="shared" si="219"/>
        <v>1521207.8</v>
      </c>
      <c r="L1177" s="1024"/>
      <c r="M1177" s="1019"/>
    </row>
    <row r="1178" spans="1:13" s="23" customFormat="1" ht="17.25" customHeight="1">
      <c r="A1178" s="1004" t="s">
        <v>390</v>
      </c>
      <c r="B1178" s="1009" t="s">
        <v>434</v>
      </c>
      <c r="C1178" s="1010">
        <f>VLOOKUP(B1171,'CNKT '!$D$100:$AC$165,14,0)</f>
        <v>1</v>
      </c>
      <c r="D1178" s="582">
        <f>153.6*$B$2</f>
        <v>101369.856</v>
      </c>
      <c r="E1178" s="1007">
        <f t="shared" si="218"/>
        <v>101369.856</v>
      </c>
      <c r="F1178" s="1055"/>
      <c r="G1178" s="1004" t="s">
        <v>390</v>
      </c>
      <c r="H1178" s="1009" t="s">
        <v>434</v>
      </c>
      <c r="I1178" s="1010">
        <f>VLOOKUP(H1171,'CNKT '!$D$100:$AC$165,14,0)</f>
        <v>1</v>
      </c>
      <c r="J1178" s="582">
        <f>153.6*$B$2</f>
        <v>101369.856</v>
      </c>
      <c r="K1178" s="1007">
        <f t="shared" si="219"/>
        <v>101369.856</v>
      </c>
      <c r="L1178" s="1024"/>
      <c r="M1178" s="1019"/>
    </row>
    <row r="1179" spans="1:13" s="23" customFormat="1" ht="17.25" customHeight="1">
      <c r="A1179" s="1064" t="s">
        <v>781</v>
      </c>
      <c r="B1179" s="1065" t="s">
        <v>435</v>
      </c>
      <c r="C1179" s="1066">
        <f>VLOOKUP(B1171,'CNKT '!$D$101:$AC$165,18,0)</f>
        <v>0</v>
      </c>
      <c r="D1179" s="1067">
        <v>100000</v>
      </c>
      <c r="E1179" s="1068">
        <f>C1179*D1179</f>
        <v>0</v>
      </c>
      <c r="F1179" s="1055"/>
      <c r="G1179" s="1064" t="s">
        <v>781</v>
      </c>
      <c r="H1179" s="1065" t="s">
        <v>435</v>
      </c>
      <c r="I1179" s="1066">
        <f>VLOOKUP(H1171,'CNKT '!$D$101:$AC$165,18,0)</f>
        <v>0</v>
      </c>
      <c r="J1179" s="1067">
        <v>100000</v>
      </c>
      <c r="K1179" s="1068">
        <f>I1179*J1179</f>
        <v>0</v>
      </c>
      <c r="L1179" s="1024"/>
      <c r="M1179" s="1019"/>
    </row>
    <row r="1180" spans="1:13" s="23" customFormat="1" ht="17.25" customHeight="1">
      <c r="A1180" s="1004" t="s">
        <v>394</v>
      </c>
      <c r="B1180" s="1009" t="s">
        <v>435</v>
      </c>
      <c r="C1180" s="1010">
        <f>VLOOKUP(B1171,'CNKT '!$D$101:$AC$165,19,0)</f>
        <v>0</v>
      </c>
      <c r="D1180" s="582">
        <v>20000</v>
      </c>
      <c r="E1180" s="1007">
        <f>C1180*D1180</f>
        <v>0</v>
      </c>
      <c r="F1180" s="1055"/>
      <c r="G1180" s="1004" t="s">
        <v>394</v>
      </c>
      <c r="H1180" s="1009" t="s">
        <v>435</v>
      </c>
      <c r="I1180" s="1010">
        <f>VLOOKUP(H1171,'CNKT '!$D$101:$AC$165,19,0)</f>
        <v>0</v>
      </c>
      <c r="J1180" s="582">
        <v>20000</v>
      </c>
      <c r="K1180" s="1007">
        <f>I1180*J1180</f>
        <v>0</v>
      </c>
      <c r="L1180" s="1024"/>
      <c r="M1180" s="1019"/>
    </row>
    <row r="1181" spans="1:13" s="23" customFormat="1" ht="17.25" customHeight="1">
      <c r="A1181" s="1004" t="s">
        <v>731</v>
      </c>
      <c r="B1181" s="1011" t="s">
        <v>732</v>
      </c>
      <c r="C1181" s="1010"/>
      <c r="D1181" s="582"/>
      <c r="E1181" s="1007">
        <f>VLOOKUP(B1171,'CNKT '!$D$101:$AG$165,28,0)</f>
        <v>51</v>
      </c>
      <c r="F1181" s="1055"/>
      <c r="G1181" s="1004" t="s">
        <v>731</v>
      </c>
      <c r="H1181" s="1011" t="s">
        <v>732</v>
      </c>
      <c r="I1181" s="1010"/>
      <c r="J1181" s="582"/>
      <c r="K1181" s="1007">
        <f>VLOOKUP(H1171,'CNKT '!$D$101:$AG$165,28,0)</f>
        <v>52</v>
      </c>
      <c r="L1181" s="1024"/>
      <c r="M1181" s="1019"/>
    </row>
    <row r="1182" spans="1:13" s="23" customFormat="1" ht="17.25" customHeight="1">
      <c r="A1182" s="1012" t="s">
        <v>70</v>
      </c>
      <c r="B1182" s="1013" t="s">
        <v>459</v>
      </c>
      <c r="C1182" s="1014"/>
      <c r="D1182" s="1015"/>
      <c r="E1182" s="1014"/>
      <c r="F1182" s="1055"/>
      <c r="G1182" s="1012" t="s">
        <v>70</v>
      </c>
      <c r="H1182" s="1013" t="s">
        <v>459</v>
      </c>
      <c r="I1182" s="1014"/>
      <c r="J1182" s="1015"/>
      <c r="K1182" s="1014"/>
      <c r="L1182" s="1024"/>
      <c r="M1182" s="1019"/>
    </row>
    <row r="1183" spans="1:13" s="23" customFormat="1" ht="17.25" customHeight="1">
      <c r="A1183" s="1016" t="s">
        <v>71</v>
      </c>
      <c r="B1183" s="1017" t="s">
        <v>460</v>
      </c>
      <c r="C1183" s="1014"/>
      <c r="D1183" s="1014"/>
      <c r="E1183" s="1014"/>
      <c r="F1183" s="1055"/>
      <c r="G1183" s="1016" t="s">
        <v>71</v>
      </c>
      <c r="H1183" s="1017" t="s">
        <v>460</v>
      </c>
      <c r="I1183" s="1014"/>
      <c r="J1183" s="1014"/>
      <c r="K1183" s="1014"/>
      <c r="L1183" s="1024"/>
      <c r="M1183" s="1019"/>
    </row>
    <row r="1184" spans="1:13" s="23" customFormat="1" ht="17.25" customHeight="1">
      <c r="A1184" s="1016" t="s">
        <v>72</v>
      </c>
      <c r="B1184" s="1018" t="s">
        <v>461</v>
      </c>
      <c r="C1184" s="1014"/>
      <c r="D1184" s="1014"/>
      <c r="E1184" s="1007">
        <f>SUM(E1183)</f>
        <v>0</v>
      </c>
      <c r="F1184" s="1060"/>
      <c r="G1184" s="1016" t="s">
        <v>72</v>
      </c>
      <c r="H1184" s="1018" t="s">
        <v>461</v>
      </c>
      <c r="I1184" s="1014"/>
      <c r="J1184" s="1014"/>
      <c r="K1184" s="1007">
        <f>SUM(K1183)</f>
        <v>0</v>
      </c>
      <c r="L1184" s="1024"/>
      <c r="M1184" s="1019"/>
    </row>
    <row r="1185" spans="1:13" s="23" customFormat="1" ht="17.25" customHeight="1">
      <c r="A1185" s="1020" t="s">
        <v>73</v>
      </c>
      <c r="B1185" s="1021" t="s">
        <v>381</v>
      </c>
      <c r="C1185" s="1022"/>
      <c r="D1185" s="1022"/>
      <c r="E1185" s="1022" t="e">
        <f>(E1173+E1174+E1175+E1176+E1177+E1178+E1179+E1180+E1181)-E1184</f>
        <v>#VALUE!</v>
      </c>
      <c r="F1185" s="1060"/>
      <c r="G1185" s="1020" t="s">
        <v>73</v>
      </c>
      <c r="H1185" s="1021" t="s">
        <v>381</v>
      </c>
      <c r="I1185" s="1022"/>
      <c r="J1185" s="1022"/>
      <c r="K1185" s="1022" t="e">
        <f>(K1173+K1174+K1175+K1176+K1177+K1178+K1179+K1180+K1181)-K1184</f>
        <v>#VALUE!</v>
      </c>
      <c r="L1185" s="1024" t="e">
        <f>E1185+K1185</f>
        <v>#VALUE!</v>
      </c>
      <c r="M1185" s="1019"/>
    </row>
    <row r="1186" spans="1:13" s="23" customFormat="1" ht="17.25" customHeight="1">
      <c r="A1186" s="1058"/>
      <c r="B1186" s="1058"/>
      <c r="C1186" s="1058"/>
      <c r="D1186" s="1058"/>
      <c r="E1186" s="1058"/>
      <c r="F1186" s="1058"/>
      <c r="G1186" s="1058"/>
      <c r="H1186" s="1058"/>
      <c r="I1186" s="1058"/>
      <c r="J1186" s="1058"/>
      <c r="K1186" s="1058"/>
      <c r="L1186" s="1024"/>
      <c r="M1186" s="1019"/>
    </row>
    <row r="1187" spans="1:13" s="23" customFormat="1" ht="17.25" customHeight="1">
      <c r="A1187" s="1059" t="str">
        <f>A1170</f>
        <v>LƯƠNG THÁNG 09/2025</v>
      </c>
      <c r="B1187" s="1058"/>
      <c r="C1187" s="1058"/>
      <c r="D1187" s="1058"/>
      <c r="E1187" s="1054">
        <f>VLOOKUP(B1188,'CNKT '!$D$101:$AF$165,26,0)</f>
        <v>8454754</v>
      </c>
      <c r="F1187" s="1055"/>
      <c r="G1187" s="1059" t="str">
        <f>A1187</f>
        <v>LƯƠNG THÁNG 09/2025</v>
      </c>
      <c r="H1187" s="1058"/>
      <c r="I1187" s="1058"/>
      <c r="J1187" s="998"/>
      <c r="K1187" s="1054">
        <f>VLOOKUP(H1188,'CNKT '!$D$101:$AF$165,26,0)</f>
        <v>8719436</v>
      </c>
      <c r="L1187" s="1024"/>
      <c r="M1187" s="1019"/>
    </row>
    <row r="1188" spans="1:13" s="23" customFormat="1" ht="17.25" customHeight="1">
      <c r="A1188" s="1028" t="s">
        <v>13</v>
      </c>
      <c r="B1188" s="1000" t="str">
        <f>'CNKT '!D153</f>
        <v>N. Nọi</v>
      </c>
      <c r="C1188" s="1006"/>
      <c r="D1188" s="1000" t="s">
        <v>353</v>
      </c>
      <c r="E1188" s="1000" t="s">
        <v>16</v>
      </c>
      <c r="F1188" s="1055"/>
      <c r="G1188" s="1028" t="s">
        <v>13</v>
      </c>
      <c r="H1188" s="1000" t="str">
        <f>'CNKT '!D154</f>
        <v>T Bun Xi</v>
      </c>
      <c r="I1188" s="1006"/>
      <c r="J1188" s="1000" t="s">
        <v>353</v>
      </c>
      <c r="K1188" s="1000" t="s">
        <v>16</v>
      </c>
      <c r="L1188" s="1024"/>
      <c r="M1188" s="1019"/>
    </row>
    <row r="1189" spans="1:13" s="23" customFormat="1" ht="17.25" customHeight="1">
      <c r="A1189" s="1004" t="s">
        <v>354</v>
      </c>
      <c r="B1189" s="1005" t="s">
        <v>454</v>
      </c>
      <c r="C1189" s="1006">
        <f>VLOOKUP(B1188,'SẢN LƯỢNG'!$D$98:$AR$160,37,0)</f>
        <v>4356</v>
      </c>
      <c r="D1189" s="1007"/>
      <c r="E1189" s="1007"/>
      <c r="F1189" s="1055"/>
      <c r="G1189" s="1004" t="s">
        <v>354</v>
      </c>
      <c r="H1189" s="1005" t="s">
        <v>454</v>
      </c>
      <c r="I1189" s="1006">
        <f>VLOOKUP(H1188,'SẢN LƯỢNG'!$D$98:$AR$160,37,0)</f>
        <v>4073</v>
      </c>
      <c r="J1189" s="1007"/>
      <c r="K1189" s="1007"/>
      <c r="L1189" s="1024"/>
      <c r="M1189" s="1019"/>
    </row>
    <row r="1190" spans="1:13" s="23" customFormat="1" ht="17.25" customHeight="1">
      <c r="A1190" s="1004" t="s">
        <v>68</v>
      </c>
      <c r="B1190" s="1008" t="s">
        <v>380</v>
      </c>
      <c r="C1190" s="581">
        <f>VLOOKUP(B1188,'CNKT '!$D$100:$AC$165,3,0)</f>
        <v>0</v>
      </c>
      <c r="D1190" s="582">
        <v>25000</v>
      </c>
      <c r="E1190" s="1007">
        <f t="shared" ref="E1190:E1195" si="220">C1190*D1190</f>
        <v>0</v>
      </c>
      <c r="F1190" s="1055"/>
      <c r="G1190" s="1004" t="s">
        <v>68</v>
      </c>
      <c r="H1190" s="1008" t="s">
        <v>380</v>
      </c>
      <c r="I1190" s="581">
        <f>VLOOKUP(H1188,'CNKT '!$D$100:$AC$165,3,0)</f>
        <v>0</v>
      </c>
      <c r="J1190" s="582">
        <v>25000</v>
      </c>
      <c r="K1190" s="1007">
        <f t="shared" ref="K1190:K1195" si="221">I1190*J1190</f>
        <v>0</v>
      </c>
      <c r="L1190" s="1024"/>
      <c r="M1190" s="1019"/>
    </row>
    <row r="1191" spans="1:13" s="23" customFormat="1" ht="17.25" customHeight="1">
      <c r="A1191" s="1004" t="s">
        <v>269</v>
      </c>
      <c r="B1191" s="1009" t="s">
        <v>455</v>
      </c>
      <c r="C1191" s="1010" t="str">
        <f>VLOOKUP(B1188,'CNKT '!$D$100:$AC$165,11,0)</f>
        <v>A</v>
      </c>
      <c r="D1191" s="583">
        <f>46.1*$B$2</f>
        <v>30424.156000000003</v>
      </c>
      <c r="E1191" s="1007" t="e">
        <f t="shared" si="220"/>
        <v>#VALUE!</v>
      </c>
      <c r="F1191" s="1055"/>
      <c r="G1191" s="1004" t="s">
        <v>269</v>
      </c>
      <c r="H1191" s="1009" t="s">
        <v>455</v>
      </c>
      <c r="I1191" s="1010" t="str">
        <f>VLOOKUP(H1188,'CNKT '!$D$100:$AC$165,11,0)</f>
        <v>A</v>
      </c>
      <c r="J1191" s="583">
        <f>46.1*$B$2</f>
        <v>30424.156000000003</v>
      </c>
      <c r="K1191" s="1007" t="e">
        <f t="shared" si="221"/>
        <v>#VALUE!</v>
      </c>
      <c r="L1191" s="1024"/>
      <c r="M1191" s="1019"/>
    </row>
    <row r="1192" spans="1:13" s="23" customFormat="1" ht="17.25" customHeight="1">
      <c r="A1192" s="1004" t="s">
        <v>356</v>
      </c>
      <c r="B1192" s="1009" t="s">
        <v>456</v>
      </c>
      <c r="C1192" s="1010">
        <f>VLOOKUP(B1188,'CNKT '!$D$100:$AC$165,12,0)</f>
        <v>7038894</v>
      </c>
      <c r="D1192" s="582">
        <f>76.9*$B$2</f>
        <v>50750.924000000006</v>
      </c>
      <c r="E1192" s="1007">
        <f t="shared" si="220"/>
        <v>357230374438.05603</v>
      </c>
      <c r="F1192" s="1055"/>
      <c r="G1192" s="1004" t="s">
        <v>356</v>
      </c>
      <c r="H1192" s="1009" t="s">
        <v>456</v>
      </c>
      <c r="I1192" s="1010">
        <f>VLOOKUP(H1188,'CNKT '!$D$100:$AC$165,12,0)</f>
        <v>7334000</v>
      </c>
      <c r="J1192" s="582">
        <f>76.9*$B$2</f>
        <v>50750.924000000006</v>
      </c>
      <c r="K1192" s="1007">
        <f t="shared" si="221"/>
        <v>372207276616.00006</v>
      </c>
      <c r="L1192" s="1024"/>
      <c r="M1192" s="1019"/>
    </row>
    <row r="1193" spans="1:13" s="23" customFormat="1" ht="17.25" customHeight="1">
      <c r="A1193" s="1004" t="s">
        <v>69</v>
      </c>
      <c r="B1193" s="1009" t="s">
        <v>457</v>
      </c>
      <c r="C1193" s="1010">
        <f>VLOOKUP(B1188,'CNKT '!$D$100:$AC$165,8,0)</f>
        <v>1740.5154992232874</v>
      </c>
      <c r="D1193" s="582">
        <f>IF(C1189="A",6.1,IF(C1189="B",5.8,IF(C1189="C",5.5,IF(C1189="C.",5.5,IF(C1189="D",5.2)))))*$B$2</f>
        <v>0</v>
      </c>
      <c r="E1193" s="1007">
        <f t="shared" si="220"/>
        <v>0</v>
      </c>
      <c r="F1193" s="1055"/>
      <c r="G1193" s="1004" t="s">
        <v>69</v>
      </c>
      <c r="H1193" s="1009" t="s">
        <v>457</v>
      </c>
      <c r="I1193" s="1010">
        <f>VLOOKUP(H1188,'CNKT '!$D$100:$AC$165,8,0)</f>
        <v>1829.3128468840885</v>
      </c>
      <c r="J1193" s="582">
        <f>IF(I1189="A",6.1,IF(I1189="B",5.8,IF(I1189="C",5.5,IF(I1189="C.",5.5,IF(I1189="D",5.2)))))*$B$2</f>
        <v>0</v>
      </c>
      <c r="K1193" s="1007">
        <f t="shared" si="221"/>
        <v>0</v>
      </c>
      <c r="L1193" s="1024"/>
      <c r="M1193" s="1019"/>
    </row>
    <row r="1194" spans="1:13" s="23" customFormat="1" ht="17.25" customHeight="1">
      <c r="A1194" s="1064" t="s">
        <v>433</v>
      </c>
      <c r="B1194" s="1065" t="s">
        <v>458</v>
      </c>
      <c r="C1194" s="1066">
        <f>VLOOKUP(B1188,'CNKT '!$D$99:$AC$165,13,0)</f>
        <v>25</v>
      </c>
      <c r="D1194" s="1074">
        <f>92.2*$B$2</f>
        <v>60848.312000000005</v>
      </c>
      <c r="E1194" s="1068">
        <f t="shared" si="220"/>
        <v>1521207.8</v>
      </c>
      <c r="F1194" s="1055"/>
      <c r="G1194" s="1064" t="s">
        <v>433</v>
      </c>
      <c r="H1194" s="1065" t="s">
        <v>458</v>
      </c>
      <c r="I1194" s="1066">
        <f>VLOOKUP(H1188,'CNKT '!$D$99:$AC$165,13,0)</f>
        <v>24</v>
      </c>
      <c r="J1194" s="1074">
        <f>92.2*$B$2</f>
        <v>60848.312000000005</v>
      </c>
      <c r="K1194" s="1068">
        <f t="shared" si="221"/>
        <v>1460359.4880000001</v>
      </c>
      <c r="L1194" s="1024"/>
      <c r="M1194" s="1019"/>
    </row>
    <row r="1195" spans="1:13" s="23" customFormat="1" ht="17.25" customHeight="1">
      <c r="A1195" s="1004" t="s">
        <v>390</v>
      </c>
      <c r="B1195" s="1009" t="s">
        <v>434</v>
      </c>
      <c r="C1195" s="1010">
        <f>VLOOKUP(B1188,'CNKT '!$D$100:$AC$165,14,0)</f>
        <v>1</v>
      </c>
      <c r="D1195" s="582">
        <f>153.6*$B$2</f>
        <v>101369.856</v>
      </c>
      <c r="E1195" s="1007">
        <f t="shared" si="220"/>
        <v>101369.856</v>
      </c>
      <c r="F1195" s="1055"/>
      <c r="G1195" s="1004" t="s">
        <v>390</v>
      </c>
      <c r="H1195" s="1009" t="s">
        <v>434</v>
      </c>
      <c r="I1195" s="1010">
        <f>VLOOKUP(H1188,'CNKT '!$D$100:$AC$165,14,0)</f>
        <v>1</v>
      </c>
      <c r="J1195" s="582">
        <f>153.6*$B$2</f>
        <v>101369.856</v>
      </c>
      <c r="K1195" s="1007">
        <f t="shared" si="221"/>
        <v>101369.856</v>
      </c>
      <c r="L1195" s="1024"/>
      <c r="M1195" s="1019"/>
    </row>
    <row r="1196" spans="1:13" s="23" customFormat="1" ht="17.25" customHeight="1">
      <c r="A1196" s="1064" t="s">
        <v>781</v>
      </c>
      <c r="B1196" s="1065" t="s">
        <v>435</v>
      </c>
      <c r="C1196" s="1066">
        <f>VLOOKUP(B1188,'CNKT '!$D$101:$AC$165,18,0)</f>
        <v>0</v>
      </c>
      <c r="D1196" s="1067">
        <v>100000</v>
      </c>
      <c r="E1196" s="1068">
        <f>C1196*D1196</f>
        <v>0</v>
      </c>
      <c r="F1196" s="1055"/>
      <c r="G1196" s="1064" t="s">
        <v>781</v>
      </c>
      <c r="H1196" s="1065" t="s">
        <v>435</v>
      </c>
      <c r="I1196" s="1066">
        <f>VLOOKUP(H1188,'CNKT '!$D$101:$AC$165,18,0)</f>
        <v>0</v>
      </c>
      <c r="J1196" s="1067">
        <v>100000</v>
      </c>
      <c r="K1196" s="1068">
        <f>I1196*J1196</f>
        <v>0</v>
      </c>
      <c r="L1196" s="1024"/>
      <c r="M1196" s="1019"/>
    </row>
    <row r="1197" spans="1:13" s="23" customFormat="1" ht="17.25" customHeight="1">
      <c r="A1197" s="1004" t="s">
        <v>394</v>
      </c>
      <c r="B1197" s="1009" t="s">
        <v>435</v>
      </c>
      <c r="C1197" s="1010">
        <f>VLOOKUP(B1188,'CNKT '!$D$101:$AC$165,19,0)</f>
        <v>0</v>
      </c>
      <c r="D1197" s="582">
        <v>20000</v>
      </c>
      <c r="E1197" s="1007">
        <f>C1197*D1197</f>
        <v>0</v>
      </c>
      <c r="F1197" s="1055"/>
      <c r="G1197" s="1004" t="s">
        <v>394</v>
      </c>
      <c r="H1197" s="1009" t="s">
        <v>435</v>
      </c>
      <c r="I1197" s="1010">
        <f>VLOOKUP(H1188,'CNKT '!$D$101:$AC$165,19,0)</f>
        <v>0</v>
      </c>
      <c r="J1197" s="582">
        <v>20000</v>
      </c>
      <c r="K1197" s="1007">
        <f>I1197*J1197</f>
        <v>0</v>
      </c>
      <c r="L1197" s="1024"/>
      <c r="M1197" s="1019"/>
    </row>
    <row r="1198" spans="1:13" s="23" customFormat="1" ht="17.25" customHeight="1">
      <c r="A1198" s="1004" t="s">
        <v>731</v>
      </c>
      <c r="B1198" s="1011" t="s">
        <v>732</v>
      </c>
      <c r="C1198" s="1010"/>
      <c r="D1198" s="582"/>
      <c r="E1198" s="1007">
        <f>VLOOKUP(B1188,'CNKT '!$D$101:$AG$165,28,0)</f>
        <v>53</v>
      </c>
      <c r="F1198" s="1055"/>
      <c r="G1198" s="1004" t="s">
        <v>731</v>
      </c>
      <c r="H1198" s="1011" t="s">
        <v>732</v>
      </c>
      <c r="I1198" s="1010"/>
      <c r="J1198" s="582"/>
      <c r="K1198" s="1007">
        <f>VLOOKUP(H1188,'CNKT '!$D$101:$AG$165,28,0)</f>
        <v>54</v>
      </c>
      <c r="L1198" s="1024"/>
      <c r="M1198" s="1019"/>
    </row>
    <row r="1199" spans="1:13" s="23" customFormat="1" ht="17.25" customHeight="1">
      <c r="A1199" s="1012" t="s">
        <v>70</v>
      </c>
      <c r="B1199" s="1013" t="s">
        <v>459</v>
      </c>
      <c r="C1199" s="1014"/>
      <c r="D1199" s="1015"/>
      <c r="E1199" s="1014"/>
      <c r="F1199" s="1055"/>
      <c r="G1199" s="1012" t="s">
        <v>70</v>
      </c>
      <c r="H1199" s="1013" t="s">
        <v>459</v>
      </c>
      <c r="I1199" s="1014"/>
      <c r="J1199" s="1015"/>
      <c r="K1199" s="1014"/>
      <c r="L1199" s="1024"/>
      <c r="M1199" s="1019"/>
    </row>
    <row r="1200" spans="1:13" s="23" customFormat="1" ht="17.25" customHeight="1">
      <c r="A1200" s="1016" t="s">
        <v>71</v>
      </c>
      <c r="B1200" s="1017" t="s">
        <v>460</v>
      </c>
      <c r="C1200" s="1014"/>
      <c r="D1200" s="1014"/>
      <c r="E1200" s="1014"/>
      <c r="F1200" s="1055"/>
      <c r="G1200" s="1016" t="s">
        <v>71</v>
      </c>
      <c r="H1200" s="1017" t="s">
        <v>460</v>
      </c>
      <c r="I1200" s="1014"/>
      <c r="J1200" s="1014"/>
      <c r="K1200" s="1014"/>
      <c r="L1200" s="1024"/>
      <c r="M1200" s="1019"/>
    </row>
    <row r="1201" spans="1:13" s="23" customFormat="1" ht="17.25" customHeight="1">
      <c r="A1201" s="1016" t="s">
        <v>72</v>
      </c>
      <c r="B1201" s="1018" t="s">
        <v>461</v>
      </c>
      <c r="C1201" s="1014"/>
      <c r="D1201" s="1014"/>
      <c r="E1201" s="1007">
        <f>SUM(E1200)</f>
        <v>0</v>
      </c>
      <c r="F1201" s="1055"/>
      <c r="G1201" s="1016" t="s">
        <v>72</v>
      </c>
      <c r="H1201" s="1018" t="s">
        <v>461</v>
      </c>
      <c r="I1201" s="1014"/>
      <c r="J1201" s="1014"/>
      <c r="K1201" s="1007">
        <f>SUM(K1200)</f>
        <v>0</v>
      </c>
      <c r="L1201" s="1024"/>
      <c r="M1201" s="1019"/>
    </row>
    <row r="1202" spans="1:13" s="23" customFormat="1" ht="17.25" customHeight="1">
      <c r="A1202" s="1020" t="s">
        <v>73</v>
      </c>
      <c r="B1202" s="1021" t="s">
        <v>381</v>
      </c>
      <c r="C1202" s="1022"/>
      <c r="D1202" s="1022"/>
      <c r="E1202" s="1022" t="e">
        <f>(E1190+E1191+E1192+E1193+E1194+E1195+E1196+E1197+E1198)-E1201</f>
        <v>#VALUE!</v>
      </c>
      <c r="F1202" s="1055"/>
      <c r="G1202" s="1020" t="s">
        <v>73</v>
      </c>
      <c r="H1202" s="1021" t="s">
        <v>381</v>
      </c>
      <c r="I1202" s="1022"/>
      <c r="J1202" s="1022"/>
      <c r="K1202" s="1022" t="e">
        <f>(K1190+K1191+K1192+K1193+K1194+K1195+K1196+K1197+K1198)-K1201</f>
        <v>#VALUE!</v>
      </c>
      <c r="L1202" s="1024" t="e">
        <f>E1202+K1202</f>
        <v>#VALUE!</v>
      </c>
      <c r="M1202" s="1019"/>
    </row>
    <row r="1203" spans="1:13" s="23" customFormat="1" ht="17.25" customHeight="1">
      <c r="A1203" s="1058"/>
      <c r="B1203" s="1058"/>
      <c r="C1203" s="1058"/>
      <c r="D1203" s="1058"/>
      <c r="E1203" s="1058"/>
      <c r="F1203" s="1058"/>
      <c r="G1203" s="1058"/>
      <c r="H1203" s="1058"/>
      <c r="I1203" s="1058"/>
      <c r="J1203" s="1058"/>
      <c r="K1203" s="1058"/>
      <c r="L1203" s="1024"/>
      <c r="M1203" s="1019"/>
    </row>
    <row r="1204" spans="1:13" s="23" customFormat="1" ht="17.25" customHeight="1">
      <c r="A1204" s="1059" t="str">
        <f>A1187</f>
        <v>LƯƠNG THÁNG 09/2025</v>
      </c>
      <c r="B1204" s="1058"/>
      <c r="C1204" s="1058"/>
      <c r="D1204" s="1058"/>
      <c r="E1204" s="1054">
        <f>VLOOKUP(B1205,'CNKT '!$D$101:$AF$165,26,0)</f>
        <v>8066038</v>
      </c>
      <c r="F1204" s="1055"/>
      <c r="G1204" s="1059" t="str">
        <f>A1204</f>
        <v>LƯƠNG THÁNG 09/2025</v>
      </c>
      <c r="H1204" s="1058"/>
      <c r="I1204" s="1058"/>
      <c r="J1204" s="998"/>
      <c r="K1204" s="1054">
        <f>VLOOKUP(H1205,'CNKT '!$D$101:$AF$165,26,0)</f>
        <v>8311507</v>
      </c>
      <c r="L1204" s="1024"/>
      <c r="M1204" s="1019"/>
    </row>
    <row r="1205" spans="1:13" s="23" customFormat="1" ht="17.25" customHeight="1">
      <c r="A1205" s="1028" t="s">
        <v>13</v>
      </c>
      <c r="B1205" s="1000" t="str">
        <f>'CNKT '!D155</f>
        <v>N. Bù</v>
      </c>
      <c r="C1205" s="1006"/>
      <c r="D1205" s="1000" t="s">
        <v>353</v>
      </c>
      <c r="E1205" s="1000" t="s">
        <v>16</v>
      </c>
      <c r="F1205" s="1055"/>
      <c r="G1205" s="1028" t="s">
        <v>13</v>
      </c>
      <c r="H1205" s="1000" t="str">
        <f>'CNKT '!D156</f>
        <v>T. Xơn</v>
      </c>
      <c r="I1205" s="1006"/>
      <c r="J1205" s="1000" t="s">
        <v>353</v>
      </c>
      <c r="K1205" s="1000" t="s">
        <v>16</v>
      </c>
      <c r="L1205" s="1024"/>
      <c r="M1205" s="1019"/>
    </row>
    <row r="1206" spans="1:13" s="23" customFormat="1" ht="17.25" customHeight="1">
      <c r="A1206" s="1004" t="s">
        <v>354</v>
      </c>
      <c r="B1206" s="1005" t="s">
        <v>454</v>
      </c>
      <c r="C1206" s="1006">
        <f>VLOOKUP(B1205,'SẢN LƯỢNG'!$D$98:$AR$160,37,0)</f>
        <v>3767</v>
      </c>
      <c r="D1206" s="1007"/>
      <c r="E1206" s="1007"/>
      <c r="F1206" s="1055"/>
      <c r="G1206" s="1004" t="s">
        <v>354</v>
      </c>
      <c r="H1206" s="1005" t="s">
        <v>454</v>
      </c>
      <c r="I1206" s="1006">
        <f>VLOOKUP(H1205,'SẢN LƯỢNG'!$D$98:$AR$160,37,0)</f>
        <v>3943</v>
      </c>
      <c r="J1206" s="1007"/>
      <c r="K1206" s="1007"/>
      <c r="L1206" s="1024"/>
      <c r="M1206" s="1019"/>
    </row>
    <row r="1207" spans="1:13" s="23" customFormat="1" ht="17.25" customHeight="1">
      <c r="A1207" s="1004" t="s">
        <v>68</v>
      </c>
      <c r="B1207" s="1008" t="s">
        <v>380</v>
      </c>
      <c r="C1207" s="581">
        <f>VLOOKUP(B1205,'CNKT '!$D$100:$AC$165,3,0)</f>
        <v>0</v>
      </c>
      <c r="D1207" s="582">
        <v>25000</v>
      </c>
      <c r="E1207" s="1007">
        <f t="shared" ref="E1207:E1212" si="222">C1207*D1207</f>
        <v>0</v>
      </c>
      <c r="F1207" s="1055"/>
      <c r="G1207" s="1004" t="s">
        <v>68</v>
      </c>
      <c r="H1207" s="1008" t="s">
        <v>380</v>
      </c>
      <c r="I1207" s="581">
        <f>VLOOKUP(H1205,'CNKT '!$D$100:$AC$165,3,0)</f>
        <v>0</v>
      </c>
      <c r="J1207" s="582">
        <v>25000</v>
      </c>
      <c r="K1207" s="1007">
        <f t="shared" ref="K1207:K1212" si="223">I1207*J1207</f>
        <v>0</v>
      </c>
      <c r="L1207" s="1024"/>
      <c r="M1207" s="1019"/>
    </row>
    <row r="1208" spans="1:13" s="23" customFormat="1" ht="17.25" customHeight="1">
      <c r="A1208" s="1004" t="s">
        <v>269</v>
      </c>
      <c r="B1208" s="1009" t="s">
        <v>455</v>
      </c>
      <c r="C1208" s="1010" t="str">
        <f>VLOOKUP(B1205,'CNKT '!$D$100:$AC$165,11,0)</f>
        <v>A</v>
      </c>
      <c r="D1208" s="583">
        <f>46.1*$B$2</f>
        <v>30424.156000000003</v>
      </c>
      <c r="E1208" s="1007" t="e">
        <f t="shared" si="222"/>
        <v>#VALUE!</v>
      </c>
      <c r="F1208" s="1055"/>
      <c r="G1208" s="1004" t="s">
        <v>269</v>
      </c>
      <c r="H1208" s="1009" t="s">
        <v>455</v>
      </c>
      <c r="I1208" s="1010" t="str">
        <f>VLOOKUP(H1205,'CNKT '!$D$100:$AC$165,11,0)</f>
        <v>B</v>
      </c>
      <c r="J1208" s="583">
        <f>46.1*$B$2</f>
        <v>30424.156000000003</v>
      </c>
      <c r="K1208" s="1007" t="e">
        <f t="shared" si="223"/>
        <v>#VALUE!</v>
      </c>
      <c r="L1208" s="1024"/>
      <c r="M1208" s="1019"/>
    </row>
    <row r="1209" spans="1:13" s="23" customFormat="1" ht="17.25" customHeight="1">
      <c r="A1209" s="1004" t="s">
        <v>356</v>
      </c>
      <c r="B1209" s="1009" t="s">
        <v>456</v>
      </c>
      <c r="C1209" s="1010">
        <f>VLOOKUP(B1205,'CNKT '!$D$100:$AC$165,12,0)</f>
        <v>6680602</v>
      </c>
      <c r="D1209" s="582">
        <f>76.9*$B$2</f>
        <v>50750.924000000006</v>
      </c>
      <c r="E1209" s="1007">
        <f t="shared" si="222"/>
        <v>339046724376.24805</v>
      </c>
      <c r="F1209" s="1055"/>
      <c r="G1209" s="1004" t="s">
        <v>356</v>
      </c>
      <c r="H1209" s="1009" t="s">
        <v>456</v>
      </c>
      <c r="I1209" s="1010">
        <f>VLOOKUP(H1205,'CNKT '!$D$100:$AC$165,12,0)</f>
        <v>6895647</v>
      </c>
      <c r="J1209" s="582">
        <f>76.9*$B$2</f>
        <v>50750.924000000006</v>
      </c>
      <c r="K1209" s="1007">
        <f t="shared" si="223"/>
        <v>349960456827.82806</v>
      </c>
      <c r="L1209" s="1024"/>
      <c r="M1209" s="1019"/>
    </row>
    <row r="1210" spans="1:13" s="23" customFormat="1" ht="17.25" customHeight="1">
      <c r="A1210" s="1004" t="s">
        <v>69</v>
      </c>
      <c r="B1210" s="1009" t="s">
        <v>457</v>
      </c>
      <c r="C1210" s="1010">
        <f>VLOOKUP(B1205,'CNKT '!$D$100:$AC$165,8,0)</f>
        <v>1664.4034869426007</v>
      </c>
      <c r="D1210" s="582">
        <f>IF(C1206="A",6.1,IF(C1206="B",5.8,IF(C1206="C",5.5,IF(C1206="C.",5.5,IF(C1206="D",5.2)))))*$B$2</f>
        <v>0</v>
      </c>
      <c r="E1210" s="1007">
        <f t="shared" si="222"/>
        <v>0</v>
      </c>
      <c r="F1210" s="1055"/>
      <c r="G1210" s="1004" t="s">
        <v>69</v>
      </c>
      <c r="H1210" s="1009" t="s">
        <v>457</v>
      </c>
      <c r="I1210" s="1010">
        <f>VLOOKUP(H1205,'CNKT '!$D$100:$AC$165,8,0)</f>
        <v>1811.8158325666893</v>
      </c>
      <c r="J1210" s="582">
        <f>IF(I1206="A",6.1,IF(I1206="B",5.8,IF(I1206="C",5.5,IF(I1206="C.",5.5,IF(I1206="D",5.2)))))*$B$2</f>
        <v>0</v>
      </c>
      <c r="K1210" s="1007">
        <f t="shared" si="223"/>
        <v>0</v>
      </c>
      <c r="L1210" s="1024"/>
      <c r="M1210" s="1019"/>
    </row>
    <row r="1211" spans="1:13" s="23" customFormat="1" ht="17.25" customHeight="1">
      <c r="A1211" s="1064" t="s">
        <v>433</v>
      </c>
      <c r="B1211" s="1065" t="s">
        <v>458</v>
      </c>
      <c r="C1211" s="1066">
        <f>VLOOKUP(B1205,'CNKT '!$D$99:$AC$165,13,0)</f>
        <v>24</v>
      </c>
      <c r="D1211" s="1074">
        <f>92.2*$B$2</f>
        <v>60848.312000000005</v>
      </c>
      <c r="E1211" s="1068">
        <f t="shared" si="222"/>
        <v>1460359.4880000001</v>
      </c>
      <c r="F1211" s="1055"/>
      <c r="G1211" s="1064" t="s">
        <v>433</v>
      </c>
      <c r="H1211" s="1065" t="s">
        <v>458</v>
      </c>
      <c r="I1211" s="1066">
        <f>VLOOKUP(H1205,'CNKT '!$D$99:$AC$165,13,0)</f>
        <v>25</v>
      </c>
      <c r="J1211" s="1074">
        <f>92.2*$B$2</f>
        <v>60848.312000000005</v>
      </c>
      <c r="K1211" s="1068">
        <f t="shared" si="223"/>
        <v>1521207.8</v>
      </c>
      <c r="L1211" s="1024"/>
      <c r="M1211" s="1019"/>
    </row>
    <row r="1212" spans="1:13" s="23" customFormat="1" ht="17.25" customHeight="1">
      <c r="A1212" s="1004" t="s">
        <v>390</v>
      </c>
      <c r="B1212" s="1009" t="s">
        <v>434</v>
      </c>
      <c r="C1212" s="1010">
        <f>VLOOKUP(B1205,'CNKT '!$D$100:$AC$165,14,0)</f>
        <v>1</v>
      </c>
      <c r="D1212" s="582">
        <f>153.6*$B$2</f>
        <v>101369.856</v>
      </c>
      <c r="E1212" s="1007">
        <f t="shared" si="222"/>
        <v>101369.856</v>
      </c>
      <c r="F1212" s="1055"/>
      <c r="G1212" s="1004" t="s">
        <v>390</v>
      </c>
      <c r="H1212" s="1009" t="s">
        <v>434</v>
      </c>
      <c r="I1212" s="1010">
        <f>VLOOKUP(H1205,'CNKT '!$D$100:$AC$165,14,0)</f>
        <v>1</v>
      </c>
      <c r="J1212" s="582">
        <f>153.6*$B$2</f>
        <v>101369.856</v>
      </c>
      <c r="K1212" s="1007">
        <f t="shared" si="223"/>
        <v>101369.856</v>
      </c>
      <c r="L1212" s="1024"/>
      <c r="M1212" s="1019"/>
    </row>
    <row r="1213" spans="1:13" s="23" customFormat="1" ht="17.25" customHeight="1">
      <c r="A1213" s="1064" t="s">
        <v>781</v>
      </c>
      <c r="B1213" s="1065" t="s">
        <v>435</v>
      </c>
      <c r="C1213" s="1066">
        <f>VLOOKUP(B1205,'CNKT '!$D$101:$AC$165,18,0)</f>
        <v>0</v>
      </c>
      <c r="D1213" s="1067">
        <v>100000</v>
      </c>
      <c r="E1213" s="1068">
        <f>C1213*D1213</f>
        <v>0</v>
      </c>
      <c r="F1213" s="1055"/>
      <c r="G1213" s="1064" t="s">
        <v>781</v>
      </c>
      <c r="H1213" s="1065" t="s">
        <v>435</v>
      </c>
      <c r="I1213" s="1066">
        <f>VLOOKUP(H1205,'CNKT '!$D$101:$AC$165,18,0)</f>
        <v>0</v>
      </c>
      <c r="J1213" s="1067">
        <v>100000</v>
      </c>
      <c r="K1213" s="1068">
        <f>I1213*J1213</f>
        <v>0</v>
      </c>
      <c r="L1213" s="1024"/>
      <c r="M1213" s="1019"/>
    </row>
    <row r="1214" spans="1:13" s="23" customFormat="1" ht="17.25" customHeight="1">
      <c r="A1214" s="1004" t="s">
        <v>394</v>
      </c>
      <c r="B1214" s="1009" t="s">
        <v>435</v>
      </c>
      <c r="C1214" s="1010">
        <f>VLOOKUP(B1205,'CNKT '!$D$101:$AC$165,19,0)</f>
        <v>0</v>
      </c>
      <c r="D1214" s="582">
        <v>20000</v>
      </c>
      <c r="E1214" s="1007">
        <f>C1214*D1214</f>
        <v>0</v>
      </c>
      <c r="F1214" s="1055"/>
      <c r="G1214" s="1004" t="s">
        <v>394</v>
      </c>
      <c r="H1214" s="1009" t="s">
        <v>435</v>
      </c>
      <c r="I1214" s="1010">
        <f>VLOOKUP(H1205,'CNKT '!$D$101:$AC$165,19,0)</f>
        <v>0</v>
      </c>
      <c r="J1214" s="582">
        <v>20000</v>
      </c>
      <c r="K1214" s="1007">
        <f>I1214*J1214</f>
        <v>0</v>
      </c>
      <c r="L1214" s="1024"/>
      <c r="M1214" s="1019"/>
    </row>
    <row r="1215" spans="1:13" s="23" customFormat="1" ht="17.25" customHeight="1">
      <c r="A1215" s="1004" t="s">
        <v>731</v>
      </c>
      <c r="B1215" s="1011" t="s">
        <v>732</v>
      </c>
      <c r="C1215" s="1010"/>
      <c r="D1215" s="582"/>
      <c r="E1215" s="1007">
        <f>VLOOKUP(B1205,'CNKT '!$D$101:$AG$165,28,0)</f>
        <v>55</v>
      </c>
      <c r="F1215" s="1055"/>
      <c r="G1215" s="1004" t="s">
        <v>731</v>
      </c>
      <c r="H1215" s="1011" t="s">
        <v>732</v>
      </c>
      <c r="I1215" s="1010"/>
      <c r="J1215" s="582"/>
      <c r="K1215" s="1007">
        <f>VLOOKUP(H1205,'CNKT '!$D$101:$AG$165,28,0)</f>
        <v>56</v>
      </c>
      <c r="L1215" s="1024"/>
      <c r="M1215" s="1019"/>
    </row>
    <row r="1216" spans="1:13" s="23" customFormat="1" ht="17.25" customHeight="1">
      <c r="A1216" s="1012" t="s">
        <v>70</v>
      </c>
      <c r="B1216" s="1013" t="s">
        <v>459</v>
      </c>
      <c r="C1216" s="1014"/>
      <c r="D1216" s="1015"/>
      <c r="E1216" s="1014"/>
      <c r="F1216" s="1055"/>
      <c r="G1216" s="1012" t="s">
        <v>70</v>
      </c>
      <c r="H1216" s="1013" t="s">
        <v>459</v>
      </c>
      <c r="I1216" s="1014"/>
      <c r="J1216" s="1015"/>
      <c r="K1216" s="1014"/>
      <c r="L1216" s="1024"/>
      <c r="M1216" s="1019"/>
    </row>
    <row r="1217" spans="1:13" s="23" customFormat="1" ht="17.25" customHeight="1">
      <c r="A1217" s="1016" t="s">
        <v>71</v>
      </c>
      <c r="B1217" s="1017" t="s">
        <v>460</v>
      </c>
      <c r="C1217" s="1014"/>
      <c r="D1217" s="1014"/>
      <c r="E1217" s="1014"/>
      <c r="F1217" s="1055"/>
      <c r="G1217" s="1016" t="s">
        <v>71</v>
      </c>
      <c r="H1217" s="1017" t="s">
        <v>460</v>
      </c>
      <c r="I1217" s="1014"/>
      <c r="J1217" s="1014"/>
      <c r="K1217" s="1014"/>
      <c r="L1217" s="1024"/>
      <c r="M1217" s="1019"/>
    </row>
    <row r="1218" spans="1:13" s="23" customFormat="1" ht="17.25" customHeight="1">
      <c r="A1218" s="1016" t="s">
        <v>72</v>
      </c>
      <c r="B1218" s="1018" t="s">
        <v>461</v>
      </c>
      <c r="C1218" s="1014"/>
      <c r="D1218" s="1014"/>
      <c r="E1218" s="1007">
        <f>SUM(E1217)</f>
        <v>0</v>
      </c>
      <c r="F1218" s="1055"/>
      <c r="G1218" s="1016" t="s">
        <v>72</v>
      </c>
      <c r="H1218" s="1018" t="s">
        <v>461</v>
      </c>
      <c r="I1218" s="1014"/>
      <c r="J1218" s="1014"/>
      <c r="K1218" s="1007">
        <f>SUM(K1217)</f>
        <v>0</v>
      </c>
      <c r="L1218" s="1024"/>
      <c r="M1218" s="1019"/>
    </row>
    <row r="1219" spans="1:13" s="23" customFormat="1" ht="17.25" customHeight="1">
      <c r="A1219" s="1020" t="s">
        <v>73</v>
      </c>
      <c r="B1219" s="1021" t="s">
        <v>381</v>
      </c>
      <c r="C1219" s="1022"/>
      <c r="D1219" s="1022"/>
      <c r="E1219" s="1022" t="e">
        <f>(E1207+E1208+E1209+E1210+E1211+E1212+E1213+E1214+E1215)-E1218</f>
        <v>#VALUE!</v>
      </c>
      <c r="F1219" s="1055"/>
      <c r="G1219" s="1020" t="s">
        <v>73</v>
      </c>
      <c r="H1219" s="1021" t="s">
        <v>381</v>
      </c>
      <c r="I1219" s="1022"/>
      <c r="J1219" s="1022"/>
      <c r="K1219" s="1022" t="e">
        <f>(K1207+K1208+K1209+K1210+K1211+K1212+K1213+K1214+K1215)-K1218</f>
        <v>#VALUE!</v>
      </c>
      <c r="L1219" s="1024" t="e">
        <f>E1219+K1219</f>
        <v>#VALUE!</v>
      </c>
      <c r="M1219" s="1019"/>
    </row>
    <row r="1220" spans="1:13" s="23" customFormat="1" ht="204" customHeight="1">
      <c r="A1220" s="1058"/>
      <c r="B1220" s="1058"/>
      <c r="C1220" s="1058"/>
      <c r="D1220" s="1058"/>
      <c r="E1220" s="1058"/>
      <c r="F1220" s="1058"/>
      <c r="G1220" s="1058"/>
      <c r="H1220" s="1058"/>
      <c r="I1220" s="1058"/>
      <c r="J1220" s="1058"/>
      <c r="K1220" s="1058"/>
      <c r="L1220" s="1024"/>
      <c r="M1220" s="1019"/>
    </row>
    <row r="1221" spans="1:13" s="23" customFormat="1" ht="17.25" customHeight="1">
      <c r="A1221" s="1059" t="str">
        <f>A1204</f>
        <v>LƯƠNG THÁNG 09/2025</v>
      </c>
      <c r="B1221" s="1058"/>
      <c r="C1221" s="1058"/>
      <c r="D1221" s="1058"/>
      <c r="E1221" s="1054">
        <f>VLOOKUP(B1222,'CNKT '!$D$101:$AF$165,26,0)</f>
        <v>9526261</v>
      </c>
      <c r="F1221" s="1055"/>
      <c r="G1221" s="1059" t="str">
        <f>A1221</f>
        <v>LƯƠNG THÁNG 09/2025</v>
      </c>
      <c r="H1221" s="1058"/>
      <c r="I1221" s="1058"/>
      <c r="J1221" s="998"/>
      <c r="K1221" s="1054">
        <f>VLOOKUP(H1222,'CNKT '!$D$101:$AF$165,26,0)</f>
        <v>6679432</v>
      </c>
      <c r="L1221" s="1024"/>
      <c r="M1221" s="1019"/>
    </row>
    <row r="1222" spans="1:13" s="23" customFormat="1" ht="17.25" customHeight="1">
      <c r="A1222" s="1028" t="s">
        <v>13</v>
      </c>
      <c r="B1222" s="1000" t="str">
        <f>'CNKT '!D157</f>
        <v>T. Thi</v>
      </c>
      <c r="C1222" s="1006"/>
      <c r="D1222" s="1000" t="s">
        <v>353</v>
      </c>
      <c r="E1222" s="1000" t="s">
        <v>16</v>
      </c>
      <c r="F1222" s="1055"/>
      <c r="G1222" s="1028" t="s">
        <v>13</v>
      </c>
      <c r="H1222" s="1000" t="str">
        <f>'CNKT '!D158</f>
        <v>On chay</v>
      </c>
      <c r="I1222" s="1006"/>
      <c r="J1222" s="1000" t="s">
        <v>353</v>
      </c>
      <c r="K1222" s="1000" t="s">
        <v>16</v>
      </c>
      <c r="L1222" s="1024"/>
      <c r="M1222" s="1019"/>
    </row>
    <row r="1223" spans="1:13" s="23" customFormat="1" ht="17.25" customHeight="1">
      <c r="A1223" s="1004" t="s">
        <v>354</v>
      </c>
      <c r="B1223" s="1005" t="s">
        <v>454</v>
      </c>
      <c r="C1223" s="1006">
        <f>VLOOKUP(B1222,'SẢN LƯỢNG'!$D$98:$AR$160,37,0)</f>
        <v>2583</v>
      </c>
      <c r="D1223" s="1007"/>
      <c r="E1223" s="1007"/>
      <c r="F1223" s="1055"/>
      <c r="G1223" s="1004" t="s">
        <v>354</v>
      </c>
      <c r="H1223" s="1005" t="s">
        <v>454</v>
      </c>
      <c r="I1223" s="1006">
        <f>VLOOKUP(H1222,'SẢN LƯỢNG'!$D$98:$AR$160,37,0)</f>
        <v>3057</v>
      </c>
      <c r="J1223" s="1007"/>
      <c r="K1223" s="1007"/>
      <c r="L1223" s="1024"/>
      <c r="M1223" s="1019"/>
    </row>
    <row r="1224" spans="1:13" s="23" customFormat="1" ht="17.25" customHeight="1">
      <c r="A1224" s="1004" t="s">
        <v>68</v>
      </c>
      <c r="B1224" s="1008" t="s">
        <v>380</v>
      </c>
      <c r="C1224" s="581">
        <f>VLOOKUP(B1222,'CNKT '!$D$100:$AC$165,3,0)</f>
        <v>0</v>
      </c>
      <c r="D1224" s="582">
        <v>25000</v>
      </c>
      <c r="E1224" s="1007">
        <f t="shared" ref="E1224:E1229" si="224">C1224*D1224</f>
        <v>0</v>
      </c>
      <c r="F1224" s="1055"/>
      <c r="G1224" s="1004" t="s">
        <v>68</v>
      </c>
      <c r="H1224" s="1008" t="s">
        <v>380</v>
      </c>
      <c r="I1224" s="581">
        <f>VLOOKUP(H1222,'CNKT '!$D$100:$AC$165,3,0)</f>
        <v>0</v>
      </c>
      <c r="J1224" s="582">
        <v>25000</v>
      </c>
      <c r="K1224" s="1007">
        <f t="shared" ref="K1224:K1229" si="225">I1224*J1224</f>
        <v>0</v>
      </c>
      <c r="L1224" s="1024"/>
      <c r="M1224" s="1019"/>
    </row>
    <row r="1225" spans="1:13" s="23" customFormat="1" ht="17.25" customHeight="1">
      <c r="A1225" s="1004" t="s">
        <v>269</v>
      </c>
      <c r="B1225" s="1009" t="s">
        <v>455</v>
      </c>
      <c r="C1225" s="1010" t="str">
        <f>VLOOKUP(B1222,'CNKT '!$D$100:$AC$165,11,0)</f>
        <v>A</v>
      </c>
      <c r="D1225" s="583">
        <f>46.1*$B$2</f>
        <v>30424.156000000003</v>
      </c>
      <c r="E1225" s="1007" t="e">
        <f t="shared" si="224"/>
        <v>#VALUE!</v>
      </c>
      <c r="F1225" s="1055"/>
      <c r="G1225" s="1004" t="s">
        <v>269</v>
      </c>
      <c r="H1225" s="1009" t="s">
        <v>455</v>
      </c>
      <c r="I1225" s="1010" t="str">
        <f>VLOOKUP(H1222,'CNKT '!$D$100:$AC$165,11,0)</f>
        <v>A</v>
      </c>
      <c r="J1225" s="583">
        <f>46.1*$B$2</f>
        <v>30424.156000000003</v>
      </c>
      <c r="K1225" s="1007" t="e">
        <f t="shared" si="225"/>
        <v>#VALUE!</v>
      </c>
      <c r="L1225" s="1024"/>
      <c r="M1225" s="1019"/>
    </row>
    <row r="1226" spans="1:13" s="23" customFormat="1" ht="17.25" customHeight="1">
      <c r="A1226" s="1004" t="s">
        <v>356</v>
      </c>
      <c r="B1226" s="1009" t="s">
        <v>456</v>
      </c>
      <c r="C1226" s="1010">
        <f>VLOOKUP(B1222,'CNKT '!$D$100:$AC$165,12,0)</f>
        <v>8110401</v>
      </c>
      <c r="D1226" s="582">
        <f>76.9*$B$2</f>
        <v>50750.924000000006</v>
      </c>
      <c r="E1226" s="1007">
        <f t="shared" si="224"/>
        <v>411610344760.52405</v>
      </c>
      <c r="F1226" s="1055"/>
      <c r="G1226" s="1004" t="s">
        <v>356</v>
      </c>
      <c r="H1226" s="1009" t="s">
        <v>456</v>
      </c>
      <c r="I1226" s="1010">
        <f>VLOOKUP(H1222,'CNKT '!$D$100:$AC$165,12,0)</f>
        <v>5263572</v>
      </c>
      <c r="J1226" s="582">
        <f>76.9*$B$2</f>
        <v>50750.924000000006</v>
      </c>
      <c r="K1226" s="1007">
        <f t="shared" si="225"/>
        <v>267131142540.52805</v>
      </c>
      <c r="L1226" s="1024"/>
      <c r="M1226" s="1019"/>
    </row>
    <row r="1227" spans="1:13" s="23" customFormat="1" ht="17.25" customHeight="1">
      <c r="A1227" s="1004" t="s">
        <v>69</v>
      </c>
      <c r="B1227" s="1009" t="s">
        <v>457</v>
      </c>
      <c r="C1227" s="1010">
        <f>VLOOKUP(B1222,'CNKT '!$D$100:$AC$165,8,0)</f>
        <v>2088.268658781597</v>
      </c>
      <c r="D1227" s="582">
        <f>IF(C1223="A",6.1,IF(C1223="B",5.8,IF(C1223="C",5.5,IF(C1223="C.",5.5,IF(C1223="D",5.2)))))*$B$2</f>
        <v>0</v>
      </c>
      <c r="E1227" s="1007">
        <f t="shared" si="224"/>
        <v>0</v>
      </c>
      <c r="F1227" s="1055"/>
      <c r="G1227" s="1004" t="s">
        <v>69</v>
      </c>
      <c r="H1227" s="1009" t="s">
        <v>457</v>
      </c>
      <c r="I1227" s="1010">
        <f>VLOOKUP(H1222,'CNKT '!$D$100:$AC$165,8,0)</f>
        <v>1308.3392455835267</v>
      </c>
      <c r="J1227" s="582">
        <f>IF(I1223="A",6.1,IF(I1223="B",5.8,IF(I1223="C",5.5,IF(I1223="C.",5.5,IF(I1223="D",5.2)))))*$B$2</f>
        <v>0</v>
      </c>
      <c r="K1227" s="1007">
        <f t="shared" si="225"/>
        <v>0</v>
      </c>
      <c r="L1227" s="1024"/>
      <c r="M1227" s="1019"/>
    </row>
    <row r="1228" spans="1:13" s="23" customFormat="1" ht="17.25" customHeight="1">
      <c r="A1228" s="1064" t="s">
        <v>433</v>
      </c>
      <c r="B1228" s="1065" t="s">
        <v>458</v>
      </c>
      <c r="C1228" s="1066">
        <f>VLOOKUP(B1222,'CNKT '!$D$99:$AC$165,13,0)</f>
        <v>25</v>
      </c>
      <c r="D1228" s="1074">
        <f>92.2*$B$2</f>
        <v>60848.312000000005</v>
      </c>
      <c r="E1228" s="1068">
        <f t="shared" si="224"/>
        <v>1521207.8</v>
      </c>
      <c r="F1228" s="1055"/>
      <c r="G1228" s="1064" t="s">
        <v>433</v>
      </c>
      <c r="H1228" s="1065" t="s">
        <v>458</v>
      </c>
      <c r="I1228" s="1066">
        <f>VLOOKUP(H1222,'CNKT '!$D$99:$AC$165,13,0)</f>
        <v>25</v>
      </c>
      <c r="J1228" s="1074">
        <f>92.2*$B$2</f>
        <v>60848.312000000005</v>
      </c>
      <c r="K1228" s="1068">
        <f t="shared" si="225"/>
        <v>1521207.8</v>
      </c>
      <c r="L1228" s="1024"/>
      <c r="M1228" s="1019"/>
    </row>
    <row r="1229" spans="1:13" s="23" customFormat="1" ht="17.25" customHeight="1">
      <c r="A1229" s="1004" t="s">
        <v>390</v>
      </c>
      <c r="B1229" s="1009" t="s">
        <v>434</v>
      </c>
      <c r="C1229" s="1010">
        <f>VLOOKUP(B1222,'CNKT '!$D$100:$AC$165,14,0)</f>
        <v>1</v>
      </c>
      <c r="D1229" s="582">
        <f>153.6*$B$2</f>
        <v>101369.856</v>
      </c>
      <c r="E1229" s="1007">
        <f t="shared" si="224"/>
        <v>101369.856</v>
      </c>
      <c r="F1229" s="1055"/>
      <c r="G1229" s="1004" t="s">
        <v>390</v>
      </c>
      <c r="H1229" s="1009" t="s">
        <v>434</v>
      </c>
      <c r="I1229" s="1010">
        <f>VLOOKUP(H1222,'CNKT '!$D$100:$AC$165,14,0)</f>
        <v>1</v>
      </c>
      <c r="J1229" s="582">
        <f>153.6*$B$2</f>
        <v>101369.856</v>
      </c>
      <c r="K1229" s="1007">
        <f t="shared" si="225"/>
        <v>101369.856</v>
      </c>
      <c r="L1229" s="1024"/>
      <c r="M1229" s="1019"/>
    </row>
    <row r="1230" spans="1:13" s="23" customFormat="1" ht="17.25" customHeight="1">
      <c r="A1230" s="1064" t="s">
        <v>781</v>
      </c>
      <c r="B1230" s="1065" t="s">
        <v>435</v>
      </c>
      <c r="C1230" s="1066">
        <f>VLOOKUP(B1222,'CNKT '!$D$101:$AC$165,18,0)</f>
        <v>0</v>
      </c>
      <c r="D1230" s="1067">
        <v>100000</v>
      </c>
      <c r="E1230" s="1068">
        <f>C1230*D1230</f>
        <v>0</v>
      </c>
      <c r="F1230" s="1055"/>
      <c r="G1230" s="1064" t="s">
        <v>781</v>
      </c>
      <c r="H1230" s="1065" t="s">
        <v>435</v>
      </c>
      <c r="I1230" s="1066">
        <f>VLOOKUP(H1222,'CNKT '!$D$101:$AC$165,18,0)</f>
        <v>0</v>
      </c>
      <c r="J1230" s="1067">
        <v>100000</v>
      </c>
      <c r="K1230" s="1068">
        <f>I1230*J1230</f>
        <v>0</v>
      </c>
      <c r="L1230" s="1024"/>
      <c r="M1230" s="1019"/>
    </row>
    <row r="1231" spans="1:13" s="23" customFormat="1" ht="17.25" customHeight="1">
      <c r="A1231" s="1004" t="s">
        <v>394</v>
      </c>
      <c r="B1231" s="1009" t="s">
        <v>435</v>
      </c>
      <c r="C1231" s="1010">
        <f>VLOOKUP(B1222,'CNKT '!$D$101:$AC$165,19,0)</f>
        <v>0</v>
      </c>
      <c r="D1231" s="582">
        <v>20000</v>
      </c>
      <c r="E1231" s="1007">
        <f>C1231*D1231</f>
        <v>0</v>
      </c>
      <c r="F1231" s="1055"/>
      <c r="G1231" s="1004" t="s">
        <v>394</v>
      </c>
      <c r="H1231" s="1009" t="s">
        <v>435</v>
      </c>
      <c r="I1231" s="1010">
        <f>VLOOKUP(H1222,'CNKT '!$D$101:$AC$165,19,0)</f>
        <v>0</v>
      </c>
      <c r="J1231" s="582">
        <v>20000</v>
      </c>
      <c r="K1231" s="1007">
        <f>I1231*J1231</f>
        <v>0</v>
      </c>
      <c r="L1231" s="1024"/>
      <c r="M1231" s="1019"/>
    </row>
    <row r="1232" spans="1:13" s="23" customFormat="1" ht="17.25" customHeight="1">
      <c r="A1232" s="1004" t="s">
        <v>731</v>
      </c>
      <c r="B1232" s="1011" t="s">
        <v>732</v>
      </c>
      <c r="C1232" s="1010"/>
      <c r="D1232" s="582"/>
      <c r="E1232" s="1007">
        <f>VLOOKUP(B1222,'CNKT '!$D$101:$AG$165,28,0)</f>
        <v>57</v>
      </c>
      <c r="F1232" s="1055"/>
      <c r="G1232" s="1004" t="s">
        <v>731</v>
      </c>
      <c r="H1232" s="1011" t="s">
        <v>732</v>
      </c>
      <c r="I1232" s="1010"/>
      <c r="J1232" s="582"/>
      <c r="K1232" s="1007">
        <f>VLOOKUP(H1222,'CNKT '!$D$101:$AG$165,28,0)</f>
        <v>58</v>
      </c>
      <c r="L1232" s="1024"/>
      <c r="M1232" s="1019"/>
    </row>
    <row r="1233" spans="1:13" s="23" customFormat="1" ht="17.25" customHeight="1">
      <c r="A1233" s="1012" t="s">
        <v>70</v>
      </c>
      <c r="B1233" s="1013" t="s">
        <v>459</v>
      </c>
      <c r="C1233" s="1014"/>
      <c r="D1233" s="1015"/>
      <c r="E1233" s="1014"/>
      <c r="F1233" s="1055"/>
      <c r="G1233" s="1012" t="s">
        <v>70</v>
      </c>
      <c r="H1233" s="1013" t="s">
        <v>459</v>
      </c>
      <c r="I1233" s="1014"/>
      <c r="J1233" s="1015"/>
      <c r="K1233" s="1014"/>
      <c r="L1233" s="1024"/>
      <c r="M1233" s="1019"/>
    </row>
    <row r="1234" spans="1:13" s="23" customFormat="1" ht="17.25" customHeight="1">
      <c r="A1234" s="1016" t="s">
        <v>71</v>
      </c>
      <c r="B1234" s="1017" t="s">
        <v>460</v>
      </c>
      <c r="C1234" s="1014"/>
      <c r="D1234" s="1014"/>
      <c r="E1234" s="1014"/>
      <c r="F1234" s="1055"/>
      <c r="G1234" s="1016" t="s">
        <v>71</v>
      </c>
      <c r="H1234" s="1017" t="s">
        <v>460</v>
      </c>
      <c r="I1234" s="1014"/>
      <c r="J1234" s="1014"/>
      <c r="K1234" s="1014"/>
      <c r="L1234" s="1024"/>
      <c r="M1234" s="1019"/>
    </row>
    <row r="1235" spans="1:13" s="23" customFormat="1" ht="17.25" customHeight="1">
      <c r="A1235" s="1016" t="s">
        <v>72</v>
      </c>
      <c r="B1235" s="1018" t="s">
        <v>461</v>
      </c>
      <c r="C1235" s="1014"/>
      <c r="D1235" s="1014"/>
      <c r="E1235" s="1007">
        <f>SUM(E1234)</f>
        <v>0</v>
      </c>
      <c r="F1235" s="1055"/>
      <c r="G1235" s="1016" t="s">
        <v>72</v>
      </c>
      <c r="H1235" s="1018" t="s">
        <v>461</v>
      </c>
      <c r="I1235" s="1014"/>
      <c r="J1235" s="1014"/>
      <c r="K1235" s="1007">
        <f>SUM(K1234)</f>
        <v>0</v>
      </c>
      <c r="L1235" s="1024"/>
      <c r="M1235" s="1019"/>
    </row>
    <row r="1236" spans="1:13" s="23" customFormat="1" ht="17.25" customHeight="1">
      <c r="A1236" s="1020" t="s">
        <v>73</v>
      </c>
      <c r="B1236" s="1021" t="s">
        <v>381</v>
      </c>
      <c r="C1236" s="1022"/>
      <c r="D1236" s="1022"/>
      <c r="E1236" s="1022" t="e">
        <f>(E1224+E1225+E1226+E1227+E1228+E1229+E1230+E1231+E1232)-E1235</f>
        <v>#VALUE!</v>
      </c>
      <c r="F1236" s="1055"/>
      <c r="G1236" s="1020" t="s">
        <v>73</v>
      </c>
      <c r="H1236" s="1021" t="s">
        <v>381</v>
      </c>
      <c r="I1236" s="1022"/>
      <c r="J1236" s="1022"/>
      <c r="K1236" s="1022" t="e">
        <f>(K1224+K1225+K1226+K1227+K1228+K1229+K1230+K1231+K1232)-K1235</f>
        <v>#VALUE!</v>
      </c>
      <c r="L1236" s="1024" t="e">
        <f>E1236+K1236</f>
        <v>#VALUE!</v>
      </c>
      <c r="M1236" s="1019"/>
    </row>
    <row r="1237" spans="1:13" s="23" customFormat="1" ht="66.75" customHeight="1">
      <c r="A1237" s="1058"/>
      <c r="B1237" s="1058"/>
      <c r="C1237" s="1058"/>
      <c r="D1237" s="1058"/>
      <c r="E1237" s="1058"/>
      <c r="F1237" s="1058"/>
      <c r="G1237" s="1058"/>
      <c r="H1237" s="1058"/>
      <c r="I1237" s="1058"/>
      <c r="J1237" s="1058"/>
      <c r="K1237" s="1058"/>
      <c r="L1237" s="1024"/>
      <c r="M1237" s="1019"/>
    </row>
    <row r="1238" spans="1:13" s="23" customFormat="1" ht="17.25" customHeight="1">
      <c r="A1238" s="1059" t="str">
        <f>A1221</f>
        <v>LƯƠNG THÁNG 09/2025</v>
      </c>
      <c r="B1238" s="1058"/>
      <c r="C1238" s="1058"/>
      <c r="D1238" s="1058"/>
      <c r="E1238" s="1054">
        <f>VLOOKUP(B1239,'CNKT '!$D$101:$AF$165,26,0)</f>
        <v>3773201</v>
      </c>
      <c r="F1238" s="1055"/>
      <c r="G1238" s="1059" t="str">
        <f>A1238</f>
        <v>LƯƠNG THÁNG 09/2025</v>
      </c>
      <c r="H1238" s="1058"/>
      <c r="I1238" s="1058"/>
      <c r="J1238" s="998"/>
      <c r="K1238" s="1054">
        <f>VLOOKUP(H1239,'CNKT '!$D$101:$AF$165,26,0)</f>
        <v>2764137</v>
      </c>
      <c r="L1238" s="1024"/>
      <c r="M1238" s="1019"/>
    </row>
    <row r="1239" spans="1:13" s="23" customFormat="1" ht="17.25" customHeight="1">
      <c r="A1239" s="1028" t="s">
        <v>13</v>
      </c>
      <c r="B1239" s="1000" t="str">
        <f>'CNKT '!D159</f>
        <v>T. Thong</v>
      </c>
      <c r="C1239" s="1006"/>
      <c r="D1239" s="1000" t="s">
        <v>353</v>
      </c>
      <c r="E1239" s="1000" t="s">
        <v>16</v>
      </c>
      <c r="F1239" s="1055"/>
      <c r="G1239" s="1028" t="s">
        <v>13</v>
      </c>
      <c r="H1239" s="1000" t="str">
        <f>'CNKT '!D160</f>
        <v>T. Khách</v>
      </c>
      <c r="I1239" s="1006"/>
      <c r="J1239" s="1000" t="s">
        <v>353</v>
      </c>
      <c r="K1239" s="1000" t="s">
        <v>16</v>
      </c>
      <c r="L1239" s="1024"/>
      <c r="M1239" s="1019"/>
    </row>
    <row r="1240" spans="1:13" s="23" customFormat="1" ht="17.25" customHeight="1">
      <c r="A1240" s="1004" t="s">
        <v>354</v>
      </c>
      <c r="B1240" s="1005" t="s">
        <v>454</v>
      </c>
      <c r="C1240" s="1006">
        <f>VLOOKUP(B1239,'SẢN LƯỢNG'!$D$98:$AR$160,37,0)</f>
        <v>1567</v>
      </c>
      <c r="D1240" s="1007"/>
      <c r="E1240" s="1007"/>
      <c r="F1240" s="1055"/>
      <c r="G1240" s="1004" t="s">
        <v>354</v>
      </c>
      <c r="H1240" s="1005" t="s">
        <v>454</v>
      </c>
      <c r="I1240" s="1006">
        <f>VLOOKUP(H1239,'SẢN LƯỢNG'!$D$98:$AR$160,37,0)</f>
        <v>1023</v>
      </c>
      <c r="J1240" s="1007"/>
      <c r="K1240" s="1007"/>
      <c r="L1240" s="1024"/>
      <c r="M1240" s="1019"/>
    </row>
    <row r="1241" spans="1:13" s="23" customFormat="1" ht="17.25" customHeight="1">
      <c r="A1241" s="1004" t="s">
        <v>68</v>
      </c>
      <c r="B1241" s="1008" t="s">
        <v>380</v>
      </c>
      <c r="C1241" s="581">
        <f>VLOOKUP(B1239,'CNKT '!$D$100:$AC$165,3,0)</f>
        <v>0</v>
      </c>
      <c r="D1241" s="582">
        <v>25000</v>
      </c>
      <c r="E1241" s="1007">
        <f t="shared" ref="E1241:E1246" si="226">C1241*D1241</f>
        <v>0</v>
      </c>
      <c r="F1241" s="1055"/>
      <c r="G1241" s="1004" t="s">
        <v>68</v>
      </c>
      <c r="H1241" s="1008" t="s">
        <v>380</v>
      </c>
      <c r="I1241" s="581">
        <f>VLOOKUP(H1239,'CNKT '!$D$100:$AC$165,3,0)</f>
        <v>0</v>
      </c>
      <c r="J1241" s="582">
        <v>25000</v>
      </c>
      <c r="K1241" s="1007">
        <f t="shared" ref="K1241:K1246" si="227">I1241*J1241</f>
        <v>0</v>
      </c>
      <c r="L1241" s="1024"/>
      <c r="M1241" s="1019"/>
    </row>
    <row r="1242" spans="1:13" s="23" customFormat="1" ht="17.25" customHeight="1">
      <c r="A1242" s="1004" t="s">
        <v>269</v>
      </c>
      <c r="B1242" s="1009" t="s">
        <v>455</v>
      </c>
      <c r="C1242" s="1010" t="str">
        <f>VLOOKUP(B1239,'CNKT '!$D$100:$AC$165,11,0)</f>
        <v>C.</v>
      </c>
      <c r="D1242" s="583">
        <f>46.1*$B$2</f>
        <v>30424.156000000003</v>
      </c>
      <c r="E1242" s="1007" t="e">
        <f t="shared" si="226"/>
        <v>#VALUE!</v>
      </c>
      <c r="F1242" s="1055"/>
      <c r="G1242" s="1004" t="s">
        <v>269</v>
      </c>
      <c r="H1242" s="1009" t="s">
        <v>455</v>
      </c>
      <c r="I1242" s="1010" t="str">
        <f>VLOOKUP(H1239,'CNKT '!$D$100:$AC$165,11,0)</f>
        <v>C.</v>
      </c>
      <c r="J1242" s="583">
        <f>46.1*$B$2</f>
        <v>30424.156000000003</v>
      </c>
      <c r="K1242" s="1007" t="e">
        <f t="shared" si="227"/>
        <v>#VALUE!</v>
      </c>
      <c r="L1242" s="1024"/>
      <c r="M1242" s="1019"/>
    </row>
    <row r="1243" spans="1:13" s="23" customFormat="1" ht="17.25" customHeight="1">
      <c r="A1243" s="1004" t="s">
        <v>356</v>
      </c>
      <c r="B1243" s="1009" t="s">
        <v>456</v>
      </c>
      <c r="C1243" s="1010">
        <f>VLOOKUP(B1239,'CNKT '!$D$100:$AC$165,12,0)</f>
        <v>2448613</v>
      </c>
      <c r="D1243" s="582">
        <f>76.9*$B$2</f>
        <v>50750.924000000006</v>
      </c>
      <c r="E1243" s="1007">
        <f t="shared" si="226"/>
        <v>124269372268.41202</v>
      </c>
      <c r="F1243" s="1055"/>
      <c r="G1243" s="1004" t="s">
        <v>356</v>
      </c>
      <c r="H1243" s="1009" t="s">
        <v>456</v>
      </c>
      <c r="I1243" s="1010">
        <f>VLOOKUP(H1239,'CNKT '!$D$100:$AC$165,12,0)</f>
        <v>1622094</v>
      </c>
      <c r="J1243" s="582">
        <f>76.9*$B$2</f>
        <v>50750.924000000006</v>
      </c>
      <c r="K1243" s="1007">
        <f t="shared" si="227"/>
        <v>82322769314.856003</v>
      </c>
      <c r="L1243" s="1024"/>
      <c r="M1243" s="1019"/>
    </row>
    <row r="1244" spans="1:13" s="23" customFormat="1" ht="17.25" customHeight="1">
      <c r="A1244" s="1004" t="s">
        <v>69</v>
      </c>
      <c r="B1244" s="1009" t="s">
        <v>457</v>
      </c>
      <c r="C1244" s="1010">
        <f>VLOOKUP(B1239,'CNKT '!$D$100:$AC$165,8,0)</f>
        <v>675.38475265160992</v>
      </c>
      <c r="D1244" s="582">
        <f>IF(C1240="A",6.1,IF(C1240="B",5.8,IF(C1240="C",5.5,IF(C1240="C.",5.5,IF(C1240="D",5.2)))))*$B$2</f>
        <v>0</v>
      </c>
      <c r="E1244" s="1007">
        <f t="shared" si="226"/>
        <v>0</v>
      </c>
      <c r="F1244" s="1055"/>
      <c r="G1244" s="1004" t="s">
        <v>69</v>
      </c>
      <c r="H1244" s="1009" t="s">
        <v>457</v>
      </c>
      <c r="I1244" s="1010">
        <f>VLOOKUP(H1239,'CNKT '!$D$100:$AC$165,8,0)</f>
        <v>447.92356652542003</v>
      </c>
      <c r="J1244" s="582">
        <f>IF(I1240="A",6.1,IF(I1240="B",5.8,IF(I1240="C",5.5,IF(I1240="C.",5.5,IF(I1240="D",5.2)))))*$B$2</f>
        <v>0</v>
      </c>
      <c r="K1244" s="1007">
        <f t="shared" si="227"/>
        <v>0</v>
      </c>
      <c r="L1244" s="1024"/>
      <c r="M1244" s="1019"/>
    </row>
    <row r="1245" spans="1:13" s="23" customFormat="1" ht="17.25" customHeight="1">
      <c r="A1245" s="1064" t="s">
        <v>433</v>
      </c>
      <c r="B1245" s="1065" t="s">
        <v>458</v>
      </c>
      <c r="C1245" s="1066">
        <f>VLOOKUP(B1239,'CNKT '!$D$99:$AC$165,13,0)</f>
        <v>22</v>
      </c>
      <c r="D1245" s="1074">
        <f>92.2*$B$2</f>
        <v>60848.312000000005</v>
      </c>
      <c r="E1245" s="1068">
        <f t="shared" si="226"/>
        <v>1338662.8640000001</v>
      </c>
      <c r="F1245" s="1055"/>
      <c r="G1245" s="1064" t="s">
        <v>433</v>
      </c>
      <c r="H1245" s="1065" t="s">
        <v>458</v>
      </c>
      <c r="I1245" s="1066">
        <f>VLOOKUP(H1239,'CNKT '!$D$99:$AC$165,13,0)</f>
        <v>16</v>
      </c>
      <c r="J1245" s="1074">
        <f>92.2*$B$2</f>
        <v>60848.312000000005</v>
      </c>
      <c r="K1245" s="1068">
        <f t="shared" si="227"/>
        <v>973572.99200000009</v>
      </c>
      <c r="L1245" s="1024"/>
      <c r="M1245" s="1019"/>
    </row>
    <row r="1246" spans="1:13" s="23" customFormat="1" ht="17.25" customHeight="1">
      <c r="A1246" s="1004" t="s">
        <v>390</v>
      </c>
      <c r="B1246" s="1009" t="s">
        <v>434</v>
      </c>
      <c r="C1246" s="1010">
        <f>VLOOKUP(B1239,'CNKT '!$D$100:$AC$165,14,0)</f>
        <v>1</v>
      </c>
      <c r="D1246" s="582">
        <f>153.6*$B$2</f>
        <v>101369.856</v>
      </c>
      <c r="E1246" s="1007">
        <f t="shared" si="226"/>
        <v>101369.856</v>
      </c>
      <c r="F1246" s="1055"/>
      <c r="G1246" s="1004" t="s">
        <v>390</v>
      </c>
      <c r="H1246" s="1009" t="s">
        <v>434</v>
      </c>
      <c r="I1246" s="1010">
        <f>VLOOKUP(H1239,'CNKT '!$D$100:$AC$165,14,0)</f>
        <v>1</v>
      </c>
      <c r="J1246" s="582">
        <f>153.6*$B$2</f>
        <v>101369.856</v>
      </c>
      <c r="K1246" s="1007">
        <f t="shared" si="227"/>
        <v>101369.856</v>
      </c>
      <c r="L1246" s="1024"/>
      <c r="M1246" s="1019"/>
    </row>
    <row r="1247" spans="1:13" s="23" customFormat="1" ht="17.25" customHeight="1">
      <c r="A1247" s="1064" t="s">
        <v>781</v>
      </c>
      <c r="B1247" s="1065" t="s">
        <v>435</v>
      </c>
      <c r="C1247" s="1066">
        <f>VLOOKUP(B1239,'CNKT '!$D$101:$AC$165,18,0)</f>
        <v>0</v>
      </c>
      <c r="D1247" s="1067">
        <v>100000</v>
      </c>
      <c r="E1247" s="1068">
        <f>C1247*D1247</f>
        <v>0</v>
      </c>
      <c r="F1247" s="1055"/>
      <c r="G1247" s="1064" t="s">
        <v>781</v>
      </c>
      <c r="H1247" s="1065" t="s">
        <v>435</v>
      </c>
      <c r="I1247" s="1066">
        <f>VLOOKUP(H1239,'CNKT '!$D$101:$AC$165,18,0)</f>
        <v>0</v>
      </c>
      <c r="J1247" s="1067">
        <v>100000</v>
      </c>
      <c r="K1247" s="1068">
        <f>I1247*J1247</f>
        <v>0</v>
      </c>
      <c r="L1247" s="1024"/>
      <c r="M1247" s="1019"/>
    </row>
    <row r="1248" spans="1:13" s="23" customFormat="1" ht="17.25" customHeight="1">
      <c r="A1248" s="1004" t="s">
        <v>394</v>
      </c>
      <c r="B1248" s="1009" t="s">
        <v>435</v>
      </c>
      <c r="C1248" s="1010">
        <f>VLOOKUP(B1239,'CNKT '!$D$101:$AC$165,19,0)</f>
        <v>0</v>
      </c>
      <c r="D1248" s="582">
        <v>20000</v>
      </c>
      <c r="E1248" s="1007">
        <f>C1248*D1248</f>
        <v>0</v>
      </c>
      <c r="F1248" s="1055"/>
      <c r="G1248" s="1004" t="s">
        <v>394</v>
      </c>
      <c r="H1248" s="1009" t="s">
        <v>435</v>
      </c>
      <c r="I1248" s="1010">
        <f>VLOOKUP(H1239,'CNKT '!$D$101:$AC$165,19,0)</f>
        <v>0</v>
      </c>
      <c r="J1248" s="582">
        <v>20000</v>
      </c>
      <c r="K1248" s="1007">
        <f>I1248*J1248</f>
        <v>0</v>
      </c>
      <c r="L1248" s="1024"/>
      <c r="M1248" s="1019"/>
    </row>
    <row r="1249" spans="1:13" s="23" customFormat="1" ht="17.25" customHeight="1">
      <c r="A1249" s="1004" t="s">
        <v>731</v>
      </c>
      <c r="B1249" s="1011" t="s">
        <v>732</v>
      </c>
      <c r="C1249" s="1010"/>
      <c r="D1249" s="582"/>
      <c r="E1249" s="1007">
        <f>VLOOKUP(B1239,'CNKT '!$D$101:$AG$165,28,0)</f>
        <v>59</v>
      </c>
      <c r="F1249" s="1055"/>
      <c r="G1249" s="1004" t="s">
        <v>731</v>
      </c>
      <c r="H1249" s="1011" t="s">
        <v>732</v>
      </c>
      <c r="I1249" s="1010"/>
      <c r="J1249" s="582"/>
      <c r="K1249" s="1007">
        <f>VLOOKUP(H1239,'CNKT '!$D$101:$AG$165,28,0)</f>
        <v>60</v>
      </c>
      <c r="L1249" s="1024"/>
      <c r="M1249" s="1019"/>
    </row>
    <row r="1250" spans="1:13" s="23" customFormat="1" ht="17.25" customHeight="1">
      <c r="A1250" s="1012" t="s">
        <v>70</v>
      </c>
      <c r="B1250" s="1013" t="s">
        <v>459</v>
      </c>
      <c r="C1250" s="1014"/>
      <c r="D1250" s="1015"/>
      <c r="E1250" s="1014"/>
      <c r="F1250" s="1055"/>
      <c r="G1250" s="1012" t="s">
        <v>70</v>
      </c>
      <c r="H1250" s="1013" t="s">
        <v>459</v>
      </c>
      <c r="I1250" s="1014"/>
      <c r="J1250" s="1015"/>
      <c r="K1250" s="1014"/>
      <c r="L1250" s="1024"/>
      <c r="M1250" s="1019"/>
    </row>
    <row r="1251" spans="1:13" s="23" customFormat="1" ht="17.25" customHeight="1">
      <c r="A1251" s="1016" t="s">
        <v>71</v>
      </c>
      <c r="B1251" s="1017" t="s">
        <v>460</v>
      </c>
      <c r="C1251" s="1014"/>
      <c r="D1251" s="1014"/>
      <c r="E1251" s="1014"/>
      <c r="F1251" s="1055"/>
      <c r="G1251" s="1016" t="s">
        <v>71</v>
      </c>
      <c r="H1251" s="1017" t="s">
        <v>460</v>
      </c>
      <c r="I1251" s="1014"/>
      <c r="J1251" s="1014"/>
      <c r="K1251" s="1014"/>
      <c r="L1251" s="1024"/>
      <c r="M1251" s="1019"/>
    </row>
    <row r="1252" spans="1:13" s="23" customFormat="1" ht="17.25" customHeight="1">
      <c r="A1252" s="1016" t="s">
        <v>72</v>
      </c>
      <c r="B1252" s="1018" t="s">
        <v>461</v>
      </c>
      <c r="C1252" s="1014"/>
      <c r="D1252" s="1014"/>
      <c r="E1252" s="1007">
        <f>SUM(E1251)</f>
        <v>0</v>
      </c>
      <c r="F1252" s="1055"/>
      <c r="G1252" s="1016" t="s">
        <v>72</v>
      </c>
      <c r="H1252" s="1018" t="s">
        <v>461</v>
      </c>
      <c r="I1252" s="1014"/>
      <c r="J1252" s="1014"/>
      <c r="K1252" s="1007">
        <f>SUM(K1251)</f>
        <v>0</v>
      </c>
      <c r="L1252" s="1024"/>
      <c r="M1252" s="1019"/>
    </row>
    <row r="1253" spans="1:13" s="23" customFormat="1" ht="17.25" customHeight="1">
      <c r="A1253" s="1020" t="s">
        <v>73</v>
      </c>
      <c r="B1253" s="1021" t="s">
        <v>381</v>
      </c>
      <c r="C1253" s="1022"/>
      <c r="D1253" s="1022"/>
      <c r="E1253" s="1022" t="e">
        <f>(E1241+E1242+E1243+E1244+E1245+E1246+E1247+E1248+E1249)-E1252</f>
        <v>#VALUE!</v>
      </c>
      <c r="F1253" s="1055"/>
      <c r="G1253" s="1020" t="s">
        <v>73</v>
      </c>
      <c r="H1253" s="1021" t="s">
        <v>381</v>
      </c>
      <c r="I1253" s="1022"/>
      <c r="J1253" s="1022"/>
      <c r="K1253" s="1022" t="e">
        <f>(K1241+K1242+K1243+K1244+K1245+K1246+K1247+K1248+K1249)-K1252</f>
        <v>#VALUE!</v>
      </c>
      <c r="L1253" s="1024" t="e">
        <f>E1253+K1253</f>
        <v>#VALUE!</v>
      </c>
      <c r="M1253" s="1019"/>
    </row>
    <row r="1254" spans="1:13" s="23" customFormat="1" ht="17.25" customHeight="1">
      <c r="A1254" s="1058"/>
      <c r="B1254" s="1058"/>
      <c r="C1254" s="1058"/>
      <c r="D1254" s="1058"/>
      <c r="E1254" s="1058"/>
      <c r="F1254" s="1058"/>
      <c r="G1254" s="1058"/>
      <c r="H1254" s="1058"/>
      <c r="I1254" s="1058"/>
      <c r="J1254" s="1058"/>
      <c r="K1254" s="1058"/>
      <c r="L1254" s="1024"/>
      <c r="M1254" s="1019"/>
    </row>
    <row r="1255" spans="1:13" s="23" customFormat="1" ht="17.25" customHeight="1">
      <c r="A1255" s="1059" t="str">
        <f>A1238</f>
        <v>LƯƠNG THÁNG 09/2025</v>
      </c>
      <c r="B1255" s="1058"/>
      <c r="C1255" s="1058"/>
      <c r="D1255" s="1058"/>
      <c r="E1255" s="1054">
        <f>VLOOKUP(B1256,'CNKT '!$D$101:$AF$165,26,0)</f>
        <v>1538937</v>
      </c>
      <c r="F1255" s="1055"/>
      <c r="G1255" s="1059" t="str">
        <f>A1255</f>
        <v>LƯƠNG THÁNG 09/2025</v>
      </c>
      <c r="H1255" s="1058"/>
      <c r="I1255" s="1058"/>
      <c r="J1255" s="998"/>
      <c r="K1255" s="1054">
        <f>VLOOKUP(H1256,'CNKT '!$D$101:$AF$165,26,0)</f>
        <v>1277375</v>
      </c>
      <c r="L1255" s="1024"/>
      <c r="M1255" s="1019"/>
    </row>
    <row r="1256" spans="1:13" s="23" customFormat="1" ht="17.25" customHeight="1">
      <c r="A1256" s="1028" t="s">
        <v>13</v>
      </c>
      <c r="B1256" s="1000" t="str">
        <f>'CNKT '!D161</f>
        <v>Nang On Xi</v>
      </c>
      <c r="C1256" s="1006"/>
      <c r="D1256" s="1000" t="s">
        <v>353</v>
      </c>
      <c r="E1256" s="1000" t="s">
        <v>16</v>
      </c>
      <c r="F1256" s="1055"/>
      <c r="G1256" s="1028" t="s">
        <v>13</v>
      </c>
      <c r="H1256" s="1000" t="str">
        <f>'CNKT '!D162</f>
        <v>Thảo Túc</v>
      </c>
      <c r="I1256" s="1006"/>
      <c r="J1256" s="1000" t="s">
        <v>353</v>
      </c>
      <c r="K1256" s="1000" t="s">
        <v>16</v>
      </c>
      <c r="L1256" s="1024"/>
      <c r="M1256" s="1019"/>
    </row>
    <row r="1257" spans="1:13" s="23" customFormat="1" ht="17.25" customHeight="1">
      <c r="A1257" s="1004" t="s">
        <v>354</v>
      </c>
      <c r="B1257" s="1005" t="s">
        <v>454</v>
      </c>
      <c r="C1257" s="1006">
        <f>VLOOKUP(B1256,'SẢN LƯỢNG'!$D$98:$AR$160,37,0)</f>
        <v>517</v>
      </c>
      <c r="D1257" s="1007"/>
      <c r="E1257" s="1007"/>
      <c r="F1257" s="1055"/>
      <c r="G1257" s="1004" t="s">
        <v>354</v>
      </c>
      <c r="H1257" s="1005" t="s">
        <v>454</v>
      </c>
      <c r="I1257" s="1006">
        <f>VLOOKUP(H1256,'SẢN LƯỢNG'!$D$98:$AR$160,37,0)</f>
        <v>298</v>
      </c>
      <c r="J1257" s="1007"/>
      <c r="K1257" s="1007"/>
      <c r="L1257" s="1024"/>
      <c r="M1257" s="1019"/>
    </row>
    <row r="1258" spans="1:13" s="23" customFormat="1" ht="17.25" customHeight="1">
      <c r="A1258" s="1004" t="s">
        <v>68</v>
      </c>
      <c r="B1258" s="1008" t="s">
        <v>380</v>
      </c>
      <c r="C1258" s="581">
        <f>VLOOKUP(B1256,'CNKT '!$D$100:$AC$165,3,0)</f>
        <v>0</v>
      </c>
      <c r="D1258" s="582">
        <v>25000</v>
      </c>
      <c r="E1258" s="1007">
        <f t="shared" ref="E1258:E1263" si="228">C1258*D1258</f>
        <v>0</v>
      </c>
      <c r="F1258" s="1055"/>
      <c r="G1258" s="1004" t="s">
        <v>68</v>
      </c>
      <c r="H1258" s="1008" t="s">
        <v>380</v>
      </c>
      <c r="I1258" s="581">
        <f>VLOOKUP(H1256,'CNKT '!$D$100:$AC$165,3,0)</f>
        <v>0</v>
      </c>
      <c r="J1258" s="582">
        <v>25000</v>
      </c>
      <c r="K1258" s="1007">
        <f t="shared" ref="K1258:K1263" si="229">I1258*J1258</f>
        <v>0</v>
      </c>
      <c r="L1258" s="1024"/>
      <c r="M1258" s="1019"/>
    </row>
    <row r="1259" spans="1:13" s="23" customFormat="1" ht="17.25" customHeight="1">
      <c r="A1259" s="1004" t="s">
        <v>269</v>
      </c>
      <c r="B1259" s="1009" t="s">
        <v>455</v>
      </c>
      <c r="C1259" s="1010" t="str">
        <f>VLOOKUP(B1256,'CNKT '!$D$100:$AC$165,11,0)</f>
        <v>C.</v>
      </c>
      <c r="D1259" s="583">
        <f>46.1*$B$2</f>
        <v>30424.156000000003</v>
      </c>
      <c r="E1259" s="1007" t="e">
        <f t="shared" si="228"/>
        <v>#VALUE!</v>
      </c>
      <c r="F1259" s="1055"/>
      <c r="G1259" s="1004" t="s">
        <v>269</v>
      </c>
      <c r="H1259" s="1009" t="s">
        <v>455</v>
      </c>
      <c r="I1259" s="1010" t="str">
        <f>VLOOKUP(H1256,'CNKT '!$D$100:$AC$165,11,0)</f>
        <v>C.</v>
      </c>
      <c r="J1259" s="583">
        <f>46.1*$B$2</f>
        <v>30424.156000000003</v>
      </c>
      <c r="K1259" s="1007" t="e">
        <f t="shared" si="229"/>
        <v>#VALUE!</v>
      </c>
      <c r="L1259" s="1024"/>
      <c r="M1259" s="1019"/>
    </row>
    <row r="1260" spans="1:13" s="23" customFormat="1" ht="17.25" customHeight="1">
      <c r="A1260" s="1004" t="s">
        <v>356</v>
      </c>
      <c r="B1260" s="1009" t="s">
        <v>456</v>
      </c>
      <c r="C1260" s="1010">
        <f>VLOOKUP(B1256,'CNKT '!$D$100:$AC$165,12,0)</f>
        <v>689668</v>
      </c>
      <c r="D1260" s="582">
        <f>76.9*$B$2</f>
        <v>50750.924000000006</v>
      </c>
      <c r="E1260" s="1007">
        <f t="shared" si="228"/>
        <v>35001288253.232002</v>
      </c>
      <c r="F1260" s="1055"/>
      <c r="G1260" s="1004" t="s">
        <v>356</v>
      </c>
      <c r="H1260" s="1009" t="s">
        <v>456</v>
      </c>
      <c r="I1260" s="1010">
        <f>VLOOKUP(H1256,'CNKT '!$D$100:$AC$165,12,0)</f>
        <v>539706</v>
      </c>
      <c r="J1260" s="582">
        <f>76.9*$B$2</f>
        <v>50750.924000000006</v>
      </c>
      <c r="K1260" s="1007">
        <f t="shared" si="229"/>
        <v>27390578188.344002</v>
      </c>
      <c r="L1260" s="1024"/>
      <c r="M1260" s="1019"/>
    </row>
    <row r="1261" spans="1:13" s="23" customFormat="1" ht="17.25" customHeight="1">
      <c r="A1261" s="1004" t="s">
        <v>69</v>
      </c>
      <c r="B1261" s="1009" t="s">
        <v>457</v>
      </c>
      <c r="C1261" s="1010">
        <f>VLOOKUP(B1256,'CNKT '!$D$100:$AC$165,8,0)</f>
        <v>187.65547855410662</v>
      </c>
      <c r="D1261" s="582">
        <f>IF(C1257="A",6.1,IF(C1257="B",5.8,IF(C1257="C",5.5,IF(C1257="C.",5.5,IF(C1257="D",5.2)))))*$B$2</f>
        <v>0</v>
      </c>
      <c r="E1261" s="1007">
        <f t="shared" si="228"/>
        <v>0</v>
      </c>
      <c r="F1261" s="1055"/>
      <c r="G1261" s="1004" t="s">
        <v>69</v>
      </c>
      <c r="H1261" s="1009" t="s">
        <v>457</v>
      </c>
      <c r="I1261" s="1010">
        <f>VLOOKUP(H1256,'CNKT '!$D$100:$AC$165,8,0)</f>
        <v>150.47432312963329</v>
      </c>
      <c r="J1261" s="582">
        <f>IF(I1257="A",6.1,IF(I1257="B",5.8,IF(I1257="C",5.5,IF(I1257="C.",5.5,IF(I1257="D",5.2)))))*$B$2</f>
        <v>0</v>
      </c>
      <c r="K1261" s="1007">
        <f t="shared" si="229"/>
        <v>0</v>
      </c>
      <c r="L1261" s="1024"/>
      <c r="M1261" s="1019"/>
    </row>
    <row r="1262" spans="1:13" s="23" customFormat="1" ht="17.25" customHeight="1">
      <c r="A1262" s="1064" t="s">
        <v>433</v>
      </c>
      <c r="B1262" s="1065" t="s">
        <v>458</v>
      </c>
      <c r="C1262" s="1066">
        <f>VLOOKUP(B1256,'CNKT '!$D$99:$AC$165,13,0)</f>
        <v>13</v>
      </c>
      <c r="D1262" s="1074">
        <f>92.2*$B$2</f>
        <v>60848.312000000005</v>
      </c>
      <c r="E1262" s="1068">
        <f t="shared" si="228"/>
        <v>791028.0560000001</v>
      </c>
      <c r="F1262" s="1055"/>
      <c r="G1262" s="1064" t="s">
        <v>433</v>
      </c>
      <c r="H1262" s="1065" t="s">
        <v>458</v>
      </c>
      <c r="I1262" s="1066">
        <f>VLOOKUP(H1256,'CNKT '!$D$99:$AC$165,13,0)</f>
        <v>11</v>
      </c>
      <c r="J1262" s="1074">
        <f>92.2*$B$2</f>
        <v>60848.312000000005</v>
      </c>
      <c r="K1262" s="1068">
        <f t="shared" si="229"/>
        <v>669331.43200000003</v>
      </c>
      <c r="L1262" s="1024"/>
      <c r="M1262" s="1019"/>
    </row>
    <row r="1263" spans="1:13" s="23" customFormat="1" ht="17.25" customHeight="1">
      <c r="A1263" s="1004" t="s">
        <v>390</v>
      </c>
      <c r="B1263" s="1009" t="s">
        <v>434</v>
      </c>
      <c r="C1263" s="1010">
        <f>VLOOKUP(B1256,'CNKT '!$D$100:$AC$165,14,0)</f>
        <v>1</v>
      </c>
      <c r="D1263" s="582">
        <f>153.6*$B$2</f>
        <v>101369.856</v>
      </c>
      <c r="E1263" s="1007">
        <f t="shared" si="228"/>
        <v>101369.856</v>
      </c>
      <c r="F1263" s="1055"/>
      <c r="G1263" s="1004" t="s">
        <v>390</v>
      </c>
      <c r="H1263" s="1009" t="s">
        <v>434</v>
      </c>
      <c r="I1263" s="1010">
        <f>VLOOKUP(H1256,'CNKT '!$D$100:$AC$165,14,0)</f>
        <v>0</v>
      </c>
      <c r="J1263" s="582">
        <f>153.6*$B$2</f>
        <v>101369.856</v>
      </c>
      <c r="K1263" s="1007">
        <f t="shared" si="229"/>
        <v>0</v>
      </c>
      <c r="L1263" s="1024"/>
      <c r="M1263" s="1019"/>
    </row>
    <row r="1264" spans="1:13" s="23" customFormat="1" ht="17.25" customHeight="1">
      <c r="A1264" s="1064" t="s">
        <v>781</v>
      </c>
      <c r="B1264" s="1065" t="s">
        <v>435</v>
      </c>
      <c r="C1264" s="1066">
        <f>VLOOKUP(B1256,'CNKT '!$D$101:$AC$165,18,0)</f>
        <v>0</v>
      </c>
      <c r="D1264" s="1067">
        <v>100000</v>
      </c>
      <c r="E1264" s="1068">
        <f>C1264*D1264</f>
        <v>0</v>
      </c>
      <c r="F1264" s="1055"/>
      <c r="G1264" s="1064" t="s">
        <v>781</v>
      </c>
      <c r="H1264" s="1065" t="s">
        <v>435</v>
      </c>
      <c r="I1264" s="1066">
        <f>VLOOKUP(H1256,'CNKT '!$D$101:$AC$165,18,0)</f>
        <v>0</v>
      </c>
      <c r="J1264" s="1067">
        <v>100000</v>
      </c>
      <c r="K1264" s="1068">
        <f>I1264*J1264</f>
        <v>0</v>
      </c>
      <c r="L1264" s="1024"/>
      <c r="M1264" s="1019"/>
    </row>
    <row r="1265" spans="1:14" s="23" customFormat="1" ht="17.25" customHeight="1">
      <c r="A1265" s="1004" t="s">
        <v>394</v>
      </c>
      <c r="B1265" s="1009" t="s">
        <v>435</v>
      </c>
      <c r="C1265" s="1010">
        <f>VLOOKUP(B1256,'CNKT '!$D$101:$AC$165,19,0)</f>
        <v>0</v>
      </c>
      <c r="D1265" s="582">
        <v>20000</v>
      </c>
      <c r="E1265" s="1007">
        <f>C1265*D1265</f>
        <v>0</v>
      </c>
      <c r="F1265" s="1055"/>
      <c r="G1265" s="1004" t="s">
        <v>394</v>
      </c>
      <c r="H1265" s="1009" t="s">
        <v>435</v>
      </c>
      <c r="I1265" s="1010">
        <f>VLOOKUP(H1256,'CNKT '!$D$101:$AC$165,19,0)</f>
        <v>0</v>
      </c>
      <c r="J1265" s="582">
        <v>20000</v>
      </c>
      <c r="K1265" s="1007">
        <f>I1265*J1265</f>
        <v>0</v>
      </c>
      <c r="L1265" s="1024"/>
      <c r="M1265" s="1019"/>
    </row>
    <row r="1266" spans="1:14" s="23" customFormat="1" ht="17.25" customHeight="1">
      <c r="A1266" s="1004" t="s">
        <v>731</v>
      </c>
      <c r="B1266" s="1011" t="s">
        <v>732</v>
      </c>
      <c r="C1266" s="1010"/>
      <c r="D1266" s="582"/>
      <c r="E1266" s="1007">
        <f>VLOOKUP(B1256,'CNKT '!$D$101:$AG$165,28,0)</f>
        <v>61</v>
      </c>
      <c r="F1266" s="1055"/>
      <c r="G1266" s="1004" t="s">
        <v>731</v>
      </c>
      <c r="H1266" s="1011" t="s">
        <v>732</v>
      </c>
      <c r="I1266" s="1010"/>
      <c r="J1266" s="582"/>
      <c r="K1266" s="1007">
        <f>VLOOKUP(H1256,'CNKT '!$D$101:$AG$165,28,0)</f>
        <v>62</v>
      </c>
      <c r="L1266" s="1024"/>
      <c r="M1266" s="1019"/>
    </row>
    <row r="1267" spans="1:14" s="23" customFormat="1" ht="17.25" customHeight="1">
      <c r="A1267" s="1012" t="s">
        <v>70</v>
      </c>
      <c r="B1267" s="1013" t="s">
        <v>459</v>
      </c>
      <c r="C1267" s="1014"/>
      <c r="D1267" s="1015"/>
      <c r="E1267" s="1014"/>
      <c r="F1267" s="1055"/>
      <c r="G1267" s="1012" t="s">
        <v>70</v>
      </c>
      <c r="H1267" s="1013" t="s">
        <v>459</v>
      </c>
      <c r="I1267" s="1014"/>
      <c r="J1267" s="1015"/>
      <c r="K1267" s="1014"/>
      <c r="L1267" s="1024"/>
      <c r="M1267" s="1019"/>
    </row>
    <row r="1268" spans="1:14" s="23" customFormat="1" ht="17.25" customHeight="1">
      <c r="A1268" s="1016" t="s">
        <v>71</v>
      </c>
      <c r="B1268" s="1017" t="s">
        <v>460</v>
      </c>
      <c r="C1268" s="1014"/>
      <c r="D1268" s="1014"/>
      <c r="E1268" s="1014"/>
      <c r="F1268" s="1055"/>
      <c r="G1268" s="1016" t="s">
        <v>71</v>
      </c>
      <c r="H1268" s="1017" t="s">
        <v>460</v>
      </c>
      <c r="I1268" s="1014"/>
      <c r="J1268" s="1014"/>
      <c r="K1268" s="1014"/>
      <c r="L1268" s="1024"/>
      <c r="M1268" s="1019"/>
    </row>
    <row r="1269" spans="1:14" s="23" customFormat="1" ht="17.25" customHeight="1">
      <c r="A1269" s="1016" t="s">
        <v>72</v>
      </c>
      <c r="B1269" s="1018" t="s">
        <v>461</v>
      </c>
      <c r="C1269" s="1014"/>
      <c r="D1269" s="1014"/>
      <c r="E1269" s="1007">
        <f>SUM(E1268)</f>
        <v>0</v>
      </c>
      <c r="F1269" s="1055"/>
      <c r="G1269" s="1016" t="s">
        <v>72</v>
      </c>
      <c r="H1269" s="1018" t="s">
        <v>461</v>
      </c>
      <c r="I1269" s="1014"/>
      <c r="J1269" s="1014"/>
      <c r="K1269" s="1007">
        <f>SUM(K1268)</f>
        <v>0</v>
      </c>
      <c r="L1269" s="1024"/>
      <c r="M1269" s="1019"/>
    </row>
    <row r="1270" spans="1:14" s="23" customFormat="1" ht="17.25" customHeight="1">
      <c r="A1270" s="1020" t="s">
        <v>73</v>
      </c>
      <c r="B1270" s="1021" t="s">
        <v>381</v>
      </c>
      <c r="C1270" s="1022"/>
      <c r="D1270" s="1022"/>
      <c r="E1270" s="1022" t="e">
        <f>(E1258+E1259+E1260+E1261+E1262+E1263+E1264+E1265+E1266)-E1269</f>
        <v>#VALUE!</v>
      </c>
      <c r="F1270" s="1055"/>
      <c r="G1270" s="1020" t="s">
        <v>73</v>
      </c>
      <c r="H1270" s="1021" t="s">
        <v>381</v>
      </c>
      <c r="I1270" s="1022"/>
      <c r="J1270" s="1022"/>
      <c r="K1270" s="1022" t="e">
        <f>(K1258+K1259+K1260+K1261+K1262+K1263+K1264+K1265+K1266)-K1269</f>
        <v>#VALUE!</v>
      </c>
      <c r="L1270" s="1024" t="e">
        <f>E1270+K1270</f>
        <v>#VALUE!</v>
      </c>
      <c r="M1270" s="1019"/>
    </row>
    <row r="1271" spans="1:14" s="23" customFormat="1" ht="17.25" customHeight="1">
      <c r="A1271" s="1058"/>
      <c r="B1271" s="1058"/>
      <c r="C1271" s="1058"/>
      <c r="D1271" s="1058"/>
      <c r="E1271" s="1058"/>
      <c r="F1271" s="1058"/>
      <c r="G1271" s="1058"/>
      <c r="H1271" s="1058"/>
      <c r="I1271" s="1058"/>
      <c r="J1271" s="1058"/>
      <c r="K1271" s="1058"/>
      <c r="L1271" s="1024"/>
      <c r="M1271" s="1019"/>
      <c r="N1271" s="23" t="s">
        <v>740</v>
      </c>
    </row>
    <row r="1272" spans="1:14" s="23" customFormat="1" ht="17.25" customHeight="1">
      <c r="A1272" s="1059" t="str">
        <f>A1255</f>
        <v>LƯƠNG THÁNG 09/2025</v>
      </c>
      <c r="B1272" s="1058"/>
      <c r="C1272" s="1058"/>
      <c r="D1272" s="1058"/>
      <c r="E1272" s="1054">
        <f>VLOOKUP(B1273,'CNKT '!$D$101:$AF$165,26,0)</f>
        <v>0</v>
      </c>
      <c r="F1272" s="1055"/>
      <c r="G1272" s="1059" t="str">
        <f>A1272</f>
        <v>LƯƠNG THÁNG 09/2025</v>
      </c>
      <c r="H1272" s="1058"/>
      <c r="I1272" s="1058"/>
      <c r="J1272" s="998"/>
      <c r="K1272" s="1054">
        <f>VLOOKUP(H1273,'CNKT '!$D$101:$AF$165,26,0)</f>
        <v>0</v>
      </c>
      <c r="L1272" s="1024"/>
      <c r="M1272" s="1019"/>
    </row>
    <row r="1273" spans="1:14" s="23" customFormat="1" ht="17.25" customHeight="1">
      <c r="A1273" s="1028" t="s">
        <v>13</v>
      </c>
      <c r="B1273" s="1000" t="str">
        <f>'CNKT '!D164</f>
        <v>Mon (3)</v>
      </c>
      <c r="C1273" s="1006"/>
      <c r="D1273" s="1000" t="s">
        <v>353</v>
      </c>
      <c r="E1273" s="1000" t="s">
        <v>16</v>
      </c>
      <c r="F1273" s="1055"/>
      <c r="G1273" s="1028" t="s">
        <v>13</v>
      </c>
      <c r="H1273" s="1000" t="str">
        <f>'CNKT '!D165</f>
        <v>T. Huân</v>
      </c>
      <c r="I1273" s="1006"/>
      <c r="J1273" s="1000" t="s">
        <v>353</v>
      </c>
      <c r="K1273" s="1000" t="s">
        <v>16</v>
      </c>
      <c r="L1273" s="1024"/>
      <c r="M1273" s="1019"/>
      <c r="N1273" s="23" t="s">
        <v>741</v>
      </c>
    </row>
    <row r="1274" spans="1:14" s="23" customFormat="1" ht="17.25" customHeight="1">
      <c r="A1274" s="1004" t="s">
        <v>354</v>
      </c>
      <c r="B1274" s="1005" t="s">
        <v>454</v>
      </c>
      <c r="C1274" s="1006" t="e">
        <f>VLOOKUP(B1273,'SẢN LƯỢNG'!$D$98:$AR$160,37,0)</f>
        <v>#N/A</v>
      </c>
      <c r="D1274" s="1007"/>
      <c r="E1274" s="1007"/>
      <c r="F1274" s="1055"/>
      <c r="G1274" s="1004" t="s">
        <v>354</v>
      </c>
      <c r="H1274" s="1005" t="s">
        <v>454</v>
      </c>
      <c r="I1274" s="1006"/>
      <c r="J1274" s="1007"/>
      <c r="K1274" s="1007"/>
      <c r="L1274" s="1024"/>
      <c r="M1274" s="1019"/>
    </row>
    <row r="1275" spans="1:14" s="23" customFormat="1" ht="17.25" customHeight="1">
      <c r="A1275" s="1004" t="s">
        <v>68</v>
      </c>
      <c r="B1275" s="1008" t="s">
        <v>380</v>
      </c>
      <c r="C1275" s="581">
        <f>VLOOKUP(B1273,'CNKT '!$D$100:$AC$165,3,0)</f>
        <v>0</v>
      </c>
      <c r="D1275" s="582">
        <v>25000</v>
      </c>
      <c r="E1275" s="1007">
        <f t="shared" ref="E1275:E1280" si="230">C1275*D1275</f>
        <v>0</v>
      </c>
      <c r="F1275" s="1055"/>
      <c r="G1275" s="1004" t="s">
        <v>68</v>
      </c>
      <c r="H1275" s="1008" t="s">
        <v>380</v>
      </c>
      <c r="I1275" s="581">
        <f>VLOOKUP(H1273,'CNKT '!$D$100:$AC$165,3,0)</f>
        <v>0</v>
      </c>
      <c r="J1275" s="582">
        <v>25000</v>
      </c>
      <c r="K1275" s="1007">
        <f t="shared" ref="K1275:K1280" si="231">I1275*J1275</f>
        <v>0</v>
      </c>
      <c r="L1275" s="1024"/>
      <c r="M1275" s="1019"/>
    </row>
    <row r="1276" spans="1:14" s="23" customFormat="1" ht="17.25" customHeight="1">
      <c r="A1276" s="1004" t="s">
        <v>269</v>
      </c>
      <c r="B1276" s="1009" t="s">
        <v>455</v>
      </c>
      <c r="C1276" s="1010">
        <f>VLOOKUP(B1273,'CNKT '!$D$100:$AC$165,11,0)</f>
        <v>0</v>
      </c>
      <c r="D1276" s="583">
        <f>46.1*$B$2</f>
        <v>30424.156000000003</v>
      </c>
      <c r="E1276" s="1007">
        <f t="shared" si="230"/>
        <v>0</v>
      </c>
      <c r="F1276" s="1055"/>
      <c r="G1276" s="1004" t="s">
        <v>269</v>
      </c>
      <c r="H1276" s="1009" t="s">
        <v>455</v>
      </c>
      <c r="I1276" s="1010">
        <f>VLOOKUP(H1273,'CNKT '!$D$100:$AC$165,11,0)</f>
        <v>0</v>
      </c>
      <c r="J1276" s="583">
        <f>46.1*$B$2</f>
        <v>30424.156000000003</v>
      </c>
      <c r="K1276" s="1007">
        <f t="shared" si="231"/>
        <v>0</v>
      </c>
      <c r="L1276" s="1024"/>
      <c r="M1276" s="1019"/>
    </row>
    <row r="1277" spans="1:14" s="23" customFormat="1" ht="17.25" customHeight="1">
      <c r="A1277" s="1004" t="s">
        <v>356</v>
      </c>
      <c r="B1277" s="1009" t="s">
        <v>456</v>
      </c>
      <c r="C1277" s="1010">
        <f>VLOOKUP(B1273,'CNKT '!$D$100:$AC$165,12,0)</f>
        <v>0</v>
      </c>
      <c r="D1277" s="582">
        <f>76.9*$B$2</f>
        <v>50750.924000000006</v>
      </c>
      <c r="E1277" s="1007">
        <f t="shared" si="230"/>
        <v>0</v>
      </c>
      <c r="F1277" s="1055"/>
      <c r="G1277" s="1004" t="s">
        <v>356</v>
      </c>
      <c r="H1277" s="1009" t="s">
        <v>456</v>
      </c>
      <c r="I1277" s="1010">
        <f>VLOOKUP(H1273,'CNKT '!$D$100:$AC$165,12,0)</f>
        <v>0</v>
      </c>
      <c r="J1277" s="582">
        <f>76.9*$B$2</f>
        <v>50750.924000000006</v>
      </c>
      <c r="K1277" s="1007">
        <f t="shared" si="231"/>
        <v>0</v>
      </c>
      <c r="L1277" s="1024"/>
      <c r="M1277" s="1019"/>
    </row>
    <row r="1278" spans="1:14" s="23" customFormat="1" ht="17.25" customHeight="1">
      <c r="A1278" s="1004" t="s">
        <v>69</v>
      </c>
      <c r="B1278" s="1009" t="s">
        <v>457</v>
      </c>
      <c r="C1278" s="1010">
        <f>VLOOKUP(B1273,'CNKT '!$D$100:$AC$165,8,0)</f>
        <v>0</v>
      </c>
      <c r="D1278" s="582" t="e">
        <f>IF(C1274="A",6.1,IF(C1274="B",5.8,IF(C1274="C",5.5,IF(C1274="C.",5.5,IF(C1274="D",5.2)))))*$B$2</f>
        <v>#N/A</v>
      </c>
      <c r="E1278" s="1007"/>
      <c r="F1278" s="1055"/>
      <c r="G1278" s="1004" t="s">
        <v>69</v>
      </c>
      <c r="H1278" s="1009" t="s">
        <v>457</v>
      </c>
      <c r="I1278" s="1010">
        <f>VLOOKUP(H1273,'CNKT '!$D$100:$AC$165,8,0)</f>
        <v>0</v>
      </c>
      <c r="J1278" s="582">
        <f>IF(I1274="A",6.1,IF(I1274="B",5.8,IF(I1274="C",5.5,IF(I1274="C.",5.5,IF(I1274="D",5.2)))))*$B$2</f>
        <v>0</v>
      </c>
      <c r="K1278" s="1007">
        <f t="shared" si="231"/>
        <v>0</v>
      </c>
      <c r="L1278" s="1024"/>
      <c r="M1278" s="1019"/>
    </row>
    <row r="1279" spans="1:14" s="23" customFormat="1" ht="17.25" customHeight="1">
      <c r="A1279" s="1064" t="s">
        <v>433</v>
      </c>
      <c r="B1279" s="1065" t="s">
        <v>458</v>
      </c>
      <c r="C1279" s="1066">
        <f>VLOOKUP(B1273,'CNKT '!$D$99:$AC$165,13,0)</f>
        <v>0</v>
      </c>
      <c r="D1279" s="1074">
        <f>92.2*$B$2</f>
        <v>60848.312000000005</v>
      </c>
      <c r="E1279" s="1068">
        <f t="shared" si="230"/>
        <v>0</v>
      </c>
      <c r="F1279" s="1055"/>
      <c r="G1279" s="1004" t="s">
        <v>433</v>
      </c>
      <c r="H1279" s="1009" t="s">
        <v>458</v>
      </c>
      <c r="I1279" s="1010">
        <f>VLOOKUP(H1273,'CNKT '!$D$99:$AC$165,13,0)</f>
        <v>0</v>
      </c>
      <c r="J1279" s="583">
        <v>100000</v>
      </c>
      <c r="K1279" s="1007">
        <f t="shared" si="231"/>
        <v>0</v>
      </c>
      <c r="L1279" s="1024"/>
      <c r="M1279" s="1019"/>
    </row>
    <row r="1280" spans="1:14" s="23" customFormat="1" ht="17.25" customHeight="1">
      <c r="A1280" s="1004" t="s">
        <v>390</v>
      </c>
      <c r="B1280" s="1009" t="s">
        <v>434</v>
      </c>
      <c r="C1280" s="1010">
        <f>VLOOKUP(B1273,'CNKT '!$D$100:$AC$165,14,0)</f>
        <v>0</v>
      </c>
      <c r="D1280" s="582">
        <f>153.6*$B$2</f>
        <v>101369.856</v>
      </c>
      <c r="E1280" s="1007">
        <f t="shared" si="230"/>
        <v>0</v>
      </c>
      <c r="F1280" s="1055"/>
      <c r="G1280" s="1004" t="s">
        <v>390</v>
      </c>
      <c r="H1280" s="1009" t="s">
        <v>434</v>
      </c>
      <c r="I1280" s="1010">
        <f>VLOOKUP(H1273,'CNKT '!$D$100:$AC$165,14,0)</f>
        <v>0</v>
      </c>
      <c r="J1280" s="582">
        <f>153.6*$B$2</f>
        <v>101369.856</v>
      </c>
      <c r="K1280" s="1007">
        <f t="shared" si="231"/>
        <v>0</v>
      </c>
      <c r="L1280" s="1024"/>
      <c r="M1280" s="1019"/>
    </row>
    <row r="1281" spans="1:13" s="23" customFormat="1" ht="17.25" customHeight="1">
      <c r="A1281" s="1064" t="s">
        <v>781</v>
      </c>
      <c r="B1281" s="1065" t="s">
        <v>435</v>
      </c>
      <c r="C1281" s="1066">
        <f>VLOOKUP(B1273,'CNKT '!$D$101:$AC$165,18,0)</f>
        <v>0</v>
      </c>
      <c r="D1281" s="1067">
        <v>100000</v>
      </c>
      <c r="E1281" s="1068">
        <f>C1281*D1281</f>
        <v>0</v>
      </c>
      <c r="F1281" s="1055"/>
      <c r="G1281" s="1004" t="s">
        <v>394</v>
      </c>
      <c r="H1281" s="1009" t="s">
        <v>435</v>
      </c>
      <c r="I1281" s="1010">
        <f>VLOOKUP(H1273,'CNKT '!$D$101:$AC$165,18,0)</f>
        <v>0</v>
      </c>
      <c r="J1281" s="582">
        <v>10000</v>
      </c>
      <c r="K1281" s="1007">
        <f>I1281*J1281</f>
        <v>0</v>
      </c>
      <c r="L1281" s="1024"/>
      <c r="M1281" s="1019"/>
    </row>
    <row r="1282" spans="1:13" s="23" customFormat="1" ht="17.25" customHeight="1">
      <c r="A1282" s="1004" t="s">
        <v>394</v>
      </c>
      <c r="B1282" s="1009" t="s">
        <v>435</v>
      </c>
      <c r="C1282" s="1010">
        <f>VLOOKUP(B1273,'CNKT '!$D$101:$AC$165,19,0)</f>
        <v>0</v>
      </c>
      <c r="D1282" s="582">
        <v>20000</v>
      </c>
      <c r="E1282" s="1007">
        <f>C1282*D1282</f>
        <v>0</v>
      </c>
      <c r="F1282" s="1055"/>
      <c r="G1282" s="1004" t="s">
        <v>394</v>
      </c>
      <c r="H1282" s="1009" t="s">
        <v>435</v>
      </c>
      <c r="I1282" s="1010">
        <f>VLOOKUP(H1273,'CNKT '!$D$101:$AC$165,19,0)</f>
        <v>0</v>
      </c>
      <c r="J1282" s="582">
        <v>20000</v>
      </c>
      <c r="K1282" s="1007">
        <f>I1282*J1282</f>
        <v>0</v>
      </c>
      <c r="L1282" s="1024"/>
      <c r="M1282" s="1019"/>
    </row>
    <row r="1283" spans="1:13" s="23" customFormat="1" ht="17.25" customHeight="1">
      <c r="A1283" s="1004" t="s">
        <v>731</v>
      </c>
      <c r="B1283" s="1011" t="s">
        <v>732</v>
      </c>
      <c r="C1283" s="1010"/>
      <c r="D1283" s="582"/>
      <c r="E1283" s="1007">
        <f>VLOOKUP(B1273,'CNKT '!$D$101:$AG$165,28,0)</f>
        <v>0</v>
      </c>
      <c r="F1283" s="1055"/>
      <c r="G1283" s="1004" t="s">
        <v>731</v>
      </c>
      <c r="H1283" s="1011" t="s">
        <v>732</v>
      </c>
      <c r="I1283" s="1010"/>
      <c r="J1283" s="582"/>
      <c r="K1283" s="1007">
        <f>VLOOKUP(H1273,'CNKT '!$D$101:$AG$165,28,0)</f>
        <v>0</v>
      </c>
      <c r="L1283" s="1024"/>
      <c r="M1283" s="1019"/>
    </row>
    <row r="1284" spans="1:13" s="23" customFormat="1" ht="17.25" customHeight="1">
      <c r="A1284" s="1012" t="s">
        <v>70</v>
      </c>
      <c r="B1284" s="1013" t="s">
        <v>459</v>
      </c>
      <c r="C1284" s="1014"/>
      <c r="D1284" s="1015"/>
      <c r="E1284" s="1014"/>
      <c r="F1284" s="1055"/>
      <c r="G1284" s="1012" t="s">
        <v>70</v>
      </c>
      <c r="H1284" s="1013" t="s">
        <v>459</v>
      </c>
      <c r="I1284" s="1014"/>
      <c r="J1284" s="1015"/>
      <c r="K1284" s="1014"/>
      <c r="L1284" s="1024"/>
      <c r="M1284" s="1019"/>
    </row>
    <row r="1285" spans="1:13" s="23" customFormat="1" ht="17.25" customHeight="1">
      <c r="A1285" s="1016" t="s">
        <v>71</v>
      </c>
      <c r="B1285" s="1017" t="s">
        <v>460</v>
      </c>
      <c r="C1285" s="1014"/>
      <c r="D1285" s="1014"/>
      <c r="E1285" s="1014"/>
      <c r="F1285" s="1055"/>
      <c r="G1285" s="1016" t="s">
        <v>71</v>
      </c>
      <c r="H1285" s="1017" t="s">
        <v>460</v>
      </c>
      <c r="I1285" s="1014"/>
      <c r="J1285" s="1014"/>
      <c r="K1285" s="1014"/>
      <c r="L1285" s="1024"/>
      <c r="M1285" s="1019"/>
    </row>
    <row r="1286" spans="1:13" s="23" customFormat="1" ht="17.25" customHeight="1">
      <c r="A1286" s="1016" t="s">
        <v>72</v>
      </c>
      <c r="B1286" s="1018" t="s">
        <v>461</v>
      </c>
      <c r="C1286" s="1014"/>
      <c r="D1286" s="1014"/>
      <c r="E1286" s="1007">
        <f>SUM(E1285)</f>
        <v>0</v>
      </c>
      <c r="F1286" s="1055"/>
      <c r="G1286" s="1016" t="s">
        <v>72</v>
      </c>
      <c r="H1286" s="1018" t="s">
        <v>461</v>
      </c>
      <c r="I1286" s="1014"/>
      <c r="J1286" s="1014"/>
      <c r="K1286" s="1007">
        <f>SUM(K1285)</f>
        <v>0</v>
      </c>
      <c r="L1286" s="1024"/>
      <c r="M1286" s="1019"/>
    </row>
    <row r="1287" spans="1:13" s="23" customFormat="1" ht="17.25" customHeight="1">
      <c r="A1287" s="1020" t="s">
        <v>73</v>
      </c>
      <c r="B1287" s="1021" t="s">
        <v>381</v>
      </c>
      <c r="C1287" s="1022"/>
      <c r="D1287" s="1022"/>
      <c r="E1287" s="1022">
        <f>(E1275+E1276+E1277+E1278+E1279+E1280+E1281+E1282+E1283)-E1286</f>
        <v>0</v>
      </c>
      <c r="F1287" s="1055"/>
      <c r="G1287" s="1020" t="s">
        <v>73</v>
      </c>
      <c r="H1287" s="1021" t="s">
        <v>381</v>
      </c>
      <c r="I1287" s="1022"/>
      <c r="J1287" s="1022"/>
      <c r="K1287" s="1022">
        <f>(K1275+K1276+K1277+K1278+K1279+K1280+K1281+K1282+K1283)-K1286</f>
        <v>0</v>
      </c>
      <c r="L1287" s="1024">
        <f>K1287+E1287</f>
        <v>0</v>
      </c>
      <c r="M1287" s="1019"/>
    </row>
    <row r="1288" spans="1:13" s="23" customFormat="1" ht="222" customHeight="1">
      <c r="A1288" s="1058"/>
      <c r="B1288" s="1058"/>
      <c r="C1288" s="1058"/>
      <c r="D1288" s="1058"/>
      <c r="E1288" s="1058"/>
      <c r="F1288" s="1058"/>
      <c r="G1288" s="1058"/>
      <c r="H1288" s="1058"/>
      <c r="I1288" s="1058"/>
      <c r="J1288" s="1058"/>
      <c r="K1288" s="1058"/>
      <c r="L1288" s="1024"/>
      <c r="M1288" s="1019"/>
    </row>
    <row r="1289" spans="1:13" s="23" customFormat="1" ht="17.25" customHeight="1">
      <c r="A1289" s="1059" t="str">
        <f>A1272</f>
        <v>LƯƠNG THÁNG 09/2025</v>
      </c>
      <c r="B1289" s="1058"/>
      <c r="C1289" s="1058"/>
      <c r="D1289" s="1058"/>
      <c r="E1289" s="1054">
        <f>VLOOKUP(B1290,'CNKT '!$D$101:$AF$165,26,0)</f>
        <v>965997</v>
      </c>
      <c r="F1289" s="1055"/>
      <c r="G1289" s="1059" t="str">
        <f>A1289</f>
        <v>LƯƠNG THÁNG 09/2025</v>
      </c>
      <c r="H1289" s="1058"/>
      <c r="I1289" s="1058"/>
      <c r="J1289" s="998"/>
      <c r="K1289" s="1055"/>
      <c r="L1289" s="1024"/>
      <c r="M1289" s="1019"/>
    </row>
    <row r="1290" spans="1:13" s="23" customFormat="1" ht="17.25" customHeight="1">
      <c r="A1290" s="1028" t="s">
        <v>13</v>
      </c>
      <c r="B1290" s="1000" t="str">
        <f>'CNKT '!D163</f>
        <v>Mủ Xi Rum 2</v>
      </c>
      <c r="C1290" s="1006"/>
      <c r="D1290" s="1000" t="s">
        <v>353</v>
      </c>
      <c r="E1290" s="1000" t="s">
        <v>16</v>
      </c>
      <c r="F1290" s="1055"/>
      <c r="G1290" s="1028" t="s">
        <v>13</v>
      </c>
      <c r="H1290" s="1000" t="str">
        <f>'CNKT '!D166</f>
        <v>Chuyển 2</v>
      </c>
      <c r="I1290" s="1006"/>
      <c r="J1290" s="1000" t="s">
        <v>353</v>
      </c>
      <c r="K1290" s="1000" t="s">
        <v>16</v>
      </c>
      <c r="L1290" s="1024"/>
      <c r="M1290" s="1019"/>
    </row>
    <row r="1291" spans="1:13" s="23" customFormat="1" ht="17.25" customHeight="1">
      <c r="A1291" s="1004" t="s">
        <v>354</v>
      </c>
      <c r="B1291" s="1005" t="s">
        <v>454</v>
      </c>
      <c r="C1291" s="1006" t="s">
        <v>36</v>
      </c>
      <c r="D1291" s="1007"/>
      <c r="E1291" s="1007"/>
      <c r="F1291" s="1055"/>
      <c r="G1291" s="1004" t="s">
        <v>354</v>
      </c>
      <c r="H1291" s="1005" t="s">
        <v>454</v>
      </c>
      <c r="I1291" s="1006"/>
      <c r="J1291" s="1007"/>
      <c r="K1291" s="1007"/>
      <c r="L1291" s="1024"/>
      <c r="M1291" s="1019"/>
    </row>
    <row r="1292" spans="1:13" s="23" customFormat="1" ht="17.25" customHeight="1">
      <c r="A1292" s="1004" t="s">
        <v>68</v>
      </c>
      <c r="B1292" s="1008" t="s">
        <v>380</v>
      </c>
      <c r="C1292" s="581">
        <f>VLOOKUP(B1290,'CNKT '!$D$100:$AC$165,3,0)</f>
        <v>0</v>
      </c>
      <c r="D1292" s="582">
        <v>25000</v>
      </c>
      <c r="E1292" s="1007">
        <f t="shared" ref="E1292:E1297" si="232">C1292*D1292</f>
        <v>0</v>
      </c>
      <c r="F1292" s="1055"/>
      <c r="G1292" s="1004" t="s">
        <v>68</v>
      </c>
      <c r="H1292" s="1008" t="s">
        <v>380</v>
      </c>
      <c r="I1292" s="581">
        <f>VLOOKUP(H1290,'CNKT '!D166:AC166,3,0)</f>
        <v>0</v>
      </c>
      <c r="J1292" s="582">
        <v>25000</v>
      </c>
      <c r="K1292" s="1007">
        <f t="shared" ref="K1292" si="233">I1292*J1292</f>
        <v>0</v>
      </c>
      <c r="L1292" s="1024"/>
      <c r="M1292" s="1019"/>
    </row>
    <row r="1293" spans="1:13" s="23" customFormat="1" ht="17.25" customHeight="1">
      <c r="A1293" s="1004" t="s">
        <v>269</v>
      </c>
      <c r="B1293" s="1009" t="s">
        <v>455</v>
      </c>
      <c r="C1293" s="1010">
        <f>VLOOKUP(B1290,'CNKT '!$D$100:$AC$165,11,0)</f>
        <v>0</v>
      </c>
      <c r="D1293" s="583">
        <f>46.1*$B$2</f>
        <v>30424.156000000003</v>
      </c>
      <c r="E1293" s="1007">
        <f t="shared" si="232"/>
        <v>0</v>
      </c>
      <c r="F1293" s="1055"/>
      <c r="G1293" s="1004" t="s">
        <v>269</v>
      </c>
      <c r="H1293" s="1009" t="s">
        <v>455</v>
      </c>
      <c r="I1293" s="1010"/>
      <c r="J1293" s="583"/>
      <c r="K1293" s="1007"/>
      <c r="L1293" s="1024"/>
      <c r="M1293" s="1019"/>
    </row>
    <row r="1294" spans="1:13" s="23" customFormat="1" ht="17.25" customHeight="1">
      <c r="A1294" s="1004" t="s">
        <v>356</v>
      </c>
      <c r="B1294" s="1009" t="s">
        <v>456</v>
      </c>
      <c r="C1294" s="1010">
        <f>VLOOKUP(B1290,'CNKT '!$D$100:$AC$165,12,0)</f>
        <v>965997</v>
      </c>
      <c r="D1294" s="582">
        <f>76.9*$B$2</f>
        <v>50750.924000000006</v>
      </c>
      <c r="E1294" s="1007">
        <f t="shared" si="232"/>
        <v>49025240331.228004</v>
      </c>
      <c r="F1294" s="1055"/>
      <c r="G1294" s="1004" t="s">
        <v>356</v>
      </c>
      <c r="H1294" s="1009" t="s">
        <v>456</v>
      </c>
      <c r="I1294" s="1010"/>
      <c r="J1294" s="582"/>
      <c r="K1294" s="1007"/>
      <c r="L1294" s="1024"/>
      <c r="M1294" s="1019"/>
    </row>
    <row r="1295" spans="1:13" s="23" customFormat="1" ht="17.25" customHeight="1">
      <c r="A1295" s="1004" t="s">
        <v>69</v>
      </c>
      <c r="B1295" s="1009" t="s">
        <v>457</v>
      </c>
      <c r="C1295" s="1010">
        <f>VLOOKUP(B1290,'CNKT '!$D$100:$AC$165,8,0)</f>
        <v>259.18200000000013</v>
      </c>
      <c r="D1295" s="582">
        <f>IF(C1291="A",6.1,IF(C1291="B",5.8,IF(C1291="C",5.5,IF(C1291="C.",5.5,IF(C1291="D",5.2)))))*$B$2</f>
        <v>4025.7559999999999</v>
      </c>
      <c r="E1295" s="1007">
        <f t="shared" si="232"/>
        <v>1043403.4915920005</v>
      </c>
      <c r="F1295" s="1055"/>
      <c r="G1295" s="1004" t="s">
        <v>69</v>
      </c>
      <c r="H1295" s="1009" t="s">
        <v>457</v>
      </c>
      <c r="I1295" s="1010"/>
      <c r="J1295" s="582"/>
      <c r="K1295" s="1007"/>
      <c r="L1295" s="1024"/>
      <c r="M1295" s="1019"/>
    </row>
    <row r="1296" spans="1:13" s="23" customFormat="1" ht="17.25" customHeight="1">
      <c r="A1296" s="1004" t="s">
        <v>433</v>
      </c>
      <c r="B1296" s="1009" t="s">
        <v>458</v>
      </c>
      <c r="C1296" s="1010">
        <f>VLOOKUP(B1290,'CNKT '!$D$99:$AC$165,13,0)</f>
        <v>0</v>
      </c>
      <c r="D1296" s="583">
        <f>92.2*$B$2</f>
        <v>60848.312000000005</v>
      </c>
      <c r="E1296" s="1007">
        <f t="shared" si="232"/>
        <v>0</v>
      </c>
      <c r="F1296" s="1055"/>
      <c r="G1296" s="1004" t="s">
        <v>433</v>
      </c>
      <c r="H1296" s="1009" t="s">
        <v>458</v>
      </c>
      <c r="I1296" s="1010"/>
      <c r="J1296" s="583"/>
      <c r="K1296" s="1007"/>
      <c r="L1296" s="1024"/>
      <c r="M1296" s="1019"/>
    </row>
    <row r="1297" spans="1:16" s="23" customFormat="1" ht="17.25" customHeight="1">
      <c r="A1297" s="1004" t="s">
        <v>390</v>
      </c>
      <c r="B1297" s="1009" t="s">
        <v>434</v>
      </c>
      <c r="C1297" s="1010">
        <f>VLOOKUP(B1290,'CNKT '!$D$100:$AC$165,14,0)</f>
        <v>0</v>
      </c>
      <c r="D1297" s="582">
        <f>153.6*$B$2</f>
        <v>101369.856</v>
      </c>
      <c r="E1297" s="1007">
        <f t="shared" si="232"/>
        <v>0</v>
      </c>
      <c r="F1297" s="1055"/>
      <c r="G1297" s="1004" t="s">
        <v>390</v>
      </c>
      <c r="H1297" s="1009" t="s">
        <v>434</v>
      </c>
      <c r="I1297" s="1010"/>
      <c r="J1297" s="582"/>
      <c r="K1297" s="1007"/>
      <c r="L1297" s="1024"/>
      <c r="M1297" s="1019"/>
    </row>
    <row r="1298" spans="1:16" s="23" customFormat="1" ht="17.25" customHeight="1">
      <c r="A1298" s="1004" t="s">
        <v>394</v>
      </c>
      <c r="B1298" s="1009" t="s">
        <v>435</v>
      </c>
      <c r="C1298" s="1010">
        <f>VLOOKUP(B1290,'CNKT '!$D$101:$AC$165,18,0)</f>
        <v>0</v>
      </c>
      <c r="D1298" s="582">
        <v>10000</v>
      </c>
      <c r="E1298" s="1007">
        <f>C1298*D1298</f>
        <v>0</v>
      </c>
      <c r="F1298" s="1055"/>
      <c r="G1298" s="1004" t="s">
        <v>394</v>
      </c>
      <c r="H1298" s="1009" t="s">
        <v>435</v>
      </c>
      <c r="I1298" s="1010"/>
      <c r="J1298" s="582"/>
      <c r="K1298" s="1007"/>
      <c r="L1298" s="1024"/>
      <c r="M1298" s="1019"/>
    </row>
    <row r="1299" spans="1:16" s="23" customFormat="1" ht="17.25" customHeight="1">
      <c r="A1299" s="1004" t="s">
        <v>394</v>
      </c>
      <c r="B1299" s="1009" t="s">
        <v>435</v>
      </c>
      <c r="C1299" s="1010">
        <f>VLOOKUP(B1290,'CNKT '!$D$101:$AC$165,19,0)</f>
        <v>0</v>
      </c>
      <c r="D1299" s="582">
        <v>20000</v>
      </c>
      <c r="E1299" s="1007">
        <f>C1299*D1299</f>
        <v>0</v>
      </c>
      <c r="F1299" s="1055"/>
      <c r="G1299" s="1004" t="s">
        <v>394</v>
      </c>
      <c r="H1299" s="1009" t="s">
        <v>435</v>
      </c>
      <c r="I1299" s="1010"/>
      <c r="J1299" s="582"/>
      <c r="K1299" s="1007"/>
      <c r="L1299" s="1024"/>
      <c r="M1299" s="1019"/>
    </row>
    <row r="1300" spans="1:16" s="23" customFormat="1" ht="17.25" customHeight="1">
      <c r="A1300" s="1004" t="s">
        <v>444</v>
      </c>
      <c r="B1300" s="1009" t="s">
        <v>445</v>
      </c>
      <c r="C1300" s="1010"/>
      <c r="D1300" s="582"/>
      <c r="E1300" s="1007"/>
      <c r="F1300" s="1055"/>
      <c r="G1300" s="1004" t="s">
        <v>444</v>
      </c>
      <c r="H1300" s="1009" t="s">
        <v>445</v>
      </c>
      <c r="I1300" s="1010"/>
      <c r="J1300" s="582"/>
      <c r="K1300" s="1007"/>
      <c r="L1300" s="1024"/>
      <c r="M1300" s="1019"/>
    </row>
    <row r="1301" spans="1:16" s="23" customFormat="1" ht="17.25" customHeight="1">
      <c r="A1301" s="1012" t="s">
        <v>70</v>
      </c>
      <c r="B1301" s="1013" t="s">
        <v>459</v>
      </c>
      <c r="C1301" s="1014"/>
      <c r="D1301" s="1015"/>
      <c r="E1301" s="1014"/>
      <c r="F1301" s="1055"/>
      <c r="G1301" s="1012" t="s">
        <v>70</v>
      </c>
      <c r="H1301" s="1013" t="s">
        <v>459</v>
      </c>
      <c r="I1301" s="1014"/>
      <c r="J1301" s="1015"/>
      <c r="K1301" s="1014"/>
      <c r="L1301" s="1024"/>
      <c r="M1301" s="587"/>
      <c r="N1301" s="587"/>
    </row>
    <row r="1302" spans="1:16" s="23" customFormat="1" ht="17.25" customHeight="1">
      <c r="A1302" s="1016" t="s">
        <v>71</v>
      </c>
      <c r="B1302" s="1017" t="s">
        <v>460</v>
      </c>
      <c r="C1302" s="1014"/>
      <c r="D1302" s="1014"/>
      <c r="E1302" s="1014"/>
      <c r="F1302" s="1055"/>
      <c r="G1302" s="1016" t="s">
        <v>71</v>
      </c>
      <c r="H1302" s="1017" t="s">
        <v>460</v>
      </c>
      <c r="I1302" s="1014"/>
      <c r="J1302" s="1014"/>
      <c r="K1302" s="1014"/>
      <c r="L1302" s="1024"/>
      <c r="M1302" s="587"/>
      <c r="N1302" s="587"/>
    </row>
    <row r="1303" spans="1:16" s="23" customFormat="1" ht="17.25" customHeight="1">
      <c r="A1303" s="1016" t="s">
        <v>72</v>
      </c>
      <c r="B1303" s="1018" t="s">
        <v>461</v>
      </c>
      <c r="C1303" s="1014"/>
      <c r="D1303" s="1014"/>
      <c r="E1303" s="1007">
        <f>SUM(E1302)</f>
        <v>0</v>
      </c>
      <c r="F1303" s="1055"/>
      <c r="G1303" s="1016" t="s">
        <v>72</v>
      </c>
      <c r="H1303" s="1018" t="s">
        <v>461</v>
      </c>
      <c r="I1303" s="1014"/>
      <c r="J1303" s="1014"/>
      <c r="K1303" s="1007">
        <f>SUM(K1302)</f>
        <v>0</v>
      </c>
      <c r="L1303" s="1024"/>
      <c r="M1303" s="587"/>
      <c r="N1303" s="587"/>
    </row>
    <row r="1304" spans="1:16" s="23" customFormat="1" ht="17.25" customHeight="1">
      <c r="A1304" s="1020" t="s">
        <v>73</v>
      </c>
      <c r="B1304" s="1021" t="s">
        <v>381</v>
      </c>
      <c r="C1304" s="1022"/>
      <c r="D1304" s="1022"/>
      <c r="E1304" s="1022">
        <f>(E1292+E1293+E1294+E1295+E1296+E1297+E1298+E1299+E1300)-E1303</f>
        <v>49026283734.719597</v>
      </c>
      <c r="F1304" s="1055"/>
      <c r="G1304" s="1020" t="s">
        <v>73</v>
      </c>
      <c r="H1304" s="1021" t="s">
        <v>381</v>
      </c>
      <c r="I1304" s="1060"/>
      <c r="J1304" s="1060"/>
      <c r="K1304" s="1060">
        <f>(K1292+K1293+K1294+K1295)-K1303</f>
        <v>0</v>
      </c>
      <c r="L1304" s="1024">
        <f>E1304+K1304</f>
        <v>49026283734.719597</v>
      </c>
      <c r="M1304" s="587" t="e">
        <f>SUM(L745:L1304)</f>
        <v>#VALUE!</v>
      </c>
      <c r="N1304" s="587">
        <f>'Trạm 2'!AB83</f>
        <v>489036517</v>
      </c>
      <c r="O1304" s="1051" t="e">
        <f>M1304-N1304</f>
        <v>#VALUE!</v>
      </c>
      <c r="P1304" s="1051"/>
    </row>
    <row r="1305" spans="1:16" s="23" customFormat="1" ht="17.25" customHeight="1">
      <c r="A1305" s="1058"/>
      <c r="B1305" s="1058"/>
      <c r="C1305" s="1058"/>
      <c r="D1305" s="1058"/>
      <c r="E1305" s="1058"/>
      <c r="F1305" s="1058"/>
      <c r="G1305" s="1058"/>
      <c r="H1305" s="1058"/>
      <c r="I1305" s="1058"/>
      <c r="J1305" s="1058"/>
      <c r="K1305" s="1058"/>
      <c r="L1305" s="1024"/>
      <c r="M1305" s="587"/>
      <c r="N1305" s="587"/>
      <c r="O1305" s="1051">
        <f t="shared" ref="O1305:O1306" si="234">M1305-N1305</f>
        <v>0</v>
      </c>
    </row>
    <row r="1306" spans="1:16" ht="21" customHeight="1">
      <c r="L1306" s="1061" t="e">
        <f>SUM(L5:L1304)</f>
        <v>#VALUE!</v>
      </c>
      <c r="M1306" s="1062" t="e">
        <f>M1304+M740</f>
        <v>#VALUE!</v>
      </c>
      <c r="N1306" s="919">
        <f>'CNKT '!AC167</f>
        <v>1074482510</v>
      </c>
      <c r="O1306" s="1051" t="e">
        <f t="shared" si="234"/>
        <v>#VALUE!</v>
      </c>
      <c r="P1306" s="1063"/>
    </row>
    <row r="1307" spans="1:16" ht="21" customHeight="1">
      <c r="L1307" s="464"/>
      <c r="M1307" s="1062"/>
      <c r="N1307" s="1062"/>
    </row>
    <row r="1308" spans="1:16" ht="21" customHeight="1">
      <c r="L1308" s="464"/>
    </row>
    <row r="1309" spans="1:16" ht="21" customHeight="1">
      <c r="L1309" s="464"/>
    </row>
    <row r="1310" spans="1:16" ht="21" customHeight="1">
      <c r="L1310" s="464">
        <v>718542301</v>
      </c>
    </row>
    <row r="1311" spans="1:16" ht="21" customHeight="1">
      <c r="L1311" s="464">
        <v>577485711</v>
      </c>
      <c r="N1311" s="1061" t="e">
        <f>K1304+K721</f>
        <v>#REF!</v>
      </c>
    </row>
    <row r="1312" spans="1:16" ht="21" customHeight="1">
      <c r="L1312" s="536">
        <f>SUM(L1307:L1310)+L1311</f>
        <v>1296028012</v>
      </c>
      <c r="M1312" s="464"/>
      <c r="N1312" s="1075" t="e">
        <f>L1312-N1311</f>
        <v>#REF!</v>
      </c>
    </row>
    <row r="1314" spans="12:13" ht="21" customHeight="1">
      <c r="L1314" s="109"/>
      <c r="M1314" s="1062"/>
    </row>
    <row r="1315" spans="12:13" ht="21" customHeight="1">
      <c r="L1315" s="464" t="e">
        <f>L1306-L1312</f>
        <v>#VALUE!</v>
      </c>
    </row>
  </sheetData>
  <mergeCells count="89">
    <mergeCell ref="A416:D416"/>
    <mergeCell ref="A433:D433"/>
    <mergeCell ref="G208:J208"/>
    <mergeCell ref="G416:J416"/>
    <mergeCell ref="G433:J433"/>
    <mergeCell ref="G364:J364"/>
    <mergeCell ref="G381:J381"/>
    <mergeCell ref="G399:J399"/>
    <mergeCell ref="G294:J294"/>
    <mergeCell ref="A347:D347"/>
    <mergeCell ref="A364:D364"/>
    <mergeCell ref="A381:D381"/>
    <mergeCell ref="A399:D399"/>
    <mergeCell ref="G191:J191"/>
    <mergeCell ref="A157:D157"/>
    <mergeCell ref="A174:D174"/>
    <mergeCell ref="A191:D191"/>
    <mergeCell ref="G502:J502"/>
    <mergeCell ref="A294:D294"/>
    <mergeCell ref="A311:D311"/>
    <mergeCell ref="A329:D329"/>
    <mergeCell ref="G157:J157"/>
    <mergeCell ref="G174:J174"/>
    <mergeCell ref="A208:D208"/>
    <mergeCell ref="G311:J311"/>
    <mergeCell ref="G329:J329"/>
    <mergeCell ref="G347:J347"/>
    <mergeCell ref="G260:J260"/>
    <mergeCell ref="G277:J277"/>
    <mergeCell ref="G519:J519"/>
    <mergeCell ref="G449:J449"/>
    <mergeCell ref="G467:J467"/>
    <mergeCell ref="G485:J485"/>
    <mergeCell ref="A449:D449"/>
    <mergeCell ref="A467:D467"/>
    <mergeCell ref="A485:D485"/>
    <mergeCell ref="A502:D502"/>
    <mergeCell ref="A519:D519"/>
    <mergeCell ref="G586:J586"/>
    <mergeCell ref="G603:J603"/>
    <mergeCell ref="G620:J620"/>
    <mergeCell ref="G535:J535"/>
    <mergeCell ref="G552:J552"/>
    <mergeCell ref="G569:J569"/>
    <mergeCell ref="A535:D535"/>
    <mergeCell ref="A552:D552"/>
    <mergeCell ref="A569:D569"/>
    <mergeCell ref="A586:D586"/>
    <mergeCell ref="A603:D603"/>
    <mergeCell ref="A620:D620"/>
    <mergeCell ref="G638:J638"/>
    <mergeCell ref="G655:J655"/>
    <mergeCell ref="A638:D638"/>
    <mergeCell ref="A655:D655"/>
    <mergeCell ref="A672:D672"/>
    <mergeCell ref="G672:J672"/>
    <mergeCell ref="G689:J689"/>
    <mergeCell ref="A689:D689"/>
    <mergeCell ref="A706:D706"/>
    <mergeCell ref="G706:K706"/>
    <mergeCell ref="A740:J740"/>
    <mergeCell ref="A741:E741"/>
    <mergeCell ref="G741:J741"/>
    <mergeCell ref="A723:D723"/>
    <mergeCell ref="G723:J723"/>
    <mergeCell ref="G4:J4"/>
    <mergeCell ref="A226:D226"/>
    <mergeCell ref="A243:D243"/>
    <mergeCell ref="A260:D260"/>
    <mergeCell ref="A277:D277"/>
    <mergeCell ref="A4:D4"/>
    <mergeCell ref="A21:D21"/>
    <mergeCell ref="A38:D38"/>
    <mergeCell ref="A55:D55"/>
    <mergeCell ref="A72:D72"/>
    <mergeCell ref="A89:D89"/>
    <mergeCell ref="A106:D106"/>
    <mergeCell ref="A123:D123"/>
    <mergeCell ref="A140:D140"/>
    <mergeCell ref="G226:J226"/>
    <mergeCell ref="G243:J243"/>
    <mergeCell ref="G21:J21"/>
    <mergeCell ref="G38:J38"/>
    <mergeCell ref="G106:J106"/>
    <mergeCell ref="G123:J123"/>
    <mergeCell ref="G140:J140"/>
    <mergeCell ref="G55:J55"/>
    <mergeCell ref="G72:J72"/>
    <mergeCell ref="G89:J89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58" orientation="portrait" r:id="rId1"/>
  <headerFooter scaleWithDoc="0" alignWithMargins="0">
    <oddHeader xml:space="preserve">&amp;L                            </oddHeader>
    <oddFooter>Page &amp;P</oddFooter>
  </headerFooter>
  <colBreaks count="1" manualBreakCount="1">
    <brk id="11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4"/>
  <sheetViews>
    <sheetView workbookViewId="0">
      <selection activeCell="M10" sqref="M10"/>
    </sheetView>
  </sheetViews>
  <sheetFormatPr defaultColWidth="9.140625" defaultRowHeight="16.5"/>
  <cols>
    <col min="1" max="1" width="6" style="488" customWidth="1"/>
    <col min="2" max="2" width="7" style="488" hidden="1" customWidth="1"/>
    <col min="3" max="3" width="5.7109375" style="488" hidden="1" customWidth="1"/>
    <col min="4" max="4" width="27.42578125" style="488" customWidth="1"/>
    <col min="5" max="5" width="18.42578125" style="488" customWidth="1"/>
    <col min="6" max="6" width="23.85546875" style="488" customWidth="1"/>
    <col min="7" max="7" width="23" style="488" customWidth="1"/>
    <col min="8" max="8" width="30.5703125" style="488" customWidth="1"/>
    <col min="9" max="9" width="10.28515625" style="488" customWidth="1"/>
    <col min="10" max="10" width="7.42578125" style="488" customWidth="1"/>
    <col min="11" max="11" width="10" style="488" bestFit="1" customWidth="1"/>
    <col min="12" max="12" width="17.85546875" style="488" customWidth="1"/>
    <col min="13" max="13" width="15.7109375" style="488" bestFit="1" customWidth="1"/>
    <col min="14" max="16384" width="9.140625" style="488"/>
  </cols>
  <sheetData>
    <row r="1" spans="1:13">
      <c r="A1" s="1662" t="s">
        <v>418</v>
      </c>
      <c r="B1" s="1662"/>
      <c r="C1" s="1662"/>
      <c r="D1" s="1662"/>
      <c r="E1" s="1662"/>
      <c r="F1" s="1662"/>
      <c r="G1" s="1662"/>
      <c r="H1" s="1662"/>
    </row>
    <row r="2" spans="1:13">
      <c r="A2" s="1662" t="s">
        <v>419</v>
      </c>
      <c r="B2" s="1662"/>
      <c r="C2" s="1662"/>
      <c r="D2" s="1662"/>
      <c r="E2" s="1662"/>
      <c r="F2" s="1662"/>
      <c r="G2" s="1662"/>
      <c r="H2" s="1662"/>
    </row>
    <row r="3" spans="1:13">
      <c r="A3" s="1663" t="s">
        <v>420</v>
      </c>
      <c r="B3" s="1662"/>
      <c r="C3" s="1662"/>
      <c r="D3" s="1662"/>
      <c r="E3" s="1662"/>
      <c r="F3" s="1662"/>
      <c r="G3" s="1662"/>
      <c r="H3" s="1662"/>
    </row>
    <row r="4" spans="1:13">
      <c r="A4" s="1662" t="s">
        <v>510</v>
      </c>
      <c r="B4" s="1662"/>
      <c r="C4" s="1662"/>
      <c r="D4" s="1662"/>
      <c r="E4" s="1662"/>
      <c r="F4" s="1662"/>
      <c r="G4" s="489"/>
      <c r="H4" s="489"/>
    </row>
    <row r="5" spans="1:13">
      <c r="A5" s="1662" t="s">
        <v>497</v>
      </c>
      <c r="B5" s="1662"/>
      <c r="C5" s="1662"/>
      <c r="D5" s="1662"/>
      <c r="E5" s="1662"/>
      <c r="F5" s="1662"/>
      <c r="G5" s="489"/>
      <c r="H5" s="489"/>
    </row>
    <row r="6" spans="1:13">
      <c r="A6" s="1662"/>
      <c r="B6" s="1662"/>
      <c r="C6" s="1662"/>
      <c r="D6" s="1662"/>
      <c r="E6" s="1662"/>
      <c r="F6" s="1662"/>
      <c r="G6" s="1662"/>
      <c r="H6" s="1662"/>
    </row>
    <row r="7" spans="1:13" ht="20.25">
      <c r="A7" s="1664" t="s">
        <v>819</v>
      </c>
      <c r="B7" s="1664"/>
      <c r="C7" s="1664"/>
      <c r="D7" s="1664"/>
      <c r="E7" s="1664"/>
      <c r="F7" s="1664"/>
      <c r="G7" s="1664"/>
      <c r="H7" s="1664"/>
      <c r="I7" s="490"/>
    </row>
    <row r="8" spans="1:13">
      <c r="I8" s="491"/>
      <c r="J8" s="491">
        <v>31</v>
      </c>
    </row>
    <row r="9" spans="1:13" ht="31.5" customHeight="1">
      <c r="A9" s="492" t="s">
        <v>4</v>
      </c>
      <c r="B9" s="493" t="s">
        <v>109</v>
      </c>
      <c r="C9" s="1665" t="s">
        <v>421</v>
      </c>
      <c r="D9" s="1666"/>
      <c r="E9" s="493" t="s">
        <v>422</v>
      </c>
      <c r="F9" s="493" t="s">
        <v>423</v>
      </c>
      <c r="G9" s="493" t="s">
        <v>424</v>
      </c>
      <c r="H9" s="494" t="s">
        <v>409</v>
      </c>
      <c r="I9" s="495"/>
    </row>
    <row r="10" spans="1:13" s="504" customFormat="1" ht="18" customHeight="1">
      <c r="A10" s="496">
        <v>1</v>
      </c>
      <c r="B10" s="497" t="s">
        <v>428</v>
      </c>
      <c r="C10" s="498"/>
      <c r="D10" s="498" t="str">
        <f>'LƯƠNG CB.CNV LÀO'!B17</f>
        <v>Thảo Văn Vông</v>
      </c>
      <c r="E10" s="498" t="s">
        <v>511</v>
      </c>
      <c r="F10" s="499">
        <f>'LƯƠNG CB.CNV LÀO'!I17</f>
        <v>7105899.0793324765</v>
      </c>
      <c r="G10" s="499">
        <f>'LƯƠNG CB.CNV LÀO'!J17</f>
        <v>395589.90793324762</v>
      </c>
      <c r="H10" s="500"/>
      <c r="I10" s="501"/>
      <c r="J10" s="502" t="s">
        <v>427</v>
      </c>
      <c r="K10" s="503" t="s">
        <v>429</v>
      </c>
      <c r="L10" s="502"/>
      <c r="M10" s="503"/>
    </row>
    <row r="11" spans="1:13" s="504" customFormat="1" ht="18" customHeight="1">
      <c r="A11" s="496">
        <v>2</v>
      </c>
      <c r="B11" s="497"/>
      <c r="C11" s="498" t="s">
        <v>425</v>
      </c>
      <c r="D11" s="498" t="str">
        <f>'LƯƠNG CB.CNV LÀO'!B18</f>
        <v>Thảo Phôn Chay</v>
      </c>
      <c r="E11" s="498" t="s">
        <v>511</v>
      </c>
      <c r="F11" s="499">
        <f>'LƯƠNG CB.CNV LÀO'!I18</f>
        <v>6839258.7754703825</v>
      </c>
      <c r="G11" s="499">
        <f>'LƯƠNG CB.CNV LÀO'!J18</f>
        <v>368925.87754703825</v>
      </c>
      <c r="H11" s="500"/>
      <c r="I11" s="501"/>
      <c r="J11" s="502" t="s">
        <v>426</v>
      </c>
      <c r="K11" s="503"/>
      <c r="L11" s="502"/>
      <c r="M11" s="503"/>
    </row>
    <row r="12" spans="1:13" s="504" customFormat="1" ht="18" customHeight="1">
      <c r="A12" s="496">
        <v>3</v>
      </c>
      <c r="B12" s="497"/>
      <c r="C12" s="498" t="s">
        <v>425</v>
      </c>
      <c r="D12" s="498" t="str">
        <f>'LƯƠNG CB.CNV LÀO'!B15</f>
        <v xml:space="preserve">Thảo Mét </v>
      </c>
      <c r="E12" s="498" t="s">
        <v>745</v>
      </c>
      <c r="F12" s="499">
        <f>'LƯƠNG CB.CNV LÀO'!I13</f>
        <v>2620000</v>
      </c>
      <c r="G12" s="499">
        <f>'LƯƠNG CB.CNV LÀO'!J15</f>
        <v>66000</v>
      </c>
      <c r="H12" s="500"/>
      <c r="I12" s="501"/>
      <c r="J12" s="502" t="s">
        <v>426</v>
      </c>
      <c r="K12" s="503"/>
      <c r="L12" s="502"/>
      <c r="M12" s="503"/>
    </row>
    <row r="13" spans="1:13" s="504" customFormat="1" ht="18" customHeight="1">
      <c r="A13" s="496">
        <v>4</v>
      </c>
      <c r="B13" s="497" t="s">
        <v>428</v>
      </c>
      <c r="C13" s="498"/>
      <c r="D13" s="498" t="str">
        <f>'LƯƠNG CB.CNV LÀO'!B20</f>
        <v>N. Nhung  ( VP)</v>
      </c>
      <c r="E13" s="498" t="s">
        <v>137</v>
      </c>
      <c r="F13" s="499">
        <f>'LƯƠNG CB.CNV LÀO'!I20</f>
        <v>2000000</v>
      </c>
      <c r="G13" s="499">
        <f>'LƯƠNG CB.CNV LÀO'!J20</f>
        <v>35000</v>
      </c>
      <c r="H13" s="500"/>
      <c r="I13" s="501"/>
      <c r="J13" s="502" t="s">
        <v>427</v>
      </c>
      <c r="K13" s="503" t="s">
        <v>429</v>
      </c>
      <c r="L13" s="502"/>
      <c r="M13" s="503"/>
    </row>
    <row r="14" spans="1:13" s="504" customFormat="1" ht="21.75" customHeight="1">
      <c r="A14" s="1667" t="s">
        <v>430</v>
      </c>
      <c r="B14" s="1667"/>
      <c r="C14" s="1667"/>
      <c r="D14" s="1667"/>
      <c r="E14" s="1667"/>
      <c r="F14" s="505">
        <f>SUM(F10:F13)</f>
        <v>18565157.854802858</v>
      </c>
      <c r="G14" s="505">
        <f>SUM(G10:G13)</f>
        <v>865515.78548028588</v>
      </c>
      <c r="H14" s="492"/>
      <c r="I14" s="506" t="e">
        <f>+#REF!/25</f>
        <v>#REF!</v>
      </c>
      <c r="J14" s="507"/>
      <c r="K14" s="503">
        <f>14*1200</f>
        <v>16800</v>
      </c>
      <c r="L14" s="508">
        <f>1700/31*26</f>
        <v>1425.8064516129032</v>
      </c>
      <c r="M14" s="503"/>
    </row>
    <row r="15" spans="1:13" s="489" customFormat="1" ht="23.25" customHeight="1">
      <c r="A15" s="1668" t="s">
        <v>851</v>
      </c>
      <c r="B15" s="1669"/>
      <c r="C15" s="1669"/>
      <c r="D15" s="1669"/>
      <c r="E15" s="1669"/>
      <c r="F15" s="1669"/>
      <c r="G15" s="1669"/>
      <c r="H15" s="1670"/>
      <c r="I15" s="509"/>
      <c r="J15" s="510"/>
      <c r="L15" s="511" t="e">
        <f>+L14/25+#REF!</f>
        <v>#REF!</v>
      </c>
    </row>
    <row r="16" spans="1:13" s="489" customFormat="1" ht="9" customHeight="1">
      <c r="E16" s="490"/>
      <c r="F16" s="490"/>
      <c r="G16" s="490"/>
      <c r="H16" s="490"/>
      <c r="I16" s="489">
        <f>900*14</f>
        <v>12600</v>
      </c>
      <c r="J16" s="510"/>
    </row>
    <row r="17" spans="1:11" ht="18" customHeight="1">
      <c r="A17" s="509"/>
      <c r="B17" s="509"/>
      <c r="D17" s="512"/>
      <c r="F17" s="1661" t="s">
        <v>815</v>
      </c>
      <c r="G17" s="1661"/>
      <c r="H17" s="1661"/>
      <c r="I17" s="513"/>
      <c r="J17" s="514"/>
      <c r="K17" s="515">
        <f>+F14*20</f>
        <v>371303157.09605718</v>
      </c>
    </row>
    <row r="18" spans="1:11" s="489" customFormat="1" ht="23.25" customHeight="1">
      <c r="A18" s="1571" t="s">
        <v>717</v>
      </c>
      <c r="B18" s="1571"/>
      <c r="C18" s="1571"/>
      <c r="D18" s="1571"/>
      <c r="E18" s="1571"/>
      <c r="F18" s="1571"/>
      <c r="G18" s="1571"/>
      <c r="H18" s="1571"/>
      <c r="I18" s="490"/>
    </row>
    <row r="21" spans="1:11" ht="57.75" customHeight="1"/>
    <row r="23" spans="1:11" s="489" customFormat="1">
      <c r="A23" s="1662"/>
      <c r="B23" s="1662"/>
      <c r="C23" s="1662"/>
      <c r="D23" s="1662"/>
      <c r="E23" s="1662"/>
      <c r="F23" s="1662"/>
    </row>
    <row r="24" spans="1:11">
      <c r="I24" s="490"/>
    </row>
  </sheetData>
  <mergeCells count="14">
    <mergeCell ref="F17:H17"/>
    <mergeCell ref="A23:D23"/>
    <mergeCell ref="E23:F23"/>
    <mergeCell ref="A1:H1"/>
    <mergeCell ref="A2:H2"/>
    <mergeCell ref="A3:H3"/>
    <mergeCell ref="A5:F5"/>
    <mergeCell ref="A6:H6"/>
    <mergeCell ref="A7:H7"/>
    <mergeCell ref="C9:D9"/>
    <mergeCell ref="A14:E14"/>
    <mergeCell ref="A15:H15"/>
    <mergeCell ref="A4:F4"/>
    <mergeCell ref="A18:H18"/>
  </mergeCells>
  <printOptions horizontalCentered="1"/>
  <pageMargins left="0.38" right="0.46" top="0.38" bottom="0.25" header="0.3" footer="0.2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4"/>
  <sheetViews>
    <sheetView topLeftCell="A10" workbookViewId="0">
      <selection activeCell="D10" sqref="D10"/>
    </sheetView>
  </sheetViews>
  <sheetFormatPr defaultColWidth="9.140625" defaultRowHeight="15"/>
  <cols>
    <col min="1" max="1" width="6.140625" style="964" customWidth="1"/>
    <col min="2" max="2" width="19" style="964" customWidth="1"/>
    <col min="3" max="3" width="20.42578125" style="965" customWidth="1"/>
    <col min="4" max="4" width="14.42578125" style="965" customWidth="1"/>
    <col min="5" max="5" width="15.28515625" style="965" customWidth="1"/>
    <col min="6" max="6" width="16.5703125" style="965" customWidth="1"/>
    <col min="7" max="8" width="17.42578125" style="965" customWidth="1"/>
    <col min="9" max="9" width="20.7109375" style="965" customWidth="1"/>
    <col min="10" max="10" width="9.140625" style="963"/>
    <col min="11" max="11" width="18.7109375" style="963" bestFit="1" customWidth="1"/>
    <col min="12" max="16384" width="9.140625" style="963"/>
  </cols>
  <sheetData>
    <row r="1" spans="1:13" s="958" customFormat="1" ht="16.5">
      <c r="A1" s="1662" t="s">
        <v>51</v>
      </c>
      <c r="B1" s="1662"/>
      <c r="C1" s="1662"/>
      <c r="D1" s="1662"/>
      <c r="E1" s="1662"/>
      <c r="F1" s="1662"/>
      <c r="G1" s="1662"/>
      <c r="H1" s="1662"/>
      <c r="I1" s="1662"/>
      <c r="J1" s="489"/>
      <c r="K1" s="489"/>
      <c r="L1" s="489"/>
      <c r="M1" s="489"/>
    </row>
    <row r="2" spans="1:13" s="958" customFormat="1" ht="16.5">
      <c r="A2" s="1662" t="s">
        <v>0</v>
      </c>
      <c r="B2" s="1662"/>
      <c r="C2" s="1662"/>
      <c r="D2" s="1662"/>
      <c r="E2" s="1662"/>
      <c r="F2" s="1662"/>
      <c r="G2" s="1662"/>
      <c r="H2" s="1662"/>
      <c r="I2" s="1662"/>
      <c r="J2" s="488"/>
      <c r="K2" s="488"/>
      <c r="L2" s="488"/>
      <c r="M2" s="488"/>
    </row>
    <row r="3" spans="1:13" s="958" customFormat="1" ht="16.5">
      <c r="A3" s="1663" t="s">
        <v>420</v>
      </c>
      <c r="B3" s="1662"/>
      <c r="C3" s="1662"/>
      <c r="D3" s="1662"/>
      <c r="E3" s="1662"/>
      <c r="F3" s="1662"/>
      <c r="G3" s="1662"/>
      <c r="H3" s="1662"/>
      <c r="I3" s="1662"/>
      <c r="J3" s="509"/>
      <c r="K3" s="509"/>
      <c r="L3" s="509"/>
      <c r="M3" s="509"/>
    </row>
    <row r="4" spans="1:13" s="958" customFormat="1" ht="16.5">
      <c r="A4" s="1679" t="s">
        <v>510</v>
      </c>
      <c r="B4" s="1679"/>
      <c r="C4" s="1679"/>
      <c r="D4" s="1679"/>
      <c r="E4" s="509"/>
      <c r="F4" s="489"/>
      <c r="G4" s="489"/>
      <c r="H4" s="489"/>
      <c r="I4" s="488"/>
      <c r="J4" s="488"/>
      <c r="K4" s="488"/>
      <c r="L4" s="488"/>
      <c r="M4" s="488"/>
    </row>
    <row r="5" spans="1:13" s="958" customFormat="1" ht="16.5">
      <c r="A5" s="1662" t="s">
        <v>497</v>
      </c>
      <c r="B5" s="1662"/>
      <c r="C5" s="1662"/>
      <c r="D5" s="1662"/>
      <c r="E5" s="490"/>
      <c r="F5" s="488"/>
      <c r="G5" s="488"/>
      <c r="H5" s="488"/>
      <c r="I5" s="488"/>
      <c r="J5" s="488"/>
      <c r="K5" s="488"/>
      <c r="L5" s="488"/>
      <c r="M5" s="488"/>
    </row>
    <row r="6" spans="1:13" s="962" customFormat="1" ht="11.25">
      <c r="A6" s="959"/>
      <c r="B6" s="959"/>
      <c r="C6" s="960"/>
      <c r="D6" s="960"/>
      <c r="E6" s="960"/>
      <c r="F6" s="960"/>
      <c r="G6" s="960"/>
      <c r="H6" s="960"/>
      <c r="I6" s="961"/>
    </row>
    <row r="7" spans="1:13" ht="20.25">
      <c r="A7" s="1664" t="s">
        <v>825</v>
      </c>
      <c r="B7" s="1664"/>
      <c r="C7" s="1664"/>
      <c r="D7" s="1664"/>
      <c r="E7" s="1664"/>
      <c r="F7" s="1664"/>
      <c r="G7" s="1664"/>
      <c r="H7" s="1664"/>
      <c r="I7" s="1664"/>
    </row>
    <row r="8" spans="1:13" ht="9" customHeight="1"/>
    <row r="9" spans="1:13" s="958" customFormat="1" ht="36" customHeight="1">
      <c r="A9" s="492" t="s">
        <v>4</v>
      </c>
      <c r="B9" s="492" t="s">
        <v>13</v>
      </c>
      <c r="C9" s="492" t="s">
        <v>6</v>
      </c>
      <c r="D9" s="493" t="s">
        <v>33</v>
      </c>
      <c r="E9" s="493" t="s">
        <v>820</v>
      </c>
      <c r="F9" s="493" t="s">
        <v>772</v>
      </c>
      <c r="G9" s="492" t="s">
        <v>8</v>
      </c>
      <c r="H9" s="1675" t="s">
        <v>62</v>
      </c>
      <c r="I9" s="1676"/>
    </row>
    <row r="10" spans="1:13" s="958" customFormat="1" ht="26.25" customHeight="1">
      <c r="A10" s="492" t="s">
        <v>65</v>
      </c>
      <c r="B10" s="966" t="s">
        <v>773</v>
      </c>
      <c r="C10" s="492"/>
      <c r="D10" s="493"/>
      <c r="E10" s="493"/>
      <c r="F10" s="967">
        <f>SUM(F11:F20)</f>
        <v>5900000</v>
      </c>
      <c r="G10" s="492"/>
      <c r="H10" s="492" t="s">
        <v>821</v>
      </c>
      <c r="I10" s="492" t="s">
        <v>822</v>
      </c>
    </row>
    <row r="11" spans="1:13" s="958" customFormat="1" ht="27" customHeight="1">
      <c r="A11" s="968">
        <v>1</v>
      </c>
      <c r="B11" s="498" t="s">
        <v>112</v>
      </c>
      <c r="C11" s="498" t="s">
        <v>796</v>
      </c>
      <c r="D11" s="970"/>
      <c r="E11" s="971"/>
      <c r="F11" s="993">
        <v>1000000</v>
      </c>
      <c r="G11" s="973"/>
      <c r="H11" s="498" t="s">
        <v>796</v>
      </c>
      <c r="I11" s="974"/>
    </row>
    <row r="12" spans="1:13" s="958" customFormat="1" ht="27" customHeight="1">
      <c r="A12" s="968">
        <v>2</v>
      </c>
      <c r="B12" s="498" t="s">
        <v>84</v>
      </c>
      <c r="C12" s="498" t="s">
        <v>63</v>
      </c>
      <c r="D12" s="970"/>
      <c r="E12" s="971"/>
      <c r="F12" s="993">
        <v>500000</v>
      </c>
      <c r="G12" s="973"/>
      <c r="H12" s="498" t="s">
        <v>63</v>
      </c>
      <c r="I12" s="1076">
        <v>11</v>
      </c>
    </row>
    <row r="13" spans="1:13" s="958" customFormat="1" ht="27" customHeight="1">
      <c r="A13" s="968">
        <v>3</v>
      </c>
      <c r="B13" s="498" t="s">
        <v>83</v>
      </c>
      <c r="C13" s="498" t="s">
        <v>67</v>
      </c>
      <c r="D13" s="970"/>
      <c r="E13" s="971"/>
      <c r="F13" s="993">
        <v>500000</v>
      </c>
      <c r="G13" s="973"/>
      <c r="H13" s="498" t="s">
        <v>67</v>
      </c>
      <c r="I13" s="1076">
        <v>6</v>
      </c>
    </row>
    <row r="14" spans="1:13" s="958" customFormat="1" ht="27" customHeight="1">
      <c r="A14" s="968">
        <v>4</v>
      </c>
      <c r="B14" s="498" t="s">
        <v>85</v>
      </c>
      <c r="C14" s="498" t="s">
        <v>76</v>
      </c>
      <c r="D14" s="970"/>
      <c r="E14" s="971"/>
      <c r="F14" s="993">
        <v>500000</v>
      </c>
      <c r="G14" s="973"/>
      <c r="H14" s="498" t="s">
        <v>76</v>
      </c>
      <c r="I14" s="1076">
        <v>4</v>
      </c>
      <c r="K14" s="975"/>
    </row>
    <row r="15" spans="1:13" s="958" customFormat="1" ht="27" customHeight="1">
      <c r="A15" s="968">
        <v>5</v>
      </c>
      <c r="B15" s="498" t="s">
        <v>82</v>
      </c>
      <c r="C15" s="498" t="s">
        <v>77</v>
      </c>
      <c r="D15" s="970"/>
      <c r="E15" s="971"/>
      <c r="F15" s="993">
        <v>500000</v>
      </c>
      <c r="G15" s="973"/>
      <c r="H15" s="498" t="s">
        <v>77</v>
      </c>
      <c r="I15" s="1076">
        <v>14</v>
      </c>
    </row>
    <row r="16" spans="1:13" s="958" customFormat="1" ht="27" customHeight="1">
      <c r="A16" s="968">
        <v>6</v>
      </c>
      <c r="B16" s="498" t="s">
        <v>78</v>
      </c>
      <c r="C16" s="498" t="s">
        <v>74</v>
      </c>
      <c r="D16" s="970"/>
      <c r="E16" s="971"/>
      <c r="F16" s="993">
        <v>600000</v>
      </c>
      <c r="G16" s="973"/>
      <c r="H16" s="498" t="s">
        <v>74</v>
      </c>
      <c r="I16" s="1076">
        <v>33</v>
      </c>
    </row>
    <row r="17" spans="1:11" s="958" customFormat="1" ht="27" customHeight="1">
      <c r="A17" s="968">
        <v>7</v>
      </c>
      <c r="B17" s="498" t="s">
        <v>86</v>
      </c>
      <c r="C17" s="498" t="s">
        <v>75</v>
      </c>
      <c r="D17" s="970"/>
      <c r="E17" s="971"/>
      <c r="F17" s="993">
        <v>500000</v>
      </c>
      <c r="G17" s="973"/>
      <c r="H17" s="498" t="s">
        <v>75</v>
      </c>
      <c r="I17" s="1076">
        <v>16</v>
      </c>
    </row>
    <row r="18" spans="1:11" s="958" customFormat="1" ht="27" customHeight="1">
      <c r="A18" s="968">
        <v>8</v>
      </c>
      <c r="B18" s="498" t="s">
        <v>92</v>
      </c>
      <c r="C18" s="498" t="s">
        <v>90</v>
      </c>
      <c r="D18" s="970"/>
      <c r="E18" s="971"/>
      <c r="F18" s="993">
        <v>600000</v>
      </c>
      <c r="G18" s="973"/>
      <c r="H18" s="498" t="s">
        <v>90</v>
      </c>
      <c r="I18" s="1076">
        <v>35</v>
      </c>
    </row>
    <row r="19" spans="1:11" s="958" customFormat="1" ht="27" customHeight="1">
      <c r="A19" s="968">
        <v>9</v>
      </c>
      <c r="B19" s="498" t="s">
        <v>127</v>
      </c>
      <c r="C19" s="498" t="s">
        <v>91</v>
      </c>
      <c r="D19" s="970"/>
      <c r="E19" s="971"/>
      <c r="F19" s="993">
        <v>500000</v>
      </c>
      <c r="G19" s="973"/>
      <c r="H19" s="498" t="s">
        <v>91</v>
      </c>
      <c r="I19" s="1076">
        <v>16</v>
      </c>
    </row>
    <row r="20" spans="1:11" s="488" customFormat="1" ht="27" customHeight="1">
      <c r="A20" s="968">
        <v>10</v>
      </c>
      <c r="B20" s="498" t="s">
        <v>312</v>
      </c>
      <c r="C20" s="498" t="s">
        <v>441</v>
      </c>
      <c r="D20" s="970"/>
      <c r="E20" s="971"/>
      <c r="F20" s="993">
        <v>700000</v>
      </c>
      <c r="G20" s="973"/>
      <c r="H20" s="498" t="s">
        <v>441</v>
      </c>
      <c r="I20" s="1076">
        <v>110</v>
      </c>
    </row>
    <row r="21" spans="1:11" s="982" customFormat="1" ht="27" customHeight="1">
      <c r="A21" s="976" t="s">
        <v>59</v>
      </c>
      <c r="B21" s="977" t="s">
        <v>774</v>
      </c>
      <c r="C21" s="977"/>
      <c r="D21" s="979">
        <f>SUM(D22:D23)</f>
        <v>62</v>
      </c>
      <c r="E21" s="980"/>
      <c r="F21" s="979">
        <f>SUM(F22:F23)</f>
        <v>1240000</v>
      </c>
      <c r="G21" s="981"/>
      <c r="H21" s="981"/>
      <c r="I21" s="978"/>
    </row>
    <row r="22" spans="1:11" s="958" customFormat="1" ht="27" customHeight="1">
      <c r="A22" s="968">
        <v>1</v>
      </c>
      <c r="B22" s="969" t="str">
        <f>'PC xăng xe T4'!C13</f>
        <v>Lê Minh Trí</v>
      </c>
      <c r="C22" s="969" t="s">
        <v>775</v>
      </c>
      <c r="D22" s="974">
        <f>'PC xăng xe T4'!AJ13</f>
        <v>31</v>
      </c>
      <c r="E22" s="972">
        <v>20000</v>
      </c>
      <c r="F22" s="972">
        <f t="shared" ref="F22:F23" si="0">+D22*E22</f>
        <v>620000</v>
      </c>
      <c r="G22" s="973"/>
      <c r="H22" s="1677" t="s">
        <v>498</v>
      </c>
      <c r="I22" s="1678"/>
      <c r="J22" s="958" t="s">
        <v>777</v>
      </c>
      <c r="K22" s="994">
        <v>1995000</v>
      </c>
    </row>
    <row r="23" spans="1:11" s="958" customFormat="1" ht="27" customHeight="1">
      <c r="A23" s="968">
        <v>2</v>
      </c>
      <c r="B23" s="969" t="str">
        <f>'PC xăng xe T4'!C14</f>
        <v>Nguyễn Văn Cương</v>
      </c>
      <c r="C23" s="969" t="s">
        <v>775</v>
      </c>
      <c r="D23" s="974">
        <f>'PC xăng xe T4'!AJ14</f>
        <v>31</v>
      </c>
      <c r="E23" s="972">
        <v>20000</v>
      </c>
      <c r="F23" s="972">
        <f t="shared" si="0"/>
        <v>620000</v>
      </c>
      <c r="G23" s="973"/>
      <c r="H23" s="1677" t="s">
        <v>499</v>
      </c>
      <c r="I23" s="1678"/>
      <c r="J23" s="958" t="s">
        <v>778</v>
      </c>
      <c r="K23" s="995">
        <v>5000000</v>
      </c>
    </row>
    <row r="24" spans="1:11" s="982" customFormat="1" ht="27" customHeight="1">
      <c r="A24" s="1672" t="s">
        <v>14</v>
      </c>
      <c r="B24" s="1672"/>
      <c r="C24" s="1672"/>
      <c r="D24" s="978"/>
      <c r="E24" s="978"/>
      <c r="F24" s="983">
        <f>SUM(F10,F21)</f>
        <v>7140000</v>
      </c>
      <c r="G24" s="978"/>
      <c r="H24" s="978"/>
      <c r="I24" s="978"/>
      <c r="K24" s="984">
        <f>F24+K22+K23</f>
        <v>14135000</v>
      </c>
    </row>
    <row r="25" spans="1:11" s="958" customFormat="1" ht="27" customHeight="1">
      <c r="A25" s="1673" t="s">
        <v>823</v>
      </c>
      <c r="B25" s="1673"/>
      <c r="C25" s="1673"/>
      <c r="D25" s="1673"/>
      <c r="E25" s="1673"/>
      <c r="F25" s="1673"/>
      <c r="G25" s="1673"/>
      <c r="H25" s="1673"/>
      <c r="I25" s="1673"/>
    </row>
    <row r="26" spans="1:11" s="986" customFormat="1" ht="16.5">
      <c r="A26" s="985"/>
      <c r="B26" s="985"/>
      <c r="C26" s="985"/>
      <c r="D26" s="985"/>
      <c r="E26" s="985"/>
      <c r="F26" s="985"/>
      <c r="G26" s="1674"/>
      <c r="H26" s="1674"/>
      <c r="I26" s="1674"/>
    </row>
    <row r="27" spans="1:11" s="987" customFormat="1" ht="18" customHeight="1">
      <c r="A27" s="1662" t="s">
        <v>29</v>
      </c>
      <c r="B27" s="1662"/>
      <c r="C27" s="490" t="s">
        <v>776</v>
      </c>
      <c r="D27" s="1662" t="s">
        <v>824</v>
      </c>
      <c r="E27" s="1662"/>
      <c r="F27" s="1662"/>
      <c r="G27" s="1662"/>
      <c r="H27" s="489" t="s">
        <v>686</v>
      </c>
      <c r="I27" s="490" t="s">
        <v>104</v>
      </c>
    </row>
    <row r="28" spans="1:11" s="986" customFormat="1" ht="15.75">
      <c r="A28" s="988"/>
      <c r="B28" s="988"/>
      <c r="C28" s="989"/>
      <c r="D28" s="989"/>
      <c r="E28" s="989"/>
      <c r="F28" s="989"/>
      <c r="G28" s="989"/>
      <c r="H28" s="989"/>
      <c r="I28" s="989"/>
    </row>
    <row r="29" spans="1:11" s="986" customFormat="1" ht="15.75">
      <c r="A29" s="988"/>
      <c r="B29" s="988"/>
      <c r="C29" s="989"/>
      <c r="D29" s="989"/>
      <c r="E29" s="989"/>
      <c r="F29" s="989"/>
      <c r="G29" s="989"/>
      <c r="H29" s="989"/>
      <c r="I29" s="989"/>
    </row>
    <row r="30" spans="1:11" s="986" customFormat="1" ht="37.5" customHeight="1">
      <c r="A30" s="988"/>
      <c r="B30" s="988"/>
      <c r="C30" s="989"/>
      <c r="D30" s="989"/>
      <c r="E30" s="989"/>
      <c r="F30" s="989"/>
      <c r="G30" s="989"/>
      <c r="H30" s="989"/>
      <c r="I30" s="989"/>
    </row>
    <row r="31" spans="1:11" s="986" customFormat="1" ht="15.75">
      <c r="A31" s="988"/>
      <c r="B31" s="988"/>
      <c r="C31" s="989"/>
      <c r="D31" s="989"/>
      <c r="E31" s="989"/>
      <c r="F31" s="989"/>
      <c r="G31" s="989"/>
      <c r="H31" s="989"/>
      <c r="I31" s="989"/>
    </row>
    <row r="32" spans="1:11" s="986" customFormat="1" ht="15.75" hidden="1">
      <c r="A32" s="988"/>
      <c r="B32" s="988"/>
      <c r="C32" s="989"/>
      <c r="D32" s="989"/>
      <c r="E32" s="989"/>
      <c r="F32" s="989"/>
      <c r="G32" s="989"/>
      <c r="H32" s="989"/>
      <c r="I32" s="989"/>
    </row>
    <row r="33" spans="1:9" s="992" customFormat="1" ht="15.75">
      <c r="A33" s="1671"/>
      <c r="B33" s="1671"/>
      <c r="C33" s="1671"/>
      <c r="D33" s="985"/>
      <c r="E33" s="1671"/>
      <c r="F33" s="1671"/>
      <c r="G33" s="990"/>
      <c r="H33" s="990"/>
      <c r="I33" s="991"/>
    </row>
    <row r="34" spans="1:9" s="986" customFormat="1" ht="15.75">
      <c r="A34" s="988"/>
      <c r="B34" s="988"/>
      <c r="C34" s="989"/>
      <c r="D34" s="989"/>
      <c r="E34" s="989"/>
      <c r="F34" s="989"/>
      <c r="G34" s="989"/>
      <c r="H34" s="989"/>
      <c r="I34" s="989"/>
    </row>
  </sheetData>
  <mergeCells count="16">
    <mergeCell ref="H9:I9"/>
    <mergeCell ref="H22:I22"/>
    <mergeCell ref="H23:I23"/>
    <mergeCell ref="A7:I7"/>
    <mergeCell ref="A1:I1"/>
    <mergeCell ref="A2:I2"/>
    <mergeCell ref="A3:I3"/>
    <mergeCell ref="A4:D4"/>
    <mergeCell ref="A5:D5"/>
    <mergeCell ref="A33:C33"/>
    <mergeCell ref="E33:F33"/>
    <mergeCell ref="A24:C24"/>
    <mergeCell ref="A25:I25"/>
    <mergeCell ref="G26:I26"/>
    <mergeCell ref="A27:B27"/>
    <mergeCell ref="D27:G2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Y25"/>
  <sheetViews>
    <sheetView workbookViewId="0">
      <selection activeCell="A23" sqref="A23:AN23"/>
    </sheetView>
  </sheetViews>
  <sheetFormatPr defaultColWidth="9.140625" defaultRowHeight="15"/>
  <cols>
    <col min="1" max="1" width="4.7109375" style="1" customWidth="1"/>
    <col min="2" max="2" width="20.85546875" style="1" customWidth="1"/>
    <col min="3" max="3" width="27" style="1" customWidth="1"/>
    <col min="4" max="4" width="23" style="1" customWidth="1"/>
    <col min="5" max="5" width="19" style="1" customWidth="1"/>
    <col min="6" max="6" width="29.42578125" style="1" customWidth="1"/>
    <col min="7" max="7" width="8.42578125" style="1" customWidth="1"/>
    <col min="8" max="8" width="12.85546875" style="1" customWidth="1"/>
    <col min="9" max="9" width="13.42578125" style="1" customWidth="1"/>
    <col min="10" max="11" width="7.85546875" style="1" customWidth="1"/>
    <col min="12" max="12" width="7.28515625" style="1" customWidth="1"/>
    <col min="13" max="13" width="7.42578125" style="1" customWidth="1"/>
    <col min="14" max="14" width="6.28515625" style="1" customWidth="1"/>
    <col min="15" max="15" width="5.7109375" style="1" customWidth="1"/>
    <col min="16" max="16" width="6" style="1" customWidth="1"/>
    <col min="17" max="17" width="4.85546875" style="1" customWidth="1"/>
    <col min="18" max="18" width="6" style="1" customWidth="1"/>
    <col min="19" max="19" width="6.5703125" style="1" customWidth="1"/>
    <col min="20" max="20" width="8.140625" style="1" customWidth="1"/>
    <col min="21" max="21" width="6" style="1" customWidth="1"/>
    <col min="22" max="22" width="8.140625" style="1" customWidth="1"/>
    <col min="23" max="23" width="15" style="1" bestFit="1" customWidth="1"/>
    <col min="24" max="24" width="17.85546875" style="1" bestFit="1" customWidth="1"/>
    <col min="25" max="25" width="12.85546875" style="1" bestFit="1" customWidth="1"/>
    <col min="26" max="16384" width="9.140625" style="1"/>
  </cols>
  <sheetData>
    <row r="2" spans="1:25" ht="16.5">
      <c r="A2" s="1568" t="s">
        <v>51</v>
      </c>
      <c r="B2" s="1568"/>
      <c r="C2" s="1568"/>
      <c r="D2" s="1568"/>
      <c r="E2" s="1568"/>
      <c r="F2" s="1568"/>
      <c r="G2" s="13"/>
      <c r="H2" s="13"/>
      <c r="I2" s="13"/>
      <c r="J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5" ht="16.5">
      <c r="A3" s="1680" t="s">
        <v>38</v>
      </c>
      <c r="B3" s="1680"/>
      <c r="C3" s="1680"/>
      <c r="D3" s="1680"/>
      <c r="E3" s="1680"/>
      <c r="F3" s="1680"/>
      <c r="G3" s="14"/>
      <c r="H3" s="14"/>
      <c r="I3" s="14"/>
      <c r="J3" s="9"/>
      <c r="K3" s="6"/>
      <c r="M3" s="9"/>
      <c r="N3" s="9"/>
      <c r="O3" s="9"/>
      <c r="P3" s="9"/>
      <c r="Q3" s="9"/>
      <c r="R3" s="9"/>
      <c r="S3" s="9"/>
      <c r="T3" s="9"/>
      <c r="U3" s="9"/>
      <c r="V3" s="7"/>
    </row>
    <row r="4" spans="1:25" ht="16.5">
      <c r="A4" s="1572" t="s">
        <v>254</v>
      </c>
      <c r="B4" s="1568"/>
      <c r="C4" s="1568"/>
      <c r="D4" s="1568"/>
      <c r="E4" s="1568"/>
      <c r="F4" s="1568"/>
      <c r="G4" s="14"/>
      <c r="H4" s="14"/>
      <c r="I4" s="14"/>
      <c r="J4" s="9"/>
      <c r="K4" s="6"/>
      <c r="M4" s="9"/>
      <c r="N4" s="9"/>
      <c r="O4" s="9"/>
      <c r="P4" s="9"/>
      <c r="Q4" s="9"/>
      <c r="R4" s="9"/>
      <c r="S4" s="9"/>
      <c r="T4" s="9"/>
      <c r="U4" s="9"/>
      <c r="V4" s="7"/>
    </row>
    <row r="5" spans="1:25" ht="3.75" customHeight="1">
      <c r="A5" s="475"/>
      <c r="B5" s="475"/>
      <c r="C5" s="475"/>
      <c r="D5" s="475"/>
      <c r="E5" s="475"/>
      <c r="F5" s="475"/>
      <c r="G5" s="14"/>
      <c r="H5" s="14"/>
      <c r="I5" s="14"/>
      <c r="J5" s="9"/>
      <c r="K5" s="6"/>
      <c r="M5" s="9"/>
      <c r="N5" s="9"/>
      <c r="O5" s="9"/>
      <c r="P5" s="9"/>
      <c r="Q5" s="9"/>
      <c r="R5" s="9"/>
      <c r="S5" s="9"/>
      <c r="T5" s="9"/>
      <c r="U5" s="9"/>
      <c r="V5" s="7"/>
    </row>
    <row r="6" spans="1:25" ht="6" customHeight="1">
      <c r="E6" s="69"/>
      <c r="F6" s="69"/>
      <c r="G6" s="15"/>
      <c r="H6" s="15"/>
      <c r="I6" s="15"/>
      <c r="J6" s="263"/>
      <c r="K6" s="16"/>
      <c r="L6" s="17"/>
      <c r="M6" s="8"/>
      <c r="N6" s="8"/>
      <c r="O6" s="8"/>
      <c r="P6" s="8"/>
      <c r="Q6" s="8"/>
      <c r="R6" s="8"/>
      <c r="S6" s="8"/>
      <c r="T6" s="8"/>
      <c r="U6" s="8"/>
      <c r="V6" s="7"/>
      <c r="W6" s="18">
        <f>1372+388</f>
        <v>1760</v>
      </c>
      <c r="X6" s="1">
        <f>W6*30000</f>
        <v>52800000</v>
      </c>
      <c r="Y6" s="1" t="e">
        <f>X6+#REF!+#REF!</f>
        <v>#REF!</v>
      </c>
    </row>
    <row r="7" spans="1:25" ht="15.75">
      <c r="A7" s="3" t="s">
        <v>510</v>
      </c>
      <c r="B7" s="3"/>
      <c r="C7" s="3"/>
      <c r="D7" s="4"/>
      <c r="E7" s="69"/>
      <c r="F7" s="69"/>
      <c r="G7" s="15"/>
      <c r="H7" s="15"/>
      <c r="I7" s="15"/>
      <c r="J7" s="263"/>
      <c r="K7" s="16"/>
      <c r="L7" s="17"/>
      <c r="M7" s="8"/>
      <c r="N7" s="8"/>
      <c r="O7" s="8"/>
      <c r="P7" s="8"/>
      <c r="Q7" s="8"/>
      <c r="R7" s="8"/>
      <c r="S7" s="8"/>
      <c r="T7" s="8"/>
      <c r="U7" s="8"/>
      <c r="V7" s="7"/>
      <c r="W7" s="18"/>
    </row>
    <row r="8" spans="1:25" ht="15.75">
      <c r="A8" s="1457" t="s">
        <v>60</v>
      </c>
      <c r="B8" s="1457"/>
      <c r="C8" s="1457"/>
      <c r="D8" s="69"/>
      <c r="E8" s="69"/>
      <c r="F8" s="69"/>
      <c r="G8" s="15"/>
      <c r="H8" s="15"/>
      <c r="I8" s="15"/>
      <c r="J8" s="263"/>
      <c r="K8" s="16"/>
      <c r="L8" s="17"/>
      <c r="M8" s="8"/>
      <c r="N8" s="8"/>
      <c r="O8" s="8"/>
      <c r="P8" s="8"/>
      <c r="Q8" s="8"/>
      <c r="R8" s="8"/>
      <c r="S8" s="8"/>
      <c r="T8" s="8"/>
      <c r="U8" s="8"/>
      <c r="V8" s="7"/>
      <c r="W8" s="18"/>
    </row>
    <row r="9" spans="1:25" ht="15.75">
      <c r="A9" s="386"/>
      <c r="B9" s="386"/>
      <c r="C9" s="386"/>
      <c r="D9" s="69"/>
      <c r="E9" s="69"/>
      <c r="F9" s="69"/>
      <c r="G9" s="15"/>
      <c r="H9" s="15"/>
      <c r="I9" s="15"/>
      <c r="J9" s="263"/>
      <c r="K9" s="16"/>
      <c r="L9" s="17"/>
      <c r="M9" s="8"/>
      <c r="N9" s="8"/>
      <c r="O9" s="8"/>
      <c r="P9" s="8"/>
      <c r="Q9" s="8"/>
      <c r="R9" s="8"/>
      <c r="S9" s="8"/>
      <c r="T9" s="8"/>
      <c r="U9" s="8"/>
      <c r="V9" s="7"/>
      <c r="W9" s="18"/>
    </row>
    <row r="10" spans="1:25" ht="34.5" customHeight="1">
      <c r="A10" s="1681" t="s">
        <v>696</v>
      </c>
      <c r="B10" s="1437"/>
      <c r="C10" s="1437"/>
      <c r="D10" s="1437"/>
      <c r="E10" s="1437"/>
      <c r="F10" s="1437"/>
      <c r="G10" s="25"/>
      <c r="H10" s="25"/>
      <c r="I10" s="25"/>
      <c r="J10" s="25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 spans="1:25" ht="12" customHeight="1">
      <c r="A11" s="22"/>
      <c r="B11" s="23"/>
      <c r="C11" s="22"/>
      <c r="D11" s="22"/>
      <c r="E11" s="23"/>
      <c r="F11" s="23"/>
      <c r="G11" s="19"/>
      <c r="H11" s="20"/>
      <c r="I11" s="21"/>
    </row>
    <row r="12" spans="1:25" ht="15" customHeight="1">
      <c r="A12" s="1682" t="s">
        <v>4</v>
      </c>
      <c r="B12" s="1682" t="s">
        <v>47</v>
      </c>
      <c r="C12" s="1682" t="s">
        <v>6</v>
      </c>
      <c r="D12" s="1682" t="s">
        <v>16</v>
      </c>
      <c r="E12" s="1682" t="s">
        <v>8</v>
      </c>
      <c r="F12" s="1682" t="s">
        <v>62</v>
      </c>
      <c r="G12" s="266"/>
      <c r="H12" s="96"/>
      <c r="I12" s="97"/>
    </row>
    <row r="13" spans="1:25" ht="23.25" customHeight="1">
      <c r="A13" s="1682"/>
      <c r="B13" s="1682"/>
      <c r="C13" s="1682"/>
      <c r="D13" s="1682"/>
      <c r="E13" s="1682"/>
      <c r="F13" s="1682"/>
      <c r="G13" s="98"/>
      <c r="H13" s="96"/>
      <c r="I13" s="97"/>
    </row>
    <row r="14" spans="1:25" ht="39" customHeight="1">
      <c r="A14" s="94">
        <v>1</v>
      </c>
      <c r="B14" s="228" t="s">
        <v>273</v>
      </c>
      <c r="C14" s="267" t="s">
        <v>317</v>
      </c>
      <c r="D14" s="223">
        <v>500000</v>
      </c>
      <c r="E14" s="94"/>
      <c r="F14" s="94"/>
      <c r="G14" s="98"/>
      <c r="H14" s="215" t="e">
        <f>C14/10</f>
        <v>#VALUE!</v>
      </c>
      <c r="I14" s="100" t="e">
        <f>H14*25000</f>
        <v>#VALUE!</v>
      </c>
    </row>
    <row r="15" spans="1:25" ht="23.25" customHeight="1">
      <c r="A15" s="1682" t="s">
        <v>125</v>
      </c>
      <c r="B15" s="1682"/>
      <c r="C15" s="217"/>
      <c r="D15" s="268">
        <f>SUM(D14:D14)</f>
        <v>500000</v>
      </c>
      <c r="E15" s="473"/>
      <c r="F15" s="94"/>
      <c r="G15" s="98"/>
      <c r="H15" s="99"/>
      <c r="I15" s="100"/>
    </row>
    <row r="16" spans="1:25" ht="20.25" customHeight="1">
      <c r="A16" s="1683" t="s">
        <v>180</v>
      </c>
      <c r="B16" s="1684"/>
      <c r="C16" s="1684"/>
      <c r="D16" s="1684"/>
      <c r="E16" s="1684"/>
      <c r="F16" s="1685"/>
    </row>
    <row r="17" spans="1:6" ht="18" customHeight="1">
      <c r="D17" s="1686" t="s">
        <v>697</v>
      </c>
      <c r="E17" s="1686"/>
      <c r="F17" s="1686"/>
    </row>
    <row r="18" spans="1:6" ht="21" customHeight="1">
      <c r="A18" s="101"/>
      <c r="B18" s="474" t="s">
        <v>128</v>
      </c>
      <c r="C18" s="474" t="s">
        <v>129</v>
      </c>
      <c r="D18" s="1687" t="s">
        <v>367</v>
      </c>
      <c r="E18" s="1687"/>
      <c r="F18" s="474" t="s">
        <v>360</v>
      </c>
    </row>
    <row r="24" spans="1:6">
      <c r="D24" s="1605" t="s">
        <v>201</v>
      </c>
      <c r="E24" s="1605"/>
      <c r="F24" s="466" t="s">
        <v>40</v>
      </c>
    </row>
    <row r="25" spans="1:6">
      <c r="C25" s="1" t="s">
        <v>130</v>
      </c>
    </row>
  </sheetData>
  <mergeCells count="16">
    <mergeCell ref="D24:E24"/>
    <mergeCell ref="A2:F2"/>
    <mergeCell ref="A3:F3"/>
    <mergeCell ref="A4:F4"/>
    <mergeCell ref="A8:C8"/>
    <mergeCell ref="A10:F10"/>
    <mergeCell ref="A12:A13"/>
    <mergeCell ref="B12:B13"/>
    <mergeCell ref="C12:C13"/>
    <mergeCell ref="D12:D13"/>
    <mergeCell ref="E12:E13"/>
    <mergeCell ref="F12:F13"/>
    <mergeCell ref="A15:B15"/>
    <mergeCell ref="A16:F16"/>
    <mergeCell ref="D17:F17"/>
    <mergeCell ref="D18:E18"/>
  </mergeCells>
  <printOptions horizontalCentered="1"/>
  <pageMargins left="0.7" right="0.7" top="0.56000000000000005" bottom="0.75" header="0.3" footer="0.3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B0F0"/>
  </sheetPr>
  <dimension ref="A2:AP36"/>
  <sheetViews>
    <sheetView zoomScale="85" zoomScaleNormal="85" workbookViewId="0">
      <selection activeCell="R14" sqref="R14"/>
    </sheetView>
  </sheetViews>
  <sheetFormatPr defaultColWidth="5.28515625" defaultRowHeight="8.25"/>
  <cols>
    <col min="1" max="1" width="3.5703125" style="665" customWidth="1"/>
    <col min="2" max="2" width="0.140625" style="665" hidden="1" customWidth="1"/>
    <col min="3" max="3" width="21.140625" style="665" customWidth="1"/>
    <col min="4" max="4" width="14.42578125" style="665" customWidth="1"/>
    <col min="5" max="33" width="4.140625" style="665" customWidth="1"/>
    <col min="34" max="34" width="4.42578125" style="665" customWidth="1"/>
    <col min="35" max="35" width="5.140625" style="665" customWidth="1"/>
    <col min="36" max="36" width="8.28515625" style="665" customWidth="1"/>
    <col min="37" max="37" width="5.28515625" style="665" customWidth="1"/>
    <col min="38" max="38" width="7.5703125" style="666" customWidth="1"/>
    <col min="39" max="16384" width="5.28515625" style="665"/>
  </cols>
  <sheetData>
    <row r="2" spans="1:42" ht="20.25" customHeight="1">
      <c r="A2" s="1440" t="s">
        <v>51</v>
      </c>
      <c r="B2" s="1440"/>
      <c r="C2" s="1440"/>
      <c r="D2" s="1440"/>
      <c r="E2" s="1440"/>
      <c r="F2" s="1440"/>
      <c r="G2" s="1440"/>
      <c r="H2" s="1440"/>
      <c r="I2" s="1440"/>
      <c r="J2" s="1440"/>
      <c r="K2" s="1440"/>
      <c r="L2" s="1440"/>
      <c r="M2" s="1440"/>
      <c r="N2" s="1440"/>
      <c r="O2" s="1440"/>
      <c r="P2" s="1440"/>
      <c r="Q2" s="1440"/>
      <c r="R2" s="1440"/>
      <c r="S2" s="1440"/>
      <c r="T2" s="1440"/>
      <c r="U2" s="1440"/>
      <c r="V2" s="1440"/>
      <c r="W2" s="1440"/>
      <c r="X2" s="1440"/>
      <c r="Y2" s="1440"/>
      <c r="Z2" s="1440"/>
      <c r="AA2" s="1440"/>
      <c r="AB2" s="1440"/>
      <c r="AC2" s="1440"/>
      <c r="AD2" s="1440"/>
      <c r="AE2" s="1440"/>
      <c r="AF2" s="1440"/>
      <c r="AG2" s="1440"/>
      <c r="AH2" s="1440"/>
      <c r="AI2" s="1440"/>
      <c r="AJ2" s="1440"/>
    </row>
    <row r="3" spans="1:42" ht="20.25" customHeight="1">
      <c r="A3" s="1440" t="s">
        <v>52</v>
      </c>
      <c r="B3" s="1440"/>
      <c r="C3" s="1440"/>
      <c r="D3" s="1440"/>
      <c r="E3" s="1440"/>
      <c r="F3" s="1440"/>
      <c r="G3" s="1440"/>
      <c r="H3" s="1440"/>
      <c r="I3" s="1440"/>
      <c r="J3" s="1440"/>
      <c r="K3" s="1440"/>
      <c r="L3" s="1440"/>
      <c r="M3" s="1440"/>
      <c r="N3" s="1440"/>
      <c r="O3" s="1440"/>
      <c r="P3" s="1440"/>
      <c r="Q3" s="1440"/>
      <c r="R3" s="1440"/>
      <c r="S3" s="1440"/>
      <c r="T3" s="1440"/>
      <c r="U3" s="1440"/>
      <c r="V3" s="1440"/>
      <c r="W3" s="1440"/>
      <c r="X3" s="1440"/>
      <c r="Y3" s="1440"/>
      <c r="Z3" s="1440"/>
      <c r="AA3" s="1440"/>
      <c r="AB3" s="1440"/>
      <c r="AC3" s="1440"/>
      <c r="AD3" s="1440"/>
      <c r="AE3" s="1440"/>
      <c r="AF3" s="1440"/>
      <c r="AG3" s="1440"/>
      <c r="AH3" s="1440"/>
      <c r="AI3" s="1440"/>
      <c r="AJ3" s="1440"/>
    </row>
    <row r="4" spans="1:42" ht="20.25" customHeight="1">
      <c r="A4" s="1441" t="s">
        <v>254</v>
      </c>
      <c r="B4" s="1440"/>
      <c r="C4" s="1440"/>
      <c r="D4" s="1440"/>
      <c r="E4" s="1440"/>
      <c r="F4" s="1440"/>
      <c r="G4" s="1440"/>
      <c r="H4" s="1440"/>
      <c r="I4" s="1440"/>
      <c r="J4" s="1440"/>
      <c r="K4" s="1440"/>
      <c r="L4" s="1440"/>
      <c r="M4" s="1440"/>
      <c r="N4" s="1440"/>
      <c r="O4" s="1440"/>
      <c r="P4" s="1440"/>
      <c r="Q4" s="1440"/>
      <c r="R4" s="1440"/>
      <c r="S4" s="1440"/>
      <c r="T4" s="1440"/>
      <c r="U4" s="1440"/>
      <c r="V4" s="1440"/>
      <c r="W4" s="1440"/>
      <c r="X4" s="1440"/>
      <c r="Y4" s="1440"/>
      <c r="Z4" s="1440"/>
      <c r="AA4" s="1440"/>
      <c r="AB4" s="1440"/>
      <c r="AC4" s="1440"/>
      <c r="AD4" s="1440"/>
      <c r="AE4" s="1440"/>
      <c r="AF4" s="1440"/>
      <c r="AG4" s="1440"/>
      <c r="AH4" s="1440"/>
      <c r="AI4" s="1440"/>
      <c r="AJ4" s="1440"/>
    </row>
    <row r="5" spans="1:42" ht="20.25" customHeight="1">
      <c r="A5" s="713"/>
      <c r="B5" s="713"/>
      <c r="C5" s="713"/>
      <c r="D5" s="713"/>
      <c r="E5" s="713"/>
      <c r="F5" s="713"/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713"/>
      <c r="R5" s="713"/>
      <c r="S5" s="713"/>
      <c r="T5" s="713"/>
      <c r="U5" s="713"/>
      <c r="V5" s="713"/>
      <c r="W5" s="713"/>
      <c r="X5" s="713"/>
      <c r="Y5" s="713"/>
      <c r="Z5" s="713"/>
      <c r="AA5" s="713"/>
      <c r="AB5" s="713"/>
      <c r="AC5" s="713"/>
      <c r="AD5" s="713"/>
      <c r="AE5" s="713"/>
      <c r="AF5" s="713"/>
      <c r="AG5" s="713"/>
      <c r="AH5" s="713"/>
      <c r="AI5" s="713"/>
      <c r="AJ5" s="713"/>
    </row>
    <row r="6" spans="1:42" ht="20.25" customHeight="1">
      <c r="A6" s="1695" t="s">
        <v>510</v>
      </c>
      <c r="B6" s="1695"/>
      <c r="C6" s="1695"/>
      <c r="D6" s="1695"/>
      <c r="E6" s="1695"/>
      <c r="F6" s="1695"/>
      <c r="G6" s="1695"/>
      <c r="H6" s="1695"/>
      <c r="I6" s="1695"/>
      <c r="J6" s="1695"/>
      <c r="K6" s="1695"/>
      <c r="L6" s="1695"/>
      <c r="M6" s="265"/>
      <c r="N6" s="265"/>
      <c r="O6" s="265"/>
      <c r="P6" s="713"/>
      <c r="Q6" s="713"/>
      <c r="R6" s="713"/>
      <c r="S6" s="713"/>
      <c r="T6" s="713"/>
      <c r="U6" s="713"/>
      <c r="V6" s="713"/>
      <c r="W6" s="713"/>
      <c r="X6" s="713"/>
      <c r="Y6" s="713"/>
      <c r="Z6" s="713"/>
      <c r="AA6" s="713"/>
      <c r="AB6" s="713"/>
      <c r="AC6" s="713"/>
      <c r="AD6" s="713"/>
      <c r="AE6" s="713"/>
      <c r="AF6" s="713"/>
      <c r="AG6" s="713"/>
      <c r="AH6" s="713"/>
      <c r="AI6" s="713"/>
      <c r="AJ6" s="713"/>
    </row>
    <row r="7" spans="1:42" ht="20.25" customHeight="1">
      <c r="A7" s="1625" t="s">
        <v>497</v>
      </c>
      <c r="B7" s="1625"/>
      <c r="C7" s="1625"/>
      <c r="D7" s="1625"/>
      <c r="E7" s="1625"/>
      <c r="F7" s="1625"/>
      <c r="G7" s="1625"/>
      <c r="H7" s="1625"/>
      <c r="I7" s="1625"/>
      <c r="J7" s="1625"/>
      <c r="K7" s="1625"/>
      <c r="L7" s="1625"/>
      <c r="M7" s="265"/>
      <c r="N7" s="265"/>
      <c r="O7" s="265"/>
      <c r="P7" s="713"/>
      <c r="Q7" s="713"/>
      <c r="R7" s="713"/>
      <c r="S7" s="713"/>
      <c r="T7" s="713"/>
      <c r="U7" s="713"/>
      <c r="V7" s="713"/>
      <c r="W7" s="713"/>
      <c r="X7" s="713"/>
      <c r="Y7" s="713"/>
      <c r="Z7" s="713"/>
      <c r="AA7" s="713"/>
      <c r="AB7" s="713"/>
      <c r="AC7" s="713"/>
      <c r="AD7" s="713"/>
      <c r="AE7" s="713"/>
      <c r="AF7" s="713"/>
      <c r="AG7" s="713"/>
      <c r="AH7" s="713"/>
      <c r="AI7" s="713"/>
      <c r="AJ7" s="713"/>
    </row>
    <row r="8" spans="1:42" ht="20.25" customHeight="1">
      <c r="A8" s="669"/>
      <c r="B8" s="669"/>
      <c r="C8" s="669"/>
      <c r="D8" s="669"/>
      <c r="E8" s="669"/>
      <c r="F8" s="669"/>
      <c r="G8" s="669"/>
      <c r="H8" s="669"/>
      <c r="I8" s="669"/>
      <c r="J8" s="669"/>
      <c r="K8" s="669"/>
      <c r="L8" s="669"/>
      <c r="M8" s="668"/>
      <c r="N8" s="668"/>
      <c r="O8" s="668"/>
      <c r="P8" s="667"/>
      <c r="Q8" s="667"/>
      <c r="R8" s="667"/>
      <c r="S8" s="667"/>
      <c r="T8" s="667"/>
      <c r="U8" s="667"/>
      <c r="V8" s="667"/>
      <c r="W8" s="667"/>
      <c r="X8" s="667"/>
      <c r="Y8" s="667"/>
      <c r="Z8" s="667"/>
      <c r="AA8" s="667"/>
      <c r="AB8" s="667"/>
      <c r="AC8" s="667"/>
      <c r="AD8" s="667"/>
      <c r="AE8" s="667"/>
      <c r="AF8" s="667"/>
      <c r="AG8" s="667"/>
      <c r="AH8" s="667"/>
      <c r="AI8" s="667"/>
      <c r="AJ8" s="667"/>
    </row>
    <row r="9" spans="1:42" ht="21.75">
      <c r="A9" s="1688" t="s">
        <v>826</v>
      </c>
      <c r="B9" s="1688"/>
      <c r="C9" s="1688"/>
      <c r="D9" s="1688"/>
      <c r="E9" s="1688"/>
      <c r="F9" s="1688"/>
      <c r="G9" s="1688"/>
      <c r="H9" s="1688"/>
      <c r="I9" s="1688"/>
      <c r="J9" s="1688"/>
      <c r="K9" s="1688"/>
      <c r="L9" s="1688"/>
      <c r="M9" s="1688"/>
      <c r="N9" s="1688"/>
      <c r="O9" s="1688"/>
      <c r="P9" s="1688"/>
      <c r="Q9" s="1688"/>
      <c r="R9" s="1688"/>
      <c r="S9" s="1688"/>
      <c r="T9" s="1688"/>
      <c r="U9" s="1688"/>
      <c r="V9" s="1688"/>
      <c r="W9" s="1688"/>
      <c r="X9" s="1688"/>
      <c r="Y9" s="1688"/>
      <c r="Z9" s="1688"/>
      <c r="AA9" s="1688"/>
      <c r="AB9" s="1688"/>
      <c r="AC9" s="1688"/>
      <c r="AD9" s="1688"/>
      <c r="AE9" s="1688"/>
      <c r="AF9" s="1688"/>
      <c r="AG9" s="1688"/>
      <c r="AH9" s="1688"/>
      <c r="AI9" s="1688"/>
      <c r="AJ9" s="1688"/>
    </row>
    <row r="10" spans="1:42" ht="16.5">
      <c r="A10" s="670"/>
      <c r="B10" s="670"/>
      <c r="C10" s="670"/>
      <c r="D10" s="670"/>
      <c r="E10" s="670"/>
      <c r="F10" s="670"/>
      <c r="G10" s="670"/>
      <c r="H10" s="670"/>
      <c r="I10" s="670"/>
      <c r="J10" s="670"/>
      <c r="K10" s="670"/>
      <c r="L10" s="670"/>
      <c r="M10" s="670"/>
      <c r="N10" s="670"/>
      <c r="O10" s="670"/>
      <c r="P10" s="670"/>
      <c r="Q10" s="670"/>
      <c r="R10" s="670"/>
      <c r="S10" s="670"/>
      <c r="T10" s="670"/>
      <c r="U10" s="670"/>
      <c r="V10" s="670"/>
      <c r="W10" s="670"/>
      <c r="X10" s="670"/>
      <c r="Y10" s="670"/>
      <c r="Z10" s="670"/>
      <c r="AA10" s="670"/>
      <c r="AB10" s="670"/>
      <c r="AC10" s="670"/>
      <c r="AD10" s="670"/>
      <c r="AE10" s="670"/>
      <c r="AF10" s="670"/>
      <c r="AG10" s="670"/>
      <c r="AH10" s="670"/>
      <c r="AI10" s="670"/>
      <c r="AJ10" s="670"/>
    </row>
    <row r="11" spans="1:42" ht="15" customHeight="1">
      <c r="A11" s="1689" t="s">
        <v>53</v>
      </c>
      <c r="B11" s="1689" t="s">
        <v>357</v>
      </c>
      <c r="C11" s="1689" t="s">
        <v>54</v>
      </c>
      <c r="D11" s="1690" t="s">
        <v>6</v>
      </c>
      <c r="E11" s="1690">
        <v>1</v>
      </c>
      <c r="F11" s="1694">
        <v>2</v>
      </c>
      <c r="G11" s="1690">
        <v>3</v>
      </c>
      <c r="H11" s="1694">
        <v>4</v>
      </c>
      <c r="I11" s="1690">
        <v>5</v>
      </c>
      <c r="J11" s="1694">
        <v>6</v>
      </c>
      <c r="K11" s="1690">
        <v>7</v>
      </c>
      <c r="L11" s="1694">
        <v>8</v>
      </c>
      <c r="M11" s="1690">
        <v>9</v>
      </c>
      <c r="N11" s="1694">
        <v>10</v>
      </c>
      <c r="O11" s="1690">
        <v>11</v>
      </c>
      <c r="P11" s="1694">
        <v>12</v>
      </c>
      <c r="Q11" s="1690">
        <v>13</v>
      </c>
      <c r="R11" s="1694">
        <v>14</v>
      </c>
      <c r="S11" s="1690">
        <v>15</v>
      </c>
      <c r="T11" s="1694">
        <v>16</v>
      </c>
      <c r="U11" s="1690">
        <v>17</v>
      </c>
      <c r="V11" s="1694">
        <v>18</v>
      </c>
      <c r="W11" s="1690">
        <v>19</v>
      </c>
      <c r="X11" s="1694">
        <v>20</v>
      </c>
      <c r="Y11" s="1690">
        <v>21</v>
      </c>
      <c r="Z11" s="1694">
        <v>22</v>
      </c>
      <c r="AA11" s="1690">
        <v>23</v>
      </c>
      <c r="AB11" s="1694">
        <v>24</v>
      </c>
      <c r="AC11" s="1690">
        <v>25</v>
      </c>
      <c r="AD11" s="1694">
        <v>26</v>
      </c>
      <c r="AE11" s="1690">
        <v>27</v>
      </c>
      <c r="AF11" s="1694">
        <v>28</v>
      </c>
      <c r="AG11" s="1690">
        <v>29</v>
      </c>
      <c r="AH11" s="1694">
        <v>30</v>
      </c>
      <c r="AI11" s="1690">
        <v>31</v>
      </c>
      <c r="AJ11" s="1692" t="s">
        <v>31</v>
      </c>
    </row>
    <row r="12" spans="1:42" ht="23.25" customHeight="1">
      <c r="A12" s="1689"/>
      <c r="B12" s="1689"/>
      <c r="C12" s="1689"/>
      <c r="D12" s="1691"/>
      <c r="E12" s="1693"/>
      <c r="F12" s="1693"/>
      <c r="G12" s="1693"/>
      <c r="H12" s="1693"/>
      <c r="I12" s="1693"/>
      <c r="J12" s="1693"/>
      <c r="K12" s="1693"/>
      <c r="L12" s="1693"/>
      <c r="M12" s="1693"/>
      <c r="N12" s="1693"/>
      <c r="O12" s="1693"/>
      <c r="P12" s="1693"/>
      <c r="Q12" s="1693"/>
      <c r="R12" s="1693"/>
      <c r="S12" s="1693"/>
      <c r="T12" s="1693"/>
      <c r="U12" s="1693"/>
      <c r="V12" s="1693"/>
      <c r="W12" s="1693"/>
      <c r="X12" s="1693"/>
      <c r="Y12" s="1693"/>
      <c r="Z12" s="1693"/>
      <c r="AA12" s="1693"/>
      <c r="AB12" s="1693"/>
      <c r="AC12" s="1693"/>
      <c r="AD12" s="1693"/>
      <c r="AE12" s="1693"/>
      <c r="AF12" s="1693"/>
      <c r="AG12" s="1693"/>
      <c r="AH12" s="1693"/>
      <c r="AI12" s="1691"/>
      <c r="AJ12" s="1692"/>
    </row>
    <row r="13" spans="1:42" ht="40.15" customHeight="1">
      <c r="A13" s="844">
        <v>1</v>
      </c>
      <c r="B13" s="843"/>
      <c r="C13" s="845" t="s">
        <v>282</v>
      </c>
      <c r="D13" s="846" t="s">
        <v>519</v>
      </c>
      <c r="E13" s="847" t="s">
        <v>50</v>
      </c>
      <c r="F13" s="847" t="s">
        <v>50</v>
      </c>
      <c r="G13" s="847" t="s">
        <v>50</v>
      </c>
      <c r="H13" s="847" t="s">
        <v>50</v>
      </c>
      <c r="I13" s="847" t="s">
        <v>50</v>
      </c>
      <c r="J13" s="847" t="s">
        <v>50</v>
      </c>
      <c r="K13" s="847" t="s">
        <v>50</v>
      </c>
      <c r="L13" s="847" t="s">
        <v>50</v>
      </c>
      <c r="M13" s="847" t="s">
        <v>50</v>
      </c>
      <c r="N13" s="847" t="s">
        <v>50</v>
      </c>
      <c r="O13" s="847" t="s">
        <v>50</v>
      </c>
      <c r="P13" s="847" t="s">
        <v>50</v>
      </c>
      <c r="Q13" s="847" t="s">
        <v>50</v>
      </c>
      <c r="R13" s="847" t="s">
        <v>50</v>
      </c>
      <c r="S13" s="847" t="s">
        <v>50</v>
      </c>
      <c r="T13" s="847" t="s">
        <v>50</v>
      </c>
      <c r="U13" s="847" t="s">
        <v>50</v>
      </c>
      <c r="V13" s="847" t="s">
        <v>50</v>
      </c>
      <c r="W13" s="847" t="s">
        <v>50</v>
      </c>
      <c r="X13" s="847" t="s">
        <v>50</v>
      </c>
      <c r="Y13" s="847" t="s">
        <v>50</v>
      </c>
      <c r="Z13" s="847" t="s">
        <v>50</v>
      </c>
      <c r="AA13" s="847" t="s">
        <v>50</v>
      </c>
      <c r="AB13" s="847" t="s">
        <v>50</v>
      </c>
      <c r="AC13" s="847" t="s">
        <v>50</v>
      </c>
      <c r="AD13" s="847" t="s">
        <v>50</v>
      </c>
      <c r="AE13" s="847" t="s">
        <v>50</v>
      </c>
      <c r="AF13" s="847" t="s">
        <v>50</v>
      </c>
      <c r="AG13" s="847" t="s">
        <v>50</v>
      </c>
      <c r="AH13" s="847" t="s">
        <v>50</v>
      </c>
      <c r="AI13" s="847" t="s">
        <v>50</v>
      </c>
      <c r="AJ13" s="848">
        <f t="shared" ref="AJ13:AJ14" si="0">COUNTIF(E13:AI13,"x")+ COUNTIF(E13:AI13,"p")+COUNTIF(E13:AI13,"pt")+COUNTIF(E13:AI13,"T")+COUNTIF(E13:AI13,"VN")</f>
        <v>31</v>
      </c>
    </row>
    <row r="14" spans="1:42" ht="37.15" customHeight="1">
      <c r="A14" s="844">
        <v>2</v>
      </c>
      <c r="B14" s="843"/>
      <c r="C14" s="845" t="s">
        <v>281</v>
      </c>
      <c r="D14" s="846" t="s">
        <v>735</v>
      </c>
      <c r="E14" s="847" t="s">
        <v>50</v>
      </c>
      <c r="F14" s="847" t="s">
        <v>50</v>
      </c>
      <c r="G14" s="847" t="s">
        <v>50</v>
      </c>
      <c r="H14" s="847" t="s">
        <v>50</v>
      </c>
      <c r="I14" s="847" t="s">
        <v>50</v>
      </c>
      <c r="J14" s="847" t="s">
        <v>50</v>
      </c>
      <c r="K14" s="847" t="s">
        <v>50</v>
      </c>
      <c r="L14" s="847" t="s">
        <v>50</v>
      </c>
      <c r="M14" s="847" t="s">
        <v>50</v>
      </c>
      <c r="N14" s="847" t="s">
        <v>50</v>
      </c>
      <c r="O14" s="847" t="s">
        <v>50</v>
      </c>
      <c r="P14" s="847" t="s">
        <v>50</v>
      </c>
      <c r="Q14" s="847" t="s">
        <v>50</v>
      </c>
      <c r="R14" s="847" t="s">
        <v>50</v>
      </c>
      <c r="S14" s="847" t="s">
        <v>50</v>
      </c>
      <c r="T14" s="847" t="s">
        <v>50</v>
      </c>
      <c r="U14" s="847" t="s">
        <v>50</v>
      </c>
      <c r="V14" s="847" t="s">
        <v>50</v>
      </c>
      <c r="W14" s="847" t="s">
        <v>50</v>
      </c>
      <c r="X14" s="847" t="s">
        <v>50</v>
      </c>
      <c r="Y14" s="847" t="s">
        <v>50</v>
      </c>
      <c r="Z14" s="847" t="s">
        <v>50</v>
      </c>
      <c r="AA14" s="847" t="s">
        <v>50</v>
      </c>
      <c r="AB14" s="847" t="s">
        <v>50</v>
      </c>
      <c r="AC14" s="847" t="s">
        <v>50</v>
      </c>
      <c r="AD14" s="847" t="s">
        <v>50</v>
      </c>
      <c r="AE14" s="847" t="s">
        <v>50</v>
      </c>
      <c r="AF14" s="847" t="s">
        <v>50</v>
      </c>
      <c r="AG14" s="847" t="s">
        <v>50</v>
      </c>
      <c r="AH14" s="847" t="s">
        <v>50</v>
      </c>
      <c r="AI14" s="847" t="s">
        <v>50</v>
      </c>
      <c r="AJ14" s="848">
        <f t="shared" si="0"/>
        <v>31</v>
      </c>
    </row>
    <row r="15" spans="1:42" ht="30.75" customHeight="1">
      <c r="A15" s="1696" t="s">
        <v>55</v>
      </c>
      <c r="B15" s="1697"/>
      <c r="C15" s="1697"/>
      <c r="D15" s="1698"/>
      <c r="E15" s="849">
        <f t="shared" ref="E15:AI15" si="1">SUM(COUNTIF(E13:E14,"x"))</f>
        <v>2</v>
      </c>
      <c r="F15" s="849">
        <f t="shared" si="1"/>
        <v>2</v>
      </c>
      <c r="G15" s="849">
        <f t="shared" si="1"/>
        <v>2</v>
      </c>
      <c r="H15" s="849">
        <f t="shared" si="1"/>
        <v>2</v>
      </c>
      <c r="I15" s="849">
        <f t="shared" si="1"/>
        <v>2</v>
      </c>
      <c r="J15" s="849">
        <f t="shared" si="1"/>
        <v>2</v>
      </c>
      <c r="K15" s="849">
        <f t="shared" si="1"/>
        <v>2</v>
      </c>
      <c r="L15" s="849">
        <f t="shared" si="1"/>
        <v>2</v>
      </c>
      <c r="M15" s="849">
        <f t="shared" si="1"/>
        <v>2</v>
      </c>
      <c r="N15" s="849">
        <f t="shared" si="1"/>
        <v>2</v>
      </c>
      <c r="O15" s="849">
        <f t="shared" si="1"/>
        <v>2</v>
      </c>
      <c r="P15" s="849">
        <f t="shared" si="1"/>
        <v>2</v>
      </c>
      <c r="Q15" s="849">
        <f t="shared" si="1"/>
        <v>2</v>
      </c>
      <c r="R15" s="849">
        <f t="shared" si="1"/>
        <v>2</v>
      </c>
      <c r="S15" s="849">
        <f t="shared" si="1"/>
        <v>2</v>
      </c>
      <c r="T15" s="849">
        <f t="shared" si="1"/>
        <v>2</v>
      </c>
      <c r="U15" s="849">
        <f t="shared" si="1"/>
        <v>2</v>
      </c>
      <c r="V15" s="849">
        <f t="shared" si="1"/>
        <v>2</v>
      </c>
      <c r="W15" s="849">
        <f t="shared" si="1"/>
        <v>2</v>
      </c>
      <c r="X15" s="849">
        <f t="shared" si="1"/>
        <v>2</v>
      </c>
      <c r="Y15" s="849">
        <f t="shared" si="1"/>
        <v>2</v>
      </c>
      <c r="Z15" s="849">
        <f t="shared" si="1"/>
        <v>2</v>
      </c>
      <c r="AA15" s="849">
        <f t="shared" si="1"/>
        <v>2</v>
      </c>
      <c r="AB15" s="849">
        <f t="shared" si="1"/>
        <v>2</v>
      </c>
      <c r="AC15" s="849">
        <f t="shared" si="1"/>
        <v>2</v>
      </c>
      <c r="AD15" s="849">
        <f t="shared" si="1"/>
        <v>2</v>
      </c>
      <c r="AE15" s="849">
        <f t="shared" si="1"/>
        <v>2</v>
      </c>
      <c r="AF15" s="849">
        <f t="shared" si="1"/>
        <v>2</v>
      </c>
      <c r="AG15" s="849">
        <f t="shared" si="1"/>
        <v>2</v>
      </c>
      <c r="AH15" s="849">
        <f t="shared" si="1"/>
        <v>2</v>
      </c>
      <c r="AI15" s="849">
        <f t="shared" si="1"/>
        <v>2</v>
      </c>
      <c r="AJ15" s="850">
        <f>SUM(AJ13:AJ14)</f>
        <v>62</v>
      </c>
      <c r="AK15" s="1699">
        <f>AJ15*20000</f>
        <v>1240000</v>
      </c>
      <c r="AL15" s="1699"/>
      <c r="AN15" s="665">
        <v>1658</v>
      </c>
      <c r="AO15" s="665">
        <v>320</v>
      </c>
      <c r="AP15" s="665">
        <v>1978</v>
      </c>
    </row>
    <row r="16" spans="1:42" ht="10.15" customHeight="1">
      <c r="A16" s="851"/>
      <c r="B16" s="851"/>
      <c r="C16" s="851"/>
      <c r="D16" s="851"/>
      <c r="E16" s="852"/>
      <c r="F16" s="852"/>
      <c r="G16" s="852"/>
      <c r="H16" s="852"/>
      <c r="I16" s="852"/>
      <c r="J16" s="852"/>
      <c r="K16" s="852"/>
      <c r="L16" s="852"/>
      <c r="M16" s="852"/>
      <c r="N16" s="852"/>
      <c r="O16" s="852"/>
      <c r="P16" s="852"/>
      <c r="Q16" s="852"/>
      <c r="R16" s="852"/>
      <c r="S16" s="852"/>
      <c r="T16" s="852"/>
      <c r="U16" s="852"/>
      <c r="V16" s="852"/>
      <c r="W16" s="852"/>
      <c r="X16" s="853"/>
      <c r="Y16" s="853"/>
      <c r="Z16" s="853"/>
      <c r="AA16" s="853"/>
      <c r="AB16" s="853"/>
      <c r="AC16" s="853"/>
      <c r="AD16" s="853"/>
      <c r="AE16" s="853"/>
      <c r="AF16" s="853"/>
      <c r="AG16" s="853"/>
      <c r="AH16" s="853"/>
      <c r="AI16" s="853"/>
      <c r="AJ16" s="854"/>
      <c r="AK16" s="835"/>
      <c r="AL16" s="835"/>
    </row>
    <row r="17" spans="1:42" ht="23.45" customHeight="1">
      <c r="A17" s="135"/>
      <c r="B17" s="655"/>
      <c r="C17" s="655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450" t="s">
        <v>800</v>
      </c>
      <c r="Y17" s="1450"/>
      <c r="Z17" s="1450"/>
      <c r="AA17" s="1450"/>
      <c r="AB17" s="1450"/>
      <c r="AC17" s="1450"/>
      <c r="AD17" s="1450"/>
      <c r="AE17" s="1450"/>
      <c r="AF17" s="1450"/>
      <c r="AG17" s="1450"/>
      <c r="AH17" s="1450"/>
      <c r="AI17" s="1450"/>
      <c r="AJ17" s="1450"/>
      <c r="AL17" s="666" t="e">
        <f>#REF!+#REF!</f>
        <v>#REF!</v>
      </c>
      <c r="AN17" s="665">
        <v>1565</v>
      </c>
      <c r="AO17" s="665">
        <v>302</v>
      </c>
      <c r="AP17" s="665">
        <v>1867</v>
      </c>
    </row>
    <row r="18" spans="1:42" ht="26.45" customHeight="1">
      <c r="A18" s="1559" t="s">
        <v>771</v>
      </c>
      <c r="B18" s="1559"/>
      <c r="C18" s="1559"/>
      <c r="D18" s="1559"/>
      <c r="E18" s="1559"/>
      <c r="F18" s="1559"/>
      <c r="G18" s="1559"/>
      <c r="H18" s="1559"/>
      <c r="I18" s="1559"/>
      <c r="J18" s="1559"/>
      <c r="K18" s="1559"/>
      <c r="L18" s="1559"/>
      <c r="M18" s="1559"/>
      <c r="N18" s="1559"/>
      <c r="O18" s="1559"/>
      <c r="P18" s="1559"/>
      <c r="Q18" s="1559"/>
      <c r="R18" s="1559"/>
      <c r="S18" s="1559"/>
      <c r="T18" s="1559"/>
      <c r="U18" s="1559"/>
      <c r="V18" s="1559"/>
      <c r="W18" s="1559"/>
      <c r="X18" s="1559"/>
      <c r="Y18" s="1559"/>
      <c r="Z18" s="1559"/>
      <c r="AA18" s="1559"/>
      <c r="AB18" s="1559"/>
      <c r="AC18" s="1559"/>
      <c r="AD18" s="1559"/>
      <c r="AE18" s="1559"/>
      <c r="AF18" s="1559"/>
      <c r="AG18" s="1559"/>
      <c r="AH18" s="1559"/>
      <c r="AI18" s="1559"/>
      <c r="AJ18" s="1559"/>
      <c r="AN18" s="665">
        <v>1153</v>
      </c>
      <c r="AO18" s="665">
        <v>223</v>
      </c>
      <c r="AP18" s="665">
        <v>1376</v>
      </c>
    </row>
    <row r="19" spans="1:42" ht="16.5">
      <c r="A19" s="135"/>
      <c r="B19" s="655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N19" s="665">
        <v>1096</v>
      </c>
      <c r="AO19" s="665">
        <v>210</v>
      </c>
      <c r="AP19" s="665">
        <v>1306</v>
      </c>
    </row>
    <row r="20" spans="1:42" ht="16.5">
      <c r="B20" s="488"/>
      <c r="D20" s="488"/>
      <c r="E20" s="488"/>
      <c r="F20" s="488"/>
      <c r="G20" s="488"/>
      <c r="H20" s="488"/>
      <c r="I20" s="671"/>
      <c r="J20" s="671"/>
      <c r="K20" s="671"/>
      <c r="L20" s="488"/>
      <c r="M20" s="671"/>
      <c r="N20" s="671"/>
      <c r="O20" s="671"/>
      <c r="P20" s="488"/>
      <c r="Q20" s="671"/>
      <c r="R20" s="488"/>
      <c r="S20" s="488"/>
      <c r="T20" s="672"/>
      <c r="U20" s="488"/>
      <c r="V20" s="488"/>
      <c r="W20" s="488"/>
      <c r="X20" s="488"/>
      <c r="Y20" s="488"/>
      <c r="Z20" s="488"/>
      <c r="AA20" s="488"/>
      <c r="AB20" s="488"/>
      <c r="AC20" s="488"/>
      <c r="AD20" s="488"/>
      <c r="AE20" s="488"/>
      <c r="AF20" s="488"/>
      <c r="AG20" s="488"/>
      <c r="AH20" s="488"/>
      <c r="AI20" s="488"/>
      <c r="AJ20" s="672"/>
      <c r="AN20" s="665">
        <f>SUM(AN15:AN19)</f>
        <v>5472</v>
      </c>
      <c r="AO20" s="665">
        <f>SUM(AO15:AO19)</f>
        <v>1055</v>
      </c>
      <c r="AP20" s="665">
        <f>SUM(AP15:AP19)</f>
        <v>6527</v>
      </c>
    </row>
    <row r="21" spans="1:42" ht="15.75" customHeight="1">
      <c r="B21" s="488"/>
      <c r="C21" s="488"/>
      <c r="D21" s="488"/>
      <c r="E21" s="488"/>
      <c r="F21" s="488"/>
      <c r="G21" s="488"/>
      <c r="H21" s="488"/>
      <c r="I21" s="671"/>
      <c r="J21" s="671"/>
      <c r="K21" s="488"/>
      <c r="L21" s="488"/>
      <c r="M21" s="671"/>
      <c r="N21" s="671"/>
      <c r="O21" s="488"/>
      <c r="P21" s="488"/>
      <c r="Q21" s="671"/>
      <c r="R21" s="488"/>
      <c r="S21" s="488"/>
      <c r="T21" s="672"/>
      <c r="U21" s="488"/>
      <c r="V21" s="488"/>
      <c r="W21" s="488"/>
      <c r="X21" s="488"/>
      <c r="Y21" s="488"/>
      <c r="Z21" s="488"/>
      <c r="AA21" s="488"/>
      <c r="AB21" s="488"/>
      <c r="AC21" s="488"/>
      <c r="AD21" s="488"/>
      <c r="AE21" s="488"/>
      <c r="AF21" s="488"/>
      <c r="AG21" s="488"/>
      <c r="AH21" s="488"/>
      <c r="AI21" s="488"/>
      <c r="AJ21" s="488"/>
    </row>
    <row r="22" spans="1:42" ht="16.5">
      <c r="B22" s="488"/>
      <c r="C22" s="488"/>
      <c r="D22" s="488"/>
      <c r="E22" s="488"/>
      <c r="F22" s="488"/>
      <c r="G22" s="488"/>
      <c r="H22" s="488"/>
      <c r="I22" s="671"/>
      <c r="J22" s="671"/>
      <c r="K22" s="671"/>
      <c r="L22" s="488"/>
      <c r="M22" s="488"/>
      <c r="N22" s="488"/>
      <c r="O22" s="488"/>
      <c r="P22" s="488"/>
      <c r="Q22" s="671"/>
      <c r="R22" s="488"/>
      <c r="S22" s="488"/>
      <c r="T22" s="672"/>
      <c r="U22" s="488"/>
      <c r="V22" s="488"/>
      <c r="W22" s="488"/>
      <c r="X22" s="488"/>
      <c r="Y22" s="488"/>
      <c r="Z22" s="488"/>
      <c r="AA22" s="488"/>
      <c r="AB22" s="488"/>
      <c r="AC22" s="488"/>
      <c r="AD22" s="488"/>
      <c r="AE22" s="488"/>
      <c r="AF22" s="488"/>
      <c r="AG22" s="488"/>
      <c r="AH22" s="488"/>
      <c r="AI22" s="488"/>
      <c r="AJ22" s="488"/>
    </row>
    <row r="23" spans="1:42" ht="16.5">
      <c r="B23" s="488"/>
      <c r="C23" s="488"/>
      <c r="D23" s="1679"/>
      <c r="E23" s="1679"/>
      <c r="F23" s="1679"/>
      <c r="G23" s="1679"/>
      <c r="H23" s="1679"/>
      <c r="I23" s="671"/>
      <c r="J23" s="671"/>
      <c r="K23" s="671"/>
      <c r="L23" s="488"/>
      <c r="M23" s="488"/>
      <c r="N23" s="488"/>
      <c r="O23" s="488"/>
      <c r="P23" s="488"/>
      <c r="Q23" s="488"/>
      <c r="R23" s="488"/>
      <c r="S23" s="488"/>
      <c r="T23" s="672"/>
      <c r="U23" s="488"/>
      <c r="V23" s="488"/>
      <c r="W23" s="488"/>
      <c r="X23" s="488"/>
      <c r="Y23" s="488"/>
      <c r="Z23" s="488"/>
      <c r="AA23" s="488"/>
      <c r="AB23" s="488"/>
      <c r="AC23" s="488"/>
      <c r="AD23" s="488"/>
      <c r="AE23" s="488"/>
      <c r="AF23" s="488"/>
      <c r="AG23" s="488"/>
      <c r="AH23" s="488"/>
      <c r="AI23" s="488"/>
    </row>
    <row r="24" spans="1:42">
      <c r="I24" s="673"/>
      <c r="J24" s="673"/>
      <c r="K24" s="673"/>
      <c r="L24" s="666"/>
      <c r="M24" s="666"/>
      <c r="N24" s="666"/>
      <c r="O24" s="666"/>
      <c r="P24" s="666"/>
      <c r="T24" s="674"/>
      <c r="AL24" s="665"/>
    </row>
    <row r="28" spans="1:42" ht="16.5">
      <c r="A28" s="1700"/>
      <c r="B28" s="1700"/>
      <c r="C28" s="1700"/>
    </row>
    <row r="29" spans="1:42" ht="16.5">
      <c r="A29" s="675"/>
      <c r="B29" s="509"/>
      <c r="C29" s="1700"/>
      <c r="D29" s="1700"/>
      <c r="E29" s="1700"/>
      <c r="F29" s="1700"/>
      <c r="G29" s="1700"/>
      <c r="H29" s="1700"/>
    </row>
    <row r="30" spans="1:42" ht="16.5">
      <c r="A30" s="675"/>
      <c r="B30" s="509"/>
      <c r="C30" s="1700"/>
      <c r="D30" s="1700"/>
      <c r="E30" s="1700"/>
      <c r="F30" s="1700"/>
      <c r="G30" s="1700"/>
      <c r="H30" s="1700"/>
    </row>
    <row r="31" spans="1:42" ht="16.5">
      <c r="A31" s="675"/>
      <c r="B31" s="509"/>
      <c r="C31" s="1700"/>
      <c r="D31" s="1700"/>
      <c r="E31" s="1700"/>
      <c r="F31" s="1700"/>
      <c r="G31" s="1700"/>
      <c r="H31" s="1700"/>
    </row>
    <row r="32" spans="1:42" ht="16.5">
      <c r="A32" s="675"/>
      <c r="B32" s="509"/>
      <c r="C32" s="1700"/>
      <c r="D32" s="1700"/>
      <c r="E32" s="1700"/>
      <c r="F32" s="1700"/>
      <c r="G32" s="1700"/>
      <c r="H32" s="1700"/>
    </row>
    <row r="33" spans="1:38" ht="16.5">
      <c r="A33" s="676"/>
      <c r="B33" s="488"/>
      <c r="C33" s="1700"/>
      <c r="D33" s="1700"/>
      <c r="E33" s="1700"/>
      <c r="F33" s="1700"/>
      <c r="G33" s="1700"/>
      <c r="H33" s="1700"/>
      <c r="AL33" s="665"/>
    </row>
    <row r="34" spans="1:38" ht="16.5">
      <c r="A34" s="676"/>
      <c r="B34" s="488"/>
      <c r="C34" s="1700"/>
      <c r="D34" s="1700"/>
      <c r="E34" s="1700"/>
      <c r="F34" s="1700"/>
      <c r="G34" s="1700"/>
      <c r="H34" s="1700"/>
      <c r="AL34" s="665"/>
    </row>
    <row r="35" spans="1:38" ht="16.5">
      <c r="A35" s="676"/>
      <c r="B35" s="488"/>
      <c r="C35" s="1700"/>
      <c r="D35" s="1700"/>
      <c r="E35" s="1700"/>
      <c r="F35" s="1700"/>
      <c r="G35" s="1700"/>
      <c r="H35" s="1700"/>
      <c r="AL35" s="665"/>
    </row>
    <row r="36" spans="1:38" ht="16.5">
      <c r="A36" s="676"/>
      <c r="B36" s="488"/>
      <c r="C36" s="1700"/>
      <c r="D36" s="1700"/>
      <c r="E36" s="1700"/>
      <c r="F36" s="1700"/>
      <c r="G36" s="1700"/>
      <c r="H36" s="1700"/>
      <c r="AL36" s="665"/>
    </row>
  </sheetData>
  <mergeCells count="56">
    <mergeCell ref="AI11:AI12"/>
    <mergeCell ref="Y11:Y12"/>
    <mergeCell ref="Z11:Z12"/>
    <mergeCell ref="AA11:AA12"/>
    <mergeCell ref="AB11:AB12"/>
    <mergeCell ref="AH11:AH12"/>
    <mergeCell ref="AC11:AC12"/>
    <mergeCell ref="AD11:AD12"/>
    <mergeCell ref="AE11:AE12"/>
    <mergeCell ref="AF11:AF12"/>
    <mergeCell ref="AG11:AG12"/>
    <mergeCell ref="T11:T12"/>
    <mergeCell ref="U11:U12"/>
    <mergeCell ref="V11:V12"/>
    <mergeCell ref="W11:W12"/>
    <mergeCell ref="X11:X12"/>
    <mergeCell ref="O11:O12"/>
    <mergeCell ref="P11:P12"/>
    <mergeCell ref="Q11:Q12"/>
    <mergeCell ref="R11:R12"/>
    <mergeCell ref="S11:S12"/>
    <mergeCell ref="A15:D15"/>
    <mergeCell ref="AK15:AL15"/>
    <mergeCell ref="C34:H34"/>
    <mergeCell ref="C35:H35"/>
    <mergeCell ref="C36:H36"/>
    <mergeCell ref="D23:H23"/>
    <mergeCell ref="A28:C28"/>
    <mergeCell ref="C29:H29"/>
    <mergeCell ref="C30:H30"/>
    <mergeCell ref="C31:H31"/>
    <mergeCell ref="C32:H32"/>
    <mergeCell ref="C33:H33"/>
    <mergeCell ref="X17:AJ17"/>
    <mergeCell ref="A18:AJ18"/>
    <mergeCell ref="A2:AJ2"/>
    <mergeCell ref="A3:AJ3"/>
    <mergeCell ref="A4:AJ4"/>
    <mergeCell ref="A6:L6"/>
    <mergeCell ref="A7:L7"/>
    <mergeCell ref="A9:AJ9"/>
    <mergeCell ref="A11:A12"/>
    <mergeCell ref="B11:B12"/>
    <mergeCell ref="C11:C12"/>
    <mergeCell ref="D11:D12"/>
    <mergeCell ref="AJ11:AJ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</mergeCells>
  <printOptions horizontalCentered="1"/>
  <pageMargins left="0.27559055118110198" right="0.196850393700787" top="0.39" bottom="0.51" header="0.33" footer="0.4"/>
  <pageSetup paperSize="9" scale="77" fitToHeight="0" orientation="landscape" r:id="rId1"/>
  <headerFooter>
    <oddFooter>&amp;R&amp;P</oddFooter>
  </headerFooter>
  <colBreaks count="1" manualBreakCount="1">
    <brk id="36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C000"/>
  </sheetPr>
  <dimension ref="A2:AA1429"/>
  <sheetViews>
    <sheetView topLeftCell="A7" zoomScale="62" zoomScaleNormal="62" workbookViewId="0">
      <selection activeCell="A29" sqref="A29:O29"/>
    </sheetView>
  </sheetViews>
  <sheetFormatPr defaultColWidth="9.140625" defaultRowHeight="12.75" customHeight="1"/>
  <cols>
    <col min="1" max="1" width="4" customWidth="1"/>
    <col min="2" max="2" width="25.7109375" customWidth="1"/>
    <col min="3" max="3" width="16" customWidth="1"/>
    <col min="4" max="4" width="2.85546875" customWidth="1"/>
    <col min="5" max="5" width="4.85546875" customWidth="1"/>
    <col min="6" max="6" width="25.5703125" customWidth="1"/>
    <col min="7" max="7" width="16" customWidth="1"/>
    <col min="8" max="8" width="1" customWidth="1"/>
    <col min="9" max="9" width="5.28515625" customWidth="1"/>
    <col min="10" max="10" width="25.5703125" customWidth="1"/>
    <col min="11" max="11" width="14.85546875" customWidth="1"/>
    <col min="12" max="12" width="3.140625" customWidth="1"/>
    <col min="13" max="13" width="4" customWidth="1"/>
    <col min="14" max="14" width="25.85546875" customWidth="1"/>
    <col min="15" max="15" width="14.85546875" customWidth="1"/>
    <col min="16" max="16" width="20.7109375" customWidth="1"/>
    <col min="17" max="17" width="31" customWidth="1"/>
    <col min="18" max="18" width="14.28515625" customWidth="1"/>
    <col min="19" max="19" width="19" customWidth="1"/>
    <col min="20" max="20" width="17.85546875" customWidth="1"/>
    <col min="21" max="21" width="21.140625" customWidth="1"/>
    <col min="22" max="22" width="13.140625" customWidth="1"/>
    <col min="23" max="23" width="15.28515625" customWidth="1"/>
    <col min="24" max="24" width="13" customWidth="1"/>
    <col min="26" max="26" width="13.5703125" customWidth="1"/>
    <col min="27" max="27" width="15.5703125" customWidth="1"/>
  </cols>
  <sheetData>
    <row r="2" spans="1:24" ht="15.75">
      <c r="A2" s="1707" t="s">
        <v>201</v>
      </c>
      <c r="B2" s="1707"/>
      <c r="C2" s="1707"/>
      <c r="D2" s="1707"/>
      <c r="E2" s="1707" t="s">
        <v>319</v>
      </c>
      <c r="F2" s="1707"/>
      <c r="G2" s="1707"/>
      <c r="H2" s="313"/>
      <c r="I2" s="1707" t="s">
        <v>40</v>
      </c>
      <c r="J2" s="1707"/>
      <c r="K2" s="1707"/>
      <c r="L2" s="1707"/>
      <c r="M2" s="314"/>
      <c r="N2" s="1707" t="s">
        <v>41</v>
      </c>
      <c r="O2" s="1707"/>
    </row>
    <row r="3" spans="1:24" ht="15.75">
      <c r="A3" s="647">
        <v>1</v>
      </c>
      <c r="B3" s="314" t="s">
        <v>117</v>
      </c>
      <c r="C3" s="125">
        <v>900</v>
      </c>
      <c r="D3" s="1707"/>
      <c r="E3" s="647">
        <v>1</v>
      </c>
      <c r="F3" s="314" t="s">
        <v>117</v>
      </c>
      <c r="G3" s="125">
        <v>1095.56</v>
      </c>
      <c r="H3" s="314"/>
      <c r="I3" s="647">
        <v>1</v>
      </c>
      <c r="J3" s="314" t="s">
        <v>117</v>
      </c>
      <c r="K3" s="125">
        <v>768.15</v>
      </c>
      <c r="L3" s="1707"/>
      <c r="M3" s="314">
        <v>1</v>
      </c>
      <c r="N3" s="314" t="s">
        <v>117</v>
      </c>
      <c r="O3" s="125">
        <v>610</v>
      </c>
      <c r="P3" s="345">
        <f>C3+G3+K3+O3</f>
        <v>3373.71</v>
      </c>
      <c r="Q3" s="373">
        <f>C3+G3+K3+O3</f>
        <v>3373.71</v>
      </c>
      <c r="R3" s="315"/>
      <c r="S3" s="315"/>
      <c r="T3" s="315"/>
      <c r="U3" s="315"/>
      <c r="V3" s="315"/>
      <c r="W3" s="315"/>
      <c r="X3" s="315"/>
    </row>
    <row r="4" spans="1:24" ht="15.75">
      <c r="A4" s="647">
        <v>2</v>
      </c>
      <c r="B4" s="314" t="s">
        <v>270</v>
      </c>
      <c r="C4" s="316"/>
      <c r="D4" s="1707"/>
      <c r="E4" s="647">
        <v>2</v>
      </c>
      <c r="F4" s="314" t="s">
        <v>270</v>
      </c>
      <c r="G4" s="316"/>
      <c r="H4" s="314"/>
      <c r="I4" s="647">
        <v>2</v>
      </c>
      <c r="J4" s="314" t="s">
        <v>270</v>
      </c>
      <c r="K4" s="316"/>
      <c r="L4" s="1707"/>
      <c r="M4" s="314">
        <v>2</v>
      </c>
      <c r="N4" s="314" t="s">
        <v>270</v>
      </c>
      <c r="O4" s="316"/>
      <c r="P4" s="345">
        <f t="shared" ref="P4:P67" si="0">C4+G4+K4+O4</f>
        <v>0</v>
      </c>
      <c r="Q4" s="120"/>
      <c r="R4" s="376"/>
      <c r="S4" s="376"/>
      <c r="T4" s="122"/>
      <c r="U4" s="226"/>
      <c r="V4" s="120"/>
      <c r="W4" s="121"/>
      <c r="X4" s="120"/>
    </row>
    <row r="5" spans="1:24" ht="15.75">
      <c r="A5" s="647">
        <v>3</v>
      </c>
      <c r="B5" s="314" t="s">
        <v>119</v>
      </c>
      <c r="C5" s="317"/>
      <c r="D5" s="1707"/>
      <c r="E5" s="647">
        <v>3</v>
      </c>
      <c r="F5" s="314" t="s">
        <v>119</v>
      </c>
      <c r="G5" s="317"/>
      <c r="H5" s="314"/>
      <c r="I5" s="647">
        <v>3</v>
      </c>
      <c r="J5" s="314" t="s">
        <v>119</v>
      </c>
      <c r="K5" s="317"/>
      <c r="L5" s="1707"/>
      <c r="M5" s="314">
        <v>3</v>
      </c>
      <c r="N5" s="314" t="s">
        <v>124</v>
      </c>
      <c r="O5" s="317"/>
      <c r="P5" s="345">
        <f t="shared" si="0"/>
        <v>0</v>
      </c>
      <c r="Q5" s="120"/>
      <c r="R5" s="376"/>
      <c r="S5" s="376"/>
      <c r="T5" s="122"/>
      <c r="U5" s="124"/>
      <c r="V5" s="120"/>
      <c r="W5" s="121"/>
      <c r="X5" s="120"/>
    </row>
    <row r="6" spans="1:24" ht="15.75">
      <c r="A6" s="647">
        <v>4</v>
      </c>
      <c r="B6" s="313" t="s">
        <v>14</v>
      </c>
      <c r="C6" s="282">
        <f>SUM(C3:C5)</f>
        <v>900</v>
      </c>
      <c r="D6" s="1707"/>
      <c r="E6" s="647">
        <v>4</v>
      </c>
      <c r="F6" s="313" t="s">
        <v>14</v>
      </c>
      <c r="G6" s="282">
        <f>SUM(G3:G5)</f>
        <v>1095.56</v>
      </c>
      <c r="H6" s="314"/>
      <c r="I6" s="647">
        <v>4</v>
      </c>
      <c r="J6" s="313" t="s">
        <v>14</v>
      </c>
      <c r="K6" s="282">
        <f>SUM(K3:K5)</f>
        <v>768.15</v>
      </c>
      <c r="L6" s="1707"/>
      <c r="M6" s="314">
        <v>4</v>
      </c>
      <c r="N6" s="313" t="s">
        <v>14</v>
      </c>
      <c r="O6" s="282">
        <f>SUM(O3:O5)</f>
        <v>610</v>
      </c>
      <c r="P6" s="345">
        <f t="shared" si="0"/>
        <v>3373.71</v>
      </c>
      <c r="Q6" s="120"/>
      <c r="R6" s="376"/>
      <c r="S6" s="376"/>
      <c r="T6" s="122"/>
      <c r="U6" s="124"/>
      <c r="V6" s="120"/>
      <c r="W6" s="121"/>
      <c r="X6" s="120"/>
    </row>
    <row r="7" spans="1:24" ht="15.75">
      <c r="A7" s="1707" t="s">
        <v>108</v>
      </c>
      <c r="B7" s="1707"/>
      <c r="C7" s="1707"/>
      <c r="D7" s="1707"/>
      <c r="E7" s="1707" t="s">
        <v>108</v>
      </c>
      <c r="F7" s="1707"/>
      <c r="G7" s="1707"/>
      <c r="H7" s="645"/>
      <c r="I7" s="1707" t="s">
        <v>108</v>
      </c>
      <c r="J7" s="1707"/>
      <c r="K7" s="1707"/>
      <c r="L7" s="1707"/>
      <c r="M7" s="1707" t="s">
        <v>108</v>
      </c>
      <c r="N7" s="1707"/>
      <c r="O7" s="1707"/>
      <c r="P7" s="345">
        <f t="shared" si="0"/>
        <v>0</v>
      </c>
      <c r="Q7" s="120"/>
      <c r="R7" s="376"/>
      <c r="S7" s="377"/>
      <c r="T7" s="122"/>
      <c r="U7" s="124"/>
      <c r="V7" s="120"/>
      <c r="W7" s="121"/>
      <c r="X7" s="120"/>
    </row>
    <row r="8" spans="1:24" ht="15.75">
      <c r="A8" s="647">
        <v>6</v>
      </c>
      <c r="B8" s="314" t="s">
        <v>118</v>
      </c>
      <c r="C8" s="125"/>
      <c r="D8" s="1707"/>
      <c r="E8" s="647">
        <v>6</v>
      </c>
      <c r="F8" s="314" t="s">
        <v>118</v>
      </c>
      <c r="G8" s="125"/>
      <c r="H8" s="314"/>
      <c r="I8" s="647">
        <v>6</v>
      </c>
      <c r="J8" s="314" t="s">
        <v>118</v>
      </c>
      <c r="K8" s="125"/>
      <c r="L8" s="1707"/>
      <c r="M8" s="314">
        <v>6</v>
      </c>
      <c r="N8" s="314" t="s">
        <v>118</v>
      </c>
      <c r="O8" s="125"/>
      <c r="P8" s="345">
        <f t="shared" si="0"/>
        <v>0</v>
      </c>
      <c r="Q8" s="120"/>
      <c r="R8" s="376"/>
      <c r="S8" s="376"/>
      <c r="T8" s="122"/>
      <c r="U8" s="124"/>
      <c r="V8" s="120"/>
      <c r="W8" s="121"/>
      <c r="X8" s="120"/>
    </row>
    <row r="9" spans="1:24" ht="15.75">
      <c r="A9" s="647">
        <v>7</v>
      </c>
      <c r="B9" s="370" t="s">
        <v>318</v>
      </c>
      <c r="C9" s="318">
        <v>140.79</v>
      </c>
      <c r="D9" s="1707"/>
      <c r="E9" s="647">
        <v>7</v>
      </c>
      <c r="F9" s="370" t="s">
        <v>318</v>
      </c>
      <c r="G9" s="125">
        <v>171.83</v>
      </c>
      <c r="H9" s="314"/>
      <c r="I9" s="647">
        <v>7</v>
      </c>
      <c r="J9" s="370" t="s">
        <v>318</v>
      </c>
      <c r="K9" s="318">
        <v>102.04</v>
      </c>
      <c r="L9" s="1707"/>
      <c r="M9" s="314">
        <v>7</v>
      </c>
      <c r="N9" s="370" t="s">
        <v>318</v>
      </c>
      <c r="O9" s="318">
        <v>80.61</v>
      </c>
      <c r="P9" s="345">
        <f>C9+G9+K9+O9</f>
        <v>495.27000000000004</v>
      </c>
      <c r="Q9" s="120"/>
      <c r="R9" s="376">
        <f>C9+G9+O9+K9</f>
        <v>495.27000000000004</v>
      </c>
      <c r="S9" s="376"/>
      <c r="T9" s="122"/>
      <c r="U9" s="124"/>
      <c r="V9" s="120"/>
      <c r="W9" s="121"/>
      <c r="X9" s="120"/>
    </row>
    <row r="10" spans="1:24" ht="15.75">
      <c r="A10" s="647"/>
      <c r="B10" s="314" t="s">
        <v>230</v>
      </c>
      <c r="C10" s="318"/>
      <c r="D10" s="1707"/>
      <c r="E10" s="647"/>
      <c r="F10" s="314" t="s">
        <v>231</v>
      </c>
      <c r="G10" s="318"/>
      <c r="H10" s="314"/>
      <c r="I10" s="647"/>
      <c r="J10" s="314" t="s">
        <v>231</v>
      </c>
      <c r="K10" s="318"/>
      <c r="L10" s="1707"/>
      <c r="M10" s="314"/>
      <c r="N10" s="314" t="s">
        <v>231</v>
      </c>
      <c r="O10" s="318"/>
      <c r="P10" s="345">
        <f t="shared" si="0"/>
        <v>0</v>
      </c>
      <c r="Q10" s="370"/>
      <c r="R10" s="376"/>
      <c r="S10" s="376"/>
      <c r="T10" s="122"/>
      <c r="U10" s="124"/>
      <c r="V10" s="120"/>
      <c r="W10" s="121"/>
      <c r="X10" s="120"/>
    </row>
    <row r="11" spans="1:24" ht="15.75">
      <c r="A11" s="647">
        <v>8</v>
      </c>
      <c r="B11" s="314" t="s">
        <v>120</v>
      </c>
      <c r="C11" s="161"/>
      <c r="D11" s="1707"/>
      <c r="E11" s="647">
        <v>8</v>
      </c>
      <c r="F11" s="314" t="s">
        <v>120</v>
      </c>
      <c r="G11" s="319"/>
      <c r="H11" s="314"/>
      <c r="I11" s="647">
        <v>8</v>
      </c>
      <c r="J11" s="314" t="s">
        <v>120</v>
      </c>
      <c r="K11" s="161"/>
      <c r="L11" s="1707"/>
      <c r="M11" s="314">
        <v>8</v>
      </c>
      <c r="N11" s="314" t="s">
        <v>120</v>
      </c>
      <c r="O11" s="125"/>
      <c r="P11" s="345">
        <f t="shared" si="0"/>
        <v>0</v>
      </c>
      <c r="Q11" s="120"/>
      <c r="R11" s="376"/>
      <c r="S11" s="376"/>
      <c r="T11" s="122"/>
      <c r="U11" s="124"/>
      <c r="V11" s="120"/>
      <c r="W11" s="121"/>
      <c r="X11" s="120"/>
    </row>
    <row r="12" spans="1:24" ht="15.75">
      <c r="A12" s="647">
        <v>9</v>
      </c>
      <c r="B12" s="314" t="s">
        <v>121</v>
      </c>
      <c r="C12" s="125"/>
      <c r="D12" s="1707"/>
      <c r="E12" s="647">
        <v>9</v>
      </c>
      <c r="F12" s="314" t="s">
        <v>121</v>
      </c>
      <c r="G12" s="125"/>
      <c r="H12" s="314"/>
      <c r="I12" s="647">
        <v>9</v>
      </c>
      <c r="J12" s="314" t="s">
        <v>121</v>
      </c>
      <c r="K12" s="125"/>
      <c r="L12" s="1707"/>
      <c r="M12" s="314">
        <v>9</v>
      </c>
      <c r="N12" s="314" t="s">
        <v>121</v>
      </c>
      <c r="O12" s="125"/>
      <c r="P12" s="345">
        <f t="shared" si="0"/>
        <v>0</v>
      </c>
      <c r="Q12" s="120"/>
      <c r="R12" s="376"/>
      <c r="S12" s="376"/>
      <c r="T12" s="122"/>
      <c r="U12" s="124"/>
      <c r="V12" s="120"/>
      <c r="W12" s="121"/>
      <c r="X12" s="120"/>
    </row>
    <row r="13" spans="1:24" ht="15.75">
      <c r="A13" s="647">
        <v>10</v>
      </c>
      <c r="B13" s="314" t="s">
        <v>14</v>
      </c>
      <c r="C13" s="372">
        <f>SUM(C8:C12)</f>
        <v>140.79</v>
      </c>
      <c r="D13" s="1707"/>
      <c r="E13" s="647">
        <v>10</v>
      </c>
      <c r="F13" s="314" t="s">
        <v>14</v>
      </c>
      <c r="G13" s="372">
        <f>SUM(G8:G12)</f>
        <v>171.83</v>
      </c>
      <c r="H13" s="314"/>
      <c r="I13" s="647">
        <v>10</v>
      </c>
      <c r="J13" s="314" t="s">
        <v>14</v>
      </c>
      <c r="K13" s="372">
        <f>SUM(K8:K12)</f>
        <v>102.04</v>
      </c>
      <c r="L13" s="1707"/>
      <c r="M13" s="314">
        <v>10</v>
      </c>
      <c r="N13" s="314" t="s">
        <v>14</v>
      </c>
      <c r="O13" s="372">
        <f>SUM(O8:O12)</f>
        <v>80.61</v>
      </c>
      <c r="P13" s="345">
        <f t="shared" si="0"/>
        <v>495.27000000000004</v>
      </c>
      <c r="Q13" s="120"/>
      <c r="R13" s="376"/>
      <c r="S13" s="376"/>
      <c r="T13" s="122"/>
      <c r="U13" s="124"/>
      <c r="V13" s="120"/>
      <c r="W13" s="121"/>
      <c r="X13" s="120"/>
    </row>
    <row r="14" spans="1:24" ht="15.75">
      <c r="A14" s="647">
        <v>11</v>
      </c>
      <c r="B14" s="314" t="s">
        <v>122</v>
      </c>
      <c r="C14" s="649">
        <f>C6-C13</f>
        <v>759.21</v>
      </c>
      <c r="D14" s="1707"/>
      <c r="E14" s="647">
        <v>11</v>
      </c>
      <c r="F14" s="314" t="s">
        <v>122</v>
      </c>
      <c r="G14" s="649">
        <f>G6-G13</f>
        <v>923.7299999999999</v>
      </c>
      <c r="H14" s="314"/>
      <c r="I14" s="647">
        <v>11</v>
      </c>
      <c r="J14" s="314" t="s">
        <v>122</v>
      </c>
      <c r="K14" s="649">
        <f>K6-K13</f>
        <v>666.11</v>
      </c>
      <c r="L14" s="1707"/>
      <c r="M14" s="314">
        <v>11</v>
      </c>
      <c r="N14" s="314" t="s">
        <v>122</v>
      </c>
      <c r="O14" s="649">
        <f>O6-O13</f>
        <v>529.39</v>
      </c>
      <c r="P14" s="345">
        <f t="shared" si="0"/>
        <v>2878.44</v>
      </c>
      <c r="Q14" s="120"/>
      <c r="R14" s="376"/>
      <c r="S14" s="376"/>
      <c r="T14" s="122"/>
      <c r="U14" s="124"/>
      <c r="V14" s="120"/>
      <c r="W14" s="121"/>
      <c r="X14" s="120"/>
    </row>
    <row r="15" spans="1:24" ht="18" customHeight="1">
      <c r="A15" s="647"/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7"/>
      <c r="N15" s="647"/>
      <c r="O15" s="647"/>
      <c r="P15" s="345">
        <f t="shared" si="0"/>
        <v>0</v>
      </c>
      <c r="Q15" s="120"/>
      <c r="R15" s="376"/>
      <c r="S15" s="376"/>
      <c r="T15" s="122"/>
      <c r="U15" s="124"/>
      <c r="V15" s="120"/>
      <c r="W15" s="121"/>
      <c r="X15" s="120"/>
    </row>
    <row r="16" spans="1:24" ht="15.75">
      <c r="A16" s="1711" t="s">
        <v>42</v>
      </c>
      <c r="B16" s="1711"/>
      <c r="C16" s="1711"/>
      <c r="D16" s="1707"/>
      <c r="E16" s="1707" t="s">
        <v>257</v>
      </c>
      <c r="F16" s="1707"/>
      <c r="G16" s="1707"/>
      <c r="H16" s="1707"/>
      <c r="I16" s="1711" t="s">
        <v>163</v>
      </c>
      <c r="J16" s="1711"/>
      <c r="K16" s="1711"/>
      <c r="L16" s="1707"/>
      <c r="M16" s="1711" t="s">
        <v>233</v>
      </c>
      <c r="N16" s="1711"/>
      <c r="O16" s="1711"/>
      <c r="P16" s="345">
        <f t="shared" si="0"/>
        <v>0</v>
      </c>
      <c r="Q16" s="120"/>
      <c r="R16" s="376"/>
      <c r="S16" s="376"/>
      <c r="T16" s="122"/>
      <c r="U16" s="124"/>
      <c r="V16" s="120"/>
      <c r="W16" s="121"/>
      <c r="X16" s="120"/>
    </row>
    <row r="17" spans="1:27" ht="15.75">
      <c r="A17" s="314">
        <v>1</v>
      </c>
      <c r="B17" s="314" t="s">
        <v>117</v>
      </c>
      <c r="C17" s="125">
        <v>681.73</v>
      </c>
      <c r="D17" s="1707"/>
      <c r="E17" s="647">
        <v>1</v>
      </c>
      <c r="F17" s="314" t="s">
        <v>117</v>
      </c>
      <c r="G17" s="125">
        <v>460</v>
      </c>
      <c r="H17" s="1707"/>
      <c r="I17" s="647">
        <v>1</v>
      </c>
      <c r="J17" s="314" t="s">
        <v>117</v>
      </c>
      <c r="K17" s="125">
        <v>705.19</v>
      </c>
      <c r="L17" s="1707"/>
      <c r="M17" s="314">
        <v>1</v>
      </c>
      <c r="N17" s="314" t="s">
        <v>117</v>
      </c>
      <c r="O17" s="125">
        <v>360</v>
      </c>
      <c r="P17" s="345">
        <f t="shared" si="0"/>
        <v>2206.92</v>
      </c>
      <c r="Q17" s="373">
        <f>C17+G17+K17+O17</f>
        <v>2206.92</v>
      </c>
      <c r="R17" s="376"/>
      <c r="S17" s="376"/>
      <c r="T17" s="123"/>
      <c r="U17" s="124"/>
      <c r="V17" s="120"/>
      <c r="W17" s="121"/>
      <c r="X17" s="120"/>
    </row>
    <row r="18" spans="1:27" ht="15.75">
      <c r="A18" s="314">
        <v>2</v>
      </c>
      <c r="B18" s="314" t="s">
        <v>270</v>
      </c>
      <c r="C18" s="316"/>
      <c r="D18" s="1707"/>
      <c r="E18" s="647">
        <v>2</v>
      </c>
      <c r="F18" s="314" t="s">
        <v>270</v>
      </c>
      <c r="G18" s="316"/>
      <c r="H18" s="1707"/>
      <c r="I18" s="647">
        <v>2</v>
      </c>
      <c r="J18" s="314" t="s">
        <v>270</v>
      </c>
      <c r="K18" s="316"/>
      <c r="L18" s="1707"/>
      <c r="M18" s="314">
        <v>2</v>
      </c>
      <c r="N18" s="314" t="s">
        <v>270</v>
      </c>
      <c r="O18" s="316"/>
      <c r="P18" s="345">
        <f t="shared" si="0"/>
        <v>0</v>
      </c>
      <c r="Q18" s="126"/>
      <c r="R18" s="376"/>
      <c r="S18" s="376"/>
      <c r="T18" s="132"/>
      <c r="U18" s="123"/>
      <c r="V18" s="124"/>
      <c r="W18" s="121"/>
      <c r="X18" s="132"/>
    </row>
    <row r="19" spans="1:27" ht="15.75">
      <c r="A19" s="314">
        <v>3</v>
      </c>
      <c r="B19" s="314" t="s">
        <v>232</v>
      </c>
      <c r="C19" s="317"/>
      <c r="D19" s="1707"/>
      <c r="E19" s="647">
        <v>3</v>
      </c>
      <c r="F19" s="314" t="s">
        <v>119</v>
      </c>
      <c r="G19" s="317"/>
      <c r="H19" s="1707"/>
      <c r="I19" s="647">
        <v>3</v>
      </c>
      <c r="J19" s="314" t="s">
        <v>232</v>
      </c>
      <c r="K19" s="317"/>
      <c r="L19" s="1707"/>
      <c r="M19" s="314">
        <v>3</v>
      </c>
      <c r="N19" s="314" t="s">
        <v>119</v>
      </c>
      <c r="O19" s="317"/>
      <c r="P19" s="345">
        <f t="shared" si="0"/>
        <v>0</v>
      </c>
      <c r="Q19" s="126"/>
      <c r="R19" s="376"/>
      <c r="S19" s="376"/>
      <c r="T19" s="122"/>
      <c r="U19" s="124"/>
      <c r="V19" s="120"/>
      <c r="W19" s="121"/>
      <c r="X19" s="120"/>
    </row>
    <row r="20" spans="1:27" ht="15.75">
      <c r="A20" s="314">
        <v>4</v>
      </c>
      <c r="B20" s="313" t="s">
        <v>14</v>
      </c>
      <c r="C20" s="282">
        <f>SUM(C17:C19)</f>
        <v>681.73</v>
      </c>
      <c r="D20" s="1707"/>
      <c r="E20" s="647">
        <v>4</v>
      </c>
      <c r="F20" s="313" t="s">
        <v>14</v>
      </c>
      <c r="G20" s="282">
        <f>SUM(G17:G19)</f>
        <v>460</v>
      </c>
      <c r="H20" s="1707"/>
      <c r="I20" s="647">
        <v>4</v>
      </c>
      <c r="J20" s="313" t="s">
        <v>14</v>
      </c>
      <c r="K20" s="282">
        <f>SUM(K17:K19)</f>
        <v>705.19</v>
      </c>
      <c r="L20" s="1707"/>
      <c r="M20" s="314">
        <v>4</v>
      </c>
      <c r="N20" s="313" t="s">
        <v>14</v>
      </c>
      <c r="O20" s="282">
        <f>SUM(O17:O19)</f>
        <v>360</v>
      </c>
      <c r="P20" s="345">
        <f t="shared" si="0"/>
        <v>2206.92</v>
      </c>
      <c r="Q20" s="120"/>
      <c r="R20" s="376"/>
      <c r="S20" s="376"/>
      <c r="T20" s="122"/>
      <c r="U20" s="124"/>
      <c r="V20" s="120"/>
      <c r="W20" s="121"/>
      <c r="X20" s="120"/>
    </row>
    <row r="21" spans="1:27" ht="15.75">
      <c r="A21" s="1707" t="s">
        <v>108</v>
      </c>
      <c r="B21" s="1707"/>
      <c r="C21" s="1707"/>
      <c r="D21" s="1707"/>
      <c r="E21" s="1707" t="s">
        <v>108</v>
      </c>
      <c r="F21" s="1707"/>
      <c r="G21" s="1707"/>
      <c r="H21" s="1707"/>
      <c r="I21" s="1707" t="s">
        <v>108</v>
      </c>
      <c r="J21" s="1707"/>
      <c r="K21" s="1707"/>
      <c r="L21" s="1707"/>
      <c r="M21" s="1707" t="s">
        <v>108</v>
      </c>
      <c r="N21" s="1707"/>
      <c r="O21" s="1707"/>
      <c r="P21" s="345">
        <f t="shared" si="0"/>
        <v>0</v>
      </c>
      <c r="Q21" s="120"/>
      <c r="R21" s="376"/>
      <c r="S21" s="376"/>
      <c r="T21" s="122"/>
      <c r="U21" s="124"/>
      <c r="V21" s="120"/>
      <c r="W21" s="121"/>
      <c r="X21" s="120"/>
    </row>
    <row r="22" spans="1:27" ht="15.75">
      <c r="A22" s="647">
        <v>6</v>
      </c>
      <c r="B22" s="314" t="s">
        <v>118</v>
      </c>
      <c r="C22" s="125"/>
      <c r="D22" s="1707"/>
      <c r="E22" s="647">
        <v>6</v>
      </c>
      <c r="F22" s="314" t="s">
        <v>118</v>
      </c>
      <c r="G22" s="125"/>
      <c r="H22" s="1707"/>
      <c r="I22" s="647">
        <v>6</v>
      </c>
      <c r="J22" s="314" t="s">
        <v>118</v>
      </c>
      <c r="K22" s="161"/>
      <c r="L22" s="1707"/>
      <c r="M22" s="647">
        <v>6</v>
      </c>
      <c r="N22" s="314" t="s">
        <v>118</v>
      </c>
      <c r="O22" s="125"/>
      <c r="P22" s="345">
        <f t="shared" si="0"/>
        <v>0</v>
      </c>
      <c r="Q22" s="126"/>
      <c r="R22" s="376"/>
      <c r="S22" s="376"/>
      <c r="T22" s="123"/>
      <c r="U22" s="124"/>
      <c r="V22" s="120"/>
      <c r="W22" s="121"/>
      <c r="X22" s="120"/>
    </row>
    <row r="23" spans="1:27" ht="15.75">
      <c r="A23" s="647">
        <v>7</v>
      </c>
      <c r="B23" s="370" t="s">
        <v>318</v>
      </c>
      <c r="C23" s="318">
        <v>85.04</v>
      </c>
      <c r="D23" s="1707"/>
      <c r="E23" s="647">
        <v>7</v>
      </c>
      <c r="F23" s="370" t="s">
        <v>318</v>
      </c>
      <c r="G23" s="318">
        <v>54.34</v>
      </c>
      <c r="H23" s="1707"/>
      <c r="I23" s="647">
        <v>7</v>
      </c>
      <c r="J23" s="370" t="s">
        <v>318</v>
      </c>
      <c r="K23" s="320">
        <v>85.89</v>
      </c>
      <c r="L23" s="1707"/>
      <c r="M23" s="647">
        <v>7</v>
      </c>
      <c r="N23" s="370" t="s">
        <v>318</v>
      </c>
      <c r="O23" s="125">
        <v>25.1</v>
      </c>
      <c r="P23" s="345">
        <f t="shared" si="0"/>
        <v>250.36999999999998</v>
      </c>
      <c r="Q23" s="120"/>
      <c r="R23" s="376">
        <f>C23+G23+O23+K23</f>
        <v>250.37</v>
      </c>
      <c r="S23" s="376"/>
      <c r="T23" s="132"/>
      <c r="U23" s="123"/>
      <c r="V23" s="123"/>
      <c r="W23" s="121"/>
      <c r="X23" s="123"/>
    </row>
    <row r="24" spans="1:27" ht="15.75">
      <c r="A24" s="647"/>
      <c r="B24" s="314" t="s">
        <v>231</v>
      </c>
      <c r="C24" s="318"/>
      <c r="D24" s="1707"/>
      <c r="E24" s="647"/>
      <c r="F24" s="314" t="s">
        <v>231</v>
      </c>
      <c r="G24" s="318"/>
      <c r="H24" s="1707"/>
      <c r="I24" s="647"/>
      <c r="J24" s="314" t="s">
        <v>231</v>
      </c>
      <c r="K24" s="318"/>
      <c r="L24" s="1707"/>
      <c r="M24" s="647"/>
      <c r="N24" s="314" t="s">
        <v>231</v>
      </c>
      <c r="O24" s="125"/>
      <c r="P24" s="345">
        <f t="shared" si="0"/>
        <v>0</v>
      </c>
      <c r="Q24" s="120"/>
      <c r="R24" s="376"/>
      <c r="S24" s="376"/>
      <c r="T24" s="132"/>
      <c r="U24" s="123"/>
      <c r="V24" s="123"/>
      <c r="W24" s="121"/>
      <c r="X24" s="123"/>
    </row>
    <row r="25" spans="1:27" ht="15.75">
      <c r="A25" s="647">
        <v>8</v>
      </c>
      <c r="B25" s="314" t="s">
        <v>120</v>
      </c>
      <c r="C25" s="125"/>
      <c r="D25" s="1707"/>
      <c r="E25" s="647">
        <v>8</v>
      </c>
      <c r="F25" s="314" t="s">
        <v>120</v>
      </c>
      <c r="G25" s="161"/>
      <c r="H25" s="1707"/>
      <c r="I25" s="647">
        <v>8</v>
      </c>
      <c r="J25" s="314" t="s">
        <v>120</v>
      </c>
      <c r="K25" s="319"/>
      <c r="L25" s="1707"/>
      <c r="M25" s="647">
        <v>8</v>
      </c>
      <c r="N25" s="314" t="s">
        <v>120</v>
      </c>
      <c r="O25" s="161"/>
      <c r="P25" s="345">
        <f t="shared" si="0"/>
        <v>0</v>
      </c>
      <c r="Q25" s="127"/>
      <c r="R25" s="376"/>
      <c r="S25" s="376"/>
      <c r="T25" s="123"/>
      <c r="U25" s="123"/>
      <c r="V25" s="123"/>
      <c r="W25" s="121"/>
      <c r="X25" s="123"/>
    </row>
    <row r="26" spans="1:27" ht="15.75">
      <c r="A26" s="647">
        <v>9</v>
      </c>
      <c r="B26" s="314" t="s">
        <v>121</v>
      </c>
      <c r="C26" s="125"/>
      <c r="D26" s="1707"/>
      <c r="E26" s="647">
        <v>9</v>
      </c>
      <c r="F26" s="314" t="s">
        <v>121</v>
      </c>
      <c r="G26" s="125"/>
      <c r="H26" s="1707"/>
      <c r="I26" s="647">
        <v>9</v>
      </c>
      <c r="J26" s="314" t="s">
        <v>121</v>
      </c>
      <c r="K26" s="125"/>
      <c r="L26" s="1707"/>
      <c r="M26" s="647">
        <v>9</v>
      </c>
      <c r="N26" s="314" t="s">
        <v>121</v>
      </c>
      <c r="O26" s="161"/>
      <c r="P26" s="345">
        <f t="shared" si="0"/>
        <v>0</v>
      </c>
      <c r="Q26" s="128"/>
      <c r="R26" s="376"/>
      <c r="S26" s="376"/>
      <c r="T26" s="123"/>
      <c r="U26" s="123"/>
      <c r="V26" s="123"/>
      <c r="W26" s="121"/>
      <c r="X26" s="123"/>
    </row>
    <row r="27" spans="1:27" ht="15.75">
      <c r="A27" s="647">
        <v>10</v>
      </c>
      <c r="B27" s="314" t="s">
        <v>14</v>
      </c>
      <c r="C27" s="372">
        <f>SUM(C22:C26)</f>
        <v>85.04</v>
      </c>
      <c r="D27" s="1707"/>
      <c r="E27" s="647">
        <v>10</v>
      </c>
      <c r="F27" s="314" t="s">
        <v>14</v>
      </c>
      <c r="G27" s="372">
        <f>SUM(G22:G26)</f>
        <v>54.34</v>
      </c>
      <c r="H27" s="1707"/>
      <c r="I27" s="647">
        <v>10</v>
      </c>
      <c r="J27" s="314" t="s">
        <v>14</v>
      </c>
      <c r="K27" s="372">
        <f>SUM(K22:K26)</f>
        <v>85.89</v>
      </c>
      <c r="L27" s="1707"/>
      <c r="M27" s="647">
        <v>10</v>
      </c>
      <c r="N27" s="314" t="s">
        <v>14</v>
      </c>
      <c r="O27" s="372">
        <f>SUM(O22:O26)</f>
        <v>25.1</v>
      </c>
      <c r="P27" s="345">
        <f t="shared" si="0"/>
        <v>250.36999999999998</v>
      </c>
      <c r="Q27" s="120"/>
      <c r="R27" s="376"/>
      <c r="S27" s="376"/>
      <c r="T27" s="123"/>
      <c r="U27" s="123"/>
      <c r="V27" s="123"/>
      <c r="W27" s="123"/>
      <c r="X27" s="123"/>
    </row>
    <row r="28" spans="1:27" ht="15.75">
      <c r="A28" s="647">
        <v>11</v>
      </c>
      <c r="B28" s="314" t="s">
        <v>122</v>
      </c>
      <c r="C28" s="649">
        <f>C20-C27</f>
        <v>596.69000000000005</v>
      </c>
      <c r="D28" s="1707"/>
      <c r="E28" s="647">
        <v>11</v>
      </c>
      <c r="F28" s="314" t="s">
        <v>122</v>
      </c>
      <c r="G28" s="649">
        <f>G20-G27</f>
        <v>405.65999999999997</v>
      </c>
      <c r="H28" s="1707"/>
      <c r="I28" s="647">
        <v>11</v>
      </c>
      <c r="J28" s="314" t="s">
        <v>122</v>
      </c>
      <c r="K28" s="649">
        <f>K20-K27</f>
        <v>619.30000000000007</v>
      </c>
      <c r="L28" s="1707"/>
      <c r="M28" s="647">
        <v>11</v>
      </c>
      <c r="N28" s="314" t="s">
        <v>122</v>
      </c>
      <c r="O28" s="649">
        <f>O20-O27</f>
        <v>334.9</v>
      </c>
      <c r="P28" s="345">
        <f t="shared" si="0"/>
        <v>1956.5500000000002</v>
      </c>
      <c r="Q28" s="346"/>
      <c r="R28" s="321"/>
      <c r="S28" s="321"/>
      <c r="T28" s="321"/>
      <c r="U28" s="321"/>
      <c r="V28" s="322"/>
      <c r="W28" s="323"/>
      <c r="X28" s="323"/>
    </row>
    <row r="29" spans="1:27" ht="143.25" customHeight="1">
      <c r="A29" s="1709"/>
      <c r="B29" s="1709"/>
      <c r="C29" s="1709"/>
      <c r="D29" s="1709"/>
      <c r="E29" s="1709"/>
      <c r="F29" s="1709"/>
      <c r="G29" s="1709"/>
      <c r="H29" s="1709"/>
      <c r="I29" s="1709"/>
      <c r="J29" s="1709"/>
      <c r="K29" s="1709"/>
      <c r="L29" s="1709"/>
      <c r="M29" s="1709"/>
      <c r="N29" s="1709"/>
      <c r="O29" s="1709"/>
      <c r="P29" s="345">
        <f t="shared" si="0"/>
        <v>0</v>
      </c>
      <c r="Q29" s="347"/>
      <c r="R29" s="378"/>
      <c r="S29" s="379"/>
      <c r="T29" s="70"/>
      <c r="U29" s="70"/>
      <c r="V29" s="70"/>
      <c r="W29" s="70"/>
      <c r="X29" s="324"/>
    </row>
    <row r="30" spans="1:27" ht="15.75">
      <c r="A30" s="1711" t="s">
        <v>99</v>
      </c>
      <c r="B30" s="1711"/>
      <c r="C30" s="1711"/>
      <c r="D30" s="1707"/>
      <c r="E30" s="1701" t="s">
        <v>102</v>
      </c>
      <c r="F30" s="1701"/>
      <c r="G30" s="1701"/>
      <c r="H30" s="1707"/>
      <c r="I30" s="1711" t="s">
        <v>271</v>
      </c>
      <c r="J30" s="1711"/>
      <c r="K30" s="1711"/>
      <c r="L30" s="1707"/>
      <c r="M30" s="1711"/>
      <c r="N30" s="1711"/>
      <c r="O30" s="1711"/>
      <c r="P30" s="345"/>
      <c r="Q30" s="325"/>
      <c r="R30" s="380"/>
      <c r="S30" s="380"/>
    </row>
    <row r="31" spans="1:27" ht="15.75">
      <c r="A31" s="326">
        <v>1</v>
      </c>
      <c r="B31" s="327" t="s">
        <v>117</v>
      </c>
      <c r="C31" s="125">
        <v>702.4</v>
      </c>
      <c r="D31" s="1707"/>
      <c r="E31" s="320">
        <v>1</v>
      </c>
      <c r="F31" s="320" t="s">
        <v>117</v>
      </c>
      <c r="G31" s="125">
        <v>556.94000000000005</v>
      </c>
      <c r="H31" s="1707"/>
      <c r="I31" s="314">
        <v>1</v>
      </c>
      <c r="J31" s="314" t="s">
        <v>117</v>
      </c>
      <c r="K31" s="125">
        <v>507.95</v>
      </c>
      <c r="L31" s="1707"/>
      <c r="M31" s="314"/>
      <c r="N31" s="314"/>
      <c r="O31" s="125"/>
      <c r="P31" s="345"/>
      <c r="Q31" s="373">
        <f>C31+G31+K31+O31</f>
        <v>1767.2900000000002</v>
      </c>
      <c r="R31" s="380"/>
      <c r="S31" s="380"/>
      <c r="V31" s="324"/>
      <c r="X31" s="324"/>
      <c r="Z31" s="70"/>
    </row>
    <row r="32" spans="1:27" ht="15.75">
      <c r="A32" s="326">
        <v>2</v>
      </c>
      <c r="B32" s="314" t="s">
        <v>270</v>
      </c>
      <c r="C32" s="316"/>
      <c r="D32" s="1707"/>
      <c r="E32" s="320">
        <v>2</v>
      </c>
      <c r="F32" s="314" t="s">
        <v>270</v>
      </c>
      <c r="G32" s="316"/>
      <c r="H32" s="1707"/>
      <c r="I32" s="314">
        <v>2</v>
      </c>
      <c r="J32" s="314" t="s">
        <v>270</v>
      </c>
      <c r="K32" s="316"/>
      <c r="L32" s="1707"/>
      <c r="M32" s="314"/>
      <c r="N32" s="314"/>
      <c r="O32" s="316"/>
      <c r="P32" s="345"/>
      <c r="R32" s="380"/>
      <c r="S32" s="380"/>
      <c r="U32" s="324"/>
      <c r="Z32" s="70"/>
      <c r="AA32" s="328"/>
    </row>
    <row r="33" spans="1:26" ht="15.75">
      <c r="A33" s="326">
        <v>3</v>
      </c>
      <c r="B33" s="314" t="s">
        <v>232</v>
      </c>
      <c r="C33" s="317"/>
      <c r="D33" s="1707"/>
      <c r="E33" s="320">
        <v>3</v>
      </c>
      <c r="F33" s="320" t="s">
        <v>123</v>
      </c>
      <c r="G33" s="320"/>
      <c r="H33" s="1707"/>
      <c r="I33" s="314">
        <v>3</v>
      </c>
      <c r="J33" s="314" t="s">
        <v>119</v>
      </c>
      <c r="K33" s="317"/>
      <c r="L33" s="1707"/>
      <c r="M33" s="314"/>
      <c r="N33" s="314"/>
      <c r="O33" s="317"/>
      <c r="P33" s="345"/>
      <c r="R33" s="380"/>
      <c r="S33" s="380"/>
      <c r="Z33" s="70"/>
    </row>
    <row r="34" spans="1:26" ht="15.75">
      <c r="A34" s="326">
        <v>4</v>
      </c>
      <c r="B34" s="329" t="s">
        <v>14</v>
      </c>
      <c r="C34" s="382">
        <f>SUM(C31:C33)</f>
        <v>702.4</v>
      </c>
      <c r="D34" s="1707"/>
      <c r="E34" s="320">
        <v>4</v>
      </c>
      <c r="F34" s="330" t="s">
        <v>14</v>
      </c>
      <c r="G34" s="331">
        <f>SUM(G31:G33)</f>
        <v>556.94000000000005</v>
      </c>
      <c r="H34" s="1707"/>
      <c r="I34" s="314">
        <v>4</v>
      </c>
      <c r="J34" s="313" t="s">
        <v>14</v>
      </c>
      <c r="K34" s="282">
        <f>SUM(K31:K33)</f>
        <v>507.95</v>
      </c>
      <c r="L34" s="1707"/>
      <c r="M34" s="314"/>
      <c r="N34" s="313"/>
      <c r="O34" s="282"/>
      <c r="P34" s="345"/>
      <c r="R34" s="380"/>
      <c r="S34" s="380"/>
      <c r="T34" s="325"/>
      <c r="V34" s="1703"/>
      <c r="W34" s="1703"/>
      <c r="Z34" s="70"/>
    </row>
    <row r="35" spans="1:26" ht="15.75">
      <c r="A35" s="1710" t="s">
        <v>108</v>
      </c>
      <c r="B35" s="1710"/>
      <c r="C35" s="1710"/>
      <c r="D35" s="1707"/>
      <c r="E35" s="1701" t="s">
        <v>108</v>
      </c>
      <c r="F35" s="1701"/>
      <c r="G35" s="1701"/>
      <c r="H35" s="1707"/>
      <c r="I35" s="1707" t="s">
        <v>108</v>
      </c>
      <c r="J35" s="1707"/>
      <c r="K35" s="1707"/>
      <c r="L35" s="1707"/>
      <c r="M35" s="1707"/>
      <c r="N35" s="1707"/>
      <c r="O35" s="1707"/>
      <c r="P35" s="345"/>
      <c r="R35" s="380"/>
      <c r="S35" s="380"/>
      <c r="T35" s="325"/>
      <c r="Z35" s="70"/>
    </row>
    <row r="36" spans="1:26" ht="15.75">
      <c r="A36" s="326">
        <v>6</v>
      </c>
      <c r="B36" s="327" t="s">
        <v>118</v>
      </c>
      <c r="C36" s="125"/>
      <c r="D36" s="1707"/>
      <c r="E36" s="647">
        <v>6</v>
      </c>
      <c r="F36" s="320" t="s">
        <v>118</v>
      </c>
      <c r="G36" s="125"/>
      <c r="H36" s="1707"/>
      <c r="I36" s="647">
        <v>6</v>
      </c>
      <c r="J36" s="314" t="s">
        <v>118</v>
      </c>
      <c r="K36" s="125"/>
      <c r="L36" s="1707"/>
      <c r="M36" s="647"/>
      <c r="N36" s="314"/>
      <c r="O36" s="125"/>
      <c r="P36" s="345"/>
      <c r="R36" s="380"/>
      <c r="S36" s="380"/>
      <c r="V36" s="1704"/>
      <c r="W36" s="1705"/>
      <c r="Z36" s="70"/>
    </row>
    <row r="37" spans="1:26" ht="15.75">
      <c r="A37" s="326">
        <v>7</v>
      </c>
      <c r="B37" s="370" t="s">
        <v>318</v>
      </c>
      <c r="C37" s="125">
        <v>87.06</v>
      </c>
      <c r="D37" s="1707"/>
      <c r="E37" s="647">
        <v>7</v>
      </c>
      <c r="F37" s="370" t="s">
        <v>318</v>
      </c>
      <c r="G37" s="125">
        <v>71.41</v>
      </c>
      <c r="H37" s="1707"/>
      <c r="I37" s="647">
        <v>7</v>
      </c>
      <c r="J37" s="370" t="s">
        <v>318</v>
      </c>
      <c r="K37" s="125">
        <v>62.33</v>
      </c>
      <c r="L37" s="1707"/>
      <c r="M37" s="647"/>
      <c r="N37" s="370"/>
      <c r="O37" s="125"/>
      <c r="P37" s="345"/>
      <c r="R37" s="376">
        <f>C37+G37+O37+K37</f>
        <v>220.8</v>
      </c>
      <c r="S37" s="380"/>
      <c r="Z37" s="70"/>
    </row>
    <row r="38" spans="1:26" ht="15.75">
      <c r="A38" s="326"/>
      <c r="B38" s="314" t="s">
        <v>231</v>
      </c>
      <c r="C38" s="318"/>
      <c r="D38" s="1707"/>
      <c r="E38" s="647"/>
      <c r="F38" s="314" t="s">
        <v>231</v>
      </c>
      <c r="G38" s="318"/>
      <c r="H38" s="1707"/>
      <c r="I38" s="647"/>
      <c r="J38" s="314" t="s">
        <v>231</v>
      </c>
      <c r="K38" s="318"/>
      <c r="L38" s="1707"/>
      <c r="M38" s="647"/>
      <c r="N38" s="314"/>
      <c r="O38" s="318"/>
      <c r="P38" s="345"/>
      <c r="R38" s="380"/>
      <c r="S38" s="380"/>
      <c r="Z38" s="70"/>
    </row>
    <row r="39" spans="1:26" ht="15.75">
      <c r="A39" s="326">
        <v>8</v>
      </c>
      <c r="B39" s="327" t="s">
        <v>120</v>
      </c>
      <c r="C39" s="161"/>
      <c r="D39" s="1707"/>
      <c r="E39" s="647">
        <v>8</v>
      </c>
      <c r="F39" s="320" t="s">
        <v>120</v>
      </c>
      <c r="G39" s="334"/>
      <c r="H39" s="1707"/>
      <c r="I39" s="647">
        <v>8</v>
      </c>
      <c r="J39" s="314" t="s">
        <v>120</v>
      </c>
      <c r="K39" s="161"/>
      <c r="L39" s="1707"/>
      <c r="M39" s="647"/>
      <c r="N39" s="314"/>
      <c r="O39" s="161"/>
      <c r="P39" s="345"/>
      <c r="R39" s="380"/>
      <c r="S39" s="380"/>
      <c r="U39" s="462"/>
      <c r="Z39" s="335"/>
    </row>
    <row r="40" spans="1:26" ht="15.75">
      <c r="A40" s="326">
        <v>9</v>
      </c>
      <c r="B40" s="327" t="s">
        <v>121</v>
      </c>
      <c r="C40" s="125"/>
      <c r="D40" s="1707"/>
      <c r="E40" s="647">
        <v>9</v>
      </c>
      <c r="F40" s="320" t="s">
        <v>121</v>
      </c>
      <c r="G40" s="320"/>
      <c r="H40" s="1707"/>
      <c r="I40" s="647">
        <v>9</v>
      </c>
      <c r="J40" s="314" t="s">
        <v>121</v>
      </c>
      <c r="K40" s="125"/>
      <c r="L40" s="1707"/>
      <c r="M40" s="647"/>
      <c r="N40" s="314"/>
      <c r="O40" s="125"/>
      <c r="P40" s="345"/>
      <c r="R40" s="380"/>
      <c r="S40" s="380"/>
      <c r="U40" s="462">
        <v>2600000</v>
      </c>
      <c r="V40" s="1706"/>
      <c r="W40" s="1706"/>
      <c r="Z40" s="70"/>
    </row>
    <row r="41" spans="1:26" ht="15.75">
      <c r="A41" s="326">
        <v>10</v>
      </c>
      <c r="B41" s="327" t="s">
        <v>14</v>
      </c>
      <c r="C41" s="372">
        <f>SUM(C36:C40)</f>
        <v>87.06</v>
      </c>
      <c r="D41" s="1707"/>
      <c r="E41" s="647">
        <v>10</v>
      </c>
      <c r="F41" s="336" t="s">
        <v>14</v>
      </c>
      <c r="G41" s="372">
        <f>SUM(G36:G40)</f>
        <v>71.41</v>
      </c>
      <c r="H41" s="1707"/>
      <c r="I41" s="647">
        <v>10</v>
      </c>
      <c r="J41" s="314" t="s">
        <v>14</v>
      </c>
      <c r="K41" s="372">
        <f>SUM(K36:K40)</f>
        <v>62.33</v>
      </c>
      <c r="L41" s="1707"/>
      <c r="M41" s="647"/>
      <c r="N41" s="314"/>
      <c r="O41" s="372"/>
      <c r="P41" s="345"/>
      <c r="R41" s="380"/>
      <c r="S41" s="380"/>
      <c r="U41" s="462">
        <v>2206000</v>
      </c>
      <c r="Z41" s="70"/>
    </row>
    <row r="42" spans="1:26" ht="15.75">
      <c r="A42" s="326">
        <v>11</v>
      </c>
      <c r="B42" s="327" t="s">
        <v>122</v>
      </c>
      <c r="C42" s="652">
        <f>C34-C41</f>
        <v>615.33999999999992</v>
      </c>
      <c r="D42" s="1707"/>
      <c r="E42" s="647">
        <v>11</v>
      </c>
      <c r="F42" s="320" t="s">
        <v>122</v>
      </c>
      <c r="G42" s="650">
        <f>G34-G41</f>
        <v>485.53000000000009</v>
      </c>
      <c r="H42" s="1707"/>
      <c r="I42" s="647">
        <v>11</v>
      </c>
      <c r="J42" s="314" t="s">
        <v>122</v>
      </c>
      <c r="K42" s="651">
        <f>K34-K41</f>
        <v>445.62</v>
      </c>
      <c r="L42" s="1707"/>
      <c r="M42" s="647"/>
      <c r="N42" s="314"/>
      <c r="O42" s="481"/>
      <c r="P42" s="345"/>
      <c r="Q42" s="70"/>
      <c r="R42" s="380"/>
      <c r="S42" s="380"/>
      <c r="U42" s="462">
        <f>SUM(U40:U41)</f>
        <v>4806000</v>
      </c>
      <c r="Z42" s="70"/>
    </row>
    <row r="43" spans="1:26" ht="33" customHeight="1">
      <c r="A43" s="320"/>
      <c r="B43" s="320"/>
      <c r="C43" s="320"/>
      <c r="D43" s="320"/>
      <c r="E43" s="320"/>
      <c r="F43" s="320"/>
      <c r="G43" s="320"/>
      <c r="H43" s="320"/>
      <c r="I43" s="320"/>
      <c r="J43" s="320"/>
      <c r="K43" s="320"/>
      <c r="L43" s="320"/>
      <c r="M43" s="320"/>
      <c r="N43" s="320"/>
      <c r="O43" s="320"/>
      <c r="P43" s="345"/>
      <c r="R43" s="380"/>
      <c r="S43" s="380"/>
      <c r="U43" s="463"/>
      <c r="Z43" s="70"/>
    </row>
    <row r="44" spans="1:26" ht="26.25" customHeight="1">
      <c r="A44" s="1702" t="s">
        <v>280</v>
      </c>
      <c r="B44" s="1702"/>
      <c r="C44" s="1702"/>
      <c r="D44" s="644"/>
      <c r="E44" s="1702" t="s">
        <v>283</v>
      </c>
      <c r="F44" s="1702"/>
      <c r="G44" s="1702"/>
      <c r="H44" s="644"/>
      <c r="I44" s="1702" t="s">
        <v>305</v>
      </c>
      <c r="J44" s="1702"/>
      <c r="K44" s="1702"/>
      <c r="L44" s="344"/>
      <c r="M44" s="1702" t="s">
        <v>273</v>
      </c>
      <c r="N44" s="1702"/>
      <c r="O44" s="1702"/>
      <c r="P44" s="345">
        <f t="shared" si="0"/>
        <v>0</v>
      </c>
      <c r="R44" s="380"/>
      <c r="S44" s="380"/>
      <c r="T44" s="339"/>
    </row>
    <row r="45" spans="1:26" ht="15.75">
      <c r="A45" s="320">
        <v>1</v>
      </c>
      <c r="B45" s="320" t="s">
        <v>117</v>
      </c>
      <c r="C45" s="125">
        <v>642.22</v>
      </c>
      <c r="D45" s="320"/>
      <c r="E45" s="320">
        <v>1</v>
      </c>
      <c r="F45" s="320" t="s">
        <v>117</v>
      </c>
      <c r="G45" s="125">
        <v>579.26</v>
      </c>
      <c r="H45" s="320"/>
      <c r="I45" s="320">
        <v>1</v>
      </c>
      <c r="J45" s="320" t="s">
        <v>117</v>
      </c>
      <c r="K45" s="125">
        <v>520</v>
      </c>
      <c r="L45" s="371"/>
      <c r="M45" s="320">
        <v>1</v>
      </c>
      <c r="N45" s="320" t="s">
        <v>117</v>
      </c>
      <c r="O45" s="125">
        <v>541.48</v>
      </c>
      <c r="P45" s="345">
        <f t="shared" si="0"/>
        <v>2282.96</v>
      </c>
      <c r="Q45" s="373">
        <f>C45+G45+K45+O45</f>
        <v>2282.96</v>
      </c>
      <c r="R45" s="380"/>
      <c r="S45" s="380"/>
    </row>
    <row r="46" spans="1:26" ht="15.75">
      <c r="A46" s="320">
        <v>2</v>
      </c>
      <c r="B46" s="314" t="s">
        <v>270</v>
      </c>
      <c r="C46" s="316"/>
      <c r="D46" s="320"/>
      <c r="E46" s="320">
        <v>2</v>
      </c>
      <c r="F46" s="314" t="s">
        <v>270</v>
      </c>
      <c r="G46" s="316"/>
      <c r="H46" s="320"/>
      <c r="I46" s="320">
        <v>2</v>
      </c>
      <c r="J46" s="314" t="s">
        <v>270</v>
      </c>
      <c r="K46" s="316"/>
      <c r="L46" s="320"/>
      <c r="M46" s="320">
        <v>2</v>
      </c>
      <c r="N46" s="314" t="s">
        <v>270</v>
      </c>
      <c r="O46" s="316"/>
      <c r="P46" s="345">
        <f t="shared" si="0"/>
        <v>0</v>
      </c>
      <c r="R46" s="380"/>
      <c r="S46" s="380"/>
      <c r="T46" s="333"/>
    </row>
    <row r="47" spans="1:26" ht="15">
      <c r="A47" s="320">
        <v>3</v>
      </c>
      <c r="B47" s="320" t="s">
        <v>123</v>
      </c>
      <c r="C47" s="320"/>
      <c r="D47" s="320"/>
      <c r="E47" s="320">
        <v>3</v>
      </c>
      <c r="F47" s="320" t="s">
        <v>123</v>
      </c>
      <c r="G47" s="320"/>
      <c r="H47" s="320"/>
      <c r="I47" s="320">
        <v>3</v>
      </c>
      <c r="J47" s="320" t="s">
        <v>123</v>
      </c>
      <c r="K47" s="320"/>
      <c r="L47" s="320"/>
      <c r="M47" s="320">
        <v>3</v>
      </c>
      <c r="N47" s="320" t="s">
        <v>123</v>
      </c>
      <c r="O47" s="320"/>
      <c r="P47" s="345">
        <f t="shared" si="0"/>
        <v>0</v>
      </c>
      <c r="R47" s="380"/>
      <c r="S47" s="380"/>
    </row>
    <row r="48" spans="1:26" ht="15.75">
      <c r="A48" s="320">
        <v>4</v>
      </c>
      <c r="B48" s="330" t="s">
        <v>14</v>
      </c>
      <c r="C48" s="331">
        <f>SUM(C45:C47)</f>
        <v>642.22</v>
      </c>
      <c r="D48" s="320"/>
      <c r="E48" s="320">
        <v>4</v>
      </c>
      <c r="F48" s="330" t="s">
        <v>14</v>
      </c>
      <c r="G48" s="331">
        <f>SUM(G45:G47)</f>
        <v>579.26</v>
      </c>
      <c r="H48" s="320"/>
      <c r="I48" s="320">
        <v>4</v>
      </c>
      <c r="J48" s="330" t="s">
        <v>14</v>
      </c>
      <c r="K48" s="331">
        <f>SUM(K45:K47)</f>
        <v>520</v>
      </c>
      <c r="L48" s="331"/>
      <c r="M48" s="320">
        <v>4</v>
      </c>
      <c r="N48" s="330" t="s">
        <v>14</v>
      </c>
      <c r="O48" s="331">
        <f>SUM(O45:O47)</f>
        <v>541.48</v>
      </c>
      <c r="P48" s="345">
        <f t="shared" si="0"/>
        <v>2282.96</v>
      </c>
      <c r="R48" s="380"/>
      <c r="S48" s="380"/>
    </row>
    <row r="49" spans="1:26" ht="15.75">
      <c r="A49" s="1701" t="s">
        <v>108</v>
      </c>
      <c r="B49" s="1701"/>
      <c r="C49" s="1701"/>
      <c r="D49" s="644"/>
      <c r="E49" s="1701" t="s">
        <v>108</v>
      </c>
      <c r="F49" s="1701"/>
      <c r="G49" s="1701"/>
      <c r="H49" s="644"/>
      <c r="I49" s="1701" t="s">
        <v>108</v>
      </c>
      <c r="J49" s="1701"/>
      <c r="K49" s="1701"/>
      <c r="L49" s="343"/>
      <c r="M49" s="1701" t="s">
        <v>108</v>
      </c>
      <c r="N49" s="1701"/>
      <c r="O49" s="1701"/>
      <c r="P49" s="345">
        <f t="shared" si="0"/>
        <v>0</v>
      </c>
      <c r="R49" s="380"/>
      <c r="S49" s="380"/>
    </row>
    <row r="50" spans="1:26" ht="15.75">
      <c r="A50" s="647">
        <v>6</v>
      </c>
      <c r="B50" s="320" t="s">
        <v>118</v>
      </c>
      <c r="C50" s="332"/>
      <c r="D50" s="320"/>
      <c r="E50" s="647">
        <v>6</v>
      </c>
      <c r="F50" s="320" t="s">
        <v>118</v>
      </c>
      <c r="G50" s="125"/>
      <c r="H50" s="320"/>
      <c r="I50" s="647">
        <v>6</v>
      </c>
      <c r="J50" s="320" t="s">
        <v>118</v>
      </c>
      <c r="K50" s="125"/>
      <c r="L50" s="125"/>
      <c r="M50" s="647">
        <v>6</v>
      </c>
      <c r="N50" s="320" t="s">
        <v>118</v>
      </c>
      <c r="O50" s="125"/>
      <c r="P50" s="345">
        <f t="shared" si="0"/>
        <v>0</v>
      </c>
      <c r="R50" s="380"/>
      <c r="S50" s="380"/>
    </row>
    <row r="51" spans="1:26" ht="15.75">
      <c r="A51" s="647">
        <v>7</v>
      </c>
      <c r="B51" s="370" t="s">
        <v>318</v>
      </c>
      <c r="C51" s="125">
        <v>80.239999999999995</v>
      </c>
      <c r="D51" s="320"/>
      <c r="E51" s="647">
        <v>7</v>
      </c>
      <c r="F51" s="370" t="s">
        <v>318</v>
      </c>
      <c r="G51" s="125">
        <v>68.010000000000005</v>
      </c>
      <c r="H51" s="320"/>
      <c r="I51" s="647">
        <v>7</v>
      </c>
      <c r="J51" s="370" t="s">
        <v>318</v>
      </c>
      <c r="K51" s="125">
        <v>65.430000000000007</v>
      </c>
      <c r="L51" s="319"/>
      <c r="M51" s="647">
        <v>7</v>
      </c>
      <c r="N51" s="370" t="s">
        <v>318</v>
      </c>
      <c r="O51" s="125">
        <v>65.510000000000005</v>
      </c>
      <c r="P51" s="345">
        <f t="shared" si="0"/>
        <v>279.19</v>
      </c>
      <c r="R51" s="376">
        <f>C51+G51+O51+K51</f>
        <v>279.19</v>
      </c>
      <c r="S51" s="380"/>
    </row>
    <row r="52" spans="1:26" ht="15.75">
      <c r="A52" s="647"/>
      <c r="B52" s="314" t="s">
        <v>231</v>
      </c>
      <c r="C52" s="318"/>
      <c r="D52" s="320"/>
      <c r="E52" s="647"/>
      <c r="F52" s="314" t="s">
        <v>231</v>
      </c>
      <c r="G52" s="318"/>
      <c r="H52" s="320"/>
      <c r="I52" s="647"/>
      <c r="J52" s="314" t="s">
        <v>231</v>
      </c>
      <c r="K52" s="318"/>
      <c r="L52" s="318"/>
      <c r="M52" s="647"/>
      <c r="N52" s="314" t="s">
        <v>231</v>
      </c>
      <c r="O52" s="318"/>
      <c r="P52" s="345">
        <f t="shared" si="0"/>
        <v>0</v>
      </c>
      <c r="R52" s="380"/>
      <c r="S52" s="380"/>
    </row>
    <row r="53" spans="1:26" ht="15.75">
      <c r="A53" s="647">
        <v>8</v>
      </c>
      <c r="B53" s="320" t="s">
        <v>120</v>
      </c>
      <c r="C53" s="320"/>
      <c r="D53" s="320"/>
      <c r="E53" s="647">
        <v>8</v>
      </c>
      <c r="F53" s="320" t="s">
        <v>120</v>
      </c>
      <c r="G53" s="334"/>
      <c r="H53" s="320"/>
      <c r="I53" s="647">
        <v>8</v>
      </c>
      <c r="J53" s="320" t="s">
        <v>120</v>
      </c>
      <c r="K53" s="334"/>
      <c r="L53" s="334"/>
      <c r="M53" s="647">
        <v>8</v>
      </c>
      <c r="N53" s="320" t="s">
        <v>120</v>
      </c>
      <c r="O53" s="334"/>
      <c r="P53" s="345">
        <f t="shared" si="0"/>
        <v>0</v>
      </c>
      <c r="R53" s="380"/>
      <c r="S53" s="380"/>
    </row>
    <row r="54" spans="1:26" ht="15.75">
      <c r="A54" s="647">
        <v>9</v>
      </c>
      <c r="B54" s="320" t="s">
        <v>121</v>
      </c>
      <c r="C54" s="320"/>
      <c r="D54" s="320"/>
      <c r="E54" s="647">
        <v>9</v>
      </c>
      <c r="F54" s="320" t="s">
        <v>121</v>
      </c>
      <c r="G54" s="320"/>
      <c r="H54" s="320"/>
      <c r="I54" s="647">
        <v>9</v>
      </c>
      <c r="J54" s="320" t="s">
        <v>121</v>
      </c>
      <c r="K54" s="320"/>
      <c r="L54" s="320"/>
      <c r="M54" s="647">
        <v>9</v>
      </c>
      <c r="N54" s="320" t="s">
        <v>121</v>
      </c>
      <c r="O54" s="320"/>
      <c r="P54" s="345">
        <f t="shared" si="0"/>
        <v>0</v>
      </c>
      <c r="R54" s="380"/>
      <c r="S54" s="380"/>
    </row>
    <row r="55" spans="1:26" ht="15.75">
      <c r="A55" s="647">
        <v>10</v>
      </c>
      <c r="B55" s="336" t="s">
        <v>14</v>
      </c>
      <c r="C55" s="372">
        <f>SUM(C50:C54)</f>
        <v>80.239999999999995</v>
      </c>
      <c r="D55" s="320"/>
      <c r="E55" s="647">
        <v>10</v>
      </c>
      <c r="F55" s="336" t="s">
        <v>14</v>
      </c>
      <c r="G55" s="372">
        <f>SUM(G50:G54)</f>
        <v>68.010000000000005</v>
      </c>
      <c r="H55" s="320"/>
      <c r="I55" s="647">
        <v>10</v>
      </c>
      <c r="J55" s="336" t="s">
        <v>14</v>
      </c>
      <c r="K55" s="372">
        <f>SUM(K50:K54)</f>
        <v>65.430000000000007</v>
      </c>
      <c r="L55" s="337"/>
      <c r="M55" s="647">
        <v>10</v>
      </c>
      <c r="N55" s="336" t="s">
        <v>14</v>
      </c>
      <c r="O55" s="372">
        <f>SUM(O50:O54)</f>
        <v>65.510000000000005</v>
      </c>
      <c r="P55" s="345">
        <f t="shared" si="0"/>
        <v>279.19</v>
      </c>
      <c r="R55" s="380"/>
      <c r="S55" s="380"/>
    </row>
    <row r="56" spans="1:26" ht="15.75">
      <c r="A56" s="647">
        <v>11</v>
      </c>
      <c r="B56" s="320" t="s">
        <v>122</v>
      </c>
      <c r="C56" s="653">
        <f>C48-C55</f>
        <v>561.98</v>
      </c>
      <c r="D56" s="320"/>
      <c r="E56" s="647">
        <v>11</v>
      </c>
      <c r="F56" s="320" t="s">
        <v>122</v>
      </c>
      <c r="G56" s="650">
        <f>G48-G55</f>
        <v>511.25</v>
      </c>
      <c r="H56" s="320"/>
      <c r="I56" s="647">
        <v>11</v>
      </c>
      <c r="J56" s="320" t="s">
        <v>122</v>
      </c>
      <c r="K56" s="650">
        <f>K48-K55</f>
        <v>454.57</v>
      </c>
      <c r="L56" s="338"/>
      <c r="M56" s="647">
        <v>11</v>
      </c>
      <c r="N56" s="320" t="s">
        <v>122</v>
      </c>
      <c r="O56" s="650">
        <f>O48-O55</f>
        <v>475.97</v>
      </c>
      <c r="P56" s="345">
        <f t="shared" si="0"/>
        <v>2003.77</v>
      </c>
      <c r="R56" s="380"/>
      <c r="S56" s="380"/>
    </row>
    <row r="57" spans="1:26" ht="126.75" customHeight="1">
      <c r="A57" s="1708"/>
      <c r="B57" s="1708"/>
      <c r="C57" s="1708"/>
      <c r="D57" s="646"/>
      <c r="E57" s="1708"/>
      <c r="F57" s="1708"/>
      <c r="G57" s="1708"/>
      <c r="H57" s="646"/>
      <c r="L57" s="646"/>
      <c r="M57" s="1708"/>
      <c r="N57" s="1708"/>
      <c r="O57" s="1708"/>
      <c r="P57" s="345">
        <f t="shared" si="0"/>
        <v>0</v>
      </c>
      <c r="R57" s="380"/>
      <c r="S57" s="380"/>
    </row>
    <row r="58" spans="1:26" ht="15.75">
      <c r="A58" s="1702" t="s">
        <v>282</v>
      </c>
      <c r="B58" s="1702"/>
      <c r="C58" s="1702"/>
      <c r="E58" s="1702" t="s">
        <v>272</v>
      </c>
      <c r="F58" s="1702"/>
      <c r="G58" s="1702"/>
      <c r="I58" s="1702" t="s">
        <v>281</v>
      </c>
      <c r="J58" s="1702"/>
      <c r="K58" s="1702"/>
      <c r="M58" s="1702" t="s">
        <v>274</v>
      </c>
      <c r="N58" s="1702"/>
      <c r="O58" s="1702"/>
      <c r="P58" s="345">
        <f t="shared" si="0"/>
        <v>0</v>
      </c>
    </row>
    <row r="59" spans="1:26" ht="15.75">
      <c r="A59" s="320">
        <v>1</v>
      </c>
      <c r="B59" s="320" t="s">
        <v>117</v>
      </c>
      <c r="C59" s="125">
        <v>566.66999999999996</v>
      </c>
      <c r="E59" s="320">
        <v>1</v>
      </c>
      <c r="F59" s="320" t="s">
        <v>117</v>
      </c>
      <c r="G59" s="125">
        <v>566.66999999999996</v>
      </c>
      <c r="I59" s="320">
        <v>1</v>
      </c>
      <c r="J59" s="320" t="s">
        <v>117</v>
      </c>
      <c r="K59" s="125">
        <v>566.66999999999996</v>
      </c>
      <c r="M59" s="320">
        <v>1</v>
      </c>
      <c r="N59" s="320" t="s">
        <v>117</v>
      </c>
      <c r="O59" s="125">
        <v>566.66999999999996</v>
      </c>
      <c r="P59" s="345">
        <f>C59+G59+K59+O59</f>
        <v>2266.6799999999998</v>
      </c>
      <c r="Q59" s="373">
        <f>C59+G59+K59+O59</f>
        <v>2266.6799999999998</v>
      </c>
    </row>
    <row r="60" spans="1:26" ht="15.75">
      <c r="A60" s="320">
        <v>2</v>
      </c>
      <c r="B60" s="314" t="s">
        <v>270</v>
      </c>
      <c r="C60" s="316"/>
      <c r="E60" s="320">
        <v>2</v>
      </c>
      <c r="F60" s="314" t="s">
        <v>270</v>
      </c>
      <c r="G60" s="316"/>
      <c r="I60" s="320">
        <v>2</v>
      </c>
      <c r="J60" s="314" t="s">
        <v>270</v>
      </c>
      <c r="K60" s="316"/>
      <c r="M60" s="320">
        <v>2</v>
      </c>
      <c r="N60" s="314" t="s">
        <v>270</v>
      </c>
      <c r="O60" s="316"/>
      <c r="P60" s="345">
        <f t="shared" si="0"/>
        <v>0</v>
      </c>
    </row>
    <row r="61" spans="1:26" ht="15">
      <c r="A61" s="320">
        <v>3</v>
      </c>
      <c r="B61" s="320" t="s">
        <v>123</v>
      </c>
      <c r="C61" s="320"/>
      <c r="E61" s="320">
        <v>3</v>
      </c>
      <c r="F61" s="320" t="s">
        <v>123</v>
      </c>
      <c r="G61" s="320"/>
      <c r="I61" s="320">
        <v>3</v>
      </c>
      <c r="J61" s="320" t="s">
        <v>123</v>
      </c>
      <c r="K61" s="320"/>
      <c r="M61" s="320">
        <v>3</v>
      </c>
      <c r="N61" s="320" t="s">
        <v>123</v>
      </c>
      <c r="O61" s="320"/>
      <c r="P61" s="345">
        <f t="shared" si="0"/>
        <v>0</v>
      </c>
    </row>
    <row r="62" spans="1:26" ht="15.75">
      <c r="A62" s="320">
        <v>4</v>
      </c>
      <c r="B62" s="330" t="s">
        <v>14</v>
      </c>
      <c r="C62" s="331">
        <f>SUM(C59:C61)</f>
        <v>566.66999999999996</v>
      </c>
      <c r="D62" s="340"/>
      <c r="E62" s="320">
        <v>4</v>
      </c>
      <c r="F62" s="330" t="s">
        <v>14</v>
      </c>
      <c r="G62" s="331">
        <f>SUM(G59:G61)</f>
        <v>566.66999999999996</v>
      </c>
      <c r="H62" s="340"/>
      <c r="I62" s="320">
        <v>4</v>
      </c>
      <c r="J62" s="330" t="s">
        <v>14</v>
      </c>
      <c r="K62" s="331">
        <f>SUM(K59:K61)</f>
        <v>566.66999999999996</v>
      </c>
      <c r="L62" s="340"/>
      <c r="M62" s="320">
        <v>4</v>
      </c>
      <c r="N62" s="330" t="s">
        <v>14</v>
      </c>
      <c r="O62" s="331">
        <f>SUM(O59:O61)</f>
        <v>566.66999999999996</v>
      </c>
      <c r="P62" s="345">
        <f t="shared" si="0"/>
        <v>2266.6799999999998</v>
      </c>
    </row>
    <row r="63" spans="1:26" ht="16.5" customHeight="1">
      <c r="A63" s="1701" t="s">
        <v>108</v>
      </c>
      <c r="B63" s="1701"/>
      <c r="C63" s="1701"/>
      <c r="E63" s="1701" t="s">
        <v>108</v>
      </c>
      <c r="F63" s="1701"/>
      <c r="G63" s="1701"/>
      <c r="I63" s="1701" t="s">
        <v>108</v>
      </c>
      <c r="J63" s="1701"/>
      <c r="K63" s="1701"/>
      <c r="M63" s="1701" t="s">
        <v>108</v>
      </c>
      <c r="N63" s="1701"/>
      <c r="O63" s="1701"/>
      <c r="P63" s="345">
        <f t="shared" si="0"/>
        <v>0</v>
      </c>
      <c r="Q63" s="341"/>
      <c r="R63" s="105"/>
      <c r="S63" s="105"/>
      <c r="T63" s="105"/>
      <c r="U63" s="105"/>
      <c r="V63" s="105"/>
      <c r="W63" s="105"/>
      <c r="X63" s="105"/>
      <c r="Y63" s="105"/>
      <c r="Z63" s="342"/>
    </row>
    <row r="64" spans="1:26" ht="16.5" customHeight="1">
      <c r="A64" s="647">
        <v>6</v>
      </c>
      <c r="B64" s="320" t="s">
        <v>118</v>
      </c>
      <c r="C64" s="332"/>
      <c r="E64" s="647">
        <v>6</v>
      </c>
      <c r="F64" s="320" t="s">
        <v>118</v>
      </c>
      <c r="G64" s="332"/>
      <c r="I64" s="647">
        <v>6</v>
      </c>
      <c r="J64" s="320" t="s">
        <v>118</v>
      </c>
      <c r="K64" s="332"/>
      <c r="M64" s="647">
        <v>6</v>
      </c>
      <c r="N64" s="320" t="s">
        <v>118</v>
      </c>
      <c r="O64" s="332"/>
      <c r="P64" s="345">
        <f t="shared" si="0"/>
        <v>0</v>
      </c>
      <c r="Q64" s="341"/>
      <c r="R64" s="105"/>
      <c r="S64" s="105"/>
      <c r="T64" s="105"/>
      <c r="U64" s="105"/>
      <c r="V64" s="105"/>
      <c r="W64" s="105"/>
      <c r="X64" s="105"/>
      <c r="Y64" s="105"/>
      <c r="Z64" s="342"/>
    </row>
    <row r="65" spans="1:26" ht="16.5" customHeight="1">
      <c r="A65" s="647">
        <v>7</v>
      </c>
      <c r="B65" s="370" t="s">
        <v>318</v>
      </c>
      <c r="C65" s="648">
        <v>65.989999999999995</v>
      </c>
      <c r="E65" s="647">
        <v>7</v>
      </c>
      <c r="F65" s="370" t="s">
        <v>318</v>
      </c>
      <c r="G65" s="648">
        <v>47.67</v>
      </c>
      <c r="I65" s="647">
        <v>7</v>
      </c>
      <c r="J65" s="370" t="s">
        <v>318</v>
      </c>
      <c r="K65" s="648">
        <v>65.989999999999995</v>
      </c>
      <c r="M65" s="647">
        <v>7</v>
      </c>
      <c r="N65" s="370" t="s">
        <v>318</v>
      </c>
      <c r="O65" s="648">
        <v>65.989999999999995</v>
      </c>
      <c r="P65" s="345">
        <f t="shared" si="0"/>
        <v>245.64</v>
      </c>
      <c r="Q65" s="341"/>
      <c r="R65" s="122">
        <f>C65+G65+O65+K65</f>
        <v>245.64</v>
      </c>
      <c r="S65" s="105"/>
      <c r="T65" s="105"/>
      <c r="U65" s="105"/>
      <c r="V65" s="105"/>
      <c r="W65" s="105"/>
      <c r="X65" s="105"/>
      <c r="Y65" s="105"/>
      <c r="Z65" s="342"/>
    </row>
    <row r="66" spans="1:26" ht="16.5" customHeight="1">
      <c r="A66" s="647"/>
      <c r="B66" s="314" t="s">
        <v>231</v>
      </c>
      <c r="C66" s="318"/>
      <c r="E66" s="647"/>
      <c r="F66" s="314" t="s">
        <v>231</v>
      </c>
      <c r="G66" s="318"/>
      <c r="I66" s="647"/>
      <c r="J66" s="314" t="s">
        <v>231</v>
      </c>
      <c r="K66" s="318"/>
      <c r="M66" s="647"/>
      <c r="N66" s="314" t="s">
        <v>231</v>
      </c>
      <c r="O66" s="318"/>
      <c r="P66" s="345">
        <f t="shared" si="0"/>
        <v>0</v>
      </c>
      <c r="Q66" s="341"/>
      <c r="R66" s="105"/>
      <c r="S66" s="105"/>
      <c r="T66" s="105"/>
      <c r="U66" s="105"/>
      <c r="V66" s="105"/>
      <c r="W66" s="105"/>
      <c r="X66" s="105"/>
      <c r="Y66" s="105"/>
      <c r="Z66" s="342"/>
    </row>
    <row r="67" spans="1:26" ht="16.5" customHeight="1">
      <c r="A67" s="647">
        <v>8</v>
      </c>
      <c r="B67" s="320" t="s">
        <v>120</v>
      </c>
      <c r="C67" s="320"/>
      <c r="E67" s="647">
        <v>8</v>
      </c>
      <c r="F67" s="320" t="s">
        <v>120</v>
      </c>
      <c r="G67" s="320">
        <v>500</v>
      </c>
      <c r="I67" s="647">
        <v>8</v>
      </c>
      <c r="J67" s="320" t="s">
        <v>120</v>
      </c>
      <c r="K67" s="320"/>
      <c r="M67" s="647">
        <v>8</v>
      </c>
      <c r="N67" s="320" t="s">
        <v>120</v>
      </c>
      <c r="O67" s="320"/>
      <c r="P67" s="345">
        <f t="shared" si="0"/>
        <v>500</v>
      </c>
      <c r="Q67" s="341"/>
      <c r="R67" s="105"/>
      <c r="S67" s="105"/>
      <c r="T67" s="105"/>
      <c r="U67" s="105"/>
      <c r="V67" s="105"/>
      <c r="W67" s="105"/>
      <c r="X67" s="105"/>
      <c r="Y67" s="105"/>
      <c r="Z67" s="342"/>
    </row>
    <row r="68" spans="1:26" ht="16.5" customHeight="1">
      <c r="A68" s="647">
        <v>9</v>
      </c>
      <c r="B68" s="320" t="s">
        <v>121</v>
      </c>
      <c r="C68" s="320"/>
      <c r="E68" s="647">
        <v>9</v>
      </c>
      <c r="F68" s="320" t="s">
        <v>121</v>
      </c>
      <c r="G68" s="320"/>
      <c r="I68" s="647">
        <v>9</v>
      </c>
      <c r="J68" s="320" t="s">
        <v>121</v>
      </c>
      <c r="K68" s="320"/>
      <c r="M68" s="647">
        <v>9</v>
      </c>
      <c r="N68" s="320" t="s">
        <v>121</v>
      </c>
      <c r="O68" s="320"/>
      <c r="P68" s="345">
        <f t="shared" ref="P68" si="1">C68+G68+K68+O68</f>
        <v>0</v>
      </c>
      <c r="Q68" s="341"/>
      <c r="R68" s="105"/>
      <c r="S68" s="105"/>
      <c r="T68" s="105"/>
      <c r="U68" s="105"/>
      <c r="V68" s="105"/>
      <c r="W68" s="105"/>
      <c r="X68" s="105"/>
      <c r="Y68" s="105"/>
      <c r="Z68" s="342"/>
    </row>
    <row r="69" spans="1:26" ht="16.5" customHeight="1">
      <c r="A69" s="647">
        <v>10</v>
      </c>
      <c r="B69" s="336" t="s">
        <v>14</v>
      </c>
      <c r="C69" s="372">
        <f>SUM(C64:C68)</f>
        <v>65.989999999999995</v>
      </c>
      <c r="E69" s="647">
        <v>10</v>
      </c>
      <c r="F69" s="336" t="s">
        <v>14</v>
      </c>
      <c r="G69" s="372">
        <f>SUM(G64:G68)</f>
        <v>547.66999999999996</v>
      </c>
      <c r="I69" s="647">
        <v>10</v>
      </c>
      <c r="J69" s="336" t="s">
        <v>14</v>
      </c>
      <c r="K69" s="372">
        <f>SUM(K64:K68)</f>
        <v>65.989999999999995</v>
      </c>
      <c r="M69" s="647">
        <v>10</v>
      </c>
      <c r="N69" s="336" t="s">
        <v>14</v>
      </c>
      <c r="O69" s="372">
        <f>SUM(O64:O68)</f>
        <v>65.989999999999995</v>
      </c>
      <c r="P69" s="345">
        <f>C69+G69+K69+O69</f>
        <v>745.64</v>
      </c>
      <c r="Q69" s="341"/>
      <c r="R69" s="105"/>
      <c r="S69" s="105"/>
      <c r="T69" s="105"/>
      <c r="U69" s="105"/>
      <c r="V69" s="105"/>
      <c r="W69" s="105"/>
      <c r="X69" s="105"/>
      <c r="Y69" s="105"/>
      <c r="Z69" s="342"/>
    </row>
    <row r="70" spans="1:26" ht="16.5" customHeight="1">
      <c r="A70" s="647">
        <v>11</v>
      </c>
      <c r="B70" s="320" t="s">
        <v>122</v>
      </c>
      <c r="C70" s="650">
        <f>C62-C69</f>
        <v>500.67999999999995</v>
      </c>
      <c r="E70" s="647">
        <v>11</v>
      </c>
      <c r="F70" s="320" t="s">
        <v>122</v>
      </c>
      <c r="G70" s="650">
        <f>G62-G69</f>
        <v>19</v>
      </c>
      <c r="I70" s="647">
        <v>11</v>
      </c>
      <c r="J70" s="320" t="s">
        <v>122</v>
      </c>
      <c r="K70" s="650">
        <f>K62-K69</f>
        <v>500.67999999999995</v>
      </c>
      <c r="M70" s="647">
        <v>11</v>
      </c>
      <c r="N70" s="320" t="s">
        <v>122</v>
      </c>
      <c r="O70" s="650">
        <f>O62-O69</f>
        <v>500.67999999999995</v>
      </c>
      <c r="P70" s="345">
        <f>C70+G70+K70+O70</f>
        <v>1521.04</v>
      </c>
      <c r="Q70" s="341"/>
      <c r="R70" s="105"/>
      <c r="S70" s="105"/>
      <c r="T70" s="105"/>
      <c r="U70" s="105"/>
      <c r="V70" s="105"/>
      <c r="W70" s="105"/>
      <c r="X70" s="105"/>
      <c r="Y70" s="105"/>
      <c r="Z70" s="342"/>
    </row>
    <row r="71" spans="1:26" ht="26.25" customHeight="1">
      <c r="Q71" s="341"/>
      <c r="R71" s="105"/>
      <c r="S71" s="105"/>
      <c r="T71" s="105"/>
      <c r="U71" s="105"/>
      <c r="V71" s="105"/>
      <c r="W71" s="105"/>
      <c r="X71" s="105"/>
      <c r="Y71" s="105"/>
      <c r="Z71" s="342"/>
    </row>
    <row r="72" spans="1:26" ht="18.75" customHeight="1">
      <c r="A72" s="1702" t="s">
        <v>446</v>
      </c>
      <c r="B72" s="1702"/>
      <c r="C72" s="1702"/>
      <c r="E72" s="1702" t="s">
        <v>256</v>
      </c>
      <c r="F72" s="1702"/>
      <c r="G72" s="1702"/>
      <c r="I72" s="1702" t="s">
        <v>382</v>
      </c>
      <c r="J72" s="1702"/>
      <c r="K72" s="1702"/>
      <c r="Q72" s="341"/>
      <c r="R72" s="105"/>
      <c r="S72" s="105"/>
      <c r="T72" s="105"/>
      <c r="U72" s="105"/>
      <c r="V72" s="105"/>
      <c r="W72" s="105"/>
      <c r="X72" s="105"/>
      <c r="Y72" s="105"/>
      <c r="Z72" s="342"/>
    </row>
    <row r="73" spans="1:26" ht="18.75" customHeight="1">
      <c r="A73" s="320">
        <v>1</v>
      </c>
      <c r="B73" s="320" t="s">
        <v>117</v>
      </c>
      <c r="C73" s="125">
        <v>642.22</v>
      </c>
      <c r="E73" s="320">
        <v>1</v>
      </c>
      <c r="F73" s="320" t="s">
        <v>117</v>
      </c>
      <c r="G73" s="125">
        <v>500</v>
      </c>
      <c r="I73" s="320">
        <v>1</v>
      </c>
      <c r="J73" s="320" t="s">
        <v>117</v>
      </c>
      <c r="K73" s="125">
        <v>705.19</v>
      </c>
      <c r="P73" s="345"/>
      <c r="Q73" s="373">
        <f>C73+G73+K73+O73</f>
        <v>1847.41</v>
      </c>
      <c r="R73" s="105"/>
      <c r="S73" s="105"/>
      <c r="T73" s="105"/>
      <c r="U73" s="105"/>
      <c r="V73" s="105"/>
      <c r="W73" s="105"/>
      <c r="X73" s="105"/>
      <c r="Y73" s="105"/>
      <c r="Z73" s="342"/>
    </row>
    <row r="74" spans="1:26" ht="18.75" customHeight="1">
      <c r="A74" s="320">
        <v>2</v>
      </c>
      <c r="B74" s="314" t="s">
        <v>270</v>
      </c>
      <c r="C74" s="316"/>
      <c r="E74" s="320">
        <v>2</v>
      </c>
      <c r="F74" s="314" t="s">
        <v>270</v>
      </c>
      <c r="G74" s="316"/>
      <c r="I74" s="320">
        <v>2</v>
      </c>
      <c r="J74" s="314" t="s">
        <v>270</v>
      </c>
      <c r="K74" s="316"/>
      <c r="Q74" s="341"/>
      <c r="R74" s="105"/>
      <c r="S74" s="105"/>
      <c r="T74" s="105"/>
      <c r="U74" s="105"/>
      <c r="V74" s="105"/>
      <c r="W74" s="105"/>
      <c r="X74" s="105"/>
      <c r="Y74" s="105"/>
      <c r="Z74" s="342"/>
    </row>
    <row r="75" spans="1:26" ht="18.75" customHeight="1">
      <c r="A75" s="320">
        <v>3</v>
      </c>
      <c r="B75" s="320" t="s">
        <v>123</v>
      </c>
      <c r="C75" s="320"/>
      <c r="E75" s="320">
        <v>3</v>
      </c>
      <c r="F75" s="320" t="s">
        <v>123</v>
      </c>
      <c r="G75" s="320"/>
      <c r="I75" s="320">
        <v>3</v>
      </c>
      <c r="J75" s="320" t="s">
        <v>123</v>
      </c>
      <c r="K75" s="320"/>
      <c r="Q75" s="341"/>
      <c r="R75" s="105"/>
      <c r="S75" s="105"/>
      <c r="T75" s="105"/>
      <c r="U75" s="105"/>
      <c r="V75" s="105"/>
      <c r="W75" s="105"/>
      <c r="X75" s="105"/>
      <c r="Y75" s="105"/>
      <c r="Z75" s="342"/>
    </row>
    <row r="76" spans="1:26" ht="18.75" customHeight="1">
      <c r="A76" s="320">
        <v>4</v>
      </c>
      <c r="B76" s="330" t="s">
        <v>14</v>
      </c>
      <c r="C76" s="331">
        <f>SUM(C73:C75)</f>
        <v>642.22</v>
      </c>
      <c r="E76" s="320">
        <v>4</v>
      </c>
      <c r="F76" s="330" t="s">
        <v>14</v>
      </c>
      <c r="G76" s="331">
        <f>SUM(G73:G75)</f>
        <v>500</v>
      </c>
      <c r="I76" s="320">
        <v>4</v>
      </c>
      <c r="J76" s="330" t="s">
        <v>14</v>
      </c>
      <c r="K76" s="331">
        <f>SUM(K73:K75)</f>
        <v>705.19</v>
      </c>
      <c r="Q76" s="341"/>
      <c r="R76" s="105"/>
      <c r="S76" s="105"/>
      <c r="T76" s="105"/>
      <c r="U76" s="105"/>
      <c r="V76" s="105"/>
      <c r="W76" s="105"/>
      <c r="X76" s="105"/>
      <c r="Y76" s="105"/>
      <c r="Z76" s="342"/>
    </row>
    <row r="77" spans="1:26" ht="18.75" customHeight="1">
      <c r="A77" s="1701" t="s">
        <v>108</v>
      </c>
      <c r="B77" s="1701"/>
      <c r="C77" s="1701"/>
      <c r="E77" s="1701" t="s">
        <v>108</v>
      </c>
      <c r="F77" s="1701"/>
      <c r="G77" s="1701"/>
      <c r="I77" s="1701" t="s">
        <v>108</v>
      </c>
      <c r="J77" s="1701"/>
      <c r="K77" s="1701"/>
      <c r="Q77" s="341"/>
      <c r="R77" s="105"/>
      <c r="S77" s="105"/>
      <c r="T77" s="105"/>
      <c r="U77" s="105"/>
      <c r="V77" s="105"/>
      <c r="W77" s="105"/>
      <c r="X77" s="105"/>
      <c r="Y77" s="105"/>
      <c r="Z77" s="342"/>
    </row>
    <row r="78" spans="1:26" ht="18.75" customHeight="1">
      <c r="A78" s="647">
        <v>6</v>
      </c>
      <c r="B78" s="320" t="s">
        <v>118</v>
      </c>
      <c r="C78" s="332"/>
      <c r="E78" s="647">
        <v>6</v>
      </c>
      <c r="F78" s="320" t="s">
        <v>118</v>
      </c>
      <c r="G78" s="332"/>
      <c r="I78" s="647">
        <v>6</v>
      </c>
      <c r="J78" s="320" t="s">
        <v>118</v>
      </c>
      <c r="K78" s="332"/>
      <c r="Q78" s="341"/>
      <c r="R78" s="105"/>
      <c r="S78" s="105"/>
      <c r="T78" s="105"/>
      <c r="U78" s="105"/>
      <c r="V78" s="105"/>
      <c r="W78" s="105"/>
      <c r="X78" s="105"/>
      <c r="Y78" s="105"/>
      <c r="Z78" s="342"/>
    </row>
    <row r="79" spans="1:26" ht="18.75" customHeight="1">
      <c r="A79" s="647">
        <v>7</v>
      </c>
      <c r="B79" s="370" t="s">
        <v>318</v>
      </c>
      <c r="C79" s="648">
        <v>74.239999999999995</v>
      </c>
      <c r="E79" s="647">
        <v>7</v>
      </c>
      <c r="F79" s="370" t="s">
        <v>318</v>
      </c>
      <c r="G79" s="648">
        <v>67.78</v>
      </c>
      <c r="I79" s="647">
        <v>7</v>
      </c>
      <c r="J79" s="370" t="s">
        <v>318</v>
      </c>
      <c r="K79" s="648">
        <v>63.84</v>
      </c>
      <c r="Q79" s="341"/>
      <c r="R79" s="122">
        <f>C79+G79+O79+K79</f>
        <v>205.85999999999999</v>
      </c>
      <c r="S79" s="105"/>
      <c r="T79" s="105"/>
      <c r="U79" s="105"/>
      <c r="V79" s="105"/>
      <c r="W79" s="105"/>
      <c r="X79" s="105"/>
      <c r="Y79" s="105"/>
      <c r="Z79" s="342"/>
    </row>
    <row r="80" spans="1:26" ht="18.75" customHeight="1">
      <c r="A80" s="647"/>
      <c r="B80" s="314" t="s">
        <v>231</v>
      </c>
      <c r="C80" s="318"/>
      <c r="E80" s="647"/>
      <c r="F80" s="314" t="s">
        <v>231</v>
      </c>
      <c r="G80" s="318"/>
      <c r="I80" s="647"/>
      <c r="J80" s="314" t="s">
        <v>231</v>
      </c>
      <c r="K80" s="318"/>
      <c r="Q80" s="341"/>
      <c r="R80" s="105"/>
      <c r="S80" s="105"/>
      <c r="T80" s="105"/>
      <c r="U80" s="105"/>
      <c r="V80" s="105"/>
      <c r="W80" s="105"/>
      <c r="X80" s="105"/>
      <c r="Y80" s="105"/>
      <c r="Z80" s="342"/>
    </row>
    <row r="81" spans="1:24" ht="18.75" customHeight="1">
      <c r="A81" s="647">
        <v>8</v>
      </c>
      <c r="B81" s="320" t="s">
        <v>120</v>
      </c>
      <c r="C81" s="320"/>
      <c r="E81" s="647">
        <v>8</v>
      </c>
      <c r="F81" s="320" t="s">
        <v>120</v>
      </c>
      <c r="G81" s="320"/>
      <c r="I81" s="647">
        <v>8</v>
      </c>
      <c r="J81" s="320" t="s">
        <v>120</v>
      </c>
      <c r="K81" s="320"/>
      <c r="R81" s="328"/>
      <c r="S81" s="328"/>
      <c r="T81" s="328"/>
      <c r="U81" s="328"/>
      <c r="V81" s="328"/>
      <c r="W81" s="328"/>
      <c r="X81" s="328"/>
    </row>
    <row r="82" spans="1:24" ht="18.75" customHeight="1">
      <c r="A82" s="647">
        <v>9</v>
      </c>
      <c r="B82" s="320" t="s">
        <v>121</v>
      </c>
      <c r="C82" s="320"/>
      <c r="E82" s="647">
        <v>9</v>
      </c>
      <c r="F82" s="320" t="s">
        <v>121</v>
      </c>
      <c r="G82" s="320"/>
      <c r="I82" s="647">
        <v>9</v>
      </c>
      <c r="J82" s="320" t="s">
        <v>121</v>
      </c>
      <c r="K82" s="320"/>
      <c r="Q82" s="375">
        <f>Q3+Q17+Q31+Q45+Q59+Q73</f>
        <v>13744.970000000001</v>
      </c>
      <c r="R82" s="381">
        <f>R9+R23+R37+R51+R65+R79</f>
        <v>1697.1299999999999</v>
      </c>
      <c r="S82" s="347">
        <f>Q82-R82</f>
        <v>12047.840000000002</v>
      </c>
      <c r="W82" s="105"/>
      <c r="X82" s="328"/>
    </row>
    <row r="83" spans="1:24" ht="18.75" customHeight="1">
      <c r="A83" s="647">
        <v>10</v>
      </c>
      <c r="B83" s="336" t="s">
        <v>14</v>
      </c>
      <c r="C83" s="372">
        <f>SUM(C78:C82)</f>
        <v>74.239999999999995</v>
      </c>
      <c r="E83" s="647">
        <v>10</v>
      </c>
      <c r="F83" s="336" t="s">
        <v>14</v>
      </c>
      <c r="G83" s="372">
        <f>SUM(G78:G82)</f>
        <v>67.78</v>
      </c>
      <c r="I83" s="647">
        <v>10</v>
      </c>
      <c r="J83" s="336" t="s">
        <v>14</v>
      </c>
      <c r="K83" s="372">
        <f>SUM(K78:K82)</f>
        <v>63.84</v>
      </c>
      <c r="X83" s="328"/>
    </row>
    <row r="84" spans="1:24" ht="18.75" customHeight="1">
      <c r="A84" s="647">
        <v>11</v>
      </c>
      <c r="B84" s="320" t="s">
        <v>122</v>
      </c>
      <c r="C84" s="650">
        <f>C76-C83</f>
        <v>567.98</v>
      </c>
      <c r="E84" s="647">
        <v>11</v>
      </c>
      <c r="F84" s="320" t="s">
        <v>122</v>
      </c>
      <c r="G84" s="650">
        <f>G76-G83</f>
        <v>432.22</v>
      </c>
      <c r="I84" s="647">
        <v>11</v>
      </c>
      <c r="J84" s="320" t="s">
        <v>122</v>
      </c>
      <c r="K84" s="650">
        <f>K76-K83</f>
        <v>641.35</v>
      </c>
      <c r="S84" s="347"/>
      <c r="T84" s="537"/>
    </row>
    <row r="85" spans="1:24" ht="15">
      <c r="Q85" s="374">
        <f>Q82-11525.95</f>
        <v>2219.0200000000004</v>
      </c>
    </row>
    <row r="86" spans="1:24" ht="15"/>
    <row r="87" spans="1:24" ht="15"/>
    <row r="88" spans="1:24" ht="15"/>
    <row r="89" spans="1:24" ht="15"/>
    <row r="90" spans="1:24" ht="15"/>
    <row r="91" spans="1:24" ht="15"/>
    <row r="92" spans="1:24" ht="15"/>
    <row r="93" spans="1:24" ht="15"/>
    <row r="94" spans="1:24" ht="15"/>
    <row r="95" spans="1:24" ht="15"/>
    <row r="96" spans="1:24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  <row r="1029" ht="15"/>
    <row r="1030" ht="15"/>
    <row r="1031" ht="15"/>
    <row r="1032" ht="15"/>
    <row r="1033" ht="15"/>
    <row r="1034" ht="15"/>
    <row r="1035" ht="15"/>
    <row r="1036" ht="15"/>
    <row r="1037" ht="15"/>
    <row r="1038" ht="15"/>
    <row r="1039" ht="15"/>
    <row r="1040" ht="15"/>
    <row r="1041" ht="15"/>
    <row r="1042" ht="15"/>
    <row r="1043" ht="15"/>
    <row r="1044" ht="15"/>
    <row r="1045" ht="15"/>
    <row r="1046" ht="15"/>
    <row r="1047" ht="15"/>
    <row r="1048" ht="15"/>
    <row r="1049" ht="15"/>
    <row r="1050" ht="15"/>
    <row r="1051" ht="15"/>
    <row r="1052" ht="15"/>
    <row r="1053" ht="15"/>
    <row r="1054" ht="15"/>
    <row r="1055" ht="15"/>
    <row r="1056" ht="15"/>
    <row r="1057" ht="15"/>
    <row r="1058" ht="15"/>
    <row r="1059" ht="15"/>
    <row r="1060" ht="15"/>
    <row r="1061" ht="15"/>
    <row r="1062" ht="15"/>
    <row r="1063" ht="15"/>
    <row r="1064" ht="15"/>
    <row r="1065" ht="15"/>
    <row r="1066" ht="15"/>
    <row r="1067" ht="15"/>
    <row r="1068" ht="15"/>
    <row r="1069" ht="15"/>
    <row r="1070" ht="15"/>
    <row r="1071" ht="15"/>
    <row r="1072" ht="15"/>
    <row r="1073" ht="15"/>
    <row r="1074" ht="15"/>
    <row r="1075" ht="15"/>
    <row r="1076" ht="15"/>
    <row r="1077" ht="15"/>
    <row r="1078" ht="15"/>
    <row r="1079" ht="15"/>
    <row r="1080" ht="15"/>
    <row r="1081" ht="15"/>
    <row r="1082" ht="15"/>
    <row r="1083" ht="15"/>
    <row r="1084" ht="15"/>
    <row r="1085" ht="15"/>
    <row r="1086" ht="15"/>
    <row r="1087" ht="15"/>
    <row r="1088" ht="15"/>
    <row r="1089" ht="15"/>
    <row r="1090" ht="15"/>
    <row r="1091" ht="15"/>
    <row r="1092" ht="15"/>
    <row r="1093" ht="15"/>
    <row r="1094" ht="15"/>
    <row r="1095" ht="15"/>
    <row r="1096" ht="15"/>
    <row r="1097" ht="15"/>
    <row r="1098" ht="15"/>
    <row r="1099" ht="15"/>
    <row r="1100" ht="15"/>
    <row r="1101" ht="15"/>
    <row r="1102" ht="15"/>
    <row r="1103" ht="15"/>
    <row r="1104" ht="15"/>
    <row r="1105" ht="15"/>
    <row r="1106" ht="15"/>
    <row r="1107" ht="15"/>
    <row r="1108" ht="15"/>
    <row r="1109" ht="15"/>
    <row r="1110" ht="15"/>
    <row r="1111" ht="15"/>
    <row r="1112" ht="15"/>
    <row r="1113" ht="15"/>
    <row r="1114" ht="15"/>
    <row r="1115" ht="15"/>
    <row r="1116" ht="15"/>
    <row r="1117" ht="15"/>
    <row r="1118" ht="15"/>
    <row r="1119" ht="15"/>
    <row r="1120" ht="15"/>
    <row r="1121" ht="15"/>
    <row r="1122" ht="15"/>
    <row r="1123" ht="15"/>
    <row r="1124" ht="15"/>
    <row r="1125" ht="15"/>
    <row r="1126" ht="15"/>
    <row r="1127" ht="15"/>
    <row r="1128" ht="15"/>
    <row r="1129" ht="15"/>
    <row r="1130" ht="15"/>
    <row r="1131" ht="15"/>
    <row r="1132" ht="15"/>
    <row r="1133" ht="15"/>
    <row r="1134" ht="15"/>
    <row r="1135" ht="15"/>
    <row r="1136" ht="15"/>
    <row r="1137" ht="15"/>
    <row r="1138" ht="15"/>
    <row r="1139" ht="15"/>
    <row r="1140" ht="15"/>
    <row r="1141" ht="15"/>
    <row r="1142" ht="15"/>
    <row r="1143" ht="15"/>
    <row r="1144" ht="15"/>
    <row r="1145" ht="15"/>
    <row r="1146" ht="15"/>
    <row r="1147" ht="15"/>
    <row r="1148" ht="15"/>
    <row r="1149" ht="15"/>
    <row r="1150" ht="15"/>
    <row r="1151" ht="15"/>
    <row r="1152" ht="15"/>
    <row r="1153" ht="15"/>
    <row r="1154" ht="15"/>
    <row r="1155" ht="15"/>
    <row r="1156" ht="15"/>
    <row r="1157" ht="15"/>
    <row r="1158" ht="15"/>
    <row r="1159" ht="15"/>
    <row r="1160" ht="15"/>
    <row r="1161" ht="15"/>
    <row r="1162" ht="15"/>
    <row r="1163" ht="15"/>
    <row r="1164" ht="15"/>
    <row r="1165" ht="15"/>
    <row r="1166" ht="15"/>
    <row r="1167" ht="15"/>
    <row r="1168" ht="15"/>
    <row r="1169" ht="15"/>
    <row r="1170" ht="15"/>
    <row r="1171" ht="15"/>
    <row r="1172" ht="15"/>
    <row r="1173" ht="15"/>
    <row r="1174" ht="15"/>
    <row r="1175" ht="15"/>
    <row r="1176" ht="15"/>
    <row r="1177" ht="15"/>
    <row r="1178" ht="15"/>
    <row r="1179" ht="15"/>
    <row r="1180" ht="15"/>
    <row r="1181" ht="15"/>
    <row r="1182" ht="15"/>
    <row r="1183" ht="15"/>
    <row r="1184" ht="15"/>
    <row r="1185" ht="15"/>
    <row r="1186" ht="15"/>
    <row r="1187" ht="15"/>
    <row r="1188" ht="15"/>
    <row r="1189" ht="15"/>
    <row r="1190" ht="15"/>
    <row r="1191" ht="15"/>
    <row r="1192" ht="15"/>
    <row r="1193" ht="15"/>
    <row r="1194" ht="15"/>
    <row r="1195" ht="15"/>
    <row r="1196" ht="15"/>
    <row r="1197" ht="15"/>
    <row r="1198" ht="15"/>
    <row r="1199" ht="15"/>
    <row r="1200" ht="15"/>
    <row r="1201" ht="15"/>
    <row r="1202" ht="15"/>
    <row r="1203" ht="15"/>
    <row r="1204" ht="15"/>
    <row r="1205" ht="15"/>
    <row r="1206" ht="15"/>
    <row r="1207" ht="15"/>
    <row r="1208" ht="15"/>
    <row r="1209" ht="15"/>
    <row r="1210" ht="15"/>
    <row r="1211" ht="15"/>
    <row r="1212" ht="15"/>
    <row r="1213" ht="15"/>
    <row r="1214" ht="15"/>
    <row r="1215" ht="15"/>
    <row r="1216" ht="15"/>
    <row r="1217" ht="15"/>
    <row r="1218" ht="15"/>
    <row r="1219" ht="15"/>
    <row r="1220" ht="15"/>
    <row r="1221" ht="15"/>
    <row r="1222" ht="15"/>
    <row r="1223" ht="15"/>
    <row r="1224" ht="15"/>
    <row r="1225" ht="15"/>
    <row r="1226" ht="15"/>
    <row r="1227" ht="15"/>
    <row r="1228" ht="15"/>
    <row r="1229" ht="15"/>
    <row r="1230" ht="15"/>
    <row r="1231" ht="15"/>
    <row r="1232" ht="15"/>
    <row r="1233" ht="15"/>
    <row r="1234" ht="15"/>
    <row r="1235" ht="15"/>
    <row r="1236" ht="15"/>
    <row r="1237" ht="15"/>
    <row r="1238" ht="15"/>
    <row r="1239" ht="15"/>
    <row r="1240" ht="15"/>
    <row r="1241" ht="15"/>
    <row r="1242" ht="15"/>
    <row r="1243" ht="15"/>
    <row r="1244" ht="15"/>
    <row r="1245" ht="15"/>
    <row r="1246" ht="15"/>
    <row r="1247" ht="15"/>
    <row r="1248" ht="15"/>
    <row r="1249" ht="15"/>
    <row r="1250" ht="15"/>
    <row r="1251" ht="15"/>
    <row r="1252" ht="15"/>
    <row r="1253" ht="15"/>
    <row r="1254" ht="15"/>
    <row r="1255" ht="15"/>
    <row r="1256" ht="15"/>
    <row r="1257" ht="15"/>
    <row r="1258" ht="15"/>
    <row r="1259" ht="15"/>
    <row r="1260" ht="15"/>
    <row r="1261" ht="15"/>
    <row r="1262" ht="15"/>
    <row r="1263" ht="15"/>
    <row r="1264" ht="15"/>
    <row r="1265" ht="15"/>
    <row r="1266" ht="15"/>
    <row r="1267" ht="15"/>
    <row r="1268" ht="15"/>
    <row r="1269" ht="15"/>
    <row r="1270" ht="15"/>
    <row r="1271" ht="15"/>
    <row r="1272" ht="15"/>
    <row r="1273" ht="15"/>
    <row r="1274" ht="15"/>
    <row r="1275" ht="15"/>
    <row r="1276" ht="15"/>
    <row r="1277" ht="15"/>
    <row r="1278" ht="15"/>
    <row r="1279" ht="15"/>
    <row r="1280" ht="15"/>
    <row r="1281" ht="15"/>
    <row r="1282" ht="15"/>
    <row r="1283" ht="15"/>
    <row r="1284" ht="15"/>
    <row r="1285" ht="15"/>
    <row r="1286" ht="15"/>
    <row r="1287" ht="15"/>
    <row r="1288" ht="15"/>
    <row r="1289" ht="15"/>
    <row r="1290" ht="15"/>
    <row r="1291" ht="15"/>
    <row r="1292" ht="15"/>
    <row r="1293" ht="15"/>
    <row r="1294" ht="15"/>
    <row r="1295" ht="15"/>
    <row r="1296" ht="15"/>
    <row r="1297" ht="15"/>
    <row r="1298" ht="15"/>
    <row r="1299" ht="15"/>
    <row r="1300" ht="15"/>
    <row r="1301" ht="15"/>
    <row r="1302" ht="15"/>
    <row r="1303" ht="15"/>
    <row r="1304" ht="15"/>
    <row r="1305" ht="15"/>
    <row r="1306" ht="15"/>
    <row r="1307" ht="15"/>
    <row r="1308" ht="15"/>
    <row r="1309" ht="15"/>
    <row r="1310" ht="15"/>
    <row r="1311" ht="15"/>
    <row r="1312" ht="15"/>
    <row r="1313" ht="15"/>
    <row r="1314" ht="15"/>
    <row r="1315" ht="15"/>
    <row r="1316" ht="15"/>
    <row r="1317" ht="15"/>
    <row r="1318" ht="15"/>
    <row r="1319" ht="15"/>
    <row r="1320" ht="15"/>
    <row r="1321" ht="15"/>
    <row r="1322" ht="15"/>
    <row r="1323" ht="15"/>
    <row r="1324" ht="15"/>
    <row r="1325" ht="15"/>
    <row r="1326" ht="15"/>
    <row r="1327" ht="15"/>
    <row r="1328" ht="15"/>
    <row r="1329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48" ht="15"/>
    <row r="1349" ht="15"/>
    <row r="1350" ht="15"/>
    <row r="1351" ht="15"/>
    <row r="1352" ht="15"/>
    <row r="1353" ht="15"/>
    <row r="1354" ht="15"/>
    <row r="1355" ht="15"/>
    <row r="1356" ht="15"/>
    <row r="1357" ht="15"/>
    <row r="1358" ht="15"/>
    <row r="1359" ht="15"/>
    <row r="1360" ht="15"/>
    <row r="1361" ht="15"/>
    <row r="1362" ht="15"/>
    <row r="1363" ht="15"/>
    <row r="1364" ht="15"/>
    <row r="1365" ht="15"/>
    <row r="1366" ht="15"/>
    <row r="1367" ht="15"/>
    <row r="1368" ht="15"/>
    <row r="1369" ht="15"/>
    <row r="1370" ht="15"/>
    <row r="1371" ht="15"/>
    <row r="1372" ht="15"/>
    <row r="1373" ht="15"/>
    <row r="1374" ht="15"/>
    <row r="1375" ht="15"/>
    <row r="1376" ht="15"/>
    <row r="1377" ht="15"/>
    <row r="1378" ht="15"/>
    <row r="1379" ht="15"/>
    <row r="1380" ht="15"/>
    <row r="1381" ht="15"/>
    <row r="1382" ht="15"/>
    <row r="1383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</sheetData>
  <mergeCells count="61">
    <mergeCell ref="E72:G72"/>
    <mergeCell ref="E77:G77"/>
    <mergeCell ref="A72:C72"/>
    <mergeCell ref="A77:C77"/>
    <mergeCell ref="I30:K30"/>
    <mergeCell ref="H30:H42"/>
    <mergeCell ref="A57:C57"/>
    <mergeCell ref="E57:G57"/>
    <mergeCell ref="I63:K63"/>
    <mergeCell ref="I72:K72"/>
    <mergeCell ref="I77:K77"/>
    <mergeCell ref="M30:O30"/>
    <mergeCell ref="L30:L42"/>
    <mergeCell ref="M44:O44"/>
    <mergeCell ref="I44:K44"/>
    <mergeCell ref="A49:C49"/>
    <mergeCell ref="A44:C44"/>
    <mergeCell ref="D30:D42"/>
    <mergeCell ref="A30:C30"/>
    <mergeCell ref="E44:G44"/>
    <mergeCell ref="E49:G49"/>
    <mergeCell ref="M7:O7"/>
    <mergeCell ref="A2:C2"/>
    <mergeCell ref="D2:D14"/>
    <mergeCell ref="E2:G2"/>
    <mergeCell ref="I2:K2"/>
    <mergeCell ref="L2:L14"/>
    <mergeCell ref="N2:O2"/>
    <mergeCell ref="I7:K7"/>
    <mergeCell ref="A7:C7"/>
    <mergeCell ref="E7:G7"/>
    <mergeCell ref="A29:O29"/>
    <mergeCell ref="A35:C35"/>
    <mergeCell ref="E35:G35"/>
    <mergeCell ref="A16:C16"/>
    <mergeCell ref="E16:G16"/>
    <mergeCell ref="H16:H28"/>
    <mergeCell ref="M16:O16"/>
    <mergeCell ref="L16:L28"/>
    <mergeCell ref="I21:K21"/>
    <mergeCell ref="E21:G21"/>
    <mergeCell ref="A21:C21"/>
    <mergeCell ref="I16:K16"/>
    <mergeCell ref="M21:O21"/>
    <mergeCell ref="D16:D28"/>
    <mergeCell ref="M35:O35"/>
    <mergeCell ref="E30:G30"/>
    <mergeCell ref="V34:W34"/>
    <mergeCell ref="V36:W36"/>
    <mergeCell ref="V40:W40"/>
    <mergeCell ref="I35:K35"/>
    <mergeCell ref="I58:K58"/>
    <mergeCell ref="M57:O57"/>
    <mergeCell ref="M49:O49"/>
    <mergeCell ref="I49:K49"/>
    <mergeCell ref="M58:O58"/>
    <mergeCell ref="M63:O63"/>
    <mergeCell ref="A58:C58"/>
    <mergeCell ref="A63:C63"/>
    <mergeCell ref="E58:G58"/>
    <mergeCell ref="E63:G63"/>
  </mergeCells>
  <phoneticPr fontId="24" type="noConversion"/>
  <printOptions horizontalCentered="1"/>
  <pageMargins left="0.38" right="0.41" top="0.19685039370078741" bottom="0.19685039370078741" header="0.19685039370078741" footer="0.19685039370078741"/>
  <pageSetup paperSize="9" orientation="portrait" r:id="rId1"/>
  <headerFooter scaleWithDoc="0" alignWithMargins="0">
    <oddHeader xml:space="preserve">&amp;L                            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2:I34"/>
  <sheetViews>
    <sheetView topLeftCell="A10" workbookViewId="0">
      <selection activeCell="E18" sqref="E18"/>
    </sheetView>
  </sheetViews>
  <sheetFormatPr defaultColWidth="9.140625" defaultRowHeight="15.75"/>
  <cols>
    <col min="1" max="1" width="5.85546875" style="4" customWidth="1"/>
    <col min="2" max="2" width="35.140625" style="4" customWidth="1"/>
    <col min="3" max="3" width="9.7109375" style="19" customWidth="1"/>
    <col min="4" max="4" width="22.28515625" style="116" customWidth="1"/>
    <col min="5" max="5" width="28.7109375" style="201" customWidth="1"/>
    <col min="6" max="6" width="11.7109375" style="4" bestFit="1" customWidth="1"/>
    <col min="7" max="7" width="29.140625" style="4" bestFit="1" customWidth="1"/>
    <col min="8" max="8" width="21.28515625" style="4" bestFit="1" customWidth="1"/>
    <col min="9" max="9" width="15.5703125" style="4" bestFit="1" customWidth="1"/>
    <col min="10" max="10" width="11.85546875" style="4" customWidth="1"/>
    <col min="11" max="16384" width="9.140625" style="4"/>
  </cols>
  <sheetData>
    <row r="2" spans="1:9">
      <c r="A2" s="1457" t="s">
        <v>51</v>
      </c>
      <c r="B2" s="1457"/>
      <c r="C2" s="1457"/>
      <c r="D2" s="1457"/>
      <c r="E2" s="1457"/>
    </row>
    <row r="3" spans="1:9">
      <c r="A3" s="1457" t="s">
        <v>0</v>
      </c>
      <c r="B3" s="1457"/>
      <c r="C3" s="1457"/>
      <c r="D3" s="1457"/>
      <c r="E3" s="1457"/>
    </row>
    <row r="4" spans="1:9">
      <c r="A4" s="1652" t="s">
        <v>255</v>
      </c>
      <c r="B4" s="1457"/>
      <c r="C4" s="1457"/>
      <c r="D4" s="1457"/>
      <c r="E4" s="1457"/>
    </row>
    <row r="5" spans="1:9" ht="13.5" customHeight="1">
      <c r="D5" s="191"/>
      <c r="E5" s="21"/>
    </row>
    <row r="6" spans="1:9" ht="18" customHeight="1">
      <c r="A6" s="1582" t="s">
        <v>510</v>
      </c>
      <c r="B6" s="1582"/>
      <c r="C6" s="1582"/>
      <c r="D6" s="1582"/>
      <c r="E6" s="21"/>
    </row>
    <row r="7" spans="1:9" ht="15" customHeight="1">
      <c r="A7" s="1457" t="s">
        <v>500</v>
      </c>
      <c r="B7" s="1457"/>
      <c r="C7" s="1457"/>
      <c r="D7" s="1457"/>
      <c r="E7" s="21"/>
    </row>
    <row r="8" spans="1:9" ht="15" customHeight="1">
      <c r="A8" s="386"/>
      <c r="B8" s="386"/>
      <c r="C8" s="386"/>
      <c r="D8" s="191"/>
      <c r="E8" s="21"/>
    </row>
    <row r="9" spans="1:9" s="3" customFormat="1" ht="20.25" customHeight="1">
      <c r="A9" s="1584" t="s">
        <v>724</v>
      </c>
      <c r="B9" s="1584"/>
      <c r="C9" s="1584"/>
      <c r="D9" s="1584"/>
      <c r="E9" s="1584"/>
    </row>
    <row r="10" spans="1:9" ht="15.75" customHeight="1">
      <c r="A10" s="1642" t="s">
        <v>722</v>
      </c>
      <c r="B10" s="1643"/>
      <c r="C10" s="1643"/>
      <c r="D10" s="1643"/>
      <c r="E10" s="1643"/>
    </row>
    <row r="11" spans="1:9" ht="15.75" customHeight="1">
      <c r="A11" s="302"/>
      <c r="B11" s="302"/>
      <c r="D11" s="191"/>
      <c r="E11" s="21"/>
      <c r="F11" s="4" t="e">
        <f>#REF!</f>
        <v>#REF!</v>
      </c>
    </row>
    <row r="12" spans="1:9" s="163" customFormat="1" ht="53.25" customHeight="1">
      <c r="A12" s="303" t="s">
        <v>4</v>
      </c>
      <c r="B12" s="303" t="s">
        <v>141</v>
      </c>
      <c r="C12" s="162" t="s">
        <v>7</v>
      </c>
      <c r="D12" s="192" t="s">
        <v>145</v>
      </c>
      <c r="E12" s="198" t="s">
        <v>62</v>
      </c>
    </row>
    <row r="13" spans="1:9" s="3" customFormat="1" ht="18.75" customHeight="1">
      <c r="A13" s="1712" t="s">
        <v>153</v>
      </c>
      <c r="B13" s="1713"/>
      <c r="C13" s="187"/>
      <c r="D13" s="194"/>
      <c r="E13" s="199"/>
    </row>
    <row r="14" spans="1:9" s="3" customFormat="1" ht="18.75" customHeight="1">
      <c r="A14" s="164">
        <v>1</v>
      </c>
      <c r="B14" s="181" t="s">
        <v>154</v>
      </c>
      <c r="C14" s="186" t="s">
        <v>87</v>
      </c>
      <c r="D14" s="193">
        <f>'Bảng TH CP khác'!F10</f>
        <v>5900000</v>
      </c>
      <c r="E14" s="200"/>
      <c r="G14" s="4">
        <f>75*25000</f>
        <v>1875000</v>
      </c>
      <c r="H14" s="281">
        <v>4500000</v>
      </c>
    </row>
    <row r="15" spans="1:9" s="3" customFormat="1" ht="18.75" customHeight="1">
      <c r="A15" s="164">
        <v>2</v>
      </c>
      <c r="B15" s="181" t="s">
        <v>159</v>
      </c>
      <c r="C15" s="186" t="s">
        <v>87</v>
      </c>
      <c r="D15" s="193">
        <v>5000000</v>
      </c>
      <c r="E15" s="200"/>
      <c r="G15" s="4">
        <v>120000</v>
      </c>
      <c r="H15" s="281">
        <v>5000000</v>
      </c>
      <c r="I15" s="3">
        <v>870</v>
      </c>
    </row>
    <row r="16" spans="1:9" s="3" customFormat="1" ht="18.75" customHeight="1">
      <c r="A16" s="164">
        <v>3</v>
      </c>
      <c r="B16" s="181" t="s">
        <v>161</v>
      </c>
      <c r="C16" s="186" t="s">
        <v>87</v>
      </c>
      <c r="D16" s="612"/>
      <c r="E16" s="200"/>
      <c r="G16" s="279" t="e">
        <f>D20-#REF!</f>
        <v>#REF!</v>
      </c>
      <c r="H16" s="281">
        <v>4356250</v>
      </c>
      <c r="I16" s="3">
        <v>600</v>
      </c>
    </row>
    <row r="17" spans="1:9" s="3" customFormat="1" ht="18.75" customHeight="1">
      <c r="A17" s="164">
        <v>3</v>
      </c>
      <c r="B17" s="181" t="s">
        <v>157</v>
      </c>
      <c r="C17" s="186" t="s">
        <v>87</v>
      </c>
      <c r="D17" s="193"/>
      <c r="E17" s="200"/>
      <c r="G17" s="4"/>
      <c r="H17" s="281">
        <v>1573120</v>
      </c>
      <c r="I17" s="3">
        <v>4560</v>
      </c>
    </row>
    <row r="18" spans="1:9" s="3" customFormat="1" ht="18.75" customHeight="1">
      <c r="A18" s="164">
        <v>5</v>
      </c>
      <c r="B18" s="181" t="s">
        <v>162</v>
      </c>
      <c r="C18" s="186" t="s">
        <v>87</v>
      </c>
      <c r="D18" s="193"/>
      <c r="E18" s="200"/>
      <c r="G18" s="116">
        <v>1700000</v>
      </c>
      <c r="H18" s="281">
        <v>500000</v>
      </c>
    </row>
    <row r="19" spans="1:9" s="3" customFormat="1" ht="18.75" customHeight="1">
      <c r="A19" s="164">
        <v>4</v>
      </c>
      <c r="B19" s="181" t="s">
        <v>442</v>
      </c>
      <c r="C19" s="186" t="s">
        <v>87</v>
      </c>
      <c r="D19" s="834">
        <f>'Bảng TH CP khác'!F21</f>
        <v>1240000</v>
      </c>
      <c r="E19" s="200"/>
      <c r="F19" s="833">
        <f>D19/25000</f>
        <v>49.6</v>
      </c>
      <c r="G19" s="146" t="e">
        <f>#REF!</f>
        <v>#REF!</v>
      </c>
      <c r="H19" s="281">
        <v>6940000</v>
      </c>
    </row>
    <row r="20" spans="1:9" ht="22.5" customHeight="1">
      <c r="A20" s="1682" t="s">
        <v>155</v>
      </c>
      <c r="B20" s="1682"/>
      <c r="C20" s="267"/>
      <c r="D20" s="682">
        <f>SUM(D14:D19)</f>
        <v>12140000</v>
      </c>
      <c r="E20" s="199"/>
      <c r="G20" s="165" t="e">
        <f>#REF!</f>
        <v>#REF!</v>
      </c>
      <c r="H20" s="116">
        <f>SUM(H14:H19)</f>
        <v>22869370</v>
      </c>
      <c r="I20" s="146"/>
    </row>
    <row r="21" spans="1:9" ht="23.25" customHeight="1">
      <c r="A21" s="1646" t="s">
        <v>710</v>
      </c>
      <c r="B21" s="1647"/>
      <c r="C21" s="1647"/>
      <c r="D21" s="1647"/>
      <c r="E21" s="1648"/>
      <c r="G21" s="146">
        <v>5960000</v>
      </c>
      <c r="H21" s="280"/>
    </row>
    <row r="22" spans="1:9" ht="12" customHeight="1">
      <c r="A22" s="534"/>
      <c r="B22" s="534"/>
      <c r="C22" s="535"/>
      <c r="D22" s="535"/>
      <c r="E22" s="535"/>
      <c r="G22" s="146"/>
      <c r="H22" s="280"/>
    </row>
    <row r="23" spans="1:9" s="145" customFormat="1" ht="18.75">
      <c r="A23" s="166"/>
      <c r="B23" s="166"/>
      <c r="C23" s="1718" t="s">
        <v>725</v>
      </c>
      <c r="D23" s="1718"/>
      <c r="E23" s="1718"/>
      <c r="G23" s="177" t="e">
        <f>D20+#REF!</f>
        <v>#REF!</v>
      </c>
      <c r="H23" s="167"/>
      <c r="I23" s="168"/>
    </row>
    <row r="24" spans="1:9" s="145" customFormat="1" ht="10.5" customHeight="1">
      <c r="A24" s="178"/>
      <c r="B24" s="178"/>
      <c r="C24" s="189"/>
      <c r="D24" s="1649"/>
      <c r="E24" s="1649"/>
      <c r="G24" s="365">
        <v>5940000</v>
      </c>
      <c r="H24" s="169"/>
    </row>
    <row r="25" spans="1:9" s="170" customFormat="1" ht="18.75">
      <c r="A25" s="1717"/>
      <c r="B25" s="1717"/>
      <c r="C25" s="1717"/>
      <c r="D25" s="1717"/>
      <c r="E25" s="1717"/>
      <c r="G25" s="182" t="e">
        <f>SUM(G18:G21)</f>
        <v>#REF!</v>
      </c>
      <c r="H25" s="171"/>
    </row>
    <row r="26" spans="1:9" s="145" customFormat="1" ht="18.75">
      <c r="A26" s="1715" t="s">
        <v>517</v>
      </c>
      <c r="B26" s="1715"/>
      <c r="C26" s="1715"/>
      <c r="D26" s="1715"/>
      <c r="E26" s="1715"/>
      <c r="F26" s="799"/>
      <c r="G26" s="799"/>
      <c r="H26" s="799"/>
    </row>
    <row r="27" spans="1:9" s="145" customFormat="1" ht="18.75">
      <c r="A27" s="733"/>
      <c r="B27" s="733"/>
      <c r="C27" s="733"/>
      <c r="D27" s="733"/>
      <c r="E27" s="733"/>
      <c r="F27" s="733"/>
      <c r="G27" s="734"/>
      <c r="H27" s="734"/>
    </row>
    <row r="28" spans="1:9" s="145" customFormat="1" ht="18.75">
      <c r="A28" s="733"/>
      <c r="B28" s="733"/>
      <c r="C28" s="733"/>
      <c r="D28" s="733"/>
      <c r="E28" s="733"/>
      <c r="F28" s="733"/>
      <c r="G28" s="734"/>
      <c r="H28" s="734"/>
    </row>
    <row r="29" spans="1:9" s="145" customFormat="1" ht="18.75">
      <c r="A29" s="733"/>
      <c r="B29" s="733"/>
      <c r="C29" s="733"/>
      <c r="D29" s="733"/>
      <c r="E29" s="733"/>
      <c r="F29" s="733"/>
      <c r="G29" s="734"/>
      <c r="H29" s="734"/>
    </row>
    <row r="30" spans="1:9" s="145" customFormat="1" ht="18.75">
      <c r="A30" s="733"/>
      <c r="B30" s="733"/>
      <c r="C30" s="733"/>
      <c r="D30" s="733"/>
      <c r="E30" s="733"/>
      <c r="F30" s="733"/>
      <c r="G30" s="734"/>
      <c r="H30" s="734"/>
    </row>
    <row r="31" spans="1:9">
      <c r="A31" s="733"/>
      <c r="B31" s="733"/>
      <c r="C31" s="733"/>
      <c r="D31" s="733"/>
      <c r="E31" s="733"/>
      <c r="F31" s="733"/>
      <c r="G31" s="734"/>
      <c r="H31" s="734"/>
    </row>
    <row r="32" spans="1:9">
      <c r="A32" s="733"/>
      <c r="B32" s="733"/>
      <c r="C32" s="733"/>
      <c r="D32" s="733"/>
      <c r="E32" s="733"/>
      <c r="F32" s="733"/>
      <c r="G32" s="734"/>
      <c r="H32" s="734"/>
    </row>
    <row r="33" spans="1:8">
      <c r="A33" s="1714"/>
      <c r="B33" s="1714"/>
      <c r="C33" s="733"/>
      <c r="D33" s="733"/>
      <c r="E33" s="733"/>
      <c r="F33" s="733"/>
      <c r="G33" s="734"/>
      <c r="H33" s="734"/>
    </row>
    <row r="34" spans="1:8">
      <c r="A34" s="1716" t="s">
        <v>518</v>
      </c>
      <c r="B34" s="1716"/>
      <c r="C34" s="1716"/>
      <c r="D34" s="1716"/>
      <c r="E34" s="1716"/>
      <c r="F34" s="800"/>
      <c r="G34" s="800"/>
      <c r="H34" s="800"/>
    </row>
  </sheetData>
  <mergeCells count="16">
    <mergeCell ref="A33:B33"/>
    <mergeCell ref="A26:E26"/>
    <mergeCell ref="A34:E34"/>
    <mergeCell ref="A20:B20"/>
    <mergeCell ref="D24:E24"/>
    <mergeCell ref="A21:E21"/>
    <mergeCell ref="A25:E25"/>
    <mergeCell ref="C23:E23"/>
    <mergeCell ref="A13:B13"/>
    <mergeCell ref="A9:E9"/>
    <mergeCell ref="A10:E10"/>
    <mergeCell ref="A2:E2"/>
    <mergeCell ref="A3:E3"/>
    <mergeCell ref="A4:E4"/>
    <mergeCell ref="A6:D6"/>
    <mergeCell ref="A7:D7"/>
  </mergeCells>
  <printOptions horizontalCentered="1"/>
  <pageMargins left="0.196850393700787" right="0" top="0.196850393700787" bottom="0.196850393700787" header="0.2" footer="0.31496062992126"/>
  <pageSetup paperSize="9" fitToHeight="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K38"/>
  <sheetViews>
    <sheetView topLeftCell="A7" workbookViewId="0">
      <selection activeCell="T12" sqref="T12"/>
    </sheetView>
  </sheetViews>
  <sheetFormatPr defaultColWidth="9.140625" defaultRowHeight="15"/>
  <cols>
    <col min="1" max="1" width="3.7109375" style="32" bestFit="1" customWidth="1"/>
    <col min="2" max="2" width="16.85546875" style="32" customWidth="1"/>
    <col min="3" max="3" width="12" style="32" customWidth="1"/>
    <col min="4" max="7" width="3" style="32" customWidth="1"/>
    <col min="8" max="8" width="3" style="42" customWidth="1"/>
    <col min="9" max="10" width="3" style="32" customWidth="1"/>
    <col min="11" max="11" width="3.5703125" style="32" customWidth="1"/>
    <col min="12" max="31" width="3" style="32" customWidth="1"/>
    <col min="32" max="32" width="3.5703125" style="32" customWidth="1"/>
    <col min="33" max="33" width="3.42578125" style="32" customWidth="1"/>
    <col min="34" max="34" width="3.28515625" style="32" customWidth="1"/>
    <col min="35" max="35" width="7.28515625" style="32" customWidth="1"/>
    <col min="36" max="36" width="10.7109375" style="32" customWidth="1"/>
    <col min="37" max="37" width="9.140625" style="32"/>
    <col min="38" max="38" width="14.85546875" style="32" bestFit="1" customWidth="1"/>
    <col min="39" max="43" width="9.140625" style="32"/>
    <col min="44" max="44" width="15.85546875" style="32" customWidth="1"/>
    <col min="45" max="16384" width="9.140625" style="32"/>
  </cols>
  <sheetData>
    <row r="1" spans="1:37" ht="15" customHeight="1">
      <c r="A1" s="1550" t="s">
        <v>51</v>
      </c>
      <c r="B1" s="1550"/>
      <c r="C1" s="1550"/>
      <c r="D1" s="1550"/>
      <c r="E1" s="1550"/>
      <c r="F1" s="1550"/>
      <c r="G1" s="1550"/>
      <c r="H1" s="1550"/>
      <c r="I1" s="1550"/>
      <c r="J1" s="1550"/>
      <c r="K1" s="1550"/>
      <c r="L1" s="1550"/>
      <c r="M1" s="1550"/>
      <c r="N1" s="1550"/>
      <c r="O1" s="1550"/>
      <c r="P1" s="1550"/>
      <c r="Q1" s="1550"/>
      <c r="R1" s="1550"/>
      <c r="S1" s="1550"/>
      <c r="T1" s="1550"/>
      <c r="U1" s="1550"/>
      <c r="V1" s="1550"/>
      <c r="W1" s="1550"/>
      <c r="X1" s="1550"/>
      <c r="Y1" s="1550"/>
      <c r="Z1" s="1550"/>
      <c r="AA1" s="1550"/>
      <c r="AB1" s="1550"/>
      <c r="AC1" s="1550"/>
      <c r="AD1" s="1550"/>
      <c r="AE1" s="1550"/>
      <c r="AF1" s="1550"/>
      <c r="AG1" s="1550"/>
      <c r="AH1" s="1550"/>
      <c r="AI1" s="1550"/>
      <c r="AJ1" s="1550"/>
    </row>
    <row r="2" spans="1:37" ht="15" customHeight="1">
      <c r="A2" s="1550" t="s">
        <v>45</v>
      </c>
      <c r="B2" s="1550"/>
      <c r="C2" s="1550"/>
      <c r="D2" s="1550"/>
      <c r="E2" s="1550"/>
      <c r="F2" s="1550"/>
      <c r="G2" s="1550"/>
      <c r="H2" s="1550"/>
      <c r="I2" s="1550"/>
      <c r="J2" s="1550"/>
      <c r="K2" s="1550"/>
      <c r="L2" s="1550"/>
      <c r="M2" s="1550"/>
      <c r="N2" s="1550"/>
      <c r="O2" s="1550"/>
      <c r="P2" s="1550"/>
      <c r="Q2" s="1550"/>
      <c r="R2" s="1550"/>
      <c r="S2" s="1550"/>
      <c r="T2" s="1550"/>
      <c r="U2" s="1550"/>
      <c r="V2" s="1550"/>
      <c r="W2" s="1550"/>
      <c r="X2" s="1550"/>
      <c r="Y2" s="1550"/>
      <c r="Z2" s="1550"/>
      <c r="AA2" s="1550"/>
      <c r="AB2" s="1550"/>
      <c r="AC2" s="1550"/>
      <c r="AD2" s="1550"/>
      <c r="AE2" s="1550"/>
      <c r="AF2" s="1550"/>
      <c r="AG2" s="1550"/>
      <c r="AH2" s="1550"/>
      <c r="AI2" s="1550"/>
      <c r="AJ2" s="1550"/>
    </row>
    <row r="3" spans="1:37" ht="17.25" customHeight="1">
      <c r="A3" s="1551" t="s">
        <v>254</v>
      </c>
      <c r="B3" s="1551"/>
      <c r="C3" s="1551"/>
      <c r="D3" s="1551"/>
      <c r="E3" s="1551"/>
      <c r="F3" s="1551"/>
      <c r="G3" s="1551"/>
      <c r="H3" s="1551"/>
      <c r="I3" s="1551"/>
      <c r="J3" s="1551"/>
      <c r="K3" s="1551"/>
      <c r="L3" s="1551"/>
      <c r="M3" s="1551"/>
      <c r="N3" s="1551"/>
      <c r="O3" s="1551"/>
      <c r="P3" s="1551"/>
      <c r="Q3" s="1551"/>
      <c r="R3" s="1551"/>
      <c r="S3" s="1551"/>
      <c r="T3" s="1551"/>
      <c r="U3" s="1551"/>
      <c r="V3" s="1551"/>
      <c r="W3" s="1551"/>
      <c r="X3" s="1551"/>
      <c r="Y3" s="1551"/>
      <c r="Z3" s="1551"/>
      <c r="AA3" s="1551"/>
      <c r="AB3" s="1551"/>
      <c r="AC3" s="1551"/>
      <c r="AD3" s="1551"/>
      <c r="AE3" s="1551"/>
      <c r="AF3" s="1551"/>
      <c r="AG3" s="1551"/>
      <c r="AH3" s="1551"/>
      <c r="AI3" s="1551"/>
      <c r="AJ3" s="1551"/>
    </row>
    <row r="4" spans="1:37" ht="9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</row>
    <row r="5" spans="1:37" ht="23.25" customHeight="1">
      <c r="A5" s="1552" t="s">
        <v>510</v>
      </c>
      <c r="B5" s="1552"/>
      <c r="C5" s="1552"/>
      <c r="D5" s="1552"/>
      <c r="E5" s="1552"/>
      <c r="F5" s="1552"/>
      <c r="G5" s="1552"/>
      <c r="H5" s="1552"/>
      <c r="I5" s="1552"/>
      <c r="J5" s="1552"/>
      <c r="K5" s="1552"/>
      <c r="L5" s="1552"/>
      <c r="M5" s="1552"/>
      <c r="N5" s="1552"/>
      <c r="O5" s="1552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</row>
    <row r="6" spans="1:37" ht="18" customHeight="1">
      <c r="A6" s="1451" t="s">
        <v>500</v>
      </c>
      <c r="B6" s="1451"/>
      <c r="C6" s="1451"/>
      <c r="D6" s="1451"/>
      <c r="E6" s="1451"/>
      <c r="F6" s="1451"/>
      <c r="G6" s="1451"/>
      <c r="H6" s="1451"/>
      <c r="I6" s="1451"/>
      <c r="J6" s="1451"/>
      <c r="K6" s="1451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</row>
    <row r="7" spans="1:37" ht="12" customHeight="1">
      <c r="A7" s="264"/>
      <c r="B7" s="264"/>
      <c r="C7" s="264"/>
      <c r="D7" s="264"/>
      <c r="E7" s="264"/>
      <c r="F7" s="264"/>
      <c r="G7" s="264"/>
      <c r="H7" s="264"/>
      <c r="I7" s="264"/>
      <c r="J7" s="264"/>
      <c r="K7" s="264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spans="1:37" ht="23.25" customHeight="1">
      <c r="A8" s="1549" t="s">
        <v>750</v>
      </c>
      <c r="B8" s="1549"/>
      <c r="C8" s="1549"/>
      <c r="D8" s="1549"/>
      <c r="E8" s="1549"/>
      <c r="F8" s="1549"/>
      <c r="G8" s="1549"/>
      <c r="H8" s="1549"/>
      <c r="I8" s="1549"/>
      <c r="J8" s="1549"/>
      <c r="K8" s="1549"/>
      <c r="L8" s="1549"/>
      <c r="M8" s="1549"/>
      <c r="N8" s="1549"/>
      <c r="O8" s="1549"/>
      <c r="P8" s="1549"/>
      <c r="Q8" s="1549"/>
      <c r="R8" s="1549"/>
      <c r="S8" s="1549"/>
      <c r="T8" s="1549"/>
      <c r="U8" s="1549"/>
      <c r="V8" s="1549"/>
      <c r="W8" s="1549"/>
      <c r="X8" s="1549"/>
      <c r="Y8" s="1549"/>
      <c r="Z8" s="1549"/>
      <c r="AA8" s="1549"/>
      <c r="AB8" s="1549"/>
      <c r="AC8" s="1549"/>
      <c r="AD8" s="1549"/>
      <c r="AE8" s="1549"/>
      <c r="AF8" s="1549"/>
      <c r="AG8" s="1549"/>
      <c r="AH8" s="1549"/>
      <c r="AI8" s="1549"/>
      <c r="AJ8" s="1549"/>
    </row>
    <row r="9" spans="1:37" ht="18" customHeight="1">
      <c r="A9" s="1553" t="s">
        <v>827</v>
      </c>
      <c r="B9" s="1553"/>
      <c r="C9" s="1553"/>
      <c r="D9" s="1553"/>
      <c r="E9" s="1553"/>
      <c r="F9" s="1553"/>
      <c r="G9" s="1553"/>
      <c r="H9" s="1553"/>
      <c r="I9" s="1553"/>
      <c r="J9" s="1553"/>
      <c r="K9" s="1553"/>
      <c r="L9" s="1553"/>
      <c r="M9" s="1553"/>
      <c r="N9" s="1553"/>
      <c r="O9" s="1553"/>
      <c r="P9" s="1553"/>
      <c r="Q9" s="1553"/>
      <c r="R9" s="1553"/>
      <c r="S9" s="1553"/>
      <c r="T9" s="1553"/>
      <c r="U9" s="1553"/>
      <c r="V9" s="1553"/>
      <c r="W9" s="1553"/>
      <c r="X9" s="1553"/>
      <c r="Y9" s="1553"/>
      <c r="Z9" s="1553"/>
      <c r="AA9" s="1553"/>
      <c r="AB9" s="1553"/>
      <c r="AC9" s="1553"/>
      <c r="AD9" s="1553"/>
      <c r="AE9" s="1553"/>
      <c r="AF9" s="1553"/>
      <c r="AG9" s="1553"/>
      <c r="AH9" s="1553"/>
      <c r="AI9" s="1553"/>
      <c r="AJ9" s="1553"/>
    </row>
    <row r="10" spans="1:37" ht="15" customHeight="1">
      <c r="A10" s="1554" t="s">
        <v>46</v>
      </c>
      <c r="B10" s="1554" t="s">
        <v>47</v>
      </c>
      <c r="C10" s="1554" t="s">
        <v>48</v>
      </c>
      <c r="D10" s="1555" t="s">
        <v>49</v>
      </c>
      <c r="E10" s="1555"/>
      <c r="F10" s="1555"/>
      <c r="G10" s="1555"/>
      <c r="H10" s="1555"/>
      <c r="I10" s="1555"/>
      <c r="J10" s="1555"/>
      <c r="K10" s="1555"/>
      <c r="L10" s="1555"/>
      <c r="M10" s="1555"/>
      <c r="N10" s="1555"/>
      <c r="O10" s="1555"/>
      <c r="P10" s="1555"/>
      <c r="Q10" s="1555"/>
      <c r="R10" s="1555"/>
      <c r="S10" s="1555"/>
      <c r="T10" s="1555"/>
      <c r="U10" s="1555"/>
      <c r="V10" s="1555"/>
      <c r="W10" s="1555"/>
      <c r="X10" s="1555"/>
      <c r="Y10" s="1555"/>
      <c r="Z10" s="1555"/>
      <c r="AA10" s="1555"/>
      <c r="AB10" s="1555"/>
      <c r="AC10" s="1555"/>
      <c r="AD10" s="1555"/>
      <c r="AE10" s="1555"/>
      <c r="AF10" s="1555"/>
      <c r="AG10" s="1555"/>
      <c r="AH10" s="718"/>
      <c r="AI10" s="1458" t="s">
        <v>33</v>
      </c>
      <c r="AJ10" s="1458" t="s">
        <v>313</v>
      </c>
      <c r="AK10" s="368">
        <v>27</v>
      </c>
    </row>
    <row r="11" spans="1:37" ht="15" customHeight="1">
      <c r="A11" s="1554"/>
      <c r="B11" s="1554"/>
      <c r="C11" s="1554"/>
      <c r="D11" s="718">
        <v>1</v>
      </c>
      <c r="E11" s="718">
        <v>2</v>
      </c>
      <c r="F11" s="718">
        <v>3</v>
      </c>
      <c r="G11" s="718">
        <v>4</v>
      </c>
      <c r="H11" s="718">
        <v>5</v>
      </c>
      <c r="I11" s="718">
        <v>6</v>
      </c>
      <c r="J11" s="718">
        <v>7</v>
      </c>
      <c r="K11" s="718">
        <v>8</v>
      </c>
      <c r="L11" s="718">
        <v>9</v>
      </c>
      <c r="M11" s="718">
        <v>10</v>
      </c>
      <c r="N11" s="718">
        <v>11</v>
      </c>
      <c r="O11" s="718">
        <v>12</v>
      </c>
      <c r="P11" s="718">
        <v>13</v>
      </c>
      <c r="Q11" s="718">
        <v>14</v>
      </c>
      <c r="R11" s="718">
        <v>15</v>
      </c>
      <c r="S11" s="718">
        <v>16</v>
      </c>
      <c r="T11" s="718">
        <v>17</v>
      </c>
      <c r="U11" s="718">
        <v>18</v>
      </c>
      <c r="V11" s="718">
        <v>19</v>
      </c>
      <c r="W11" s="718">
        <v>20</v>
      </c>
      <c r="X11" s="718">
        <v>21</v>
      </c>
      <c r="Y11" s="718">
        <v>22</v>
      </c>
      <c r="Z11" s="718">
        <v>23</v>
      </c>
      <c r="AA11" s="718">
        <v>24</v>
      </c>
      <c r="AB11" s="718">
        <v>25</v>
      </c>
      <c r="AC11" s="718">
        <v>26</v>
      </c>
      <c r="AD11" s="718">
        <v>27</v>
      </c>
      <c r="AE11" s="718">
        <v>28</v>
      </c>
      <c r="AF11" s="718">
        <v>29</v>
      </c>
      <c r="AG11" s="718">
        <v>30</v>
      </c>
      <c r="AH11" s="718">
        <v>31</v>
      </c>
      <c r="AI11" s="1458"/>
      <c r="AJ11" s="1458"/>
    </row>
    <row r="12" spans="1:37" ht="23.25" customHeight="1">
      <c r="A12" s="84">
        <v>1</v>
      </c>
      <c r="B12" s="76" t="s">
        <v>2</v>
      </c>
      <c r="C12" s="76" t="s">
        <v>505</v>
      </c>
      <c r="D12" s="184" t="s">
        <v>50</v>
      </c>
      <c r="E12" s="184" t="s">
        <v>50</v>
      </c>
      <c r="F12" s="184" t="s">
        <v>50</v>
      </c>
      <c r="G12" s="184" t="s">
        <v>50</v>
      </c>
      <c r="H12" s="184" t="s">
        <v>50</v>
      </c>
      <c r="I12" s="184" t="s">
        <v>50</v>
      </c>
      <c r="J12" s="184" t="s">
        <v>50</v>
      </c>
      <c r="K12" s="184" t="s">
        <v>50</v>
      </c>
      <c r="L12" s="184" t="s">
        <v>50</v>
      </c>
      <c r="M12" s="184" t="s">
        <v>50</v>
      </c>
      <c r="N12" s="184" t="s">
        <v>50</v>
      </c>
      <c r="O12" s="184" t="s">
        <v>50</v>
      </c>
      <c r="P12" s="184" t="s">
        <v>50</v>
      </c>
      <c r="Q12" s="184" t="s">
        <v>50</v>
      </c>
      <c r="R12" s="184" t="s">
        <v>50</v>
      </c>
      <c r="S12" s="184" t="s">
        <v>50</v>
      </c>
      <c r="T12" s="184" t="s">
        <v>50</v>
      </c>
      <c r="U12" s="184" t="s">
        <v>50</v>
      </c>
      <c r="V12" s="184" t="s">
        <v>50</v>
      </c>
      <c r="W12" s="184" t="s">
        <v>50</v>
      </c>
      <c r="X12" s="184" t="s">
        <v>50</v>
      </c>
      <c r="Y12" s="184" t="s">
        <v>50</v>
      </c>
      <c r="Z12" s="184" t="s">
        <v>50</v>
      </c>
      <c r="AA12" s="184" t="s">
        <v>50</v>
      </c>
      <c r="AB12" s="184" t="s">
        <v>50</v>
      </c>
      <c r="AC12" s="184" t="s">
        <v>50</v>
      </c>
      <c r="AD12" s="184" t="s">
        <v>50</v>
      </c>
      <c r="AE12" s="184" t="s">
        <v>50</v>
      </c>
      <c r="AF12" s="184" t="s">
        <v>50</v>
      </c>
      <c r="AG12" s="184" t="s">
        <v>50</v>
      </c>
      <c r="AH12" s="184" t="s">
        <v>50</v>
      </c>
      <c r="AI12" s="185">
        <f>COUNTIF(D12:AH12,"x")+ COUNTIF(D12:AH12,"p")+COUNTIF(D12:AH12,"mn")+COUNTIF(D12:AH12,"T")+COUNTIF(D12:AH12,"VN")</f>
        <v>31</v>
      </c>
      <c r="AJ12" s="185"/>
    </row>
    <row r="13" spans="1:37" ht="23.25" customHeight="1">
      <c r="A13" s="84">
        <v>2</v>
      </c>
      <c r="B13" s="76" t="s">
        <v>133</v>
      </c>
      <c r="C13" s="76" t="s">
        <v>505</v>
      </c>
      <c r="D13" s="184" t="s">
        <v>50</v>
      </c>
      <c r="E13" s="184" t="s">
        <v>50</v>
      </c>
      <c r="F13" s="184" t="s">
        <v>50</v>
      </c>
      <c r="G13" s="184" t="s">
        <v>50</v>
      </c>
      <c r="H13" s="184" t="s">
        <v>50</v>
      </c>
      <c r="I13" s="184" t="s">
        <v>50</v>
      </c>
      <c r="J13" s="184" t="s">
        <v>50</v>
      </c>
      <c r="K13" s="184" t="s">
        <v>50</v>
      </c>
      <c r="L13" s="184" t="s">
        <v>50</v>
      </c>
      <c r="M13" s="184" t="s">
        <v>50</v>
      </c>
      <c r="N13" s="184" t="s">
        <v>50</v>
      </c>
      <c r="O13" s="184" t="s">
        <v>50</v>
      </c>
      <c r="P13" s="184" t="s">
        <v>50</v>
      </c>
      <c r="Q13" s="184" t="s">
        <v>50</v>
      </c>
      <c r="R13" s="184" t="s">
        <v>50</v>
      </c>
      <c r="S13" s="184" t="s">
        <v>50</v>
      </c>
      <c r="T13" s="184" t="s">
        <v>50</v>
      </c>
      <c r="U13" s="184" t="s">
        <v>50</v>
      </c>
      <c r="V13" s="184" t="s">
        <v>50</v>
      </c>
      <c r="W13" s="184" t="s">
        <v>50</v>
      </c>
      <c r="X13" s="184" t="s">
        <v>50</v>
      </c>
      <c r="Y13" s="184" t="s">
        <v>50</v>
      </c>
      <c r="Z13" s="184" t="s">
        <v>50</v>
      </c>
      <c r="AA13" s="184" t="s">
        <v>50</v>
      </c>
      <c r="AB13" s="184" t="s">
        <v>50</v>
      </c>
      <c r="AC13" s="184" t="s">
        <v>50</v>
      </c>
      <c r="AD13" s="184" t="s">
        <v>50</v>
      </c>
      <c r="AE13" s="184" t="s">
        <v>50</v>
      </c>
      <c r="AF13" s="184" t="s">
        <v>50</v>
      </c>
      <c r="AG13" s="184" t="s">
        <v>50</v>
      </c>
      <c r="AH13" s="184" t="s">
        <v>50</v>
      </c>
      <c r="AI13" s="185">
        <f>COUNTIF(D13:AH13,"x")+ COUNTIF(D13:AH13,"p")+COUNTIF(D13:AH13,"mn")+COUNTIF(D13:AH13,"T")+COUNTIF(D13:AH13,"VN")</f>
        <v>31</v>
      </c>
      <c r="AJ13" s="185"/>
    </row>
    <row r="14" spans="1:37" ht="23.25" customHeight="1">
      <c r="A14" s="84">
        <v>3</v>
      </c>
      <c r="B14" s="205" t="s">
        <v>743</v>
      </c>
      <c r="C14" s="78" t="s">
        <v>692</v>
      </c>
      <c r="D14" s="366" t="s">
        <v>50</v>
      </c>
      <c r="E14" s="366" t="s">
        <v>50</v>
      </c>
      <c r="F14" s="366" t="s">
        <v>50</v>
      </c>
      <c r="G14" s="366" t="s">
        <v>50</v>
      </c>
      <c r="H14" s="366" t="s">
        <v>50</v>
      </c>
      <c r="I14" s="366" t="s">
        <v>50</v>
      </c>
      <c r="J14" s="366" t="s">
        <v>50</v>
      </c>
      <c r="K14" s="366" t="s">
        <v>50</v>
      </c>
      <c r="L14" s="366" t="s">
        <v>50</v>
      </c>
      <c r="M14" s="366" t="s">
        <v>50</v>
      </c>
      <c r="N14" s="366" t="s">
        <v>50</v>
      </c>
      <c r="O14" s="366" t="s">
        <v>50</v>
      </c>
      <c r="P14" s="366" t="s">
        <v>50</v>
      </c>
      <c r="Q14" s="366" t="s">
        <v>50</v>
      </c>
      <c r="R14" s="366" t="s">
        <v>50</v>
      </c>
      <c r="S14" s="366" t="s">
        <v>50</v>
      </c>
      <c r="T14" s="366" t="s">
        <v>50</v>
      </c>
      <c r="U14" s="366" t="s">
        <v>50</v>
      </c>
      <c r="V14" s="366" t="s">
        <v>50</v>
      </c>
      <c r="W14" s="366" t="s">
        <v>50</v>
      </c>
      <c r="X14" s="366" t="s">
        <v>50</v>
      </c>
      <c r="Y14" s="366" t="s">
        <v>50</v>
      </c>
      <c r="Z14" s="366" t="s">
        <v>50</v>
      </c>
      <c r="AA14" s="366" t="s">
        <v>50</v>
      </c>
      <c r="AB14" s="366" t="s">
        <v>50</v>
      </c>
      <c r="AC14" s="366" t="s">
        <v>50</v>
      </c>
      <c r="AD14" s="366" t="s">
        <v>50</v>
      </c>
      <c r="AE14" s="366" t="s">
        <v>50</v>
      </c>
      <c r="AF14" s="366" t="s">
        <v>50</v>
      </c>
      <c r="AG14" s="366" t="s">
        <v>50</v>
      </c>
      <c r="AH14" s="366" t="s">
        <v>50</v>
      </c>
      <c r="AI14" s="185">
        <f>COUNTIF(D14:AH14,"x")+ COUNTIF(D14:AH14,"p")+COUNTIF(D14:AH14,"mn")+COUNTIF(D14:AH14,"T")+COUNTIF(D14:AH14,"VN")</f>
        <v>31</v>
      </c>
      <c r="AJ14" s="185"/>
    </row>
    <row r="15" spans="1:37" ht="23.25" customHeight="1">
      <c r="A15" s="84">
        <v>4</v>
      </c>
      <c r="B15" s="78" t="s">
        <v>140</v>
      </c>
      <c r="C15" s="78" t="s">
        <v>693</v>
      </c>
      <c r="D15" s="366" t="s">
        <v>50</v>
      </c>
      <c r="E15" s="366" t="s">
        <v>50</v>
      </c>
      <c r="F15" s="366" t="s">
        <v>50</v>
      </c>
      <c r="G15" s="366" t="s">
        <v>50</v>
      </c>
      <c r="H15" s="366" t="s">
        <v>50</v>
      </c>
      <c r="I15" s="366" t="s">
        <v>50</v>
      </c>
      <c r="J15" s="366" t="s">
        <v>50</v>
      </c>
      <c r="K15" s="366" t="s">
        <v>50</v>
      </c>
      <c r="L15" s="366" t="s">
        <v>50</v>
      </c>
      <c r="M15" s="366" t="s">
        <v>50</v>
      </c>
      <c r="N15" s="366" t="s">
        <v>50</v>
      </c>
      <c r="O15" s="366" t="s">
        <v>50</v>
      </c>
      <c r="P15" s="366" t="s">
        <v>50</v>
      </c>
      <c r="Q15" s="366" t="s">
        <v>50</v>
      </c>
      <c r="R15" s="366" t="s">
        <v>50</v>
      </c>
      <c r="S15" s="366" t="s">
        <v>50</v>
      </c>
      <c r="T15" s="366" t="s">
        <v>50</v>
      </c>
      <c r="U15" s="366" t="s">
        <v>50</v>
      </c>
      <c r="V15" s="366" t="s">
        <v>50</v>
      </c>
      <c r="W15" s="366" t="s">
        <v>50</v>
      </c>
      <c r="X15" s="366" t="s">
        <v>50</v>
      </c>
      <c r="Y15" s="366" t="s">
        <v>50</v>
      </c>
      <c r="Z15" s="366" t="s">
        <v>50</v>
      </c>
      <c r="AA15" s="366" t="s">
        <v>50</v>
      </c>
      <c r="AB15" s="366" t="s">
        <v>50</v>
      </c>
      <c r="AC15" s="366" t="s">
        <v>50</v>
      </c>
      <c r="AD15" s="366" t="s">
        <v>50</v>
      </c>
      <c r="AE15" s="366" t="s">
        <v>50</v>
      </c>
      <c r="AF15" s="366" t="s">
        <v>50</v>
      </c>
      <c r="AG15" s="366" t="s">
        <v>50</v>
      </c>
      <c r="AH15" s="366" t="s">
        <v>50</v>
      </c>
      <c r="AI15" s="185">
        <f>COUNTIF(D15:AH15,"x")+ COUNTIF(D15:AH15,"p")+COUNTIF(D15:AH15,"mn")+COUNTIF(D15:AH15,"T")+COUNTIF(D15:AH15,"VN")</f>
        <v>31</v>
      </c>
      <c r="AJ15" s="185"/>
    </row>
    <row r="16" spans="1:37" ht="23.25" customHeight="1">
      <c r="A16" s="84">
        <v>5</v>
      </c>
      <c r="B16" s="78" t="s">
        <v>507</v>
      </c>
      <c r="C16" s="78" t="s">
        <v>694</v>
      </c>
      <c r="D16" s="366" t="s">
        <v>50</v>
      </c>
      <c r="E16" s="366" t="s">
        <v>50</v>
      </c>
      <c r="F16" s="366" t="s">
        <v>50</v>
      </c>
      <c r="G16" s="366" t="s">
        <v>50</v>
      </c>
      <c r="H16" s="366" t="s">
        <v>50</v>
      </c>
      <c r="I16" s="366" t="s">
        <v>50</v>
      </c>
      <c r="J16" s="366" t="s">
        <v>50</v>
      </c>
      <c r="K16" s="366" t="s">
        <v>50</v>
      </c>
      <c r="L16" s="366" t="s">
        <v>50</v>
      </c>
      <c r="M16" s="366" t="s">
        <v>50</v>
      </c>
      <c r="N16" s="366" t="s">
        <v>50</v>
      </c>
      <c r="O16" s="366" t="s">
        <v>50</v>
      </c>
      <c r="P16" s="366" t="s">
        <v>50</v>
      </c>
      <c r="Q16" s="366" t="s">
        <v>50</v>
      </c>
      <c r="R16" s="366" t="s">
        <v>50</v>
      </c>
      <c r="S16" s="366" t="s">
        <v>50</v>
      </c>
      <c r="T16" s="366" t="s">
        <v>50</v>
      </c>
      <c r="U16" s="366" t="s">
        <v>50</v>
      </c>
      <c r="V16" s="366" t="s">
        <v>50</v>
      </c>
      <c r="W16" s="366" t="s">
        <v>50</v>
      </c>
      <c r="X16" s="366" t="s">
        <v>50</v>
      </c>
      <c r="Y16" s="366" t="s">
        <v>50</v>
      </c>
      <c r="Z16" s="366" t="s">
        <v>50</v>
      </c>
      <c r="AA16" s="366" t="s">
        <v>50</v>
      </c>
      <c r="AB16" s="366" t="s">
        <v>50</v>
      </c>
      <c r="AC16" s="366" t="s">
        <v>50</v>
      </c>
      <c r="AD16" s="366" t="s">
        <v>50</v>
      </c>
      <c r="AE16" s="366" t="s">
        <v>50</v>
      </c>
      <c r="AF16" s="366" t="s">
        <v>50</v>
      </c>
      <c r="AG16" s="366" t="s">
        <v>50</v>
      </c>
      <c r="AH16" s="366" t="s">
        <v>50</v>
      </c>
      <c r="AI16" s="185">
        <f t="shared" ref="AI16" si="0">COUNTIF(D16:AH16,"x")+ COUNTIF(D16:AH16,"p")+COUNTIF(D16:AH16,"mn")+COUNTIF(D16:AH16,"T")+COUNTIF(D16:AH16,"VN")</f>
        <v>31</v>
      </c>
      <c r="AJ16" s="185"/>
    </row>
    <row r="17" spans="1:36" ht="23.25" customHeight="1">
      <c r="A17" s="84">
        <v>6</v>
      </c>
      <c r="B17" s="78" t="s">
        <v>346</v>
      </c>
      <c r="C17" s="78" t="s">
        <v>138</v>
      </c>
      <c r="D17" s="366" t="s">
        <v>50</v>
      </c>
      <c r="E17" s="366" t="s">
        <v>50</v>
      </c>
      <c r="F17" s="366" t="s">
        <v>50</v>
      </c>
      <c r="G17" s="366" t="s">
        <v>50</v>
      </c>
      <c r="H17" s="366" t="s">
        <v>50</v>
      </c>
      <c r="I17" s="366" t="s">
        <v>50</v>
      </c>
      <c r="J17" s="366" t="s">
        <v>50</v>
      </c>
      <c r="K17" s="366" t="s">
        <v>50</v>
      </c>
      <c r="L17" s="366" t="s">
        <v>50</v>
      </c>
      <c r="M17" s="366" t="s">
        <v>50</v>
      </c>
      <c r="N17" s="366" t="s">
        <v>50</v>
      </c>
      <c r="O17" s="366" t="s">
        <v>50</v>
      </c>
      <c r="P17" s="366" t="s">
        <v>50</v>
      </c>
      <c r="Q17" s="366" t="s">
        <v>50</v>
      </c>
      <c r="R17" s="366" t="s">
        <v>50</v>
      </c>
      <c r="S17" s="366" t="s">
        <v>50</v>
      </c>
      <c r="T17" s="366" t="s">
        <v>50</v>
      </c>
      <c r="U17" s="366" t="s">
        <v>50</v>
      </c>
      <c r="V17" s="366" t="s">
        <v>50</v>
      </c>
      <c r="W17" s="366" t="s">
        <v>50</v>
      </c>
      <c r="X17" s="366" t="s">
        <v>50</v>
      </c>
      <c r="Y17" s="366" t="s">
        <v>50</v>
      </c>
      <c r="Z17" s="366" t="s">
        <v>50</v>
      </c>
      <c r="AA17" s="366" t="s">
        <v>50</v>
      </c>
      <c r="AB17" s="366" t="s">
        <v>50</v>
      </c>
      <c r="AC17" s="366" t="s">
        <v>50</v>
      </c>
      <c r="AD17" s="366" t="s">
        <v>50</v>
      </c>
      <c r="AE17" s="366" t="s">
        <v>50</v>
      </c>
      <c r="AF17" s="366" t="s">
        <v>50</v>
      </c>
      <c r="AG17" s="366" t="s">
        <v>50</v>
      </c>
      <c r="AH17" s="366" t="s">
        <v>50</v>
      </c>
      <c r="AI17" s="185">
        <f>COUNTIF(D17:AH17,"x")+ COUNTIF(D17:AH17,"p")+COUNTIF(D17:AH17,"mn")+COUNTIF(D17:AH17,"T")+COUNTIF(D17:AH17,"VN")</f>
        <v>31</v>
      </c>
      <c r="AJ17" s="185"/>
    </row>
    <row r="18" spans="1:36" ht="23.25" customHeight="1">
      <c r="A18" s="1556" t="s">
        <v>125</v>
      </c>
      <c r="B18" s="1556"/>
      <c r="C18" s="1556"/>
      <c r="D18" s="593">
        <f>COUNTIF(D12:D17,"x")</f>
        <v>6</v>
      </c>
      <c r="E18" s="593">
        <f t="shared" ref="E18:AH18" si="1">COUNTIF(E12:E17,"x")</f>
        <v>6</v>
      </c>
      <c r="F18" s="593">
        <f t="shared" si="1"/>
        <v>6</v>
      </c>
      <c r="G18" s="593">
        <f t="shared" si="1"/>
        <v>6</v>
      </c>
      <c r="H18" s="593">
        <f t="shared" si="1"/>
        <v>6</v>
      </c>
      <c r="I18" s="593">
        <f t="shared" si="1"/>
        <v>6</v>
      </c>
      <c r="J18" s="593">
        <f t="shared" si="1"/>
        <v>6</v>
      </c>
      <c r="K18" s="593">
        <f t="shared" si="1"/>
        <v>6</v>
      </c>
      <c r="L18" s="593">
        <f t="shared" si="1"/>
        <v>6</v>
      </c>
      <c r="M18" s="593">
        <f t="shared" si="1"/>
        <v>6</v>
      </c>
      <c r="N18" s="593">
        <f t="shared" si="1"/>
        <v>6</v>
      </c>
      <c r="O18" s="593">
        <f t="shared" si="1"/>
        <v>6</v>
      </c>
      <c r="P18" s="593">
        <f t="shared" si="1"/>
        <v>6</v>
      </c>
      <c r="Q18" s="593">
        <f t="shared" si="1"/>
        <v>6</v>
      </c>
      <c r="R18" s="593">
        <f t="shared" si="1"/>
        <v>6</v>
      </c>
      <c r="S18" s="593">
        <f t="shared" si="1"/>
        <v>6</v>
      </c>
      <c r="T18" s="593">
        <f t="shared" si="1"/>
        <v>6</v>
      </c>
      <c r="U18" s="593">
        <f t="shared" si="1"/>
        <v>6</v>
      </c>
      <c r="V18" s="593">
        <f t="shared" si="1"/>
        <v>6</v>
      </c>
      <c r="W18" s="593">
        <f t="shared" si="1"/>
        <v>6</v>
      </c>
      <c r="X18" s="593">
        <f t="shared" si="1"/>
        <v>6</v>
      </c>
      <c r="Y18" s="593">
        <f t="shared" si="1"/>
        <v>6</v>
      </c>
      <c r="Z18" s="593">
        <f t="shared" si="1"/>
        <v>6</v>
      </c>
      <c r="AA18" s="593">
        <f t="shared" si="1"/>
        <v>6</v>
      </c>
      <c r="AB18" s="593">
        <f t="shared" si="1"/>
        <v>6</v>
      </c>
      <c r="AC18" s="593">
        <f t="shared" si="1"/>
        <v>6</v>
      </c>
      <c r="AD18" s="593">
        <f t="shared" si="1"/>
        <v>6</v>
      </c>
      <c r="AE18" s="593">
        <f t="shared" si="1"/>
        <v>6</v>
      </c>
      <c r="AF18" s="593">
        <f t="shared" si="1"/>
        <v>6</v>
      </c>
      <c r="AG18" s="593">
        <f t="shared" si="1"/>
        <v>6</v>
      </c>
      <c r="AH18" s="593">
        <f t="shared" si="1"/>
        <v>6</v>
      </c>
      <c r="AI18" s="593">
        <f>SUM(AI12:AI17)</f>
        <v>186</v>
      </c>
      <c r="AJ18" s="185"/>
    </row>
    <row r="19" spans="1:36" ht="15.75" customHeight="1"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1557" t="s">
        <v>800</v>
      </c>
      <c r="U19" s="1557"/>
      <c r="V19" s="1557"/>
      <c r="W19" s="1557"/>
      <c r="X19" s="1557"/>
      <c r="Y19" s="1557"/>
      <c r="Z19" s="1557"/>
      <c r="AA19" s="1557"/>
      <c r="AB19" s="1557"/>
      <c r="AC19" s="1557"/>
      <c r="AD19" s="1557"/>
      <c r="AE19" s="1557"/>
      <c r="AF19" s="1557"/>
      <c r="AG19" s="1557"/>
      <c r="AH19" s="1557"/>
      <c r="AI19" s="1557"/>
      <c r="AJ19" s="1557"/>
    </row>
    <row r="20" spans="1:36" ht="15.75" customHeight="1">
      <c r="B20" s="43" t="s">
        <v>373</v>
      </c>
      <c r="C20" s="1558" t="s">
        <v>374</v>
      </c>
      <c r="D20" s="1558"/>
      <c r="E20" s="1558"/>
      <c r="F20" s="1558"/>
      <c r="G20" s="1558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723"/>
      <c r="U20" s="723"/>
      <c r="V20" s="723"/>
      <c r="W20" s="723"/>
      <c r="X20" s="723"/>
      <c r="Y20" s="723"/>
      <c r="Z20" s="723"/>
      <c r="AA20" s="723"/>
      <c r="AB20" s="723"/>
      <c r="AC20" s="723"/>
      <c r="AD20" s="723"/>
      <c r="AE20" s="723"/>
      <c r="AF20" s="723"/>
      <c r="AG20" s="723"/>
      <c r="AH20" s="723"/>
      <c r="AI20" s="723"/>
      <c r="AJ20" s="723"/>
    </row>
    <row r="21" spans="1:36" ht="13.5" customHeight="1">
      <c r="B21" s="43"/>
      <c r="C21" s="1558" t="s">
        <v>436</v>
      </c>
      <c r="D21" s="1558"/>
      <c r="E21" s="1558"/>
      <c r="F21" s="1558"/>
      <c r="G21" s="1558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723"/>
      <c r="U21" s="723"/>
      <c r="V21" s="723"/>
      <c r="W21" s="723"/>
      <c r="X21" s="723"/>
      <c r="Y21" s="723"/>
      <c r="Z21" s="723"/>
      <c r="AA21" s="723"/>
      <c r="AB21" s="723"/>
      <c r="AC21" s="723"/>
      <c r="AD21" s="723"/>
      <c r="AE21" s="723"/>
      <c r="AF21" s="723"/>
      <c r="AG21" s="723"/>
      <c r="AH21" s="723"/>
      <c r="AI21" s="723"/>
      <c r="AJ21" s="723"/>
    </row>
    <row r="22" spans="1:36" ht="17.25" customHeight="1">
      <c r="A22" s="1559" t="s">
        <v>508</v>
      </c>
      <c r="B22" s="1559"/>
      <c r="C22" s="1559"/>
      <c r="D22" s="1559"/>
      <c r="E22" s="1559"/>
      <c r="F22" s="1559"/>
      <c r="G22" s="1559"/>
      <c r="H22" s="1559"/>
      <c r="I22" s="1559"/>
      <c r="J22" s="1559"/>
      <c r="K22" s="1559"/>
      <c r="L22" s="1559"/>
      <c r="M22" s="1559"/>
      <c r="N22" s="1559"/>
      <c r="O22" s="1559"/>
      <c r="P22" s="1559"/>
      <c r="Q22" s="1559"/>
      <c r="R22" s="1559"/>
      <c r="S22" s="1559"/>
      <c r="T22" s="1559"/>
      <c r="U22" s="1559"/>
      <c r="V22" s="1559"/>
      <c r="W22" s="1559"/>
      <c r="X22" s="1559"/>
      <c r="Y22" s="1559"/>
      <c r="Z22" s="1559"/>
      <c r="AA22" s="1559"/>
      <c r="AB22" s="1559"/>
      <c r="AC22" s="1559"/>
      <c r="AD22" s="1559"/>
      <c r="AE22" s="1559"/>
      <c r="AF22" s="1559"/>
      <c r="AG22" s="1559"/>
      <c r="AH22" s="1559"/>
      <c r="AI22" s="1559"/>
      <c r="AJ22" s="1559"/>
    </row>
    <row r="23" spans="1:36" ht="15" customHeight="1">
      <c r="A23" s="30"/>
      <c r="B23" s="28"/>
      <c r="C23" s="722"/>
      <c r="D23" s="30"/>
      <c r="E23" s="30"/>
      <c r="F23" s="30"/>
      <c r="G23" s="30"/>
      <c r="H23" s="30"/>
      <c r="I23" s="33"/>
      <c r="J23" s="33"/>
      <c r="K23" s="33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</row>
    <row r="24" spans="1:36" ht="13.5" customHeight="1">
      <c r="A24" s="30"/>
      <c r="B24" s="222"/>
      <c r="C24" s="722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41"/>
      <c r="O24" s="41"/>
      <c r="P24" s="41"/>
      <c r="Q24" s="33"/>
      <c r="R24" s="33"/>
      <c r="S24" s="33"/>
      <c r="T24" s="33"/>
      <c r="U24" s="33"/>
      <c r="V24" s="33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33"/>
      <c r="AJ24" s="33"/>
    </row>
    <row r="25" spans="1:36" ht="13.5" customHeight="1">
      <c r="A25" s="30"/>
      <c r="B25" s="222"/>
      <c r="C25" s="722"/>
      <c r="D25" s="30"/>
      <c r="E25" s="30"/>
      <c r="F25" s="30"/>
      <c r="G25" s="30"/>
      <c r="H25" s="30"/>
      <c r="I25" s="33"/>
      <c r="J25" s="33"/>
      <c r="K25" s="33"/>
      <c r="L25" s="30"/>
      <c r="M25" s="30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</row>
    <row r="26" spans="1:36" ht="13.5" customHeight="1">
      <c r="A26" s="30"/>
      <c r="B26" s="222"/>
      <c r="C26" s="722"/>
      <c r="D26" s="30"/>
      <c r="E26" s="30"/>
      <c r="F26" s="30"/>
      <c r="G26" s="30"/>
      <c r="H26" s="30"/>
      <c r="I26" s="30"/>
      <c r="J26" s="30"/>
      <c r="K26" s="33"/>
      <c r="L26" s="30"/>
      <c r="M26" s="30"/>
      <c r="N26" s="41"/>
      <c r="O26" s="41"/>
      <c r="P26" s="41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</row>
    <row r="27" spans="1:36" ht="12" customHeight="1">
      <c r="A27" s="30"/>
      <c r="B27" s="222"/>
      <c r="C27" s="30"/>
      <c r="D27" s="30"/>
      <c r="E27" s="30"/>
      <c r="F27" s="30"/>
      <c r="G27" s="30"/>
      <c r="H27" s="30"/>
      <c r="I27" s="30"/>
      <c r="J27" s="30"/>
      <c r="K27" s="33"/>
      <c r="L27" s="30"/>
      <c r="M27" s="30"/>
      <c r="N27" s="41"/>
      <c r="O27" s="41"/>
      <c r="P27" s="41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</row>
    <row r="28" spans="1:36" ht="15.75" customHeight="1">
      <c r="A28" s="30"/>
      <c r="B28" s="728"/>
      <c r="C28" s="728"/>
      <c r="D28" s="728"/>
      <c r="E28" s="728"/>
      <c r="F28" s="728"/>
      <c r="G28" s="728"/>
      <c r="H28" s="728"/>
      <c r="I28" s="728"/>
      <c r="J28" s="728"/>
      <c r="L28" s="30"/>
      <c r="N28" s="33"/>
      <c r="O28" s="33"/>
      <c r="P28" s="33"/>
      <c r="Q28" s="33"/>
      <c r="R28" s="33"/>
      <c r="S28" s="33"/>
      <c r="T28" s="33"/>
      <c r="U28" s="33"/>
      <c r="V28" s="33"/>
      <c r="W28" s="41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</row>
    <row r="29" spans="1:36" ht="13.5" customHeight="1">
      <c r="A29" s="30"/>
      <c r="H29" s="32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spans="1:36" ht="13.5" customHeight="1">
      <c r="A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spans="1:36" ht="16.5">
      <c r="A31" s="38"/>
      <c r="B31" s="30"/>
      <c r="C31" s="39"/>
      <c r="D31" s="39"/>
      <c r="E31" s="30"/>
      <c r="F31" s="30"/>
      <c r="G31" s="30"/>
      <c r="H31" s="30"/>
      <c r="I31" s="40"/>
      <c r="J31" s="40"/>
      <c r="K31" s="30"/>
    </row>
    <row r="32" spans="1:36" ht="15.75">
      <c r="A32" s="30"/>
      <c r="B32" s="28"/>
      <c r="C32" s="722"/>
      <c r="D32" s="30"/>
      <c r="E32" s="30"/>
      <c r="F32" s="30"/>
      <c r="G32" s="30"/>
      <c r="H32" s="30"/>
      <c r="I32" s="33"/>
      <c r="J32" s="33"/>
      <c r="K32" s="33"/>
    </row>
    <row r="33" spans="1:11">
      <c r="A33" s="30"/>
      <c r="B33" s="222"/>
      <c r="C33" s="722"/>
      <c r="D33" s="30"/>
      <c r="E33" s="30"/>
      <c r="F33" s="30"/>
      <c r="G33" s="30"/>
      <c r="H33" s="30"/>
      <c r="I33" s="30"/>
      <c r="J33" s="30"/>
      <c r="K33" s="30"/>
    </row>
    <row r="34" spans="1:11" ht="15.75">
      <c r="A34" s="30"/>
      <c r="B34" s="222"/>
      <c r="C34" s="722"/>
      <c r="D34" s="30"/>
      <c r="E34" s="30"/>
      <c r="F34" s="30"/>
      <c r="G34" s="30"/>
      <c r="H34" s="30"/>
      <c r="I34" s="33"/>
      <c r="J34" s="33"/>
      <c r="K34" s="33"/>
    </row>
    <row r="35" spans="1:11" ht="15.75">
      <c r="A35" s="30"/>
      <c r="B35" s="222"/>
      <c r="C35" s="722"/>
      <c r="D35" s="30"/>
      <c r="E35" s="30"/>
      <c r="F35" s="30"/>
      <c r="G35" s="30"/>
      <c r="H35" s="30"/>
      <c r="I35" s="30"/>
      <c r="J35" s="30"/>
      <c r="K35" s="33"/>
    </row>
    <row r="36" spans="1:11" ht="15.75">
      <c r="A36" s="30"/>
      <c r="B36" s="222"/>
      <c r="C36" s="30"/>
      <c r="D36" s="30"/>
      <c r="E36" s="30"/>
      <c r="F36" s="30"/>
      <c r="G36" s="30"/>
      <c r="H36" s="30"/>
      <c r="I36" s="30"/>
      <c r="J36" s="30"/>
      <c r="K36" s="33"/>
    </row>
    <row r="37" spans="1:11">
      <c r="A37" s="30"/>
      <c r="B37" s="222"/>
      <c r="C37" s="30"/>
      <c r="D37" s="30"/>
      <c r="E37" s="30"/>
      <c r="F37" s="30"/>
      <c r="G37" s="30"/>
      <c r="H37" s="30"/>
      <c r="I37" s="30"/>
      <c r="J37" s="30"/>
    </row>
    <row r="38" spans="1:11">
      <c r="A38" s="30"/>
      <c r="H38" s="32"/>
    </row>
  </sheetData>
  <mergeCells count="18">
    <mergeCell ref="A8:AJ8"/>
    <mergeCell ref="A1:AJ1"/>
    <mergeCell ref="A2:AJ2"/>
    <mergeCell ref="A3:AJ3"/>
    <mergeCell ref="A5:O5"/>
    <mergeCell ref="A6:K6"/>
    <mergeCell ref="C20:G20"/>
    <mergeCell ref="C21:G21"/>
    <mergeCell ref="A22:AJ22"/>
    <mergeCell ref="A9:AJ9"/>
    <mergeCell ref="T19:AJ19"/>
    <mergeCell ref="AJ10:AJ11"/>
    <mergeCell ref="A10:A11"/>
    <mergeCell ref="B10:B11"/>
    <mergeCell ref="C10:C11"/>
    <mergeCell ref="D10:AG10"/>
    <mergeCell ref="AI10:AI11"/>
    <mergeCell ref="A18:C18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36"/>
  <sheetViews>
    <sheetView topLeftCell="A7" workbookViewId="0">
      <selection activeCell="AM14" sqref="AM14"/>
    </sheetView>
  </sheetViews>
  <sheetFormatPr defaultColWidth="9.140625" defaultRowHeight="15"/>
  <cols>
    <col min="1" max="1" width="3" style="32" customWidth="1"/>
    <col min="2" max="2" width="16.85546875" style="32" customWidth="1"/>
    <col min="3" max="3" width="10" style="32" customWidth="1"/>
    <col min="4" max="7" width="3" style="32" customWidth="1"/>
    <col min="8" max="8" width="3" style="42" customWidth="1"/>
    <col min="9" max="9" width="2.7109375" style="32" customWidth="1"/>
    <col min="10" max="31" width="3" style="32" customWidth="1"/>
    <col min="32" max="32" width="3.5703125" style="32" customWidth="1"/>
    <col min="33" max="33" width="3.42578125" style="32" customWidth="1"/>
    <col min="34" max="34" width="4.7109375" style="32" customWidth="1"/>
    <col min="35" max="35" width="5" style="32" customWidth="1"/>
    <col min="36" max="36" width="7.140625" style="32" customWidth="1"/>
    <col min="37" max="37" width="9.140625" style="32"/>
    <col min="38" max="38" width="14.85546875" style="32" bestFit="1" customWidth="1"/>
    <col min="39" max="43" width="9.140625" style="32"/>
    <col min="44" max="44" width="15.85546875" style="32" customWidth="1"/>
    <col min="45" max="16384" width="9.140625" style="32"/>
  </cols>
  <sheetData>
    <row r="1" spans="1:37" ht="15" customHeight="1">
      <c r="A1" s="1550" t="s">
        <v>51</v>
      </c>
      <c r="B1" s="1550"/>
      <c r="C1" s="1550"/>
      <c r="D1" s="1550"/>
      <c r="E1" s="1550"/>
      <c r="F1" s="1550"/>
      <c r="G1" s="1550"/>
      <c r="H1" s="1550"/>
      <c r="I1" s="1550"/>
      <c r="J1" s="1550"/>
      <c r="K1" s="1550"/>
      <c r="L1" s="1550"/>
      <c r="M1" s="1550"/>
      <c r="N1" s="1550"/>
      <c r="O1" s="1550"/>
      <c r="P1" s="1550"/>
      <c r="Q1" s="1550"/>
      <c r="R1" s="1550"/>
      <c r="S1" s="1550"/>
      <c r="T1" s="1550"/>
      <c r="U1" s="1550"/>
      <c r="V1" s="1550"/>
      <c r="W1" s="1550"/>
      <c r="X1" s="1550"/>
      <c r="Y1" s="1550"/>
      <c r="Z1" s="1550"/>
      <c r="AA1" s="1550"/>
      <c r="AB1" s="1550"/>
      <c r="AC1" s="1550"/>
      <c r="AD1" s="1550"/>
      <c r="AE1" s="1550"/>
      <c r="AF1" s="1550"/>
      <c r="AG1" s="1550"/>
      <c r="AH1" s="1550"/>
      <c r="AI1" s="1550"/>
      <c r="AJ1" s="721"/>
    </row>
    <row r="2" spans="1:37" ht="15" customHeight="1">
      <c r="A2" s="1550" t="s">
        <v>45</v>
      </c>
      <c r="B2" s="1550"/>
      <c r="C2" s="1550"/>
      <c r="D2" s="1550"/>
      <c r="E2" s="1550"/>
      <c r="F2" s="1550"/>
      <c r="G2" s="1550"/>
      <c r="H2" s="1550"/>
      <c r="I2" s="1550"/>
      <c r="J2" s="1550"/>
      <c r="K2" s="1550"/>
      <c r="L2" s="1550"/>
      <c r="M2" s="1550"/>
      <c r="N2" s="1550"/>
      <c r="O2" s="1550"/>
      <c r="P2" s="1550"/>
      <c r="Q2" s="1550"/>
      <c r="R2" s="1550"/>
      <c r="S2" s="1550"/>
      <c r="T2" s="1550"/>
      <c r="U2" s="1550"/>
      <c r="V2" s="1550"/>
      <c r="W2" s="1550"/>
      <c r="X2" s="1550"/>
      <c r="Y2" s="1550"/>
      <c r="Z2" s="1550"/>
      <c r="AA2" s="1550"/>
      <c r="AB2" s="1550"/>
      <c r="AC2" s="1550"/>
      <c r="AD2" s="1550"/>
      <c r="AE2" s="1550"/>
      <c r="AF2" s="1550"/>
      <c r="AG2" s="1550"/>
      <c r="AH2" s="1550"/>
      <c r="AI2" s="1550"/>
      <c r="AJ2" s="721"/>
    </row>
    <row r="3" spans="1:37" ht="17.25" customHeight="1">
      <c r="A3" s="1551" t="s">
        <v>254</v>
      </c>
      <c r="B3" s="1451"/>
      <c r="C3" s="1451"/>
      <c r="D3" s="1451"/>
      <c r="E3" s="1451"/>
      <c r="F3" s="1451"/>
      <c r="G3" s="1451"/>
      <c r="H3" s="1451"/>
      <c r="I3" s="1451"/>
      <c r="J3" s="1451"/>
      <c r="K3" s="1451"/>
      <c r="L3" s="1451"/>
      <c r="M3" s="1451"/>
      <c r="N3" s="1451"/>
      <c r="O3" s="1451"/>
      <c r="P3" s="1451"/>
      <c r="Q3" s="1451"/>
      <c r="R3" s="1451"/>
      <c r="S3" s="1451"/>
      <c r="T3" s="1451"/>
      <c r="U3" s="1451"/>
      <c r="V3" s="1451"/>
      <c r="W3" s="1451"/>
      <c r="X3" s="1451"/>
      <c r="Y3" s="1451"/>
      <c r="Z3" s="1451"/>
      <c r="AA3" s="1451"/>
      <c r="AB3" s="1451"/>
      <c r="AC3" s="1451"/>
      <c r="AD3" s="1451"/>
      <c r="AE3" s="1451"/>
      <c r="AF3" s="1451"/>
      <c r="AG3" s="1451"/>
      <c r="AH3" s="1451"/>
      <c r="AI3" s="1451"/>
      <c r="AJ3" s="838"/>
    </row>
    <row r="4" spans="1:37" ht="9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</row>
    <row r="5" spans="1:37" ht="23.25" customHeight="1">
      <c r="A5" s="1720" t="s">
        <v>510</v>
      </c>
      <c r="B5" s="1720"/>
      <c r="C5" s="1720"/>
      <c r="D5" s="1720"/>
      <c r="E5" s="1720"/>
      <c r="F5" s="1720"/>
      <c r="G5" s="1720"/>
      <c r="H5" s="1720"/>
      <c r="I5" s="1720"/>
      <c r="J5" s="1720"/>
      <c r="K5" s="1720"/>
      <c r="L5" s="1720"/>
      <c r="M5" s="1720"/>
      <c r="N5" s="1720"/>
      <c r="O5" s="172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</row>
    <row r="6" spans="1:37" ht="18" customHeight="1">
      <c r="A6" s="1720" t="s">
        <v>500</v>
      </c>
      <c r="B6" s="1720"/>
      <c r="C6" s="1720"/>
      <c r="D6" s="1720"/>
      <c r="E6" s="1720"/>
      <c r="F6" s="1720"/>
      <c r="G6" s="1720"/>
      <c r="H6" s="1720"/>
      <c r="I6" s="1720"/>
      <c r="J6" s="1720"/>
      <c r="K6" s="1720"/>
      <c r="L6" s="41"/>
      <c r="M6" s="41"/>
      <c r="N6" s="41"/>
      <c r="O6" s="4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</row>
    <row r="7" spans="1:37" ht="12" customHeight="1">
      <c r="A7" s="264"/>
      <c r="B7" s="264"/>
      <c r="C7" s="264"/>
      <c r="D7" s="264"/>
      <c r="E7" s="264"/>
      <c r="F7" s="264"/>
      <c r="G7" s="264"/>
      <c r="H7" s="264"/>
      <c r="I7" s="264"/>
      <c r="J7" s="264"/>
      <c r="K7" s="264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spans="1:37" ht="23.25" customHeight="1">
      <c r="A8" s="1719" t="s">
        <v>714</v>
      </c>
      <c r="B8" s="1719"/>
      <c r="C8" s="1719"/>
      <c r="D8" s="1719"/>
      <c r="E8" s="1719"/>
      <c r="F8" s="1719"/>
      <c r="G8" s="1719"/>
      <c r="H8" s="1719"/>
      <c r="I8" s="1719"/>
      <c r="J8" s="1719"/>
      <c r="K8" s="1719"/>
      <c r="L8" s="1719"/>
      <c r="M8" s="1719"/>
      <c r="N8" s="1719"/>
      <c r="O8" s="1719"/>
      <c r="P8" s="1719"/>
      <c r="Q8" s="1719"/>
      <c r="R8" s="1719"/>
      <c r="S8" s="1719"/>
      <c r="T8" s="1719"/>
      <c r="U8" s="1719"/>
      <c r="V8" s="1719"/>
      <c r="W8" s="1719"/>
      <c r="X8" s="1719"/>
      <c r="Y8" s="1719"/>
      <c r="Z8" s="1719"/>
      <c r="AA8" s="1719"/>
      <c r="AB8" s="1719"/>
      <c r="AC8" s="1719"/>
      <c r="AD8" s="1719"/>
      <c r="AE8" s="1719"/>
      <c r="AF8" s="1719"/>
      <c r="AG8" s="1719"/>
      <c r="AH8" s="1719"/>
      <c r="AI8" s="1719"/>
      <c r="AJ8" s="839"/>
    </row>
    <row r="9" spans="1:37" ht="18" customHeight="1">
      <c r="A9" s="1451" t="s">
        <v>827</v>
      </c>
      <c r="B9" s="1451"/>
      <c r="C9" s="1451"/>
      <c r="D9" s="1451"/>
      <c r="E9" s="1451"/>
      <c r="F9" s="1451"/>
      <c r="G9" s="1451"/>
      <c r="H9" s="1451"/>
      <c r="I9" s="1451"/>
      <c r="J9" s="1451"/>
      <c r="K9" s="1451"/>
      <c r="L9" s="1451"/>
      <c r="M9" s="1451"/>
      <c r="N9" s="1451"/>
      <c r="O9" s="1451"/>
      <c r="P9" s="1451"/>
      <c r="Q9" s="1451"/>
      <c r="R9" s="1451"/>
      <c r="S9" s="1451"/>
      <c r="T9" s="1451"/>
      <c r="U9" s="1451"/>
      <c r="V9" s="1451"/>
      <c r="W9" s="1451"/>
      <c r="X9" s="1451"/>
      <c r="Y9" s="1451"/>
      <c r="Z9" s="1451"/>
      <c r="AA9" s="1451"/>
      <c r="AB9" s="1451"/>
      <c r="AC9" s="1451"/>
      <c r="AD9" s="1451"/>
      <c r="AE9" s="1451"/>
      <c r="AF9" s="1451"/>
      <c r="AG9" s="1451"/>
      <c r="AH9" s="1451"/>
      <c r="AI9" s="1451"/>
      <c r="AJ9" s="841"/>
    </row>
    <row r="10" spans="1:37" ht="15" customHeight="1">
      <c r="A10" s="1554" t="s">
        <v>46</v>
      </c>
      <c r="B10" s="1554" t="s">
        <v>47</v>
      </c>
      <c r="C10" s="1554" t="s">
        <v>48</v>
      </c>
      <c r="D10" s="1555" t="s">
        <v>49</v>
      </c>
      <c r="E10" s="1555"/>
      <c r="F10" s="1555"/>
      <c r="G10" s="1555"/>
      <c r="H10" s="1555"/>
      <c r="I10" s="1555"/>
      <c r="J10" s="1555"/>
      <c r="K10" s="1555"/>
      <c r="L10" s="1555"/>
      <c r="M10" s="1555"/>
      <c r="N10" s="1555"/>
      <c r="O10" s="1555"/>
      <c r="P10" s="1555"/>
      <c r="Q10" s="1555"/>
      <c r="R10" s="1555"/>
      <c r="S10" s="1555"/>
      <c r="T10" s="1555"/>
      <c r="U10" s="1555"/>
      <c r="V10" s="1555"/>
      <c r="W10" s="1555"/>
      <c r="X10" s="1555"/>
      <c r="Y10" s="1555"/>
      <c r="Z10" s="1555"/>
      <c r="AA10" s="1555"/>
      <c r="AB10" s="1555"/>
      <c r="AC10" s="1555"/>
      <c r="AD10" s="1555"/>
      <c r="AE10" s="1555"/>
      <c r="AF10" s="1555"/>
      <c r="AG10" s="1555"/>
      <c r="AH10" s="718"/>
      <c r="AI10" s="1458" t="s">
        <v>33</v>
      </c>
      <c r="AJ10" s="1458" t="s">
        <v>313</v>
      </c>
      <c r="AK10" s="368"/>
    </row>
    <row r="11" spans="1:37" ht="36.75" customHeight="1">
      <c r="A11" s="1554"/>
      <c r="B11" s="1554"/>
      <c r="C11" s="1554"/>
      <c r="D11" s="1106">
        <v>1</v>
      </c>
      <c r="E11" s="1106">
        <v>2</v>
      </c>
      <c r="F11" s="1106">
        <v>3</v>
      </c>
      <c r="G11" s="1106">
        <v>4</v>
      </c>
      <c r="H11" s="920">
        <v>5</v>
      </c>
      <c r="I11" s="1106">
        <v>6</v>
      </c>
      <c r="J11" s="1106">
        <v>7</v>
      </c>
      <c r="K11" s="1106">
        <v>8</v>
      </c>
      <c r="L11" s="1106">
        <v>9</v>
      </c>
      <c r="M11" s="1106">
        <v>10</v>
      </c>
      <c r="N11" s="1106">
        <v>11</v>
      </c>
      <c r="O11" s="920">
        <v>12</v>
      </c>
      <c r="P11" s="1106">
        <v>13</v>
      </c>
      <c r="Q11" s="1106">
        <v>14</v>
      </c>
      <c r="R11" s="1106">
        <v>15</v>
      </c>
      <c r="S11" s="1106">
        <v>16</v>
      </c>
      <c r="T11" s="1106">
        <v>17</v>
      </c>
      <c r="U11" s="1106">
        <v>18</v>
      </c>
      <c r="V11" s="920">
        <v>19</v>
      </c>
      <c r="W11" s="1106">
        <v>20</v>
      </c>
      <c r="X11" s="1106">
        <v>21</v>
      </c>
      <c r="Y11" s="1106">
        <v>22</v>
      </c>
      <c r="Z11" s="1106">
        <v>23</v>
      </c>
      <c r="AA11" s="1106">
        <v>24</v>
      </c>
      <c r="AB11" s="1106">
        <v>25</v>
      </c>
      <c r="AC11" s="920">
        <v>26</v>
      </c>
      <c r="AD11" s="1106">
        <v>27</v>
      </c>
      <c r="AE11" s="1106">
        <v>28</v>
      </c>
      <c r="AF11" s="1106">
        <v>29</v>
      </c>
      <c r="AG11" s="1106">
        <v>30</v>
      </c>
      <c r="AH11" s="1106">
        <v>31</v>
      </c>
      <c r="AI11" s="1458"/>
      <c r="AJ11" s="1458"/>
    </row>
    <row r="12" spans="1:37" ht="19.149999999999999" customHeight="1">
      <c r="A12" s="184">
        <v>1</v>
      </c>
      <c r="B12" s="78" t="s">
        <v>319</v>
      </c>
      <c r="C12" s="78" t="s">
        <v>164</v>
      </c>
      <c r="D12" s="184" t="s">
        <v>50</v>
      </c>
      <c r="E12" s="184" t="s">
        <v>50</v>
      </c>
      <c r="F12" s="184" t="s">
        <v>50</v>
      </c>
      <c r="G12" s="184" t="s">
        <v>50</v>
      </c>
      <c r="H12" s="184" t="s">
        <v>89</v>
      </c>
      <c r="I12" s="184" t="s">
        <v>50</v>
      </c>
      <c r="J12" s="184" t="s">
        <v>50</v>
      </c>
      <c r="K12" s="184" t="s">
        <v>50</v>
      </c>
      <c r="L12" s="184" t="s">
        <v>50</v>
      </c>
      <c r="M12" s="184" t="s">
        <v>50</v>
      </c>
      <c r="N12" s="184" t="s">
        <v>50</v>
      </c>
      <c r="O12" s="184" t="s">
        <v>89</v>
      </c>
      <c r="P12" s="184" t="s">
        <v>50</v>
      </c>
      <c r="Q12" s="184" t="s">
        <v>50</v>
      </c>
      <c r="R12" s="184" t="s">
        <v>50</v>
      </c>
      <c r="S12" s="184" t="s">
        <v>50</v>
      </c>
      <c r="T12" s="184" t="s">
        <v>50</v>
      </c>
      <c r="U12" s="184" t="s">
        <v>50</v>
      </c>
      <c r="V12" s="184" t="s">
        <v>89</v>
      </c>
      <c r="W12" s="184" t="s">
        <v>50</v>
      </c>
      <c r="X12" s="184" t="s">
        <v>50</v>
      </c>
      <c r="Y12" s="184" t="s">
        <v>50</v>
      </c>
      <c r="Z12" s="184" t="s">
        <v>50</v>
      </c>
      <c r="AA12" s="184" t="s">
        <v>50</v>
      </c>
      <c r="AB12" s="184" t="s">
        <v>50</v>
      </c>
      <c r="AC12" s="184" t="s">
        <v>89</v>
      </c>
      <c r="AD12" s="184" t="s">
        <v>50</v>
      </c>
      <c r="AE12" s="184" t="s">
        <v>50</v>
      </c>
      <c r="AF12" s="184" t="s">
        <v>50</v>
      </c>
      <c r="AG12" s="184" t="s">
        <v>50</v>
      </c>
      <c r="AH12" s="184" t="s">
        <v>50</v>
      </c>
      <c r="AI12" s="185">
        <f t="shared" ref="AI12:AI17" si="0">COUNTIF(D12:AH12,"x")+ COUNTIF(D12:AH12,"p")+COUNTIF(D12:AH12,"pt")+COUNTIF(D12:AH12,"T")+COUNTIF(D12:AH12,"VN")</f>
        <v>27</v>
      </c>
      <c r="AJ12" s="185"/>
    </row>
    <row r="13" spans="1:37" ht="18.75" customHeight="1">
      <c r="A13" s="184">
        <v>2</v>
      </c>
      <c r="B13" s="76" t="s">
        <v>40</v>
      </c>
      <c r="C13" s="76" t="s">
        <v>520</v>
      </c>
      <c r="D13" s="184" t="s">
        <v>50</v>
      </c>
      <c r="E13" s="184" t="s">
        <v>50</v>
      </c>
      <c r="F13" s="184" t="s">
        <v>50</v>
      </c>
      <c r="G13" s="184" t="s">
        <v>50</v>
      </c>
      <c r="H13" s="184" t="s">
        <v>89</v>
      </c>
      <c r="I13" s="184" t="s">
        <v>50</v>
      </c>
      <c r="J13" s="184" t="s">
        <v>50</v>
      </c>
      <c r="K13" s="184" t="s">
        <v>50</v>
      </c>
      <c r="L13" s="184" t="s">
        <v>50</v>
      </c>
      <c r="M13" s="184" t="s">
        <v>50</v>
      </c>
      <c r="N13" s="184" t="s">
        <v>50</v>
      </c>
      <c r="O13" s="184" t="s">
        <v>89</v>
      </c>
      <c r="P13" s="184" t="s">
        <v>50</v>
      </c>
      <c r="Q13" s="184" t="s">
        <v>50</v>
      </c>
      <c r="R13" s="184" t="s">
        <v>50</v>
      </c>
      <c r="S13" s="184" t="s">
        <v>50</v>
      </c>
      <c r="T13" s="184" t="s">
        <v>50</v>
      </c>
      <c r="U13" s="184" t="s">
        <v>50</v>
      </c>
      <c r="V13" s="184" t="s">
        <v>89</v>
      </c>
      <c r="W13" s="184" t="s">
        <v>50</v>
      </c>
      <c r="X13" s="184" t="s">
        <v>50</v>
      </c>
      <c r="Y13" s="184" t="s">
        <v>50</v>
      </c>
      <c r="Z13" s="184" t="s">
        <v>50</v>
      </c>
      <c r="AA13" s="184" t="s">
        <v>50</v>
      </c>
      <c r="AB13" s="184" t="s">
        <v>50</v>
      </c>
      <c r="AC13" s="184" t="s">
        <v>89</v>
      </c>
      <c r="AD13" s="184" t="s">
        <v>50</v>
      </c>
      <c r="AE13" s="184" t="s">
        <v>50</v>
      </c>
      <c r="AF13" s="184" t="s">
        <v>50</v>
      </c>
      <c r="AG13" s="184" t="s">
        <v>50</v>
      </c>
      <c r="AH13" s="184" t="s">
        <v>50</v>
      </c>
      <c r="AI13" s="185">
        <f t="shared" si="0"/>
        <v>27</v>
      </c>
      <c r="AJ13" s="185"/>
    </row>
    <row r="14" spans="1:37" ht="17.45" customHeight="1">
      <c r="A14" s="184">
        <v>3</v>
      </c>
      <c r="B14" s="76" t="s">
        <v>283</v>
      </c>
      <c r="C14" s="76" t="s">
        <v>698</v>
      </c>
      <c r="D14" s="184" t="s">
        <v>50</v>
      </c>
      <c r="E14" s="184" t="s">
        <v>50</v>
      </c>
      <c r="F14" s="184" t="s">
        <v>50</v>
      </c>
      <c r="G14" s="184" t="s">
        <v>50</v>
      </c>
      <c r="H14" s="184" t="s">
        <v>89</v>
      </c>
      <c r="I14" s="184" t="s">
        <v>50</v>
      </c>
      <c r="J14" s="184" t="s">
        <v>50</v>
      </c>
      <c r="K14" s="184" t="s">
        <v>50</v>
      </c>
      <c r="L14" s="184" t="s">
        <v>50</v>
      </c>
      <c r="M14" s="184" t="s">
        <v>50</v>
      </c>
      <c r="N14" s="184" t="s">
        <v>50</v>
      </c>
      <c r="O14" s="184" t="s">
        <v>89</v>
      </c>
      <c r="P14" s="184" t="s">
        <v>50</v>
      </c>
      <c r="Q14" s="184" t="s">
        <v>50</v>
      </c>
      <c r="R14" s="184" t="s">
        <v>50</v>
      </c>
      <c r="S14" s="184" t="s">
        <v>462</v>
      </c>
      <c r="T14" s="184" t="s">
        <v>462</v>
      </c>
      <c r="U14" s="184" t="s">
        <v>462</v>
      </c>
      <c r="V14" s="184" t="s">
        <v>89</v>
      </c>
      <c r="W14" s="184" t="s">
        <v>462</v>
      </c>
      <c r="X14" s="184" t="s">
        <v>462</v>
      </c>
      <c r="Y14" s="184" t="s">
        <v>462</v>
      </c>
      <c r="Z14" s="184" t="s">
        <v>462</v>
      </c>
      <c r="AA14" s="184" t="s">
        <v>462</v>
      </c>
      <c r="AB14" s="184" t="s">
        <v>462</v>
      </c>
      <c r="AC14" s="184" t="s">
        <v>89</v>
      </c>
      <c r="AD14" s="184" t="s">
        <v>462</v>
      </c>
      <c r="AE14" s="184" t="s">
        <v>50</v>
      </c>
      <c r="AF14" s="184" t="s">
        <v>50</v>
      </c>
      <c r="AG14" s="184" t="s">
        <v>50</v>
      </c>
      <c r="AH14" s="184" t="s">
        <v>50</v>
      </c>
      <c r="AI14" s="185">
        <f t="shared" si="0"/>
        <v>27</v>
      </c>
      <c r="AJ14" s="185"/>
    </row>
    <row r="15" spans="1:37" ht="17.45" customHeight="1">
      <c r="A15" s="184">
        <v>4</v>
      </c>
      <c r="B15" s="76" t="s">
        <v>521</v>
      </c>
      <c r="C15" s="76" t="s">
        <v>522</v>
      </c>
      <c r="D15" s="184" t="s">
        <v>50</v>
      </c>
      <c r="E15" s="184" t="s">
        <v>50</v>
      </c>
      <c r="F15" s="184" t="s">
        <v>50</v>
      </c>
      <c r="G15" s="184" t="s">
        <v>50</v>
      </c>
      <c r="H15" s="184" t="s">
        <v>89</v>
      </c>
      <c r="I15" s="184" t="s">
        <v>50</v>
      </c>
      <c r="J15" s="184" t="s">
        <v>50</v>
      </c>
      <c r="K15" s="184" t="s">
        <v>50</v>
      </c>
      <c r="L15" s="184" t="s">
        <v>50</v>
      </c>
      <c r="M15" s="184" t="s">
        <v>50</v>
      </c>
      <c r="N15" s="184" t="s">
        <v>50</v>
      </c>
      <c r="O15" s="184" t="s">
        <v>89</v>
      </c>
      <c r="P15" s="184" t="s">
        <v>50</v>
      </c>
      <c r="Q15" s="184" t="s">
        <v>50</v>
      </c>
      <c r="R15" s="184" t="s">
        <v>50</v>
      </c>
      <c r="S15" s="184" t="s">
        <v>50</v>
      </c>
      <c r="T15" s="184" t="s">
        <v>50</v>
      </c>
      <c r="U15" s="184" t="s">
        <v>50</v>
      </c>
      <c r="V15" s="184" t="s">
        <v>89</v>
      </c>
      <c r="W15" s="184" t="s">
        <v>50</v>
      </c>
      <c r="X15" s="184" t="s">
        <v>50</v>
      </c>
      <c r="Y15" s="184" t="s">
        <v>50</v>
      </c>
      <c r="Z15" s="184" t="s">
        <v>50</v>
      </c>
      <c r="AA15" s="184" t="s">
        <v>50</v>
      </c>
      <c r="AB15" s="184" t="s">
        <v>50</v>
      </c>
      <c r="AC15" s="184" t="s">
        <v>89</v>
      </c>
      <c r="AD15" s="184" t="s">
        <v>50</v>
      </c>
      <c r="AE15" s="184" t="s">
        <v>50</v>
      </c>
      <c r="AF15" s="184" t="s">
        <v>50</v>
      </c>
      <c r="AG15" s="184" t="s">
        <v>50</v>
      </c>
      <c r="AH15" s="184" t="s">
        <v>50</v>
      </c>
      <c r="AI15" s="185">
        <f t="shared" ref="AI15" si="1">COUNTIF(D15:AH15,"x")+ COUNTIF(D15:AH15,"p")+COUNTIF(D15:AH15,"pt")+COUNTIF(D15:AH15,"T")+COUNTIF(D15:AH15,"VN")</f>
        <v>27</v>
      </c>
      <c r="AJ15" s="185"/>
    </row>
    <row r="16" spans="1:37" ht="23.25" customHeight="1">
      <c r="A16" s="184">
        <v>5</v>
      </c>
      <c r="B16" s="76" t="s">
        <v>282</v>
      </c>
      <c r="C16" s="78" t="s">
        <v>519</v>
      </c>
      <c r="D16" s="184" t="s">
        <v>50</v>
      </c>
      <c r="E16" s="184" t="s">
        <v>50</v>
      </c>
      <c r="F16" s="184" t="s">
        <v>50</v>
      </c>
      <c r="G16" s="184" t="s">
        <v>50</v>
      </c>
      <c r="H16" s="184" t="s">
        <v>89</v>
      </c>
      <c r="I16" s="184" t="s">
        <v>50</v>
      </c>
      <c r="J16" s="184" t="s">
        <v>50</v>
      </c>
      <c r="K16" s="184" t="s">
        <v>50</v>
      </c>
      <c r="L16" s="184" t="s">
        <v>50</v>
      </c>
      <c r="M16" s="184" t="s">
        <v>50</v>
      </c>
      <c r="N16" s="184" t="s">
        <v>50</v>
      </c>
      <c r="O16" s="184" t="s">
        <v>89</v>
      </c>
      <c r="P16" s="184" t="s">
        <v>50</v>
      </c>
      <c r="Q16" s="184" t="s">
        <v>50</v>
      </c>
      <c r="R16" s="184" t="s">
        <v>50</v>
      </c>
      <c r="S16" s="184" t="s">
        <v>462</v>
      </c>
      <c r="T16" s="184" t="s">
        <v>462</v>
      </c>
      <c r="U16" s="184" t="s">
        <v>462</v>
      </c>
      <c r="V16" s="184" t="s">
        <v>89</v>
      </c>
      <c r="W16" s="184" t="s">
        <v>462</v>
      </c>
      <c r="X16" s="184" t="s">
        <v>462</v>
      </c>
      <c r="Y16" s="184" t="s">
        <v>462</v>
      </c>
      <c r="Z16" s="184" t="s">
        <v>462</v>
      </c>
      <c r="AA16" s="184" t="s">
        <v>462</v>
      </c>
      <c r="AB16" s="184" t="s">
        <v>462</v>
      </c>
      <c r="AC16" s="184" t="s">
        <v>89</v>
      </c>
      <c r="AD16" s="184" t="s">
        <v>462</v>
      </c>
      <c r="AE16" s="184" t="s">
        <v>50</v>
      </c>
      <c r="AF16" s="184" t="s">
        <v>50</v>
      </c>
      <c r="AG16" s="184" t="s">
        <v>50</v>
      </c>
      <c r="AH16" s="184" t="s">
        <v>50</v>
      </c>
      <c r="AI16" s="185">
        <f t="shared" si="0"/>
        <v>27</v>
      </c>
      <c r="AJ16" s="185"/>
    </row>
    <row r="17" spans="1:38" ht="23.25" customHeight="1">
      <c r="A17" s="184">
        <v>6</v>
      </c>
      <c r="B17" s="76" t="s">
        <v>281</v>
      </c>
      <c r="C17" s="78" t="s">
        <v>735</v>
      </c>
      <c r="D17" s="184" t="s">
        <v>50</v>
      </c>
      <c r="E17" s="184" t="s">
        <v>50</v>
      </c>
      <c r="F17" s="184" t="s">
        <v>50</v>
      </c>
      <c r="G17" s="184" t="s">
        <v>462</v>
      </c>
      <c r="H17" s="184" t="s">
        <v>89</v>
      </c>
      <c r="I17" s="184" t="s">
        <v>50</v>
      </c>
      <c r="J17" s="184" t="s">
        <v>50</v>
      </c>
      <c r="K17" s="184" t="s">
        <v>50</v>
      </c>
      <c r="L17" s="184" t="s">
        <v>50</v>
      </c>
      <c r="M17" s="184" t="s">
        <v>50</v>
      </c>
      <c r="N17" s="184" t="s">
        <v>50</v>
      </c>
      <c r="O17" s="184" t="s">
        <v>89</v>
      </c>
      <c r="P17" s="184" t="s">
        <v>50</v>
      </c>
      <c r="Q17" s="184" t="s">
        <v>50</v>
      </c>
      <c r="R17" s="184" t="s">
        <v>50</v>
      </c>
      <c r="S17" s="184" t="s">
        <v>50</v>
      </c>
      <c r="T17" s="184" t="s">
        <v>50</v>
      </c>
      <c r="U17" s="184" t="s">
        <v>50</v>
      </c>
      <c r="V17" s="184" t="s">
        <v>89</v>
      </c>
      <c r="W17" s="184" t="s">
        <v>50</v>
      </c>
      <c r="X17" s="184" t="s">
        <v>50</v>
      </c>
      <c r="Y17" s="184" t="s">
        <v>50</v>
      </c>
      <c r="Z17" s="184" t="s">
        <v>50</v>
      </c>
      <c r="AA17" s="184" t="s">
        <v>50</v>
      </c>
      <c r="AB17" s="184" t="s">
        <v>50</v>
      </c>
      <c r="AC17" s="184" t="s">
        <v>89</v>
      </c>
      <c r="AD17" s="184" t="s">
        <v>50</v>
      </c>
      <c r="AE17" s="184" t="s">
        <v>50</v>
      </c>
      <c r="AF17" s="184" t="s">
        <v>50</v>
      </c>
      <c r="AG17" s="184" t="s">
        <v>50</v>
      </c>
      <c r="AH17" s="184" t="s">
        <v>50</v>
      </c>
      <c r="AI17" s="185">
        <f t="shared" si="0"/>
        <v>27</v>
      </c>
      <c r="AJ17" s="185"/>
    </row>
    <row r="18" spans="1:38" ht="23.25" customHeight="1">
      <c r="A18" s="184">
        <v>7</v>
      </c>
      <c r="B18" s="76" t="s">
        <v>102</v>
      </c>
      <c r="C18" s="76" t="s">
        <v>193</v>
      </c>
      <c r="D18" s="184" t="s">
        <v>50</v>
      </c>
      <c r="E18" s="184" t="s">
        <v>50</v>
      </c>
      <c r="F18" s="184" t="s">
        <v>50</v>
      </c>
      <c r="G18" s="184" t="s">
        <v>462</v>
      </c>
      <c r="H18" s="184" t="s">
        <v>89</v>
      </c>
      <c r="I18" s="184" t="s">
        <v>50</v>
      </c>
      <c r="J18" s="184" t="s">
        <v>50</v>
      </c>
      <c r="K18" s="184" t="s">
        <v>50</v>
      </c>
      <c r="L18" s="184" t="s">
        <v>50</v>
      </c>
      <c r="M18" s="184" t="s">
        <v>50</v>
      </c>
      <c r="N18" s="184" t="s">
        <v>50</v>
      </c>
      <c r="O18" s="184" t="s">
        <v>89</v>
      </c>
      <c r="P18" s="184" t="s">
        <v>50</v>
      </c>
      <c r="Q18" s="184" t="s">
        <v>50</v>
      </c>
      <c r="R18" s="184" t="s">
        <v>50</v>
      </c>
      <c r="S18" s="184" t="s">
        <v>50</v>
      </c>
      <c r="T18" s="184" t="s">
        <v>50</v>
      </c>
      <c r="U18" s="184" t="s">
        <v>50</v>
      </c>
      <c r="V18" s="184" t="s">
        <v>89</v>
      </c>
      <c r="W18" s="184" t="s">
        <v>50</v>
      </c>
      <c r="X18" s="184" t="s">
        <v>50</v>
      </c>
      <c r="Y18" s="184" t="s">
        <v>50</v>
      </c>
      <c r="Z18" s="184" t="s">
        <v>50</v>
      </c>
      <c r="AA18" s="184" t="s">
        <v>50</v>
      </c>
      <c r="AB18" s="184" t="s">
        <v>50</v>
      </c>
      <c r="AC18" s="184" t="s">
        <v>89</v>
      </c>
      <c r="AD18" s="184" t="s">
        <v>50</v>
      </c>
      <c r="AE18" s="184" t="s">
        <v>50</v>
      </c>
      <c r="AF18" s="184" t="s">
        <v>50</v>
      </c>
      <c r="AG18" s="184" t="s">
        <v>50</v>
      </c>
      <c r="AH18" s="184" t="s">
        <v>50</v>
      </c>
      <c r="AI18" s="185">
        <f>COUNTIF(D18:AH18,"x")+ COUNTIF(D18:AH18,"p")+COUNTIF(D18:AH18,"pt")+COUNTIF(D18:AH18,"T")+COUNTIF(D18:AH18,"VN")</f>
        <v>27</v>
      </c>
      <c r="AJ18" s="185"/>
      <c r="AL18" s="842"/>
    </row>
    <row r="19" spans="1:38" ht="23.25" customHeight="1">
      <c r="A19" s="184">
        <v>8</v>
      </c>
      <c r="B19" s="76" t="s">
        <v>42</v>
      </c>
      <c r="C19" s="76" t="s">
        <v>193</v>
      </c>
      <c r="D19" s="184" t="s">
        <v>50</v>
      </c>
      <c r="E19" s="184" t="s">
        <v>50</v>
      </c>
      <c r="F19" s="184" t="s">
        <v>50</v>
      </c>
      <c r="G19" s="184" t="s">
        <v>50</v>
      </c>
      <c r="H19" s="184" t="s">
        <v>89</v>
      </c>
      <c r="I19" s="184" t="s">
        <v>50</v>
      </c>
      <c r="J19" s="184" t="s">
        <v>50</v>
      </c>
      <c r="K19" s="184" t="s">
        <v>50</v>
      </c>
      <c r="L19" s="184" t="s">
        <v>50</v>
      </c>
      <c r="M19" s="184" t="s">
        <v>50</v>
      </c>
      <c r="N19" s="184" t="s">
        <v>50</v>
      </c>
      <c r="O19" s="184" t="s">
        <v>89</v>
      </c>
      <c r="P19" s="184" t="s">
        <v>50</v>
      </c>
      <c r="Q19" s="184" t="s">
        <v>50</v>
      </c>
      <c r="R19" s="184" t="s">
        <v>50</v>
      </c>
      <c r="S19" s="184" t="s">
        <v>50</v>
      </c>
      <c r="T19" s="184" t="s">
        <v>50</v>
      </c>
      <c r="U19" s="184" t="s">
        <v>50</v>
      </c>
      <c r="V19" s="184" t="s">
        <v>89</v>
      </c>
      <c r="W19" s="184" t="s">
        <v>50</v>
      </c>
      <c r="X19" s="184" t="s">
        <v>50</v>
      </c>
      <c r="Y19" s="184" t="s">
        <v>50</v>
      </c>
      <c r="Z19" s="184" t="s">
        <v>50</v>
      </c>
      <c r="AA19" s="184" t="s">
        <v>50</v>
      </c>
      <c r="AB19" s="184" t="s">
        <v>50</v>
      </c>
      <c r="AC19" s="184" t="s">
        <v>89</v>
      </c>
      <c r="AD19" s="184" t="s">
        <v>50</v>
      </c>
      <c r="AE19" s="184" t="s">
        <v>50</v>
      </c>
      <c r="AF19" s="184" t="s">
        <v>50</v>
      </c>
      <c r="AG19" s="184" t="s">
        <v>50</v>
      </c>
      <c r="AH19" s="184" t="s">
        <v>50</v>
      </c>
      <c r="AI19" s="185">
        <f>COUNTIF(D19:AH19,"x")+ COUNTIF(D19:AH19,"p")+COUNTIF(D19:AH19,"pt")+COUNTIF(D19:AH19,"T")+COUNTIF(D19:AH19,"VN")</f>
        <v>27</v>
      </c>
      <c r="AJ19" s="185"/>
      <c r="AL19" s="842"/>
    </row>
    <row r="20" spans="1:38" ht="16.5" customHeight="1">
      <c r="A20" s="1447" t="s">
        <v>125</v>
      </c>
      <c r="B20" s="1447"/>
      <c r="C20" s="1447"/>
      <c r="D20" s="593">
        <f>COUNTIF(D12:D19,"x")+ COUNTIF(D12:D19,"p")+COUNTIF(D12:D19,"pt")+COUNTIF(D12:D19,"T")+COUNTIF(D12:E19,"VN")</f>
        <v>8</v>
      </c>
      <c r="E20" s="593">
        <f t="shared" ref="E20:AH20" si="2">COUNTIF(E12:E19,"x")+ COUNTIF(E12:E19,"p")+COUNTIF(E12:E19,"pt")+COUNTIF(E12:E19,"T")+COUNTIF(E12:F19,"VN")</f>
        <v>8</v>
      </c>
      <c r="F20" s="593">
        <f t="shared" si="2"/>
        <v>8</v>
      </c>
      <c r="G20" s="593">
        <f t="shared" si="2"/>
        <v>8</v>
      </c>
      <c r="H20" s="593"/>
      <c r="I20" s="593">
        <f t="shared" si="2"/>
        <v>8</v>
      </c>
      <c r="J20" s="593">
        <f t="shared" si="2"/>
        <v>8</v>
      </c>
      <c r="K20" s="593">
        <f t="shared" si="2"/>
        <v>8</v>
      </c>
      <c r="L20" s="593">
        <f t="shared" si="2"/>
        <v>8</v>
      </c>
      <c r="M20" s="593">
        <f t="shared" si="2"/>
        <v>8</v>
      </c>
      <c r="N20" s="593">
        <f t="shared" si="2"/>
        <v>8</v>
      </c>
      <c r="O20" s="593"/>
      <c r="P20" s="593">
        <f t="shared" si="2"/>
        <v>8</v>
      </c>
      <c r="Q20" s="593">
        <f t="shared" si="2"/>
        <v>8</v>
      </c>
      <c r="R20" s="593">
        <f t="shared" si="2"/>
        <v>8</v>
      </c>
      <c r="S20" s="593">
        <f t="shared" si="2"/>
        <v>8</v>
      </c>
      <c r="T20" s="593">
        <f t="shared" si="2"/>
        <v>8</v>
      </c>
      <c r="U20" s="593">
        <f t="shared" si="2"/>
        <v>8</v>
      </c>
      <c r="V20" s="593"/>
      <c r="W20" s="593">
        <f t="shared" si="2"/>
        <v>8</v>
      </c>
      <c r="X20" s="593">
        <f t="shared" si="2"/>
        <v>8</v>
      </c>
      <c r="Y20" s="593">
        <f t="shared" si="2"/>
        <v>8</v>
      </c>
      <c r="Z20" s="593">
        <f t="shared" si="2"/>
        <v>8</v>
      </c>
      <c r="AA20" s="593">
        <f t="shared" si="2"/>
        <v>8</v>
      </c>
      <c r="AB20" s="593">
        <f t="shared" si="2"/>
        <v>8</v>
      </c>
      <c r="AC20" s="593"/>
      <c r="AD20" s="593">
        <f t="shared" si="2"/>
        <v>8</v>
      </c>
      <c r="AE20" s="593">
        <f t="shared" si="2"/>
        <v>8</v>
      </c>
      <c r="AF20" s="593">
        <f t="shared" si="2"/>
        <v>8</v>
      </c>
      <c r="AG20" s="593">
        <f t="shared" si="2"/>
        <v>8</v>
      </c>
      <c r="AH20" s="593">
        <f t="shared" si="2"/>
        <v>8</v>
      </c>
      <c r="AI20" s="593">
        <f>SUM(AI12:AI19)</f>
        <v>216</v>
      </c>
      <c r="AJ20" s="185"/>
    </row>
    <row r="21" spans="1:38" ht="15.75" customHeight="1"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1557" t="s">
        <v>828</v>
      </c>
      <c r="U21" s="1557"/>
      <c r="V21" s="1557"/>
      <c r="W21" s="1557"/>
      <c r="X21" s="1557"/>
      <c r="Y21" s="1557"/>
      <c r="Z21" s="1557"/>
      <c r="AA21" s="1557"/>
      <c r="AB21" s="1557"/>
      <c r="AC21" s="1557"/>
      <c r="AD21" s="1557"/>
      <c r="AE21" s="1557"/>
      <c r="AF21" s="1557"/>
      <c r="AG21" s="1557"/>
      <c r="AH21" s="1557"/>
      <c r="AI21" s="1557"/>
      <c r="AJ21" s="723"/>
    </row>
    <row r="22" spans="1:38" ht="17.25" customHeight="1">
      <c r="A22" s="1721" t="s">
        <v>742</v>
      </c>
      <c r="B22" s="1721"/>
      <c r="C22" s="1721"/>
      <c r="D22" s="1721"/>
      <c r="E22" s="1721"/>
      <c r="F22" s="1721"/>
      <c r="G22" s="1721"/>
      <c r="H22" s="1721"/>
      <c r="I22" s="1721"/>
      <c r="J22" s="1721"/>
      <c r="K22" s="1721"/>
      <c r="L22" s="1721"/>
      <c r="M22" s="1721"/>
      <c r="N22" s="1721"/>
      <c r="O22" s="1721"/>
      <c r="P22" s="1721"/>
      <c r="Q22" s="1721"/>
      <c r="R22" s="1721"/>
      <c r="S22" s="1721"/>
      <c r="T22" s="1721"/>
      <c r="U22" s="1721"/>
      <c r="V22" s="1721"/>
      <c r="W22" s="1721"/>
      <c r="X22" s="1721"/>
      <c r="Y22" s="1721"/>
      <c r="Z22" s="1721"/>
      <c r="AA22" s="1721"/>
      <c r="AB22" s="1721"/>
      <c r="AC22" s="1721"/>
      <c r="AD22" s="1721"/>
      <c r="AE22" s="1721"/>
      <c r="AF22" s="1721"/>
      <c r="AG22" s="1721"/>
      <c r="AH22" s="1721"/>
      <c r="AI22" s="1721"/>
      <c r="AJ22" s="1721"/>
    </row>
    <row r="23" spans="1:38" ht="15" customHeight="1">
      <c r="A23" s="30"/>
      <c r="B23" s="28"/>
      <c r="C23" s="722"/>
      <c r="D23" s="30"/>
      <c r="E23" s="30"/>
      <c r="F23" s="30"/>
      <c r="G23" s="30"/>
      <c r="H23" s="30"/>
      <c r="I23" s="33"/>
      <c r="J23" s="33"/>
      <c r="K23" s="33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</row>
    <row r="24" spans="1:38" ht="13.5" customHeight="1">
      <c r="A24" s="30"/>
      <c r="B24" s="222"/>
      <c r="C24" s="722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41"/>
      <c r="O24" s="41"/>
      <c r="P24" s="41"/>
      <c r="Q24" s="33"/>
      <c r="R24" s="33"/>
      <c r="S24" s="33"/>
      <c r="T24" s="33"/>
      <c r="U24" s="33"/>
      <c r="V24" s="33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33"/>
      <c r="AJ24" s="33"/>
    </row>
    <row r="25" spans="1:38" ht="13.5" customHeight="1">
      <c r="A25" s="30"/>
      <c r="B25" s="222"/>
      <c r="C25" s="722"/>
      <c r="D25" s="30"/>
      <c r="E25" s="30"/>
      <c r="F25" s="30"/>
      <c r="G25" s="30"/>
      <c r="H25" s="30"/>
      <c r="I25" s="33"/>
      <c r="J25" s="33"/>
      <c r="K25" s="33"/>
      <c r="L25" s="30"/>
      <c r="M25" s="30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</row>
    <row r="26" spans="1:38" ht="13.5" customHeight="1">
      <c r="A26" s="30"/>
      <c r="B26" s="222"/>
      <c r="C26" s="722"/>
      <c r="D26" s="30"/>
      <c r="E26" s="30"/>
      <c r="F26" s="30"/>
      <c r="G26" s="30"/>
      <c r="H26" s="30"/>
      <c r="I26" s="30"/>
      <c r="J26" s="30"/>
      <c r="K26" s="33"/>
      <c r="L26" s="30"/>
      <c r="M26" s="30"/>
      <c r="N26" s="41"/>
      <c r="O26" s="41"/>
      <c r="P26" s="41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</row>
    <row r="27" spans="1:38" ht="12" customHeight="1">
      <c r="A27" s="30"/>
      <c r="B27" s="222"/>
      <c r="C27" s="30"/>
      <c r="D27" s="30"/>
      <c r="E27" s="30"/>
      <c r="F27" s="30"/>
      <c r="G27" s="30"/>
      <c r="H27" s="30"/>
      <c r="I27" s="30"/>
      <c r="J27" s="30"/>
      <c r="K27" s="33"/>
      <c r="L27" s="30"/>
      <c r="M27" s="30"/>
      <c r="N27" s="41"/>
      <c r="O27" s="41"/>
      <c r="P27" s="41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</row>
    <row r="28" spans="1:38" ht="15.75" customHeight="1">
      <c r="A28" s="30"/>
      <c r="B28" s="222"/>
      <c r="C28" s="30"/>
      <c r="D28" s="30"/>
      <c r="E28" s="30"/>
      <c r="F28" s="30"/>
      <c r="G28" s="30"/>
      <c r="H28" s="30"/>
      <c r="I28" s="30"/>
      <c r="J28" s="30"/>
      <c r="L28" s="30"/>
      <c r="M28" s="728"/>
      <c r="N28" s="728"/>
      <c r="O28" s="728"/>
      <c r="P28" s="728"/>
      <c r="Q28" s="728"/>
      <c r="R28" s="728"/>
      <c r="S28" s="728"/>
      <c r="T28" s="728"/>
      <c r="U28" s="728"/>
      <c r="V28" s="728"/>
      <c r="W28" s="41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840"/>
    </row>
    <row r="29" spans="1:38" ht="13.5" customHeight="1">
      <c r="A29" s="30"/>
      <c r="H29" s="32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spans="1:38" ht="13.5" customHeight="1">
      <c r="A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spans="1:38" ht="15.75" customHeight="1">
      <c r="A31" s="30"/>
      <c r="B31" s="28" t="s">
        <v>375</v>
      </c>
      <c r="C31" s="1722" t="s">
        <v>378</v>
      </c>
      <c r="D31" s="1722"/>
      <c r="E31" s="1722"/>
      <c r="F31" s="1722"/>
      <c r="G31" s="1722"/>
      <c r="H31" s="1722"/>
      <c r="I31" s="1722"/>
      <c r="J31" s="1722"/>
      <c r="K31" s="1722"/>
      <c r="L31" s="1722"/>
    </row>
    <row r="32" spans="1:38">
      <c r="A32" s="30"/>
      <c r="B32" s="222"/>
      <c r="C32" s="1723" t="s">
        <v>379</v>
      </c>
      <c r="D32" s="1723"/>
      <c r="E32" s="1723"/>
      <c r="F32" s="1723"/>
      <c r="G32" s="1723"/>
      <c r="H32" s="1723"/>
      <c r="I32" s="1723"/>
      <c r="J32" s="1723"/>
      <c r="K32" s="1723"/>
      <c r="L32" s="1723"/>
    </row>
    <row r="33" spans="3:12">
      <c r="C33" s="1722" t="s">
        <v>377</v>
      </c>
      <c r="D33" s="1722"/>
      <c r="E33" s="1722"/>
      <c r="F33" s="1722"/>
      <c r="G33" s="1722"/>
      <c r="H33" s="1722"/>
      <c r="I33" s="1722"/>
      <c r="J33" s="1722"/>
      <c r="K33" s="1722"/>
      <c r="L33" s="1722"/>
    </row>
    <row r="34" spans="3:12">
      <c r="C34" s="1722" t="s">
        <v>451</v>
      </c>
      <c r="D34" s="1722"/>
      <c r="E34" s="1722"/>
      <c r="F34" s="1722"/>
      <c r="G34" s="1722"/>
      <c r="H34" s="1722"/>
      <c r="I34" s="1722"/>
      <c r="J34" s="1722"/>
      <c r="K34" s="1722"/>
      <c r="L34" s="1722"/>
    </row>
    <row r="35" spans="3:12">
      <c r="C35" s="32" t="s">
        <v>450</v>
      </c>
    </row>
    <row r="36" spans="3:12">
      <c r="C36" s="32" t="s">
        <v>463</v>
      </c>
    </row>
  </sheetData>
  <mergeCells count="20">
    <mergeCell ref="A22:AJ22"/>
    <mergeCell ref="C31:L31"/>
    <mergeCell ref="C32:L32"/>
    <mergeCell ref="C33:L33"/>
    <mergeCell ref="C34:L34"/>
    <mergeCell ref="AJ10:AJ11"/>
    <mergeCell ref="A20:C20"/>
    <mergeCell ref="T21:AI21"/>
    <mergeCell ref="A9:AI9"/>
    <mergeCell ref="A10:A11"/>
    <mergeCell ref="B10:B11"/>
    <mergeCell ref="C10:C11"/>
    <mergeCell ref="D10:AG10"/>
    <mergeCell ref="AI10:AI11"/>
    <mergeCell ref="A8:AI8"/>
    <mergeCell ref="A1:AI1"/>
    <mergeCell ref="A2:AI2"/>
    <mergeCell ref="A3:AI3"/>
    <mergeCell ref="A5:O5"/>
    <mergeCell ref="A6:K6"/>
  </mergeCells>
  <pageMargins left="0.7" right="0.7" top="0.54" bottom="0.75" header="0.3" footer="0.3"/>
  <pageSetup paperSize="9" scale="98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8"/>
  <sheetViews>
    <sheetView topLeftCell="A4" workbookViewId="0">
      <selection activeCell="E182" sqref="E182:H182"/>
    </sheetView>
  </sheetViews>
  <sheetFormatPr defaultColWidth="9.140625" defaultRowHeight="15.75"/>
  <cols>
    <col min="1" max="1" width="5.85546875" style="4" customWidth="1"/>
    <col min="2" max="2" width="4.7109375" style="4" customWidth="1"/>
    <col min="3" max="3" width="22.28515625" style="116" customWidth="1"/>
    <col min="4" max="4" width="21.140625" style="201" customWidth="1"/>
    <col min="5" max="5" width="12.140625" style="4" customWidth="1"/>
    <col min="6" max="6" width="11.140625" style="4" customWidth="1"/>
    <col min="7" max="7" width="16.7109375" style="4" customWidth="1"/>
    <col min="8" max="8" width="15.5703125" style="4" bestFit="1" customWidth="1"/>
    <col min="9" max="9" width="11.85546875" style="4" customWidth="1"/>
    <col min="10" max="16384" width="9.140625" style="4"/>
  </cols>
  <sheetData>
    <row r="2" spans="1:8" ht="16.5">
      <c r="A2" s="1566" t="s">
        <v>51</v>
      </c>
      <c r="B2" s="1566"/>
      <c r="C2" s="1566"/>
      <c r="D2" s="1566"/>
      <c r="E2" s="1566"/>
      <c r="F2" s="1566"/>
      <c r="G2" s="1566"/>
      <c r="H2" s="1566"/>
    </row>
    <row r="3" spans="1:8" ht="16.5">
      <c r="A3" s="1566" t="s">
        <v>0</v>
      </c>
      <c r="B3" s="1566"/>
      <c r="C3" s="1566"/>
      <c r="D3" s="1566"/>
      <c r="E3" s="1566"/>
      <c r="F3" s="1566"/>
      <c r="G3" s="1566"/>
      <c r="H3" s="1566"/>
    </row>
    <row r="4" spans="1:8" ht="16.5">
      <c r="A4" s="1726" t="s">
        <v>255</v>
      </c>
      <c r="B4" s="1726"/>
      <c r="C4" s="1726"/>
      <c r="D4" s="1726"/>
      <c r="E4" s="1726"/>
      <c r="F4" s="1726"/>
      <c r="G4" s="1726"/>
      <c r="H4" s="1726"/>
    </row>
    <row r="5" spans="1:8" ht="13.5" customHeight="1">
      <c r="A5" s="137"/>
      <c r="B5" s="137"/>
      <c r="C5" s="642"/>
      <c r="D5" s="295"/>
      <c r="E5" s="137"/>
      <c r="F5" s="137"/>
      <c r="G5" s="137"/>
      <c r="H5" s="137"/>
    </row>
    <row r="6" spans="1:8" ht="18" customHeight="1">
      <c r="A6" s="1552" t="s">
        <v>510</v>
      </c>
      <c r="B6" s="1552"/>
      <c r="C6" s="1552"/>
      <c r="D6" s="1552"/>
      <c r="E6" s="137"/>
      <c r="F6" s="137"/>
      <c r="G6" s="137"/>
      <c r="H6" s="137"/>
    </row>
    <row r="7" spans="1:8" ht="15" customHeight="1">
      <c r="A7" s="1566" t="s">
        <v>500</v>
      </c>
      <c r="B7" s="1566"/>
      <c r="C7" s="1566"/>
      <c r="D7" s="1566"/>
      <c r="E7" s="137"/>
      <c r="F7" s="137"/>
      <c r="G7" s="137"/>
      <c r="H7" s="137"/>
    </row>
    <row r="8" spans="1:8" ht="15" customHeight="1">
      <c r="A8" s="386"/>
      <c r="B8" s="386"/>
      <c r="C8" s="191"/>
      <c r="D8" s="21"/>
    </row>
    <row r="9" spans="1:8" s="3" customFormat="1" ht="30.6" customHeight="1">
      <c r="A9" s="1570" t="s">
        <v>782</v>
      </c>
      <c r="B9" s="1570"/>
      <c r="C9" s="1570"/>
      <c r="D9" s="1570"/>
      <c r="E9" s="1570"/>
      <c r="F9" s="1570"/>
      <c r="G9" s="1570"/>
      <c r="H9" s="1570"/>
    </row>
    <row r="10" spans="1:8" ht="15.75" customHeight="1">
      <c r="A10" s="1642"/>
      <c r="B10" s="1643"/>
      <c r="C10" s="1643"/>
      <c r="D10" s="1643"/>
    </row>
    <row r="11" spans="1:8" s="163" customFormat="1" ht="34.15" customHeight="1">
      <c r="A11" s="1563" t="s">
        <v>4</v>
      </c>
      <c r="B11" s="1563"/>
      <c r="C11" s="626" t="s">
        <v>47</v>
      </c>
      <c r="D11" s="1077" t="s">
        <v>6</v>
      </c>
      <c r="E11" s="468" t="s">
        <v>783</v>
      </c>
      <c r="F11" s="468" t="s">
        <v>784</v>
      </c>
      <c r="G11" s="468" t="s">
        <v>785</v>
      </c>
      <c r="H11" s="468" t="s">
        <v>62</v>
      </c>
    </row>
    <row r="12" spans="1:8" s="163" customFormat="1" ht="22.9" customHeight="1">
      <c r="A12" s="1563" t="s">
        <v>65</v>
      </c>
      <c r="B12" s="1563"/>
      <c r="C12" s="1725" t="s">
        <v>787</v>
      </c>
      <c r="D12" s="1725"/>
      <c r="E12" s="1081"/>
      <c r="F12" s="1081"/>
      <c r="G12" s="1081"/>
      <c r="H12" s="1081"/>
    </row>
    <row r="13" spans="1:8" s="163" customFormat="1" ht="18" customHeight="1">
      <c r="A13" s="1082">
        <v>1</v>
      </c>
      <c r="B13" s="1082">
        <v>1</v>
      </c>
      <c r="C13" s="1078" t="s">
        <v>786</v>
      </c>
      <c r="D13" s="1079" t="s">
        <v>716</v>
      </c>
      <c r="E13" s="1082" t="s">
        <v>50</v>
      </c>
      <c r="F13" s="1082"/>
      <c r="G13" s="1081"/>
      <c r="H13" s="1081"/>
    </row>
    <row r="14" spans="1:8" s="163" customFormat="1" ht="18" customHeight="1">
      <c r="A14" s="1082">
        <v>2</v>
      </c>
      <c r="B14" s="1082">
        <v>2</v>
      </c>
      <c r="C14" s="909" t="s">
        <v>319</v>
      </c>
      <c r="D14" s="909" t="s">
        <v>164</v>
      </c>
      <c r="E14" s="1082" t="s">
        <v>50</v>
      </c>
      <c r="F14" s="1082"/>
      <c r="G14" s="1081"/>
      <c r="H14" s="1081"/>
    </row>
    <row r="15" spans="1:8" s="163" customFormat="1" ht="18" customHeight="1">
      <c r="A15" s="1082">
        <v>3</v>
      </c>
      <c r="B15" s="1082">
        <v>3</v>
      </c>
      <c r="C15" s="1081" t="s">
        <v>40</v>
      </c>
      <c r="D15" s="1081" t="s">
        <v>520</v>
      </c>
      <c r="E15" s="1082"/>
      <c r="F15" s="1082" t="s">
        <v>50</v>
      </c>
      <c r="G15" s="1081"/>
      <c r="H15" s="1081"/>
    </row>
    <row r="16" spans="1:8" s="163" customFormat="1" ht="18" customHeight="1">
      <c r="A16" s="1082">
        <v>4</v>
      </c>
      <c r="B16" s="1082">
        <v>4</v>
      </c>
      <c r="C16" s="1081" t="s">
        <v>283</v>
      </c>
      <c r="D16" s="1081" t="s">
        <v>698</v>
      </c>
      <c r="E16" s="1081"/>
      <c r="F16" s="1082" t="s">
        <v>50</v>
      </c>
      <c r="G16" s="1081"/>
      <c r="H16" s="1081"/>
    </row>
    <row r="17" spans="1:8" s="163" customFormat="1" ht="18" customHeight="1">
      <c r="A17" s="1082">
        <v>5</v>
      </c>
      <c r="B17" s="1082">
        <v>5</v>
      </c>
      <c r="C17" s="1081" t="s">
        <v>521</v>
      </c>
      <c r="D17" s="1081" t="s">
        <v>522</v>
      </c>
      <c r="E17" s="1081"/>
      <c r="F17" s="1082" t="s">
        <v>50</v>
      </c>
      <c r="G17" s="1081"/>
      <c r="H17" s="1081"/>
    </row>
    <row r="18" spans="1:8" s="163" customFormat="1" ht="18" customHeight="1">
      <c r="A18" s="1082">
        <v>6</v>
      </c>
      <c r="B18" s="1082">
        <v>6</v>
      </c>
      <c r="C18" s="1081" t="s">
        <v>282</v>
      </c>
      <c r="D18" s="909" t="s">
        <v>519</v>
      </c>
      <c r="E18" s="1081"/>
      <c r="F18" s="1082" t="s">
        <v>50</v>
      </c>
      <c r="G18" s="1081"/>
      <c r="H18" s="1081"/>
    </row>
    <row r="19" spans="1:8" s="163" customFormat="1" ht="18" customHeight="1">
      <c r="A19" s="1082">
        <v>7</v>
      </c>
      <c r="B19" s="1082">
        <v>7</v>
      </c>
      <c r="C19" s="1081" t="s">
        <v>281</v>
      </c>
      <c r="D19" s="909" t="s">
        <v>735</v>
      </c>
      <c r="E19" s="1081"/>
      <c r="F19" s="1082" t="s">
        <v>50</v>
      </c>
      <c r="G19" s="1081"/>
      <c r="H19" s="1081"/>
    </row>
    <row r="20" spans="1:8" s="163" customFormat="1" ht="18" customHeight="1">
      <c r="A20" s="1082">
        <v>8</v>
      </c>
      <c r="B20" s="1082">
        <v>8</v>
      </c>
      <c r="C20" s="1081" t="s">
        <v>102</v>
      </c>
      <c r="D20" s="1081" t="s">
        <v>193</v>
      </c>
      <c r="E20" s="1081"/>
      <c r="F20" s="1082" t="s">
        <v>50</v>
      </c>
      <c r="G20" s="1081"/>
      <c r="H20" s="1081"/>
    </row>
    <row r="21" spans="1:8" s="163" customFormat="1" ht="18" customHeight="1">
      <c r="A21" s="1082">
        <v>9</v>
      </c>
      <c r="B21" s="1082">
        <v>9</v>
      </c>
      <c r="C21" s="1081" t="s">
        <v>42</v>
      </c>
      <c r="D21" s="1081" t="s">
        <v>193</v>
      </c>
      <c r="E21" s="1081"/>
      <c r="F21" s="1082" t="s">
        <v>50</v>
      </c>
      <c r="G21" s="1081"/>
      <c r="H21" s="1081"/>
    </row>
    <row r="22" spans="1:8" s="163" customFormat="1" ht="18" customHeight="1">
      <c r="A22" s="1563" t="s">
        <v>59</v>
      </c>
      <c r="B22" s="1563"/>
      <c r="C22" s="1725" t="s">
        <v>788</v>
      </c>
      <c r="D22" s="1725"/>
      <c r="E22" s="1081"/>
      <c r="F22" s="1082"/>
      <c r="G22" s="1081"/>
      <c r="H22" s="1081"/>
    </row>
    <row r="23" spans="1:8" s="163" customFormat="1" ht="19.149999999999999" customHeight="1">
      <c r="A23" s="1724" t="s">
        <v>498</v>
      </c>
      <c r="B23" s="1724"/>
      <c r="C23" s="1724"/>
      <c r="D23" s="1083"/>
      <c r="E23" s="1081"/>
      <c r="F23" s="1082"/>
      <c r="G23" s="1081"/>
      <c r="H23" s="1081"/>
    </row>
    <row r="24" spans="1:8" s="163" customFormat="1" ht="19.149999999999999" customHeight="1">
      <c r="A24" s="220">
        <v>10</v>
      </c>
      <c r="B24" s="220">
        <v>1</v>
      </c>
      <c r="C24" s="871" t="s">
        <v>733</v>
      </c>
      <c r="D24" s="383" t="s">
        <v>789</v>
      </c>
      <c r="E24" s="1081"/>
      <c r="F24" s="1082" t="s">
        <v>50</v>
      </c>
      <c r="G24" s="1081"/>
      <c r="H24" s="1081"/>
    </row>
    <row r="25" spans="1:8" s="163" customFormat="1" ht="19.149999999999999" customHeight="1">
      <c r="A25" s="220">
        <v>11</v>
      </c>
      <c r="B25" s="220">
        <v>2</v>
      </c>
      <c r="C25" s="909" t="s">
        <v>358</v>
      </c>
      <c r="D25" s="383" t="s">
        <v>789</v>
      </c>
      <c r="E25" s="1081"/>
      <c r="F25" s="1082" t="s">
        <v>50</v>
      </c>
      <c r="G25" s="1081"/>
      <c r="H25" s="1081"/>
    </row>
    <row r="26" spans="1:8" s="163" customFormat="1" ht="19.149999999999999" customHeight="1">
      <c r="A26" s="220">
        <v>12</v>
      </c>
      <c r="B26" s="220">
        <v>3</v>
      </c>
      <c r="C26" s="909" t="s">
        <v>178</v>
      </c>
      <c r="D26" s="383" t="s">
        <v>789</v>
      </c>
      <c r="E26" s="1081"/>
      <c r="F26" s="1082" t="s">
        <v>50</v>
      </c>
      <c r="G26" s="1081"/>
      <c r="H26" s="1081"/>
    </row>
    <row r="27" spans="1:8" s="163" customFormat="1" ht="19.149999999999999" customHeight="1">
      <c r="A27" s="220">
        <v>13</v>
      </c>
      <c r="B27" s="220">
        <v>4</v>
      </c>
      <c r="C27" s="262" t="s">
        <v>472</v>
      </c>
      <c r="D27" s="383" t="s">
        <v>789</v>
      </c>
      <c r="E27" s="1081"/>
      <c r="F27" s="1082" t="s">
        <v>50</v>
      </c>
      <c r="G27" s="1081"/>
      <c r="H27" s="1081"/>
    </row>
    <row r="28" spans="1:8" s="163" customFormat="1" ht="19.149999999999999" customHeight="1">
      <c r="A28" s="220">
        <v>14</v>
      </c>
      <c r="B28" s="220">
        <v>5</v>
      </c>
      <c r="C28" s="1081" t="s">
        <v>202</v>
      </c>
      <c r="D28" s="383" t="s">
        <v>789</v>
      </c>
      <c r="E28" s="1081"/>
      <c r="F28" s="1082" t="s">
        <v>50</v>
      </c>
      <c r="G28" s="1081"/>
      <c r="H28" s="1081"/>
    </row>
    <row r="29" spans="1:8" s="163" customFormat="1" ht="19.149999999999999" customHeight="1">
      <c r="A29" s="220">
        <v>15</v>
      </c>
      <c r="B29" s="220">
        <v>6</v>
      </c>
      <c r="C29" s="909" t="s">
        <v>473</v>
      </c>
      <c r="D29" s="383" t="s">
        <v>789</v>
      </c>
      <c r="E29" s="1081"/>
      <c r="F29" s="1082" t="s">
        <v>50</v>
      </c>
      <c r="G29" s="1081"/>
      <c r="H29" s="1081"/>
    </row>
    <row r="30" spans="1:8" s="163" customFormat="1" ht="19.149999999999999" customHeight="1">
      <c r="A30" s="220">
        <v>16</v>
      </c>
      <c r="B30" s="220">
        <v>7</v>
      </c>
      <c r="C30" s="1084" t="s">
        <v>474</v>
      </c>
      <c r="D30" s="383" t="s">
        <v>789</v>
      </c>
      <c r="E30" s="1081"/>
      <c r="F30" s="1082" t="s">
        <v>50</v>
      </c>
      <c r="G30" s="1081"/>
      <c r="H30" s="1081"/>
    </row>
    <row r="31" spans="1:8" s="163" customFormat="1" ht="19.149999999999999" customHeight="1">
      <c r="A31" s="220">
        <v>17</v>
      </c>
      <c r="B31" s="220">
        <v>8</v>
      </c>
      <c r="C31" s="1081" t="s">
        <v>285</v>
      </c>
      <c r="D31" s="383" t="s">
        <v>789</v>
      </c>
      <c r="E31" s="1081"/>
      <c r="F31" s="1082" t="s">
        <v>50</v>
      </c>
      <c r="G31" s="1081"/>
      <c r="H31" s="1081"/>
    </row>
    <row r="32" spans="1:8" s="163" customFormat="1" ht="19.149999999999999" customHeight="1">
      <c r="A32" s="220">
        <v>18</v>
      </c>
      <c r="B32" s="220">
        <v>9</v>
      </c>
      <c r="C32" s="909" t="s">
        <v>204</v>
      </c>
      <c r="D32" s="383" t="s">
        <v>789</v>
      </c>
      <c r="E32" s="1081"/>
      <c r="F32" s="1082" t="s">
        <v>50</v>
      </c>
      <c r="G32" s="1081"/>
      <c r="H32" s="1081"/>
    </row>
    <row r="33" spans="1:8" s="163" customFormat="1" ht="19.149999999999999" customHeight="1">
      <c r="A33" s="220">
        <v>19</v>
      </c>
      <c r="B33" s="220">
        <v>10</v>
      </c>
      <c r="C33" s="909" t="s">
        <v>203</v>
      </c>
      <c r="D33" s="383" t="s">
        <v>789</v>
      </c>
      <c r="E33" s="1081"/>
      <c r="F33" s="1082" t="s">
        <v>50</v>
      </c>
      <c r="G33" s="1081"/>
      <c r="H33" s="1081"/>
    </row>
    <row r="34" spans="1:8" s="163" customFormat="1" ht="19.149999999999999" customHeight="1">
      <c r="A34" s="220">
        <v>20</v>
      </c>
      <c r="B34" s="220">
        <v>11</v>
      </c>
      <c r="C34" s="909" t="s">
        <v>205</v>
      </c>
      <c r="D34" s="383" t="s">
        <v>789</v>
      </c>
      <c r="E34" s="1081"/>
      <c r="F34" s="1082" t="s">
        <v>50</v>
      </c>
      <c r="G34" s="1081"/>
      <c r="H34" s="1081"/>
    </row>
    <row r="35" spans="1:8" s="163" customFormat="1" ht="19.149999999999999" customHeight="1">
      <c r="A35" s="220">
        <v>21</v>
      </c>
      <c r="B35" s="220">
        <v>12</v>
      </c>
      <c r="C35" s="1081" t="s">
        <v>212</v>
      </c>
      <c r="D35" s="383" t="s">
        <v>789</v>
      </c>
      <c r="E35" s="1081"/>
      <c r="F35" s="1082" t="s">
        <v>50</v>
      </c>
      <c r="G35" s="1081"/>
      <c r="H35" s="1081"/>
    </row>
    <row r="36" spans="1:8" s="163" customFormat="1" ht="19.149999999999999" customHeight="1">
      <c r="A36" s="220">
        <v>22</v>
      </c>
      <c r="B36" s="220">
        <v>13</v>
      </c>
      <c r="C36" s="1084" t="s">
        <v>194</v>
      </c>
      <c r="D36" s="383" t="s">
        <v>789</v>
      </c>
      <c r="E36" s="1081"/>
      <c r="F36" s="1082" t="s">
        <v>50</v>
      </c>
      <c r="G36" s="1081"/>
      <c r="H36" s="1081"/>
    </row>
    <row r="37" spans="1:8" s="163" customFormat="1" ht="19.149999999999999" customHeight="1">
      <c r="A37" s="220">
        <v>23</v>
      </c>
      <c r="B37" s="220">
        <v>14</v>
      </c>
      <c r="C37" s="262" t="s">
        <v>183</v>
      </c>
      <c r="D37" s="383" t="s">
        <v>789</v>
      </c>
      <c r="E37" s="1081"/>
      <c r="F37" s="1082" t="s">
        <v>50</v>
      </c>
      <c r="G37" s="1081"/>
      <c r="H37" s="1081"/>
    </row>
    <row r="38" spans="1:8" s="163" customFormat="1" ht="19.149999999999999" customHeight="1">
      <c r="A38" s="220">
        <v>24</v>
      </c>
      <c r="B38" s="220">
        <v>15</v>
      </c>
      <c r="C38" s="909" t="s">
        <v>475</v>
      </c>
      <c r="D38" s="383" t="s">
        <v>789</v>
      </c>
      <c r="E38" s="1081"/>
      <c r="F38" s="1082" t="s">
        <v>50</v>
      </c>
      <c r="G38" s="1081"/>
      <c r="H38" s="1081"/>
    </row>
    <row r="39" spans="1:8" s="163" customFormat="1" ht="19.149999999999999" customHeight="1">
      <c r="A39" s="220">
        <v>25</v>
      </c>
      <c r="B39" s="220">
        <v>16</v>
      </c>
      <c r="C39" s="909" t="s">
        <v>184</v>
      </c>
      <c r="D39" s="383" t="s">
        <v>789</v>
      </c>
      <c r="E39" s="1081"/>
      <c r="F39" s="1082" t="s">
        <v>50</v>
      </c>
      <c r="G39" s="1081"/>
      <c r="H39" s="1081"/>
    </row>
    <row r="40" spans="1:8" s="163" customFormat="1" ht="19.149999999999999" customHeight="1">
      <c r="A40" s="220">
        <v>26</v>
      </c>
      <c r="B40" s="220">
        <v>17</v>
      </c>
      <c r="C40" s="383" t="s">
        <v>185</v>
      </c>
      <c r="D40" s="383" t="s">
        <v>789</v>
      </c>
      <c r="E40" s="1081"/>
      <c r="F40" s="1082" t="s">
        <v>50</v>
      </c>
      <c r="G40" s="1081"/>
      <c r="H40" s="1081"/>
    </row>
    <row r="41" spans="1:8" s="163" customFormat="1" ht="19.149999999999999" customHeight="1">
      <c r="A41" s="220">
        <v>27</v>
      </c>
      <c r="B41" s="220">
        <v>18</v>
      </c>
      <c r="C41" s="1084" t="s">
        <v>165</v>
      </c>
      <c r="D41" s="383" t="s">
        <v>789</v>
      </c>
      <c r="E41" s="1081"/>
      <c r="F41" s="1082" t="s">
        <v>50</v>
      </c>
      <c r="G41" s="1081"/>
      <c r="H41" s="1081"/>
    </row>
    <row r="42" spans="1:8" s="163" customFormat="1" ht="19.149999999999999" customHeight="1">
      <c r="A42" s="220">
        <v>28</v>
      </c>
      <c r="B42" s="220">
        <v>19</v>
      </c>
      <c r="C42" s="262" t="s">
        <v>199</v>
      </c>
      <c r="D42" s="383" t="s">
        <v>789</v>
      </c>
      <c r="E42" s="1081"/>
      <c r="F42" s="1082" t="s">
        <v>50</v>
      </c>
      <c r="G42" s="1081"/>
      <c r="H42" s="1081"/>
    </row>
    <row r="43" spans="1:8" s="163" customFormat="1" ht="19.149999999999999" customHeight="1">
      <c r="A43" s="220">
        <v>29</v>
      </c>
      <c r="B43" s="220">
        <v>20</v>
      </c>
      <c r="C43" s="909" t="s">
        <v>206</v>
      </c>
      <c r="D43" s="383" t="s">
        <v>789</v>
      </c>
      <c r="E43" s="1081"/>
      <c r="F43" s="1082" t="s">
        <v>50</v>
      </c>
      <c r="G43" s="1081"/>
      <c r="H43" s="1081"/>
    </row>
    <row r="44" spans="1:8" s="163" customFormat="1" ht="19.149999999999999" customHeight="1">
      <c r="A44" s="220">
        <v>30</v>
      </c>
      <c r="B44" s="220">
        <v>21</v>
      </c>
      <c r="C44" s="1081" t="s">
        <v>182</v>
      </c>
      <c r="D44" s="383" t="s">
        <v>789</v>
      </c>
      <c r="E44" s="1081"/>
      <c r="F44" s="1082" t="s">
        <v>50</v>
      </c>
      <c r="G44" s="1081"/>
      <c r="H44" s="1081"/>
    </row>
    <row r="45" spans="1:8" s="163" customFormat="1" ht="19.149999999999999" customHeight="1">
      <c r="A45" s="220">
        <v>31</v>
      </c>
      <c r="B45" s="220">
        <v>22</v>
      </c>
      <c r="C45" s="1085" t="s">
        <v>737</v>
      </c>
      <c r="D45" s="383" t="s">
        <v>789</v>
      </c>
      <c r="E45" s="1081"/>
      <c r="F45" s="1082" t="s">
        <v>50</v>
      </c>
      <c r="G45" s="1081"/>
      <c r="H45" s="1081"/>
    </row>
    <row r="46" spans="1:8" s="163" customFormat="1" ht="19.149999999999999" customHeight="1">
      <c r="A46" s="220">
        <v>32</v>
      </c>
      <c r="B46" s="220">
        <v>23</v>
      </c>
      <c r="C46" s="1084" t="s">
        <v>207</v>
      </c>
      <c r="D46" s="383" t="s">
        <v>789</v>
      </c>
      <c r="E46" s="1081"/>
      <c r="F46" s="1082" t="s">
        <v>50</v>
      </c>
      <c r="G46" s="1081"/>
      <c r="H46" s="1081"/>
    </row>
    <row r="47" spans="1:8" s="163" customFormat="1" ht="19.149999999999999" customHeight="1">
      <c r="A47" s="220">
        <v>33</v>
      </c>
      <c r="B47" s="220">
        <v>24</v>
      </c>
      <c r="C47" s="1086" t="s">
        <v>506</v>
      </c>
      <c r="D47" s="383" t="s">
        <v>789</v>
      </c>
      <c r="E47" s="1081"/>
      <c r="F47" s="1082" t="s">
        <v>50</v>
      </c>
      <c r="G47" s="1081"/>
      <c r="H47" s="1081"/>
    </row>
    <row r="48" spans="1:8" s="163" customFormat="1" ht="19.149999999999999" customHeight="1">
      <c r="A48" s="220">
        <v>34</v>
      </c>
      <c r="B48" s="220">
        <v>25</v>
      </c>
      <c r="C48" s="262" t="s">
        <v>286</v>
      </c>
      <c r="D48" s="383" t="s">
        <v>789</v>
      </c>
      <c r="E48" s="1081"/>
      <c r="F48" s="1082" t="s">
        <v>50</v>
      </c>
      <c r="G48" s="1081"/>
      <c r="H48" s="1081"/>
    </row>
    <row r="49" spans="1:8" s="163" customFormat="1" ht="19.149999999999999" customHeight="1">
      <c r="A49" s="220">
        <v>35</v>
      </c>
      <c r="B49" s="220">
        <v>26</v>
      </c>
      <c r="C49" s="909" t="s">
        <v>158</v>
      </c>
      <c r="D49" s="383" t="s">
        <v>789</v>
      </c>
      <c r="E49" s="1081"/>
      <c r="F49" s="1082" t="s">
        <v>50</v>
      </c>
      <c r="G49" s="1081"/>
      <c r="H49" s="1081"/>
    </row>
    <row r="50" spans="1:8" s="163" customFormat="1" ht="19.149999999999999" customHeight="1">
      <c r="A50" s="220">
        <v>36</v>
      </c>
      <c r="B50" s="220">
        <v>27</v>
      </c>
      <c r="C50" s="909" t="s">
        <v>156</v>
      </c>
      <c r="D50" s="383" t="s">
        <v>789</v>
      </c>
      <c r="E50" s="1081"/>
      <c r="F50" s="1082" t="s">
        <v>50</v>
      </c>
      <c r="G50" s="1081"/>
      <c r="H50" s="1081"/>
    </row>
    <row r="51" spans="1:8" s="163" customFormat="1" ht="19.149999999999999" customHeight="1">
      <c r="A51" s="220">
        <v>37</v>
      </c>
      <c r="B51" s="220">
        <v>28</v>
      </c>
      <c r="C51" s="1081" t="s">
        <v>136</v>
      </c>
      <c r="D51" s="383" t="s">
        <v>789</v>
      </c>
      <c r="E51" s="1081"/>
      <c r="F51" s="1082" t="s">
        <v>50</v>
      </c>
      <c r="G51" s="1081"/>
      <c r="H51" s="1081"/>
    </row>
    <row r="52" spans="1:8" s="163" customFormat="1" ht="19.149999999999999" customHeight="1">
      <c r="A52" s="220">
        <v>38</v>
      </c>
      <c r="B52" s="220">
        <v>29</v>
      </c>
      <c r="C52" s="909" t="s">
        <v>135</v>
      </c>
      <c r="D52" s="383" t="s">
        <v>789</v>
      </c>
      <c r="E52" s="1081"/>
      <c r="F52" s="1082" t="s">
        <v>50</v>
      </c>
      <c r="G52" s="1081"/>
      <c r="H52" s="1081"/>
    </row>
    <row r="53" spans="1:8" s="163" customFormat="1" ht="19.149999999999999" customHeight="1">
      <c r="A53" s="220">
        <v>39</v>
      </c>
      <c r="B53" s="220">
        <v>30</v>
      </c>
      <c r="C53" s="383" t="s">
        <v>195</v>
      </c>
      <c r="D53" s="383" t="s">
        <v>789</v>
      </c>
      <c r="E53" s="1081"/>
      <c r="F53" s="1082" t="s">
        <v>50</v>
      </c>
      <c r="G53" s="1081"/>
      <c r="H53" s="1081"/>
    </row>
    <row r="54" spans="1:8" s="163" customFormat="1" ht="19.149999999999999" customHeight="1">
      <c r="A54" s="220">
        <v>40</v>
      </c>
      <c r="B54" s="220">
        <v>31</v>
      </c>
      <c r="C54" s="1084" t="s">
        <v>186</v>
      </c>
      <c r="D54" s="383" t="s">
        <v>789</v>
      </c>
      <c r="E54" s="1081"/>
      <c r="F54" s="1082" t="s">
        <v>50</v>
      </c>
      <c r="G54" s="1081"/>
      <c r="H54" s="1081"/>
    </row>
    <row r="55" spans="1:8" s="163" customFormat="1" ht="19.149999999999999" customHeight="1">
      <c r="A55" s="220">
        <v>41</v>
      </c>
      <c r="B55" s="220">
        <v>32</v>
      </c>
      <c r="C55" s="1084" t="s">
        <v>187</v>
      </c>
      <c r="D55" s="383" t="s">
        <v>789</v>
      </c>
      <c r="E55" s="1081"/>
      <c r="F55" s="1082" t="s">
        <v>50</v>
      </c>
      <c r="G55" s="1081"/>
      <c r="H55" s="1081"/>
    </row>
    <row r="56" spans="1:8" s="163" customFormat="1" ht="19.149999999999999" customHeight="1">
      <c r="A56" s="220">
        <v>42</v>
      </c>
      <c r="B56" s="220">
        <v>33</v>
      </c>
      <c r="C56" s="565" t="s">
        <v>166</v>
      </c>
      <c r="D56" s="383" t="s">
        <v>789</v>
      </c>
      <c r="E56" s="1081"/>
      <c r="F56" s="1082" t="s">
        <v>50</v>
      </c>
      <c r="G56" s="1081"/>
      <c r="H56" s="1081"/>
    </row>
    <row r="57" spans="1:8" s="163" customFormat="1" ht="19.149999999999999" customHeight="1">
      <c r="A57" s="220">
        <v>43</v>
      </c>
      <c r="B57" s="220">
        <v>34</v>
      </c>
      <c r="C57" s="1086" t="s">
        <v>738</v>
      </c>
      <c r="D57" s="383" t="s">
        <v>789</v>
      </c>
      <c r="E57" s="1081"/>
      <c r="F57" s="1082" t="s">
        <v>50</v>
      </c>
      <c r="G57" s="1081"/>
      <c r="H57" s="1081"/>
    </row>
    <row r="58" spans="1:8" s="163" customFormat="1" ht="19.149999999999999" customHeight="1">
      <c r="A58" s="220">
        <v>44</v>
      </c>
      <c r="B58" s="220">
        <v>35</v>
      </c>
      <c r="C58" s="909" t="s">
        <v>167</v>
      </c>
      <c r="D58" s="383" t="s">
        <v>789</v>
      </c>
      <c r="E58" s="1081"/>
      <c r="F58" s="1082" t="s">
        <v>50</v>
      </c>
      <c r="G58" s="1081"/>
      <c r="H58" s="1081"/>
    </row>
    <row r="59" spans="1:8" s="163" customFormat="1" ht="19.149999999999999" customHeight="1">
      <c r="A59" s="220">
        <v>45</v>
      </c>
      <c r="B59" s="220">
        <v>36</v>
      </c>
      <c r="C59" s="1084" t="s">
        <v>168</v>
      </c>
      <c r="D59" s="383" t="s">
        <v>789</v>
      </c>
      <c r="E59" s="1081"/>
      <c r="F59" s="1082" t="s">
        <v>50</v>
      </c>
      <c r="G59" s="1081"/>
      <c r="H59" s="1081"/>
    </row>
    <row r="60" spans="1:8" s="163" customFormat="1" ht="19.149999999999999" customHeight="1">
      <c r="A60" s="220">
        <v>46</v>
      </c>
      <c r="B60" s="220">
        <v>37</v>
      </c>
      <c r="C60" s="909" t="s">
        <v>496</v>
      </c>
      <c r="D60" s="383" t="s">
        <v>789</v>
      </c>
      <c r="E60" s="1081"/>
      <c r="F60" s="1082" t="s">
        <v>50</v>
      </c>
      <c r="G60" s="1081"/>
      <c r="H60" s="1081"/>
    </row>
    <row r="61" spans="1:8" s="163" customFormat="1" ht="19.149999999999999" customHeight="1">
      <c r="A61" s="220">
        <v>47</v>
      </c>
      <c r="B61" s="220">
        <v>38</v>
      </c>
      <c r="C61" s="383" t="s">
        <v>210</v>
      </c>
      <c r="D61" s="383" t="s">
        <v>789</v>
      </c>
      <c r="E61" s="1081"/>
      <c r="F61" s="1082" t="s">
        <v>50</v>
      </c>
      <c r="G61" s="1081"/>
      <c r="H61" s="1081"/>
    </row>
    <row r="62" spans="1:8" s="163" customFormat="1" ht="19.149999999999999" customHeight="1">
      <c r="A62" s="220">
        <v>48</v>
      </c>
      <c r="B62" s="220">
        <v>39</v>
      </c>
      <c r="C62" s="909" t="s">
        <v>188</v>
      </c>
      <c r="D62" s="383" t="s">
        <v>789</v>
      </c>
      <c r="E62" s="1081"/>
      <c r="F62" s="1082" t="s">
        <v>50</v>
      </c>
      <c r="G62" s="1081"/>
      <c r="H62" s="1081"/>
    </row>
    <row r="63" spans="1:8" s="163" customFormat="1" ht="19.149999999999999" customHeight="1">
      <c r="A63" s="220">
        <v>49</v>
      </c>
      <c r="B63" s="220">
        <v>40</v>
      </c>
      <c r="C63" s="1084" t="s">
        <v>196</v>
      </c>
      <c r="D63" s="383" t="s">
        <v>789</v>
      </c>
      <c r="E63" s="1081"/>
      <c r="F63" s="1082" t="s">
        <v>50</v>
      </c>
      <c r="G63" s="1081"/>
      <c r="H63" s="1081"/>
    </row>
    <row r="64" spans="1:8" s="163" customFormat="1" ht="19.149999999999999" customHeight="1">
      <c r="A64" s="220">
        <v>50</v>
      </c>
      <c r="B64" s="220">
        <v>41</v>
      </c>
      <c r="C64" s="1084" t="s">
        <v>415</v>
      </c>
      <c r="D64" s="383" t="s">
        <v>789</v>
      </c>
      <c r="E64" s="1081"/>
      <c r="F64" s="1082" t="s">
        <v>50</v>
      </c>
      <c r="G64" s="1081"/>
      <c r="H64" s="1081"/>
    </row>
    <row r="65" spans="1:8" s="163" customFormat="1" ht="19.149999999999999" customHeight="1">
      <c r="A65" s="220">
        <v>51</v>
      </c>
      <c r="B65" s="220">
        <v>42</v>
      </c>
      <c r="C65" s="1081" t="s">
        <v>179</v>
      </c>
      <c r="D65" s="383" t="s">
        <v>789</v>
      </c>
      <c r="E65" s="1081"/>
      <c r="F65" s="1082" t="s">
        <v>50</v>
      </c>
      <c r="G65" s="1081"/>
      <c r="H65" s="1081"/>
    </row>
    <row r="66" spans="1:8" s="163" customFormat="1" ht="19.149999999999999" customHeight="1">
      <c r="A66" s="220">
        <v>52</v>
      </c>
      <c r="B66" s="220">
        <v>43</v>
      </c>
      <c r="C66" s="1084" t="s">
        <v>477</v>
      </c>
      <c r="D66" s="383" t="s">
        <v>789</v>
      </c>
      <c r="E66" s="1081"/>
      <c r="F66" s="1082" t="s">
        <v>50</v>
      </c>
      <c r="G66" s="1081"/>
      <c r="H66" s="1081"/>
    </row>
    <row r="67" spans="1:8" s="163" customFormat="1" ht="19.149999999999999" customHeight="1">
      <c r="A67" s="220">
        <v>53</v>
      </c>
      <c r="B67" s="220">
        <v>44</v>
      </c>
      <c r="C67" s="1084" t="s">
        <v>218</v>
      </c>
      <c r="D67" s="383" t="s">
        <v>789</v>
      </c>
      <c r="E67" s="1081"/>
      <c r="F67" s="1082" t="s">
        <v>50</v>
      </c>
      <c r="G67" s="1081"/>
      <c r="H67" s="1081"/>
    </row>
    <row r="68" spans="1:8" s="163" customFormat="1" ht="19.149999999999999" customHeight="1">
      <c r="A68" s="220">
        <v>54</v>
      </c>
      <c r="B68" s="220">
        <v>45</v>
      </c>
      <c r="C68" s="909" t="s">
        <v>189</v>
      </c>
      <c r="D68" s="383" t="s">
        <v>789</v>
      </c>
      <c r="E68" s="1081"/>
      <c r="F68" s="1082" t="s">
        <v>50</v>
      </c>
      <c r="G68" s="1081"/>
      <c r="H68" s="1081"/>
    </row>
    <row r="69" spans="1:8" s="163" customFormat="1" ht="19.149999999999999" customHeight="1">
      <c r="A69" s="220">
        <v>55</v>
      </c>
      <c r="B69" s="220">
        <v>46</v>
      </c>
      <c r="C69" s="909" t="s">
        <v>288</v>
      </c>
      <c r="D69" s="383" t="s">
        <v>789</v>
      </c>
      <c r="E69" s="1081"/>
      <c r="F69" s="1082" t="s">
        <v>50</v>
      </c>
      <c r="G69" s="1081"/>
      <c r="H69" s="1081"/>
    </row>
    <row r="70" spans="1:8" s="163" customFormat="1" ht="19.149999999999999" customHeight="1">
      <c r="A70" s="220">
        <v>56</v>
      </c>
      <c r="B70" s="220">
        <v>47</v>
      </c>
      <c r="C70" s="1084" t="s">
        <v>478</v>
      </c>
      <c r="D70" s="383" t="s">
        <v>789</v>
      </c>
      <c r="E70" s="1081"/>
      <c r="F70" s="1082" t="s">
        <v>50</v>
      </c>
      <c r="G70" s="1081"/>
      <c r="H70" s="1081"/>
    </row>
    <row r="71" spans="1:8" s="163" customFormat="1" ht="19.149999999999999" customHeight="1">
      <c r="A71" s="220">
        <v>57</v>
      </c>
      <c r="B71" s="220">
        <v>48</v>
      </c>
      <c r="C71" s="909" t="s">
        <v>115</v>
      </c>
      <c r="D71" s="383" t="s">
        <v>789</v>
      </c>
      <c r="E71" s="1081"/>
      <c r="F71" s="1082" t="s">
        <v>50</v>
      </c>
      <c r="G71" s="1081"/>
      <c r="H71" s="1081"/>
    </row>
    <row r="72" spans="1:8" s="163" customFormat="1" ht="19.149999999999999" customHeight="1">
      <c r="A72" s="220">
        <v>58</v>
      </c>
      <c r="B72" s="220">
        <v>49</v>
      </c>
      <c r="C72" s="909" t="s">
        <v>287</v>
      </c>
      <c r="D72" s="383" t="s">
        <v>789</v>
      </c>
      <c r="E72" s="1081"/>
      <c r="F72" s="1082" t="s">
        <v>50</v>
      </c>
      <c r="G72" s="1081"/>
      <c r="H72" s="1081"/>
    </row>
    <row r="73" spans="1:8" s="163" customFormat="1" ht="19.149999999999999" customHeight="1">
      <c r="A73" s="220">
        <v>59</v>
      </c>
      <c r="B73" s="220">
        <v>50</v>
      </c>
      <c r="C73" s="909" t="s">
        <v>479</v>
      </c>
      <c r="D73" s="383" t="s">
        <v>789</v>
      </c>
      <c r="E73" s="1081"/>
      <c r="F73" s="1082" t="s">
        <v>50</v>
      </c>
      <c r="G73" s="1081"/>
      <c r="H73" s="1081"/>
    </row>
    <row r="74" spans="1:8" s="163" customFormat="1" ht="19.149999999999999" customHeight="1">
      <c r="A74" s="220">
        <v>60</v>
      </c>
      <c r="B74" s="220">
        <v>51</v>
      </c>
      <c r="C74" s="909" t="s">
        <v>181</v>
      </c>
      <c r="D74" s="383" t="s">
        <v>789</v>
      </c>
      <c r="E74" s="1081"/>
      <c r="F74" s="1082" t="s">
        <v>50</v>
      </c>
      <c r="G74" s="1081"/>
      <c r="H74" s="1081"/>
    </row>
    <row r="75" spans="1:8" s="163" customFormat="1" ht="19.149999999999999" customHeight="1">
      <c r="A75" s="220">
        <v>61</v>
      </c>
      <c r="B75" s="220">
        <v>52</v>
      </c>
      <c r="C75" s="1084" t="s">
        <v>289</v>
      </c>
      <c r="D75" s="383" t="s">
        <v>789</v>
      </c>
      <c r="E75" s="1081"/>
      <c r="F75" s="1082" t="s">
        <v>50</v>
      </c>
      <c r="G75" s="1081"/>
      <c r="H75" s="1081"/>
    </row>
    <row r="76" spans="1:8" s="163" customFormat="1" ht="19.149999999999999" customHeight="1">
      <c r="A76" s="220">
        <v>62</v>
      </c>
      <c r="B76" s="220">
        <v>53</v>
      </c>
      <c r="C76" s="1084" t="s">
        <v>116</v>
      </c>
      <c r="D76" s="383" t="s">
        <v>789</v>
      </c>
      <c r="E76" s="1081"/>
      <c r="F76" s="1082" t="s">
        <v>50</v>
      </c>
      <c r="G76" s="1081"/>
      <c r="H76" s="1081"/>
    </row>
    <row r="77" spans="1:8" s="163" customFormat="1" ht="19.149999999999999" customHeight="1">
      <c r="A77" s="220">
        <v>63</v>
      </c>
      <c r="B77" s="220">
        <v>54</v>
      </c>
      <c r="C77" s="1087" t="s">
        <v>739</v>
      </c>
      <c r="D77" s="383" t="s">
        <v>789</v>
      </c>
      <c r="E77" s="1081"/>
      <c r="F77" s="1082" t="s">
        <v>50</v>
      </c>
      <c r="G77" s="1081"/>
      <c r="H77" s="1081"/>
    </row>
    <row r="78" spans="1:8" s="163" customFormat="1" ht="19.149999999999999" customHeight="1">
      <c r="A78" s="220">
        <v>64</v>
      </c>
      <c r="B78" s="220">
        <v>55</v>
      </c>
      <c r="C78" s="909" t="s">
        <v>314</v>
      </c>
      <c r="D78" s="383" t="s">
        <v>789</v>
      </c>
      <c r="E78" s="1081"/>
      <c r="F78" s="1082" t="s">
        <v>50</v>
      </c>
      <c r="G78" s="1081"/>
      <c r="H78" s="1081"/>
    </row>
    <row r="79" spans="1:8" s="163" customFormat="1" ht="19.149999999999999" customHeight="1">
      <c r="A79" s="220">
        <v>65</v>
      </c>
      <c r="B79" s="220">
        <v>56</v>
      </c>
      <c r="C79" s="909" t="s">
        <v>290</v>
      </c>
      <c r="D79" s="383" t="s">
        <v>789</v>
      </c>
      <c r="E79" s="1081"/>
      <c r="F79" s="1082" t="s">
        <v>50</v>
      </c>
      <c r="G79" s="1081"/>
      <c r="H79" s="1081"/>
    </row>
    <row r="80" spans="1:8" s="163" customFormat="1" ht="19.149999999999999" customHeight="1">
      <c r="A80" s="220">
        <v>66</v>
      </c>
      <c r="B80" s="220">
        <v>57</v>
      </c>
      <c r="C80" s="1084" t="s">
        <v>291</v>
      </c>
      <c r="D80" s="383" t="s">
        <v>789</v>
      </c>
      <c r="E80" s="1081"/>
      <c r="F80" s="1082" t="s">
        <v>50</v>
      </c>
      <c r="G80" s="1081"/>
      <c r="H80" s="1081"/>
    </row>
    <row r="81" spans="1:8" s="163" customFormat="1" ht="19.149999999999999" customHeight="1">
      <c r="A81" s="220">
        <v>67</v>
      </c>
      <c r="B81" s="220">
        <v>58</v>
      </c>
      <c r="C81" s="383" t="s">
        <v>440</v>
      </c>
      <c r="D81" s="383" t="s">
        <v>789</v>
      </c>
      <c r="E81" s="1081"/>
      <c r="F81" s="1082" t="s">
        <v>50</v>
      </c>
      <c r="G81" s="1081"/>
      <c r="H81" s="1081"/>
    </row>
    <row r="82" spans="1:8" s="163" customFormat="1" ht="19.149999999999999" customHeight="1">
      <c r="A82" s="220">
        <v>68</v>
      </c>
      <c r="B82" s="220">
        <v>59</v>
      </c>
      <c r="C82" s="909" t="s">
        <v>198</v>
      </c>
      <c r="D82" s="383" t="s">
        <v>789</v>
      </c>
      <c r="E82" s="1081"/>
      <c r="F82" s="1082" t="s">
        <v>50</v>
      </c>
      <c r="G82" s="1081"/>
      <c r="H82" s="1081"/>
    </row>
    <row r="83" spans="1:8" s="163" customFormat="1" ht="19.149999999999999" customHeight="1">
      <c r="A83" s="220">
        <v>69</v>
      </c>
      <c r="B83" s="220">
        <v>60</v>
      </c>
      <c r="C83" s="1086" t="s">
        <v>755</v>
      </c>
      <c r="D83" s="383" t="s">
        <v>789</v>
      </c>
      <c r="E83" s="1081"/>
      <c r="F83" s="1082" t="s">
        <v>50</v>
      </c>
      <c r="G83" s="1081"/>
      <c r="H83" s="1081"/>
    </row>
    <row r="84" spans="1:8" s="163" customFormat="1" ht="19.149999999999999" customHeight="1">
      <c r="A84" s="220">
        <v>70</v>
      </c>
      <c r="B84" s="220">
        <v>61</v>
      </c>
      <c r="C84" s="1081" t="s">
        <v>219</v>
      </c>
      <c r="D84" s="383" t="s">
        <v>789</v>
      </c>
      <c r="E84" s="1081"/>
      <c r="F84" s="1082" t="s">
        <v>50</v>
      </c>
      <c r="G84" s="1081"/>
      <c r="H84" s="1081"/>
    </row>
    <row r="85" spans="1:8" s="163" customFormat="1" ht="19.149999999999999" customHeight="1">
      <c r="A85" s="220">
        <v>71</v>
      </c>
      <c r="B85" s="220">
        <v>62</v>
      </c>
      <c r="C85" s="1081" t="s">
        <v>482</v>
      </c>
      <c r="D85" s="383" t="s">
        <v>789</v>
      </c>
      <c r="E85" s="1081"/>
      <c r="F85" s="1082" t="s">
        <v>50</v>
      </c>
      <c r="G85" s="1081"/>
      <c r="H85" s="1081"/>
    </row>
    <row r="86" spans="1:8" s="163" customFormat="1" ht="19.149999999999999" customHeight="1">
      <c r="A86" s="220">
        <v>72</v>
      </c>
      <c r="B86" s="220">
        <v>63</v>
      </c>
      <c r="C86" s="383" t="s">
        <v>292</v>
      </c>
      <c r="D86" s="383" t="s">
        <v>789</v>
      </c>
      <c r="E86" s="1081"/>
      <c r="F86" s="1082" t="s">
        <v>50</v>
      </c>
      <c r="G86" s="1081"/>
      <c r="H86" s="1081"/>
    </row>
    <row r="87" spans="1:8" s="163" customFormat="1" ht="19.149999999999999" customHeight="1">
      <c r="A87" s="220">
        <v>73</v>
      </c>
      <c r="B87" s="220">
        <v>64</v>
      </c>
      <c r="C87" s="909" t="s">
        <v>293</v>
      </c>
      <c r="D87" s="383" t="s">
        <v>789</v>
      </c>
      <c r="E87" s="1081"/>
      <c r="F87" s="1082" t="s">
        <v>50</v>
      </c>
      <c r="G87" s="1081"/>
      <c r="H87" s="1081"/>
    </row>
    <row r="88" spans="1:8" s="163" customFormat="1" ht="19.149999999999999" customHeight="1">
      <c r="A88" s="220">
        <v>74</v>
      </c>
      <c r="B88" s="220">
        <v>65</v>
      </c>
      <c r="C88" s="909" t="s">
        <v>359</v>
      </c>
      <c r="D88" s="383" t="s">
        <v>789</v>
      </c>
      <c r="E88" s="1081"/>
      <c r="F88" s="1082" t="s">
        <v>50</v>
      </c>
      <c r="G88" s="1081"/>
      <c r="H88" s="1081"/>
    </row>
    <row r="89" spans="1:8" s="163" customFormat="1" ht="19.149999999999999" customHeight="1">
      <c r="A89" s="220">
        <v>75</v>
      </c>
      <c r="B89" s="220">
        <v>66</v>
      </c>
      <c r="C89" s="909" t="s">
        <v>386</v>
      </c>
      <c r="D89" s="383" t="s">
        <v>789</v>
      </c>
      <c r="E89" s="1081"/>
      <c r="F89" s="1082" t="s">
        <v>50</v>
      </c>
      <c r="G89" s="1081"/>
      <c r="H89" s="1081"/>
    </row>
    <row r="90" spans="1:8" s="163" customFormat="1" ht="19.149999999999999" customHeight="1">
      <c r="A90" s="220">
        <v>76</v>
      </c>
      <c r="B90" s="220">
        <v>67</v>
      </c>
      <c r="C90" s="909" t="s">
        <v>177</v>
      </c>
      <c r="D90" s="383" t="s">
        <v>789</v>
      </c>
      <c r="E90" s="1081"/>
      <c r="F90" s="1082" t="s">
        <v>50</v>
      </c>
      <c r="G90" s="1081"/>
      <c r="H90" s="1081"/>
    </row>
    <row r="91" spans="1:8" s="163" customFormat="1" ht="19.149999999999999" customHeight="1">
      <c r="A91" s="220">
        <v>77</v>
      </c>
      <c r="B91" s="220">
        <v>68</v>
      </c>
      <c r="C91" s="909" t="s">
        <v>275</v>
      </c>
      <c r="D91" s="383" t="s">
        <v>789</v>
      </c>
      <c r="E91" s="1081"/>
      <c r="F91" s="1082" t="s">
        <v>50</v>
      </c>
      <c r="G91" s="1081"/>
      <c r="H91" s="1081"/>
    </row>
    <row r="92" spans="1:8" s="163" customFormat="1" ht="19.149999999999999" customHeight="1">
      <c r="A92" s="220">
        <v>78</v>
      </c>
      <c r="B92" s="220">
        <v>69</v>
      </c>
      <c r="C92" s="1088" t="s">
        <v>706</v>
      </c>
      <c r="D92" s="383" t="s">
        <v>789</v>
      </c>
      <c r="E92" s="1081"/>
      <c r="F92" s="1082" t="s">
        <v>50</v>
      </c>
      <c r="G92" s="1081"/>
      <c r="H92" s="1081"/>
    </row>
    <row r="93" spans="1:8" s="163" customFormat="1" ht="19.149999999999999" customHeight="1">
      <c r="A93" s="220">
        <v>79</v>
      </c>
      <c r="B93" s="220">
        <v>70</v>
      </c>
      <c r="C93" s="909" t="s">
        <v>294</v>
      </c>
      <c r="D93" s="383" t="s">
        <v>789</v>
      </c>
      <c r="E93" s="1081"/>
      <c r="F93" s="1082" t="s">
        <v>50</v>
      </c>
      <c r="G93" s="1081"/>
      <c r="H93" s="1081"/>
    </row>
    <row r="94" spans="1:8" s="163" customFormat="1" ht="19.149999999999999" customHeight="1">
      <c r="A94" s="220">
        <v>80</v>
      </c>
      <c r="B94" s="220">
        <v>71</v>
      </c>
      <c r="C94" s="909" t="s">
        <v>197</v>
      </c>
      <c r="D94" s="383" t="s">
        <v>789</v>
      </c>
      <c r="E94" s="1081"/>
      <c r="F94" s="1082" t="s">
        <v>50</v>
      </c>
      <c r="G94" s="1081"/>
      <c r="H94" s="1081"/>
    </row>
    <row r="95" spans="1:8" s="163" customFormat="1" ht="19.149999999999999" customHeight="1">
      <c r="A95" s="220">
        <v>81</v>
      </c>
      <c r="B95" s="220">
        <v>72</v>
      </c>
      <c r="C95" s="909" t="s">
        <v>236</v>
      </c>
      <c r="D95" s="383" t="s">
        <v>789</v>
      </c>
      <c r="E95" s="1081"/>
      <c r="F95" s="1082" t="s">
        <v>50</v>
      </c>
      <c r="G95" s="1081"/>
      <c r="H95" s="1081"/>
    </row>
    <row r="96" spans="1:8" s="163" customFormat="1" ht="19.149999999999999" customHeight="1">
      <c r="A96" s="220">
        <v>82</v>
      </c>
      <c r="B96" s="220">
        <v>73</v>
      </c>
      <c r="C96" s="909" t="s">
        <v>483</v>
      </c>
      <c r="D96" s="383" t="s">
        <v>789</v>
      </c>
      <c r="E96" s="1081"/>
      <c r="F96" s="1082" t="s">
        <v>50</v>
      </c>
      <c r="G96" s="1081"/>
      <c r="H96" s="1081"/>
    </row>
    <row r="97" spans="1:8" s="163" customFormat="1" ht="19.149999999999999" customHeight="1">
      <c r="A97" s="220">
        <v>83</v>
      </c>
      <c r="B97" s="220">
        <v>74</v>
      </c>
      <c r="C97" s="1089" t="s">
        <v>447</v>
      </c>
      <c r="D97" s="383" t="s">
        <v>789</v>
      </c>
      <c r="E97" s="1081"/>
      <c r="F97" s="1082" t="s">
        <v>50</v>
      </c>
      <c r="G97" s="1081"/>
      <c r="H97" s="1081"/>
    </row>
    <row r="98" spans="1:8" s="163" customFormat="1" ht="19.149999999999999" customHeight="1">
      <c r="A98" s="1562" t="s">
        <v>499</v>
      </c>
      <c r="B98" s="1562"/>
      <c r="C98" s="1562"/>
      <c r="D98" s="1090"/>
      <c r="E98" s="1081"/>
      <c r="F98" s="1082"/>
      <c r="G98" s="1081"/>
      <c r="H98" s="1081"/>
    </row>
    <row r="99" spans="1:8" s="163" customFormat="1" ht="19.149999999999999" customHeight="1">
      <c r="A99" s="220">
        <v>84</v>
      </c>
      <c r="B99" s="1091">
        <v>1</v>
      </c>
      <c r="C99" s="1081" t="s">
        <v>484</v>
      </c>
      <c r="D99" s="383" t="s">
        <v>789</v>
      </c>
      <c r="E99" s="1081"/>
      <c r="F99" s="1082" t="s">
        <v>50</v>
      </c>
      <c r="G99" s="1081"/>
      <c r="H99" s="1081"/>
    </row>
    <row r="100" spans="1:8" s="163" customFormat="1" ht="19.149999999999999" customHeight="1">
      <c r="A100" s="220">
        <v>85</v>
      </c>
      <c r="B100" s="1091">
        <v>2</v>
      </c>
      <c r="C100" s="1081" t="s">
        <v>212</v>
      </c>
      <c r="D100" s="383" t="s">
        <v>789</v>
      </c>
      <c r="E100" s="1081"/>
      <c r="F100" s="1082" t="s">
        <v>50</v>
      </c>
      <c r="G100" s="1081"/>
      <c r="H100" s="1081"/>
    </row>
    <row r="101" spans="1:8" s="163" customFormat="1" ht="19.149999999999999" customHeight="1">
      <c r="A101" s="220">
        <v>86</v>
      </c>
      <c r="B101" s="1091">
        <v>3</v>
      </c>
      <c r="C101" s="565" t="s">
        <v>134</v>
      </c>
      <c r="D101" s="383" t="s">
        <v>789</v>
      </c>
      <c r="E101" s="1081"/>
      <c r="F101" s="1082" t="s">
        <v>50</v>
      </c>
      <c r="G101" s="1081"/>
      <c r="H101" s="1081"/>
    </row>
    <row r="102" spans="1:8" s="163" customFormat="1" ht="19.149999999999999" customHeight="1">
      <c r="A102" s="220">
        <v>87</v>
      </c>
      <c r="B102" s="1091">
        <v>4</v>
      </c>
      <c r="C102" s="1092" t="s">
        <v>213</v>
      </c>
      <c r="D102" s="383" t="s">
        <v>789</v>
      </c>
      <c r="E102" s="1081"/>
      <c r="F102" s="1082" t="s">
        <v>50</v>
      </c>
      <c r="G102" s="1081"/>
      <c r="H102" s="1081"/>
    </row>
    <row r="103" spans="1:8" s="163" customFormat="1" ht="19.149999999999999" customHeight="1">
      <c r="A103" s="220">
        <v>88</v>
      </c>
      <c r="B103" s="1091">
        <v>5</v>
      </c>
      <c r="C103" s="1081" t="s">
        <v>170</v>
      </c>
      <c r="D103" s="383" t="s">
        <v>789</v>
      </c>
      <c r="E103" s="1081"/>
      <c r="F103" s="1082" t="s">
        <v>50</v>
      </c>
      <c r="G103" s="1081"/>
      <c r="H103" s="1081"/>
    </row>
    <row r="104" spans="1:8" s="163" customFormat="1" ht="19.149999999999999" customHeight="1">
      <c r="A104" s="220">
        <v>89</v>
      </c>
      <c r="B104" s="1091">
        <v>6</v>
      </c>
      <c r="C104" s="1081" t="s">
        <v>307</v>
      </c>
      <c r="D104" s="383" t="s">
        <v>789</v>
      </c>
      <c r="E104" s="1081"/>
      <c r="F104" s="1082" t="s">
        <v>50</v>
      </c>
      <c r="G104" s="1081"/>
      <c r="H104" s="1081"/>
    </row>
    <row r="105" spans="1:8" s="163" customFormat="1" ht="19.149999999999999" customHeight="1">
      <c r="A105" s="220">
        <v>90</v>
      </c>
      <c r="B105" s="1091">
        <v>7</v>
      </c>
      <c r="C105" s="1081" t="s">
        <v>171</v>
      </c>
      <c r="D105" s="383" t="s">
        <v>789</v>
      </c>
      <c r="E105" s="1081"/>
      <c r="F105" s="1082" t="s">
        <v>50</v>
      </c>
      <c r="G105" s="1081"/>
      <c r="H105" s="1081"/>
    </row>
    <row r="106" spans="1:8" s="163" customFormat="1" ht="19.149999999999999" customHeight="1">
      <c r="A106" s="220">
        <v>91</v>
      </c>
      <c r="B106" s="1091">
        <v>8</v>
      </c>
      <c r="C106" s="1081" t="s">
        <v>485</v>
      </c>
      <c r="D106" s="383" t="s">
        <v>789</v>
      </c>
      <c r="E106" s="1081"/>
      <c r="F106" s="1082" t="s">
        <v>50</v>
      </c>
      <c r="G106" s="1081"/>
      <c r="H106" s="1081"/>
    </row>
    <row r="107" spans="1:8" s="163" customFormat="1" ht="19.149999999999999" customHeight="1">
      <c r="A107" s="220">
        <v>92</v>
      </c>
      <c r="B107" s="1091">
        <v>9</v>
      </c>
      <c r="C107" s="1081" t="s">
        <v>308</v>
      </c>
      <c r="D107" s="383" t="s">
        <v>789</v>
      </c>
      <c r="E107" s="1081"/>
      <c r="F107" s="1082" t="s">
        <v>50</v>
      </c>
      <c r="G107" s="1081"/>
      <c r="H107" s="1081"/>
    </row>
    <row r="108" spans="1:8" s="163" customFormat="1" ht="19.149999999999999" customHeight="1">
      <c r="A108" s="220">
        <v>93</v>
      </c>
      <c r="B108" s="1091">
        <v>10</v>
      </c>
      <c r="C108" s="1081" t="s">
        <v>190</v>
      </c>
      <c r="D108" s="383" t="s">
        <v>789</v>
      </c>
      <c r="E108" s="1081"/>
      <c r="F108" s="1082" t="s">
        <v>50</v>
      </c>
      <c r="G108" s="1081"/>
      <c r="H108" s="1081"/>
    </row>
    <row r="109" spans="1:8" s="163" customFormat="1" ht="19.149999999999999" customHeight="1">
      <c r="A109" s="220">
        <v>94</v>
      </c>
      <c r="B109" s="1091">
        <v>11</v>
      </c>
      <c r="C109" s="1081" t="s">
        <v>172</v>
      </c>
      <c r="D109" s="383" t="s">
        <v>789</v>
      </c>
      <c r="E109" s="1081"/>
      <c r="F109" s="1082" t="s">
        <v>50</v>
      </c>
      <c r="G109" s="1081"/>
      <c r="H109" s="1081"/>
    </row>
    <row r="110" spans="1:8" s="163" customFormat="1" ht="19.149999999999999" customHeight="1">
      <c r="A110" s="220">
        <v>95</v>
      </c>
      <c r="B110" s="1091">
        <v>12</v>
      </c>
      <c r="C110" s="1081" t="s">
        <v>173</v>
      </c>
      <c r="D110" s="383" t="s">
        <v>789</v>
      </c>
      <c r="E110" s="1081"/>
      <c r="F110" s="1082" t="s">
        <v>50</v>
      </c>
      <c r="G110" s="1081"/>
      <c r="H110" s="1081"/>
    </row>
    <row r="111" spans="1:8" s="163" customFormat="1" ht="19.149999999999999" customHeight="1">
      <c r="A111" s="220">
        <v>96</v>
      </c>
      <c r="B111" s="1091">
        <v>13</v>
      </c>
      <c r="C111" s="1081" t="s">
        <v>486</v>
      </c>
      <c r="D111" s="383" t="s">
        <v>789</v>
      </c>
      <c r="E111" s="1081"/>
      <c r="F111" s="1082" t="s">
        <v>50</v>
      </c>
      <c r="G111" s="1081"/>
      <c r="H111" s="1081"/>
    </row>
    <row r="112" spans="1:8" s="163" customFormat="1" ht="19.149999999999999" customHeight="1">
      <c r="A112" s="220">
        <v>97</v>
      </c>
      <c r="B112" s="1091">
        <v>14</v>
      </c>
      <c r="C112" s="735" t="s">
        <v>214</v>
      </c>
      <c r="D112" s="383" t="s">
        <v>789</v>
      </c>
      <c r="E112" s="1081"/>
      <c r="F112" s="1082" t="s">
        <v>50</v>
      </c>
      <c r="G112" s="1081"/>
      <c r="H112" s="1081"/>
    </row>
    <row r="113" spans="1:8" s="163" customFormat="1" ht="19.149999999999999" customHeight="1">
      <c r="A113" s="220">
        <v>98</v>
      </c>
      <c r="B113" s="1091">
        <v>15</v>
      </c>
      <c r="C113" s="1081" t="s">
        <v>174</v>
      </c>
      <c r="D113" s="383" t="s">
        <v>789</v>
      </c>
      <c r="E113" s="1081"/>
      <c r="F113" s="1082" t="s">
        <v>50</v>
      </c>
      <c r="G113" s="1081"/>
      <c r="H113" s="1081"/>
    </row>
    <row r="114" spans="1:8" s="163" customFormat="1" ht="19.149999999999999" customHeight="1">
      <c r="A114" s="220">
        <v>99</v>
      </c>
      <c r="B114" s="1091">
        <v>16</v>
      </c>
      <c r="C114" s="1081" t="s">
        <v>288</v>
      </c>
      <c r="D114" s="383" t="s">
        <v>789</v>
      </c>
      <c r="E114" s="1081"/>
      <c r="F114" s="1082" t="s">
        <v>50</v>
      </c>
      <c r="G114" s="1081"/>
      <c r="H114" s="1081"/>
    </row>
    <row r="115" spans="1:8" s="163" customFormat="1" ht="19.149999999999999" customHeight="1">
      <c r="A115" s="220">
        <v>100</v>
      </c>
      <c r="B115" s="1091">
        <v>17</v>
      </c>
      <c r="C115" s="1081" t="s">
        <v>309</v>
      </c>
      <c r="D115" s="383" t="s">
        <v>789</v>
      </c>
      <c r="E115" s="1081"/>
      <c r="F115" s="1082" t="s">
        <v>50</v>
      </c>
      <c r="G115" s="1081"/>
      <c r="H115" s="1081"/>
    </row>
    <row r="116" spans="1:8" s="163" customFormat="1" ht="19.149999999999999" customHeight="1">
      <c r="A116" s="220">
        <v>101</v>
      </c>
      <c r="B116" s="1091">
        <v>18</v>
      </c>
      <c r="C116" s="1081" t="s">
        <v>239</v>
      </c>
      <c r="D116" s="383" t="s">
        <v>789</v>
      </c>
      <c r="E116" s="1081"/>
      <c r="F116" s="1082" t="s">
        <v>50</v>
      </c>
      <c r="G116" s="1081"/>
      <c r="H116" s="1081"/>
    </row>
    <row r="117" spans="1:8" s="163" customFormat="1" ht="19.149999999999999" customHeight="1">
      <c r="A117" s="220">
        <v>102</v>
      </c>
      <c r="B117" s="1091">
        <v>19</v>
      </c>
      <c r="C117" s="1081" t="s">
        <v>211</v>
      </c>
      <c r="D117" s="383" t="s">
        <v>789</v>
      </c>
      <c r="E117" s="1081"/>
      <c r="F117" s="1082" t="s">
        <v>50</v>
      </c>
      <c r="G117" s="1081"/>
      <c r="H117" s="1081"/>
    </row>
    <row r="118" spans="1:8" s="163" customFormat="1" ht="19.149999999999999" customHeight="1">
      <c r="A118" s="220">
        <v>103</v>
      </c>
      <c r="B118" s="1091">
        <v>20</v>
      </c>
      <c r="C118" s="1081" t="s">
        <v>228</v>
      </c>
      <c r="D118" s="383" t="s">
        <v>789</v>
      </c>
      <c r="E118" s="1081"/>
      <c r="F118" s="1082" t="s">
        <v>50</v>
      </c>
      <c r="G118" s="1081"/>
      <c r="H118" s="1081"/>
    </row>
    <row r="119" spans="1:8" s="163" customFormat="1" ht="19.149999999999999" customHeight="1">
      <c r="A119" s="220">
        <v>104</v>
      </c>
      <c r="B119" s="1091">
        <v>21</v>
      </c>
      <c r="C119" s="1081" t="s">
        <v>191</v>
      </c>
      <c r="D119" s="383" t="s">
        <v>789</v>
      </c>
      <c r="E119" s="1081"/>
      <c r="F119" s="1082" t="s">
        <v>50</v>
      </c>
      <c r="G119" s="1081"/>
      <c r="H119" s="1081"/>
    </row>
    <row r="120" spans="1:8" s="163" customFormat="1" ht="19.149999999999999" customHeight="1">
      <c r="A120" s="220">
        <v>105</v>
      </c>
      <c r="B120" s="1091">
        <v>22</v>
      </c>
      <c r="C120" s="1081" t="s">
        <v>234</v>
      </c>
      <c r="D120" s="383" t="s">
        <v>789</v>
      </c>
      <c r="E120" s="1081"/>
      <c r="F120" s="1082" t="s">
        <v>50</v>
      </c>
      <c r="G120" s="1081"/>
      <c r="H120" s="1081"/>
    </row>
    <row r="121" spans="1:8" s="163" customFormat="1" ht="19.149999999999999" customHeight="1">
      <c r="A121" s="220">
        <v>106</v>
      </c>
      <c r="B121" s="1091">
        <v>23</v>
      </c>
      <c r="C121" s="1081" t="s">
        <v>215</v>
      </c>
      <c r="D121" s="383" t="s">
        <v>789</v>
      </c>
      <c r="E121" s="1081"/>
      <c r="F121" s="1082" t="s">
        <v>50</v>
      </c>
      <c r="G121" s="1081"/>
      <c r="H121" s="1081"/>
    </row>
    <row r="122" spans="1:8" s="163" customFormat="1" ht="19.149999999999999" customHeight="1">
      <c r="A122" s="220">
        <v>107</v>
      </c>
      <c r="B122" s="1091">
        <v>24</v>
      </c>
      <c r="C122" s="1093" t="s">
        <v>216</v>
      </c>
      <c r="D122" s="383" t="s">
        <v>789</v>
      </c>
      <c r="E122" s="1081"/>
      <c r="F122" s="1082" t="s">
        <v>50</v>
      </c>
      <c r="G122" s="1081"/>
      <c r="H122" s="1081"/>
    </row>
    <row r="123" spans="1:8" s="163" customFormat="1" ht="19.149999999999999" customHeight="1">
      <c r="A123" s="220">
        <v>108</v>
      </c>
      <c r="B123" s="1091">
        <v>25</v>
      </c>
      <c r="C123" s="1093" t="s">
        <v>487</v>
      </c>
      <c r="D123" s="383" t="s">
        <v>789</v>
      </c>
      <c r="E123" s="1081"/>
      <c r="F123" s="1082" t="s">
        <v>50</v>
      </c>
      <c r="G123" s="1081"/>
      <c r="H123" s="1081"/>
    </row>
    <row r="124" spans="1:8" s="163" customFormat="1" ht="19.149999999999999" customHeight="1">
      <c r="A124" s="220">
        <v>109</v>
      </c>
      <c r="B124" s="1091">
        <v>26</v>
      </c>
      <c r="C124" s="1093" t="s">
        <v>259</v>
      </c>
      <c r="D124" s="383" t="s">
        <v>789</v>
      </c>
      <c r="E124" s="1081"/>
      <c r="F124" s="1082" t="s">
        <v>50</v>
      </c>
      <c r="G124" s="1081"/>
      <c r="H124" s="1081"/>
    </row>
    <row r="125" spans="1:8" s="163" customFormat="1" ht="19.149999999999999" customHeight="1">
      <c r="A125" s="220">
        <v>110</v>
      </c>
      <c r="B125" s="1091">
        <v>27</v>
      </c>
      <c r="C125" s="1093" t="s">
        <v>240</v>
      </c>
      <c r="D125" s="383" t="s">
        <v>789</v>
      </c>
      <c r="E125" s="1081"/>
      <c r="F125" s="1082" t="s">
        <v>50</v>
      </c>
      <c r="G125" s="1081"/>
      <c r="H125" s="1081"/>
    </row>
    <row r="126" spans="1:8" s="163" customFormat="1" ht="19.149999999999999" customHeight="1">
      <c r="A126" s="220">
        <v>111</v>
      </c>
      <c r="B126" s="1091">
        <v>28</v>
      </c>
      <c r="C126" s="1093" t="s">
        <v>488</v>
      </c>
      <c r="D126" s="383" t="s">
        <v>789</v>
      </c>
      <c r="E126" s="1081"/>
      <c r="F126" s="1082" t="s">
        <v>50</v>
      </c>
      <c r="G126" s="1081"/>
      <c r="H126" s="1081"/>
    </row>
    <row r="127" spans="1:8" s="163" customFormat="1" ht="19.149999999999999" customHeight="1">
      <c r="A127" s="220">
        <v>112</v>
      </c>
      <c r="B127" s="1091">
        <v>29</v>
      </c>
      <c r="C127" s="565" t="s">
        <v>296</v>
      </c>
      <c r="D127" s="383" t="s">
        <v>789</v>
      </c>
      <c r="E127" s="1081"/>
      <c r="F127" s="1082" t="s">
        <v>50</v>
      </c>
      <c r="G127" s="1081"/>
      <c r="H127" s="1081"/>
    </row>
    <row r="128" spans="1:8" s="163" customFormat="1" ht="19.149999999999999" customHeight="1">
      <c r="A128" s="220">
        <v>113</v>
      </c>
      <c r="B128" s="1091">
        <v>30</v>
      </c>
      <c r="C128" s="1093" t="s">
        <v>217</v>
      </c>
      <c r="D128" s="383" t="s">
        <v>789</v>
      </c>
      <c r="E128" s="1081"/>
      <c r="F128" s="1082" t="s">
        <v>50</v>
      </c>
      <c r="G128" s="1081"/>
      <c r="H128" s="1081"/>
    </row>
    <row r="129" spans="1:8" s="163" customFormat="1" ht="19.149999999999999" customHeight="1">
      <c r="A129" s="220">
        <v>114</v>
      </c>
      <c r="B129" s="1091">
        <v>31</v>
      </c>
      <c r="C129" s="1093" t="s">
        <v>297</v>
      </c>
      <c r="D129" s="383" t="s">
        <v>789</v>
      </c>
      <c r="E129" s="1081"/>
      <c r="F129" s="1082" t="s">
        <v>50</v>
      </c>
      <c r="G129" s="1081"/>
      <c r="H129" s="1081"/>
    </row>
    <row r="130" spans="1:8" s="163" customFormat="1" ht="19.149999999999999" customHeight="1">
      <c r="A130" s="220">
        <v>115</v>
      </c>
      <c r="B130" s="1091">
        <v>32</v>
      </c>
      <c r="C130" s="1093" t="s">
        <v>223</v>
      </c>
      <c r="D130" s="383" t="s">
        <v>789</v>
      </c>
      <c r="E130" s="1081"/>
      <c r="F130" s="1082" t="s">
        <v>50</v>
      </c>
      <c r="G130" s="1081"/>
      <c r="H130" s="1081"/>
    </row>
    <row r="131" spans="1:8" s="163" customFormat="1" ht="19.149999999999999" customHeight="1">
      <c r="A131" s="220">
        <v>116</v>
      </c>
      <c r="B131" s="1091">
        <v>33</v>
      </c>
      <c r="C131" s="1093" t="s">
        <v>235</v>
      </c>
      <c r="D131" s="383" t="s">
        <v>789</v>
      </c>
      <c r="E131" s="1081"/>
      <c r="F131" s="1082" t="s">
        <v>50</v>
      </c>
      <c r="G131" s="1081"/>
      <c r="H131" s="1081"/>
    </row>
    <row r="132" spans="1:8" s="163" customFormat="1" ht="19.149999999999999" customHeight="1">
      <c r="A132" s="220">
        <v>117</v>
      </c>
      <c r="B132" s="1091">
        <v>34</v>
      </c>
      <c r="C132" s="1093" t="s">
        <v>298</v>
      </c>
      <c r="D132" s="383" t="s">
        <v>789</v>
      </c>
      <c r="E132" s="1081"/>
      <c r="F132" s="1082" t="s">
        <v>50</v>
      </c>
      <c r="G132" s="1081"/>
      <c r="H132" s="1081"/>
    </row>
    <row r="133" spans="1:8" s="163" customFormat="1" ht="19.149999999999999" customHeight="1">
      <c r="A133" s="220">
        <v>118</v>
      </c>
      <c r="B133" s="1091">
        <v>35</v>
      </c>
      <c r="C133" s="1093" t="s">
        <v>489</v>
      </c>
      <c r="D133" s="383" t="s">
        <v>789</v>
      </c>
      <c r="E133" s="1081"/>
      <c r="F133" s="1082" t="s">
        <v>50</v>
      </c>
      <c r="G133" s="1081"/>
      <c r="H133" s="1081"/>
    </row>
    <row r="134" spans="1:8" s="163" customFormat="1" ht="19.149999999999999" customHeight="1">
      <c r="A134" s="220">
        <v>119</v>
      </c>
      <c r="B134" s="1091">
        <v>36</v>
      </c>
      <c r="C134" s="1093" t="s">
        <v>299</v>
      </c>
      <c r="D134" s="383" t="s">
        <v>789</v>
      </c>
      <c r="E134" s="1081"/>
      <c r="F134" s="1082" t="s">
        <v>50</v>
      </c>
      <c r="G134" s="1081"/>
      <c r="H134" s="1081"/>
    </row>
    <row r="135" spans="1:8" s="163" customFormat="1" ht="19.149999999999999" customHeight="1">
      <c r="A135" s="220">
        <v>120</v>
      </c>
      <c r="B135" s="1091">
        <v>37</v>
      </c>
      <c r="C135" s="1093" t="s">
        <v>224</v>
      </c>
      <c r="D135" s="383" t="s">
        <v>789</v>
      </c>
      <c r="E135" s="1081"/>
      <c r="F135" s="1082" t="s">
        <v>50</v>
      </c>
      <c r="G135" s="1081"/>
      <c r="H135" s="1081"/>
    </row>
    <row r="136" spans="1:8" s="163" customFormat="1" ht="19.149999999999999" customHeight="1">
      <c r="A136" s="220">
        <v>121</v>
      </c>
      <c r="B136" s="1091">
        <v>38</v>
      </c>
      <c r="C136" s="1093" t="s">
        <v>295</v>
      </c>
      <c r="D136" s="383" t="s">
        <v>789</v>
      </c>
      <c r="E136" s="1081"/>
      <c r="F136" s="1082" t="s">
        <v>50</v>
      </c>
      <c r="G136" s="1081"/>
      <c r="H136" s="1081"/>
    </row>
    <row r="137" spans="1:8" s="163" customFormat="1" ht="19.149999999999999" customHeight="1">
      <c r="A137" s="220">
        <v>122</v>
      </c>
      <c r="B137" s="1091">
        <v>39</v>
      </c>
      <c r="C137" s="1093" t="s">
        <v>225</v>
      </c>
      <c r="D137" s="383" t="s">
        <v>789</v>
      </c>
      <c r="E137" s="1081"/>
      <c r="F137" s="1082" t="s">
        <v>50</v>
      </c>
      <c r="G137" s="1081"/>
      <c r="H137" s="1081"/>
    </row>
    <row r="138" spans="1:8" s="163" customFormat="1" ht="19.149999999999999" customHeight="1">
      <c r="A138" s="220">
        <v>123</v>
      </c>
      <c r="B138" s="1091">
        <v>40</v>
      </c>
      <c r="C138" s="565" t="s">
        <v>169</v>
      </c>
      <c r="D138" s="383" t="s">
        <v>789</v>
      </c>
      <c r="E138" s="1081"/>
      <c r="F138" s="1082" t="s">
        <v>50</v>
      </c>
      <c r="G138" s="1081"/>
      <c r="H138" s="1081"/>
    </row>
    <row r="139" spans="1:8" s="163" customFormat="1" ht="19.149999999999999" customHeight="1">
      <c r="A139" s="220">
        <v>124</v>
      </c>
      <c r="B139" s="1091">
        <v>41</v>
      </c>
      <c r="C139" s="735" t="s">
        <v>490</v>
      </c>
      <c r="D139" s="383" t="s">
        <v>789</v>
      </c>
      <c r="E139" s="1081"/>
      <c r="F139" s="1082" t="s">
        <v>50</v>
      </c>
      <c r="G139" s="1081"/>
      <c r="H139" s="1081"/>
    </row>
    <row r="140" spans="1:8" s="163" customFormat="1" ht="19.149999999999999" customHeight="1">
      <c r="A140" s="220">
        <v>125</v>
      </c>
      <c r="B140" s="1091">
        <v>42</v>
      </c>
      <c r="C140" s="1093" t="s">
        <v>81</v>
      </c>
      <c r="D140" s="383" t="s">
        <v>789</v>
      </c>
      <c r="E140" s="1081"/>
      <c r="F140" s="1082" t="s">
        <v>50</v>
      </c>
      <c r="G140" s="1081"/>
      <c r="H140" s="1081"/>
    </row>
    <row r="141" spans="1:8" s="163" customFormat="1" ht="19.149999999999999" customHeight="1">
      <c r="A141" s="220">
        <v>126</v>
      </c>
      <c r="B141" s="1091">
        <v>43</v>
      </c>
      <c r="C141" s="1093" t="s">
        <v>304</v>
      </c>
      <c r="D141" s="383" t="s">
        <v>789</v>
      </c>
      <c r="E141" s="1081"/>
      <c r="F141" s="1082" t="s">
        <v>50</v>
      </c>
      <c r="G141" s="1081"/>
      <c r="H141" s="1081"/>
    </row>
    <row r="142" spans="1:8" s="163" customFormat="1" ht="19.149999999999999" customHeight="1">
      <c r="A142" s="220">
        <v>127</v>
      </c>
      <c r="B142" s="1091">
        <v>44</v>
      </c>
      <c r="C142" s="1093" t="s">
        <v>175</v>
      </c>
      <c r="D142" s="383" t="s">
        <v>789</v>
      </c>
      <c r="E142" s="1081"/>
      <c r="F142" s="1082" t="s">
        <v>50</v>
      </c>
      <c r="G142" s="1081"/>
      <c r="H142" s="1081"/>
    </row>
    <row r="143" spans="1:8" s="163" customFormat="1" ht="19.149999999999999" customHeight="1">
      <c r="A143" s="220">
        <v>128</v>
      </c>
      <c r="B143" s="1091">
        <v>45</v>
      </c>
      <c r="C143" s="1093" t="s">
        <v>300</v>
      </c>
      <c r="D143" s="383" t="s">
        <v>789</v>
      </c>
      <c r="E143" s="1081"/>
      <c r="F143" s="1082" t="s">
        <v>50</v>
      </c>
      <c r="G143" s="1081"/>
      <c r="H143" s="1081"/>
    </row>
    <row r="144" spans="1:8" s="163" customFormat="1" ht="19.149999999999999" customHeight="1">
      <c r="A144" s="220">
        <v>129</v>
      </c>
      <c r="B144" s="1091">
        <v>46</v>
      </c>
      <c r="C144" s="1093" t="s">
        <v>226</v>
      </c>
      <c r="D144" s="383" t="s">
        <v>789</v>
      </c>
      <c r="E144" s="1081"/>
      <c r="F144" s="1082" t="s">
        <v>50</v>
      </c>
      <c r="G144" s="1081"/>
      <c r="H144" s="1081"/>
    </row>
    <row r="145" spans="1:8" s="163" customFormat="1" ht="19.149999999999999" customHeight="1">
      <c r="A145" s="220">
        <v>130</v>
      </c>
      <c r="B145" s="1091">
        <v>47</v>
      </c>
      <c r="C145" s="1093" t="s">
        <v>491</v>
      </c>
      <c r="D145" s="383" t="s">
        <v>789</v>
      </c>
      <c r="E145" s="1081"/>
      <c r="F145" s="1082" t="s">
        <v>50</v>
      </c>
      <c r="G145" s="1081"/>
      <c r="H145" s="1081"/>
    </row>
    <row r="146" spans="1:8" s="163" customFormat="1" ht="19.149999999999999" customHeight="1">
      <c r="A146" s="220">
        <v>131</v>
      </c>
      <c r="B146" s="1091">
        <v>48</v>
      </c>
      <c r="C146" s="1093" t="s">
        <v>176</v>
      </c>
      <c r="D146" s="383" t="s">
        <v>789</v>
      </c>
      <c r="E146" s="1081"/>
      <c r="F146" s="1082" t="s">
        <v>50</v>
      </c>
      <c r="G146" s="1081"/>
      <c r="H146" s="1081"/>
    </row>
    <row r="147" spans="1:8" s="163" customFormat="1" ht="19.149999999999999" customHeight="1">
      <c r="A147" s="220">
        <v>132</v>
      </c>
      <c r="B147" s="1091">
        <v>49</v>
      </c>
      <c r="C147" s="1093" t="s">
        <v>227</v>
      </c>
      <c r="D147" s="383" t="s">
        <v>789</v>
      </c>
      <c r="E147" s="1081"/>
      <c r="F147" s="1082" t="s">
        <v>50</v>
      </c>
      <c r="G147" s="1081"/>
      <c r="H147" s="1081"/>
    </row>
    <row r="148" spans="1:8" s="163" customFormat="1" ht="19.149999999999999" customHeight="1">
      <c r="A148" s="220">
        <v>133</v>
      </c>
      <c r="B148" s="1091">
        <v>50</v>
      </c>
      <c r="C148" s="1093" t="s">
        <v>301</v>
      </c>
      <c r="D148" s="383" t="s">
        <v>789</v>
      </c>
      <c r="E148" s="1081"/>
      <c r="F148" s="1082" t="s">
        <v>50</v>
      </c>
      <c r="G148" s="1081"/>
      <c r="H148" s="1081"/>
    </row>
    <row r="149" spans="1:8" s="163" customFormat="1" ht="19.149999999999999" customHeight="1">
      <c r="A149" s="220">
        <v>134</v>
      </c>
      <c r="B149" s="1091">
        <v>51</v>
      </c>
      <c r="C149" s="1093" t="s">
        <v>302</v>
      </c>
      <c r="D149" s="383" t="s">
        <v>789</v>
      </c>
      <c r="E149" s="1081"/>
      <c r="F149" s="1082" t="s">
        <v>50</v>
      </c>
      <c r="G149" s="1081"/>
      <c r="H149" s="1081"/>
    </row>
    <row r="150" spans="1:8" s="163" customFormat="1" ht="19.149999999999999" customHeight="1">
      <c r="A150" s="220">
        <v>135</v>
      </c>
      <c r="B150" s="1091">
        <v>52</v>
      </c>
      <c r="C150" s="1093" t="s">
        <v>303</v>
      </c>
      <c r="D150" s="383" t="s">
        <v>789</v>
      </c>
      <c r="E150" s="1081"/>
      <c r="F150" s="1082" t="s">
        <v>50</v>
      </c>
      <c r="G150" s="1081"/>
      <c r="H150" s="1081"/>
    </row>
    <row r="151" spans="1:8" s="163" customFormat="1" ht="19.149999999999999" customHeight="1">
      <c r="A151" s="220">
        <v>136</v>
      </c>
      <c r="B151" s="1091">
        <v>53</v>
      </c>
      <c r="C151" s="1093" t="s">
        <v>492</v>
      </c>
      <c r="D151" s="383" t="s">
        <v>789</v>
      </c>
      <c r="E151" s="1081"/>
      <c r="F151" s="1082" t="s">
        <v>50</v>
      </c>
      <c r="G151" s="1081"/>
      <c r="H151" s="1081"/>
    </row>
    <row r="152" spans="1:8" s="163" customFormat="1" ht="19.149999999999999" customHeight="1">
      <c r="A152" s="220">
        <v>137</v>
      </c>
      <c r="B152" s="1091">
        <v>54</v>
      </c>
      <c r="C152" s="1093" t="s">
        <v>310</v>
      </c>
      <c r="D152" s="383" t="s">
        <v>789</v>
      </c>
      <c r="E152" s="1081"/>
      <c r="F152" s="1082" t="s">
        <v>50</v>
      </c>
      <c r="G152" s="1081"/>
      <c r="H152" s="1081"/>
    </row>
    <row r="153" spans="1:8" s="163" customFormat="1" ht="19.149999999999999" customHeight="1">
      <c r="A153" s="220">
        <v>138</v>
      </c>
      <c r="B153" s="1091">
        <v>55</v>
      </c>
      <c r="C153" s="1093" t="s">
        <v>493</v>
      </c>
      <c r="D153" s="383" t="s">
        <v>789</v>
      </c>
      <c r="E153" s="1081"/>
      <c r="F153" s="1082" t="s">
        <v>50</v>
      </c>
      <c r="G153" s="1081"/>
      <c r="H153" s="1081"/>
    </row>
    <row r="154" spans="1:8" s="163" customFormat="1" ht="19.149999999999999" customHeight="1">
      <c r="A154" s="220">
        <v>139</v>
      </c>
      <c r="B154" s="1091">
        <v>56</v>
      </c>
      <c r="C154" s="1093" t="s">
        <v>237</v>
      </c>
      <c r="D154" s="383" t="s">
        <v>789</v>
      </c>
      <c r="E154" s="1081"/>
      <c r="F154" s="1082" t="s">
        <v>50</v>
      </c>
      <c r="G154" s="1081"/>
      <c r="H154" s="1081"/>
    </row>
    <row r="155" spans="1:8" s="163" customFormat="1" ht="19.149999999999999" customHeight="1">
      <c r="A155" s="220">
        <v>140</v>
      </c>
      <c r="B155" s="1091">
        <v>57</v>
      </c>
      <c r="C155" s="1093" t="s">
        <v>494</v>
      </c>
      <c r="D155" s="383" t="s">
        <v>789</v>
      </c>
      <c r="E155" s="1081"/>
      <c r="F155" s="1082" t="s">
        <v>50</v>
      </c>
      <c r="G155" s="1081"/>
      <c r="H155" s="1081"/>
    </row>
    <row r="156" spans="1:8" s="163" customFormat="1" ht="19.149999999999999" customHeight="1">
      <c r="A156" s="220">
        <v>141</v>
      </c>
      <c r="B156" s="1091">
        <v>58</v>
      </c>
      <c r="C156" s="1093" t="s">
        <v>495</v>
      </c>
      <c r="D156" s="383" t="s">
        <v>789</v>
      </c>
      <c r="E156" s="1081"/>
      <c r="F156" s="1082" t="s">
        <v>50</v>
      </c>
      <c r="G156" s="1081"/>
      <c r="H156" s="1081"/>
    </row>
    <row r="157" spans="1:8" s="163" customFormat="1" ht="19.149999999999999" customHeight="1">
      <c r="A157" s="220">
        <v>142</v>
      </c>
      <c r="B157" s="1091">
        <v>59</v>
      </c>
      <c r="C157" s="1094" t="s">
        <v>253</v>
      </c>
      <c r="D157" s="383" t="s">
        <v>789</v>
      </c>
      <c r="E157" s="1081"/>
      <c r="F157" s="1082" t="s">
        <v>50</v>
      </c>
      <c r="G157" s="1081"/>
      <c r="H157" s="1081"/>
    </row>
    <row r="158" spans="1:8" s="163" customFormat="1" ht="19.149999999999999" customHeight="1">
      <c r="A158" s="220">
        <v>143</v>
      </c>
      <c r="B158" s="1091">
        <v>60</v>
      </c>
      <c r="C158" s="1095" t="s">
        <v>315</v>
      </c>
      <c r="D158" s="383" t="s">
        <v>789</v>
      </c>
      <c r="E158" s="1081"/>
      <c r="F158" s="1082" t="s">
        <v>50</v>
      </c>
      <c r="G158" s="1081"/>
      <c r="H158" s="1081"/>
    </row>
    <row r="159" spans="1:8" s="163" customFormat="1" ht="19.149999999999999" customHeight="1">
      <c r="A159" s="220">
        <v>144</v>
      </c>
      <c r="B159" s="1091">
        <v>61</v>
      </c>
      <c r="C159" s="1096" t="s">
        <v>325</v>
      </c>
      <c r="D159" s="383" t="s">
        <v>789</v>
      </c>
      <c r="E159" s="1081"/>
      <c r="F159" s="1082" t="s">
        <v>50</v>
      </c>
      <c r="G159" s="1081"/>
      <c r="H159" s="1081"/>
    </row>
    <row r="160" spans="1:8" s="163" customFormat="1" ht="19.149999999999999" customHeight="1">
      <c r="A160" s="220">
        <v>145</v>
      </c>
      <c r="B160" s="1091">
        <v>62</v>
      </c>
      <c r="C160" s="1096" t="s">
        <v>326</v>
      </c>
      <c r="D160" s="383" t="s">
        <v>789</v>
      </c>
      <c r="E160" s="1081"/>
      <c r="F160" s="1082" t="s">
        <v>50</v>
      </c>
      <c r="G160" s="1081"/>
      <c r="H160" s="1081"/>
    </row>
    <row r="161" spans="1:8" s="163" customFormat="1" ht="19.149999999999999" customHeight="1">
      <c r="A161" s="1563" t="s">
        <v>79</v>
      </c>
      <c r="B161" s="1563"/>
      <c r="C161" s="1725" t="s">
        <v>790</v>
      </c>
      <c r="D161" s="1725"/>
      <c r="E161" s="1081"/>
      <c r="F161" s="1082"/>
      <c r="G161" s="1081"/>
      <c r="H161" s="1081"/>
    </row>
    <row r="162" spans="1:8" s="163" customFormat="1" ht="19.149999999999999" customHeight="1">
      <c r="A162" s="1082">
        <v>146</v>
      </c>
      <c r="B162" s="1082">
        <v>1</v>
      </c>
      <c r="C162" s="1081" t="s">
        <v>2</v>
      </c>
      <c r="D162" s="1081" t="s">
        <v>505</v>
      </c>
      <c r="E162" s="1081"/>
      <c r="F162" s="1082" t="s">
        <v>50</v>
      </c>
      <c r="G162" s="1081"/>
      <c r="H162" s="1081"/>
    </row>
    <row r="163" spans="1:8" s="163" customFormat="1" ht="19.149999999999999" customHeight="1">
      <c r="A163" s="1082">
        <v>147</v>
      </c>
      <c r="B163" s="1082">
        <v>2</v>
      </c>
      <c r="C163" s="1081" t="s">
        <v>133</v>
      </c>
      <c r="D163" s="1081" t="s">
        <v>505</v>
      </c>
      <c r="E163" s="1081"/>
      <c r="F163" s="1082" t="s">
        <v>50</v>
      </c>
      <c r="G163" s="1081"/>
      <c r="H163" s="1081"/>
    </row>
    <row r="164" spans="1:8" s="163" customFormat="1" ht="19.149999999999999" customHeight="1">
      <c r="A164" s="1563" t="s">
        <v>791</v>
      </c>
      <c r="B164" s="1563"/>
      <c r="C164" s="1725" t="s">
        <v>792</v>
      </c>
      <c r="D164" s="1725"/>
      <c r="E164" s="1081"/>
      <c r="F164" s="1082"/>
      <c r="G164" s="1081"/>
      <c r="H164" s="1081"/>
    </row>
    <row r="165" spans="1:8" s="163" customFormat="1" ht="19.149999999999999" customHeight="1">
      <c r="A165" s="1082">
        <v>148</v>
      </c>
      <c r="B165" s="1082">
        <v>1</v>
      </c>
      <c r="C165" s="1086" t="s">
        <v>743</v>
      </c>
      <c r="D165" s="909" t="s">
        <v>692</v>
      </c>
      <c r="E165" s="1081"/>
      <c r="F165" s="1082" t="s">
        <v>50</v>
      </c>
      <c r="G165" s="1081"/>
      <c r="H165" s="1081"/>
    </row>
    <row r="166" spans="1:8" s="163" customFormat="1" ht="19.149999999999999" customHeight="1">
      <c r="A166" s="1082">
        <v>149</v>
      </c>
      <c r="B166" s="1082">
        <v>2</v>
      </c>
      <c r="C166" s="909" t="s">
        <v>140</v>
      </c>
      <c r="D166" s="909" t="s">
        <v>693</v>
      </c>
      <c r="E166" s="1081"/>
      <c r="F166" s="1082" t="s">
        <v>50</v>
      </c>
      <c r="G166" s="1081"/>
      <c r="H166" s="1081"/>
    </row>
    <row r="167" spans="1:8" s="163" customFormat="1" ht="19.149999999999999" customHeight="1">
      <c r="A167" s="1082">
        <v>150</v>
      </c>
      <c r="B167" s="1082">
        <v>3</v>
      </c>
      <c r="C167" s="909" t="s">
        <v>507</v>
      </c>
      <c r="D167" s="909" t="s">
        <v>694</v>
      </c>
      <c r="E167" s="1081"/>
      <c r="F167" s="1082" t="s">
        <v>50</v>
      </c>
      <c r="G167" s="1081"/>
      <c r="H167" s="1081"/>
    </row>
    <row r="168" spans="1:8" s="163" customFormat="1" ht="19.149999999999999" customHeight="1">
      <c r="A168" s="1082">
        <v>151</v>
      </c>
      <c r="B168" s="1082">
        <v>4</v>
      </c>
      <c r="C168" s="909" t="s">
        <v>346</v>
      </c>
      <c r="D168" s="909" t="s">
        <v>138</v>
      </c>
      <c r="E168" s="1081"/>
      <c r="F168" s="1082" t="s">
        <v>50</v>
      </c>
      <c r="G168" s="1081"/>
      <c r="H168" s="1081"/>
    </row>
    <row r="169" spans="1:8" s="163" customFormat="1" ht="19.149999999999999" customHeight="1">
      <c r="A169" s="1563" t="s">
        <v>793</v>
      </c>
      <c r="B169" s="1563"/>
      <c r="C169" s="1725" t="s">
        <v>794</v>
      </c>
      <c r="D169" s="1725"/>
      <c r="E169" s="1081"/>
      <c r="F169" s="1082"/>
      <c r="G169" s="1081"/>
      <c r="H169" s="1081"/>
    </row>
    <row r="170" spans="1:8" s="163" customFormat="1" ht="19.149999999999999" customHeight="1">
      <c r="A170" s="1082">
        <v>152</v>
      </c>
      <c r="B170" s="1082">
        <v>1</v>
      </c>
      <c r="C170" s="383" t="s">
        <v>795</v>
      </c>
      <c r="D170" s="383" t="s">
        <v>796</v>
      </c>
      <c r="E170" s="1081"/>
      <c r="F170" s="1082" t="s">
        <v>50</v>
      </c>
      <c r="G170" s="1081"/>
      <c r="H170" s="1081"/>
    </row>
    <row r="171" spans="1:8" s="163" customFormat="1" ht="19.149999999999999" customHeight="1">
      <c r="A171" s="1082">
        <v>153</v>
      </c>
      <c r="B171" s="1082">
        <v>2</v>
      </c>
      <c r="C171" s="383" t="s">
        <v>84</v>
      </c>
      <c r="D171" s="383" t="s">
        <v>63</v>
      </c>
      <c r="E171" s="1081"/>
      <c r="F171" s="1082" t="s">
        <v>50</v>
      </c>
      <c r="G171" s="1081"/>
      <c r="H171" s="1081"/>
    </row>
    <row r="172" spans="1:8" s="163" customFormat="1" ht="19.149999999999999" customHeight="1">
      <c r="A172" s="1082">
        <v>154</v>
      </c>
      <c r="B172" s="1082">
        <v>3</v>
      </c>
      <c r="C172" s="383" t="s">
        <v>83</v>
      </c>
      <c r="D172" s="383" t="s">
        <v>67</v>
      </c>
      <c r="E172" s="1081"/>
      <c r="F172" s="1082" t="s">
        <v>50</v>
      </c>
      <c r="G172" s="1081"/>
      <c r="H172" s="1081"/>
    </row>
    <row r="173" spans="1:8" s="163" customFormat="1" ht="19.149999999999999" customHeight="1">
      <c r="A173" s="1082">
        <v>155</v>
      </c>
      <c r="B173" s="1082">
        <v>4</v>
      </c>
      <c r="C173" s="383" t="s">
        <v>85</v>
      </c>
      <c r="D173" s="383" t="s">
        <v>76</v>
      </c>
      <c r="E173" s="1081"/>
      <c r="F173" s="1082" t="s">
        <v>50</v>
      </c>
      <c r="G173" s="1081"/>
      <c r="H173" s="1081"/>
    </row>
    <row r="174" spans="1:8" s="163" customFormat="1" ht="19.149999999999999" customHeight="1">
      <c r="A174" s="1082">
        <v>156</v>
      </c>
      <c r="B174" s="1082">
        <v>5</v>
      </c>
      <c r="C174" s="383" t="s">
        <v>82</v>
      </c>
      <c r="D174" s="383" t="s">
        <v>77</v>
      </c>
      <c r="E174" s="1081"/>
      <c r="F174" s="1082" t="s">
        <v>50</v>
      </c>
      <c r="G174" s="1081"/>
      <c r="H174" s="1081"/>
    </row>
    <row r="175" spans="1:8" s="163" customFormat="1" ht="19.149999999999999" customHeight="1">
      <c r="A175" s="1082">
        <v>157</v>
      </c>
      <c r="B175" s="1082">
        <v>6</v>
      </c>
      <c r="C175" s="383" t="s">
        <v>78</v>
      </c>
      <c r="D175" s="383" t="s">
        <v>74</v>
      </c>
      <c r="E175" s="1081"/>
      <c r="F175" s="1082" t="s">
        <v>50</v>
      </c>
      <c r="G175" s="1081"/>
      <c r="H175" s="1081"/>
    </row>
    <row r="176" spans="1:8" s="163" customFormat="1" ht="19.149999999999999" customHeight="1">
      <c r="A176" s="1082">
        <v>158</v>
      </c>
      <c r="B176" s="1082">
        <v>7</v>
      </c>
      <c r="C176" s="383" t="s">
        <v>86</v>
      </c>
      <c r="D176" s="383" t="s">
        <v>75</v>
      </c>
      <c r="E176" s="1081"/>
      <c r="F176" s="1082" t="s">
        <v>50</v>
      </c>
      <c r="G176" s="1081"/>
      <c r="H176" s="1081"/>
    </row>
    <row r="177" spans="1:8" s="163" customFormat="1" ht="19.149999999999999" customHeight="1">
      <c r="A177" s="1082">
        <v>159</v>
      </c>
      <c r="B177" s="1082">
        <v>8</v>
      </c>
      <c r="C177" s="383" t="s">
        <v>92</v>
      </c>
      <c r="D177" s="383" t="s">
        <v>90</v>
      </c>
      <c r="E177" s="1081"/>
      <c r="F177" s="1082" t="s">
        <v>50</v>
      </c>
      <c r="G177" s="1081"/>
      <c r="H177" s="1081"/>
    </row>
    <row r="178" spans="1:8" s="163" customFormat="1" ht="19.149999999999999" customHeight="1">
      <c r="A178" s="1082">
        <v>160</v>
      </c>
      <c r="B178" s="1082">
        <v>9</v>
      </c>
      <c r="C178" s="383" t="s">
        <v>127</v>
      </c>
      <c r="D178" s="383" t="s">
        <v>91</v>
      </c>
      <c r="E178" s="1081"/>
      <c r="F178" s="1082" t="s">
        <v>50</v>
      </c>
      <c r="G178" s="1081"/>
      <c r="H178" s="1081"/>
    </row>
    <row r="179" spans="1:8" s="163" customFormat="1" ht="19.149999999999999" customHeight="1">
      <c r="A179" s="1082">
        <v>161</v>
      </c>
      <c r="B179" s="1082">
        <v>10</v>
      </c>
      <c r="C179" s="383" t="s">
        <v>312</v>
      </c>
      <c r="D179" s="383" t="s">
        <v>441</v>
      </c>
      <c r="E179" s="1081"/>
      <c r="F179" s="1082" t="s">
        <v>50</v>
      </c>
      <c r="G179" s="1081"/>
      <c r="H179" s="1081"/>
    </row>
    <row r="180" spans="1:8" s="163" customFormat="1" ht="19.149999999999999" customHeight="1">
      <c r="A180" s="1563" t="s">
        <v>125</v>
      </c>
      <c r="B180" s="1563"/>
      <c r="C180" s="1563"/>
      <c r="D180" s="1563"/>
      <c r="E180" s="468">
        <v>2</v>
      </c>
      <c r="F180" s="1104">
        <f>SUM(COUNTIF(F12:F179,"x"))</f>
        <v>159</v>
      </c>
      <c r="G180" s="1103"/>
      <c r="H180" s="1103"/>
    </row>
    <row r="181" spans="1:8" s="163" customFormat="1" ht="7.9" customHeight="1">
      <c r="A181" s="1097"/>
      <c r="B181" s="1097"/>
      <c r="C181" s="1097"/>
      <c r="D181" s="1097"/>
      <c r="E181" s="1097"/>
      <c r="F181" s="1099"/>
      <c r="G181" s="1098"/>
      <c r="H181" s="1098"/>
    </row>
    <row r="182" spans="1:8" s="163" customFormat="1" ht="19.149999999999999" customHeight="1">
      <c r="A182" s="1105"/>
      <c r="B182" s="1105"/>
      <c r="C182" s="1105"/>
      <c r="D182" s="1105"/>
      <c r="E182" s="1728" t="s">
        <v>798</v>
      </c>
      <c r="F182" s="1728"/>
      <c r="G182" s="1728"/>
      <c r="H182" s="1728"/>
    </row>
    <row r="183" spans="1:8" s="163" customFormat="1" ht="19.149999999999999" customHeight="1">
      <c r="A183" s="1100"/>
      <c r="B183" s="1100"/>
      <c r="C183" s="1101"/>
      <c r="D183" s="1101"/>
      <c r="E183" s="1102"/>
      <c r="F183" s="1100"/>
      <c r="G183" s="1102"/>
      <c r="H183" s="1102"/>
    </row>
    <row r="184" spans="1:8" s="145" customFormat="1" ht="18.75">
      <c r="A184" s="1729" t="s">
        <v>517</v>
      </c>
      <c r="B184" s="1729"/>
      <c r="C184" s="1729"/>
      <c r="D184" s="1729"/>
      <c r="E184" s="1729"/>
      <c r="F184" s="1729"/>
      <c r="G184" s="1729"/>
      <c r="H184" s="1729"/>
    </row>
    <row r="185" spans="1:8" s="145" customFormat="1" ht="18.75">
      <c r="A185" s="130"/>
      <c r="B185" s="130"/>
      <c r="C185" s="130"/>
      <c r="D185" s="130"/>
      <c r="E185" s="130"/>
      <c r="F185" s="249"/>
      <c r="G185" s="249"/>
      <c r="H185" s="137"/>
    </row>
    <row r="186" spans="1:8" s="145" customFormat="1" ht="18.75">
      <c r="A186" s="130"/>
      <c r="B186" s="130"/>
      <c r="C186" s="130"/>
      <c r="D186" s="130"/>
      <c r="E186" s="130"/>
      <c r="F186" s="249"/>
      <c r="G186" s="249"/>
      <c r="H186" s="137"/>
    </row>
    <row r="187" spans="1:8" s="145" customFormat="1" ht="18.75">
      <c r="A187" s="130"/>
      <c r="B187" s="130"/>
      <c r="C187" s="130"/>
      <c r="D187" s="130"/>
      <c r="E187" s="130"/>
      <c r="F187" s="249"/>
      <c r="G187" s="249"/>
      <c r="H187" s="137"/>
    </row>
    <row r="188" spans="1:8" s="145" customFormat="1" ht="18.75">
      <c r="A188" s="130"/>
      <c r="B188" s="130"/>
      <c r="C188" s="130"/>
      <c r="D188" s="130"/>
      <c r="E188" s="130"/>
      <c r="F188" s="249"/>
      <c r="G188" s="249"/>
      <c r="H188" s="137"/>
    </row>
    <row r="189" spans="1:8" ht="16.5">
      <c r="A189" s="130"/>
      <c r="B189" s="130"/>
      <c r="C189" s="130"/>
      <c r="D189" s="130"/>
      <c r="E189" s="130"/>
      <c r="F189" s="249"/>
      <c r="G189" s="249"/>
      <c r="H189" s="137"/>
    </row>
    <row r="190" spans="1:8" ht="16.5">
      <c r="A190" s="130"/>
      <c r="B190" s="130"/>
      <c r="C190" s="130"/>
      <c r="D190" s="130"/>
      <c r="E190" s="130"/>
      <c r="F190" s="249"/>
      <c r="G190" s="249"/>
      <c r="H190" s="137"/>
    </row>
    <row r="191" spans="1:8" ht="16.5">
      <c r="A191" s="131"/>
      <c r="B191" s="131"/>
      <c r="C191" s="130"/>
      <c r="D191" s="130"/>
      <c r="E191" s="130"/>
      <c r="F191" s="249"/>
      <c r="G191" s="249"/>
      <c r="H191" s="137"/>
    </row>
    <row r="192" spans="1:8" ht="16.5">
      <c r="A192" s="1727" t="s">
        <v>797</v>
      </c>
      <c r="B192" s="1727"/>
      <c r="C192" s="1727"/>
      <c r="D192" s="1727"/>
      <c r="E192" s="1727"/>
      <c r="F192" s="1727"/>
      <c r="G192" s="1727"/>
      <c r="H192" s="1727"/>
    </row>
    <row r="193" spans="1:8" ht="16.5">
      <c r="A193" s="137"/>
      <c r="B193" s="137"/>
      <c r="C193" s="144"/>
      <c r="D193" s="1080"/>
      <c r="E193" s="137"/>
      <c r="F193" s="137"/>
      <c r="G193" s="137"/>
      <c r="H193" s="137"/>
    </row>
    <row r="194" spans="1:8" ht="16.5">
      <c r="A194" s="137"/>
      <c r="B194" s="137"/>
      <c r="C194" s="144"/>
      <c r="D194" s="1080"/>
      <c r="E194" s="137"/>
      <c r="F194" s="137"/>
      <c r="G194" s="137"/>
      <c r="H194" s="137"/>
    </row>
    <row r="195" spans="1:8" ht="16.5">
      <c r="A195" s="137"/>
      <c r="B195" s="137"/>
      <c r="C195" s="144"/>
      <c r="D195" s="1080"/>
      <c r="E195" s="137"/>
      <c r="F195" s="137"/>
      <c r="G195" s="137"/>
      <c r="H195" s="137"/>
    </row>
    <row r="196" spans="1:8" ht="16.5">
      <c r="A196" s="137"/>
      <c r="B196" s="137"/>
      <c r="C196" s="144"/>
      <c r="D196" s="1080"/>
      <c r="E196" s="137"/>
      <c r="F196" s="137"/>
      <c r="G196" s="137"/>
      <c r="H196" s="137"/>
    </row>
    <row r="197" spans="1:8" ht="16.5">
      <c r="A197" s="137"/>
      <c r="B197" s="137"/>
      <c r="C197" s="144"/>
      <c r="D197" s="1080"/>
      <c r="E197" s="137"/>
      <c r="F197" s="137"/>
      <c r="G197" s="137"/>
      <c r="H197" s="137"/>
    </row>
    <row r="198" spans="1:8" ht="16.5">
      <c r="A198" s="137"/>
      <c r="B198" s="137"/>
      <c r="C198" s="144"/>
      <c r="D198" s="1080"/>
      <c r="E198" s="137"/>
      <c r="F198" s="137"/>
      <c r="G198" s="137"/>
      <c r="H198" s="137"/>
    </row>
  </sheetData>
  <mergeCells count="24">
    <mergeCell ref="A192:H192"/>
    <mergeCell ref="E182:H182"/>
    <mergeCell ref="A10:D10"/>
    <mergeCell ref="A12:B12"/>
    <mergeCell ref="A11:B11"/>
    <mergeCell ref="C12:D12"/>
    <mergeCell ref="A22:B22"/>
    <mergeCell ref="C22:D22"/>
    <mergeCell ref="A169:B169"/>
    <mergeCell ref="C169:D169"/>
    <mergeCell ref="A184:H184"/>
    <mergeCell ref="A2:H2"/>
    <mergeCell ref="A3:H3"/>
    <mergeCell ref="A4:H4"/>
    <mergeCell ref="A6:D6"/>
    <mergeCell ref="A7:D7"/>
    <mergeCell ref="A9:H9"/>
    <mergeCell ref="A180:D180"/>
    <mergeCell ref="A23:C23"/>
    <mergeCell ref="A98:C98"/>
    <mergeCell ref="C161:D161"/>
    <mergeCell ref="A161:B161"/>
    <mergeCell ref="A164:B164"/>
    <mergeCell ref="C164:D164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37"/>
  <sheetViews>
    <sheetView topLeftCell="A111" workbookViewId="0">
      <selection activeCell="I77" sqref="I77:I134"/>
    </sheetView>
  </sheetViews>
  <sheetFormatPr defaultRowHeight="15"/>
  <cols>
    <col min="1" max="1" width="4.42578125" customWidth="1"/>
    <col min="2" max="2" width="27" bestFit="1" customWidth="1"/>
    <col min="3" max="3" width="22.7109375" bestFit="1" customWidth="1"/>
    <col min="4" max="4" width="18.85546875" style="770" customWidth="1"/>
    <col min="5" max="5" width="20.5703125" customWidth="1"/>
    <col min="6" max="6" width="19.28515625" customWidth="1"/>
    <col min="7" max="7" width="15.42578125" customWidth="1"/>
    <col min="8" max="8" width="18" customWidth="1"/>
    <col min="9" max="9" width="10.28515625" customWidth="1"/>
    <col min="10" max="10" width="20.5703125" customWidth="1"/>
  </cols>
  <sheetData>
    <row r="1" spans="1:13" s="739" customFormat="1" ht="16.5">
      <c r="A1" s="735" t="s">
        <v>4</v>
      </c>
      <c r="B1" s="736" t="s">
        <v>524</v>
      </c>
      <c r="C1" s="736" t="s">
        <v>525</v>
      </c>
      <c r="D1" s="414" t="s">
        <v>526</v>
      </c>
      <c r="E1" s="736" t="s">
        <v>527</v>
      </c>
      <c r="F1" s="736" t="s">
        <v>528</v>
      </c>
      <c r="G1" s="414" t="s">
        <v>529</v>
      </c>
      <c r="H1" s="724" t="s">
        <v>530</v>
      </c>
      <c r="I1" s="737" t="s">
        <v>357</v>
      </c>
      <c r="J1" s="736" t="s">
        <v>531</v>
      </c>
      <c r="K1" s="738"/>
      <c r="L1" s="736"/>
      <c r="M1" s="736"/>
    </row>
    <row r="2" spans="1:13" s="746" customFormat="1" ht="16.5">
      <c r="A2" s="740"/>
      <c r="B2" s="1730" t="s">
        <v>498</v>
      </c>
      <c r="C2" s="1730"/>
      <c r="D2" s="1730"/>
      <c r="E2" s="741"/>
      <c r="F2" s="741"/>
      <c r="G2" s="742"/>
      <c r="H2" s="743"/>
      <c r="I2" s="744"/>
      <c r="J2" s="741"/>
      <c r="K2" s="745"/>
      <c r="L2" s="745"/>
      <c r="M2" s="745"/>
    </row>
    <row r="3" spans="1:13">
      <c r="A3" s="747">
        <v>1</v>
      </c>
      <c r="B3" s="748" t="s">
        <v>284</v>
      </c>
      <c r="C3" s="748"/>
      <c r="D3" s="749">
        <v>2003</v>
      </c>
      <c r="E3" s="750"/>
      <c r="F3" s="750" t="s">
        <v>532</v>
      </c>
      <c r="G3" s="748"/>
      <c r="H3" s="748" t="s">
        <v>533</v>
      </c>
      <c r="I3" s="110">
        <v>3456</v>
      </c>
      <c r="J3" s="751"/>
    </row>
    <row r="4" spans="1:13">
      <c r="A4" s="747">
        <v>2</v>
      </c>
      <c r="B4" s="748" t="s">
        <v>358</v>
      </c>
      <c r="C4" s="748"/>
      <c r="D4" s="749">
        <v>1992</v>
      </c>
      <c r="E4" s="750"/>
      <c r="F4" s="750" t="s">
        <v>532</v>
      </c>
      <c r="G4" s="748"/>
      <c r="H4" s="748" t="s">
        <v>534</v>
      </c>
      <c r="I4" s="110" t="s">
        <v>535</v>
      </c>
      <c r="J4" s="751"/>
    </row>
    <row r="5" spans="1:13">
      <c r="A5" s="747">
        <v>3</v>
      </c>
      <c r="B5" s="748" t="s">
        <v>178</v>
      </c>
      <c r="C5" s="748"/>
      <c r="D5" s="749">
        <v>2002</v>
      </c>
      <c r="E5" s="750"/>
      <c r="F5" s="750" t="s">
        <v>532</v>
      </c>
      <c r="G5" s="748"/>
      <c r="H5" s="748" t="s">
        <v>536</v>
      </c>
      <c r="I5" s="110" t="s">
        <v>537</v>
      </c>
      <c r="J5" s="751"/>
    </row>
    <row r="6" spans="1:13">
      <c r="A6" s="747">
        <v>4</v>
      </c>
      <c r="B6" s="748" t="s">
        <v>472</v>
      </c>
      <c r="C6" s="748"/>
      <c r="D6" s="749">
        <v>1990</v>
      </c>
      <c r="E6" s="750"/>
      <c r="F6" s="750" t="s">
        <v>532</v>
      </c>
      <c r="G6" s="748"/>
      <c r="H6" s="748" t="s">
        <v>538</v>
      </c>
      <c r="I6" s="110" t="s">
        <v>539</v>
      </c>
      <c r="J6" s="751"/>
    </row>
    <row r="7" spans="1:13">
      <c r="A7" s="747">
        <v>5</v>
      </c>
      <c r="B7" s="748" t="s">
        <v>202</v>
      </c>
      <c r="C7" s="748"/>
      <c r="D7" s="752">
        <v>2000</v>
      </c>
      <c r="E7" s="750"/>
      <c r="F7" s="750" t="s">
        <v>540</v>
      </c>
      <c r="G7" s="748"/>
      <c r="H7" s="748" t="s">
        <v>533</v>
      </c>
      <c r="I7" s="110" t="s">
        <v>541</v>
      </c>
      <c r="J7" s="751"/>
    </row>
    <row r="8" spans="1:13">
      <c r="A8" s="747">
        <v>6</v>
      </c>
      <c r="B8" s="748" t="s">
        <v>473</v>
      </c>
      <c r="C8" s="748"/>
      <c r="D8" s="752">
        <v>2004</v>
      </c>
      <c r="E8" s="750"/>
      <c r="F8" s="750" t="s">
        <v>540</v>
      </c>
      <c r="G8" s="748"/>
      <c r="H8" s="748" t="s">
        <v>538</v>
      </c>
      <c r="I8" s="110" t="s">
        <v>542</v>
      </c>
      <c r="J8" s="751"/>
    </row>
    <row r="9" spans="1:13">
      <c r="A9" s="747">
        <v>7</v>
      </c>
      <c r="B9" s="748" t="s">
        <v>474</v>
      </c>
      <c r="C9" s="748"/>
      <c r="D9" s="752">
        <v>2003</v>
      </c>
      <c r="E9" s="750"/>
      <c r="F9" s="750" t="s">
        <v>532</v>
      </c>
      <c r="G9" s="748"/>
      <c r="H9" s="748" t="s">
        <v>533</v>
      </c>
      <c r="I9" s="110" t="s">
        <v>543</v>
      </c>
      <c r="J9" s="751"/>
    </row>
    <row r="10" spans="1:13">
      <c r="A10" s="747">
        <v>8</v>
      </c>
      <c r="B10" s="748" t="s">
        <v>285</v>
      </c>
      <c r="C10" s="748"/>
      <c r="D10" s="752">
        <v>1980</v>
      </c>
      <c r="E10" s="750"/>
      <c r="F10" s="750" t="s">
        <v>532</v>
      </c>
      <c r="G10" s="748"/>
      <c r="H10" s="748" t="s">
        <v>533</v>
      </c>
      <c r="I10" s="110" t="s">
        <v>544</v>
      </c>
      <c r="J10" s="751"/>
    </row>
    <row r="11" spans="1:13">
      <c r="A11" s="747">
        <v>9</v>
      </c>
      <c r="B11" s="748" t="s">
        <v>204</v>
      </c>
      <c r="C11" s="748"/>
      <c r="D11" s="752">
        <v>1984</v>
      </c>
      <c r="E11" s="750"/>
      <c r="F11" s="750" t="s">
        <v>532</v>
      </c>
      <c r="G11" s="748"/>
      <c r="H11" s="748" t="s">
        <v>533</v>
      </c>
      <c r="I11" s="110" t="s">
        <v>545</v>
      </c>
      <c r="J11" s="751"/>
    </row>
    <row r="12" spans="1:13">
      <c r="A12" s="747">
        <v>10</v>
      </c>
      <c r="B12" s="748" t="s">
        <v>203</v>
      </c>
      <c r="C12" s="748"/>
      <c r="D12" s="752">
        <v>1991</v>
      </c>
      <c r="E12" s="750"/>
      <c r="F12" s="750" t="s">
        <v>540</v>
      </c>
      <c r="G12" s="748"/>
      <c r="H12" s="748" t="s">
        <v>533</v>
      </c>
      <c r="I12" s="110" t="s">
        <v>546</v>
      </c>
      <c r="J12" s="751"/>
    </row>
    <row r="13" spans="1:13">
      <c r="A13" s="747">
        <v>11</v>
      </c>
      <c r="B13" s="748" t="s">
        <v>205</v>
      </c>
      <c r="C13" s="748"/>
      <c r="D13" s="752">
        <v>1996</v>
      </c>
      <c r="E13" s="750"/>
      <c r="F13" s="750" t="s">
        <v>532</v>
      </c>
      <c r="G13" s="748"/>
      <c r="H13" s="748" t="s">
        <v>533</v>
      </c>
      <c r="I13" s="110" t="s">
        <v>547</v>
      </c>
      <c r="J13" s="751"/>
    </row>
    <row r="14" spans="1:13">
      <c r="A14" s="747">
        <v>12</v>
      </c>
      <c r="B14" s="748" t="s">
        <v>212</v>
      </c>
      <c r="C14" s="748"/>
      <c r="D14" s="752">
        <v>1981</v>
      </c>
      <c r="E14" s="750"/>
      <c r="F14" s="750" t="s">
        <v>540</v>
      </c>
      <c r="G14" s="748"/>
      <c r="H14" s="748" t="s">
        <v>538</v>
      </c>
      <c r="I14" s="110" t="s">
        <v>548</v>
      </c>
      <c r="J14" s="751"/>
    </row>
    <row r="15" spans="1:13">
      <c r="A15" s="747">
        <v>13</v>
      </c>
      <c r="B15" s="748" t="s">
        <v>194</v>
      </c>
      <c r="C15" s="747"/>
      <c r="D15" s="753">
        <v>1999</v>
      </c>
      <c r="E15" s="750"/>
      <c r="F15" s="750" t="s">
        <v>532</v>
      </c>
      <c r="G15" s="754"/>
      <c r="H15" s="754" t="s">
        <v>63</v>
      </c>
      <c r="I15" s="110" t="s">
        <v>549</v>
      </c>
      <c r="J15" s="751"/>
    </row>
    <row r="16" spans="1:13" ht="15.75">
      <c r="A16" s="747">
        <v>14</v>
      </c>
      <c r="B16" s="755" t="s">
        <v>183</v>
      </c>
      <c r="C16" s="747"/>
      <c r="D16" s="756">
        <v>1978</v>
      </c>
      <c r="E16" s="757"/>
      <c r="F16" s="750" t="s">
        <v>532</v>
      </c>
      <c r="G16" s="755"/>
      <c r="H16" s="747" t="s">
        <v>533</v>
      </c>
      <c r="I16" s="110" t="s">
        <v>550</v>
      </c>
      <c r="J16" s="758"/>
    </row>
    <row r="17" spans="1:10" ht="15.75">
      <c r="A17" s="747">
        <v>15</v>
      </c>
      <c r="B17" s="754" t="s">
        <v>475</v>
      </c>
      <c r="C17" s="747"/>
      <c r="D17" s="756">
        <v>1995</v>
      </c>
      <c r="E17" s="759"/>
      <c r="F17" s="750" t="s">
        <v>540</v>
      </c>
      <c r="G17" s="754"/>
      <c r="H17" s="747" t="s">
        <v>538</v>
      </c>
      <c r="I17" s="110" t="s">
        <v>551</v>
      </c>
      <c r="J17" s="760"/>
    </row>
    <row r="18" spans="1:10" ht="15.75">
      <c r="A18" s="747">
        <v>16</v>
      </c>
      <c r="B18" s="754" t="s">
        <v>184</v>
      </c>
      <c r="C18" s="747"/>
      <c r="D18" s="756">
        <v>1976</v>
      </c>
      <c r="E18" s="759"/>
      <c r="F18" s="750" t="s">
        <v>532</v>
      </c>
      <c r="G18" s="754"/>
      <c r="H18" s="747" t="s">
        <v>533</v>
      </c>
      <c r="I18" s="110" t="s">
        <v>552</v>
      </c>
      <c r="J18" s="760"/>
    </row>
    <row r="19" spans="1:10" ht="15.75">
      <c r="A19" s="747">
        <v>17</v>
      </c>
      <c r="B19" s="754" t="s">
        <v>185</v>
      </c>
      <c r="C19" s="747"/>
      <c r="D19" s="756">
        <v>1999</v>
      </c>
      <c r="E19" s="759"/>
      <c r="F19" s="750" t="s">
        <v>532</v>
      </c>
      <c r="G19" s="754"/>
      <c r="H19" s="747" t="s">
        <v>533</v>
      </c>
      <c r="I19" s="110" t="s">
        <v>553</v>
      </c>
      <c r="J19" s="760"/>
    </row>
    <row r="20" spans="1:10" ht="15.75">
      <c r="A20" s="747">
        <v>18</v>
      </c>
      <c r="B20" s="754" t="s">
        <v>165</v>
      </c>
      <c r="C20" s="747"/>
      <c r="D20" s="756">
        <v>1977</v>
      </c>
      <c r="E20" s="759"/>
      <c r="F20" s="750" t="s">
        <v>532</v>
      </c>
      <c r="G20" s="754"/>
      <c r="H20" s="747" t="s">
        <v>533</v>
      </c>
      <c r="I20" s="110" t="s">
        <v>554</v>
      </c>
      <c r="J20" s="760"/>
    </row>
    <row r="21" spans="1:10" ht="15.75">
      <c r="A21" s="747">
        <v>19</v>
      </c>
      <c r="B21" s="754" t="s">
        <v>199</v>
      </c>
      <c r="C21" s="747"/>
      <c r="D21" s="756">
        <v>1975</v>
      </c>
      <c r="E21" s="759"/>
      <c r="F21" s="750" t="s">
        <v>540</v>
      </c>
      <c r="G21" s="754"/>
      <c r="H21" s="747" t="s">
        <v>533</v>
      </c>
      <c r="I21" s="110" t="s">
        <v>555</v>
      </c>
      <c r="J21" s="760"/>
    </row>
    <row r="22" spans="1:10" ht="15.75">
      <c r="A22" s="747">
        <v>20</v>
      </c>
      <c r="B22" s="754" t="s">
        <v>206</v>
      </c>
      <c r="C22" s="747"/>
      <c r="D22" s="759">
        <v>2003</v>
      </c>
      <c r="E22" s="759"/>
      <c r="F22" s="750" t="s">
        <v>540</v>
      </c>
      <c r="G22" s="754"/>
      <c r="H22" s="747" t="s">
        <v>556</v>
      </c>
      <c r="I22" s="110" t="s">
        <v>557</v>
      </c>
      <c r="J22" s="760"/>
    </row>
    <row r="23" spans="1:10" ht="15.75">
      <c r="A23" s="747">
        <v>21</v>
      </c>
      <c r="B23" s="754" t="s">
        <v>182</v>
      </c>
      <c r="C23" s="747"/>
      <c r="D23" s="759">
        <v>1999</v>
      </c>
      <c r="E23" s="759"/>
      <c r="F23" s="750" t="s">
        <v>540</v>
      </c>
      <c r="G23" s="754"/>
      <c r="H23" s="747" t="s">
        <v>533</v>
      </c>
      <c r="I23" s="110" t="s">
        <v>558</v>
      </c>
      <c r="J23" s="760"/>
    </row>
    <row r="24" spans="1:10" ht="15.75">
      <c r="A24" s="747">
        <v>22</v>
      </c>
      <c r="B24" s="754" t="s">
        <v>476</v>
      </c>
      <c r="C24" s="747"/>
      <c r="D24" s="761">
        <v>1999</v>
      </c>
      <c r="E24" s="759"/>
      <c r="F24" s="762" t="s">
        <v>540</v>
      </c>
      <c r="G24" s="754"/>
      <c r="H24" s="747" t="s">
        <v>559</v>
      </c>
      <c r="I24" s="110" t="s">
        <v>560</v>
      </c>
      <c r="J24" s="760"/>
    </row>
    <row r="25" spans="1:10" ht="15.75">
      <c r="A25" s="747">
        <v>23</v>
      </c>
      <c r="B25" s="754" t="s">
        <v>207</v>
      </c>
      <c r="C25" s="747"/>
      <c r="D25" s="759">
        <v>1994</v>
      </c>
      <c r="E25" s="759"/>
      <c r="F25" s="750" t="s">
        <v>532</v>
      </c>
      <c r="G25" s="754"/>
      <c r="H25" s="747" t="s">
        <v>533</v>
      </c>
      <c r="I25" s="110" t="s">
        <v>561</v>
      </c>
      <c r="J25" s="760"/>
    </row>
    <row r="26" spans="1:10" ht="15.75">
      <c r="A26" s="747">
        <v>24</v>
      </c>
      <c r="B26" s="754" t="s">
        <v>208</v>
      </c>
      <c r="C26" s="747"/>
      <c r="D26" s="759">
        <v>1980</v>
      </c>
      <c r="E26" s="759"/>
      <c r="F26" s="750" t="s">
        <v>540</v>
      </c>
      <c r="G26" s="754"/>
      <c r="H26" s="747" t="s">
        <v>559</v>
      </c>
      <c r="I26" s="110" t="s">
        <v>562</v>
      </c>
      <c r="J26" s="760"/>
    </row>
    <row r="27" spans="1:10" ht="15.75">
      <c r="A27" s="747">
        <v>25</v>
      </c>
      <c r="B27" s="754" t="s">
        <v>286</v>
      </c>
      <c r="C27" s="747"/>
      <c r="D27" s="759">
        <v>1999</v>
      </c>
      <c r="E27" s="759"/>
      <c r="F27" s="750" t="s">
        <v>540</v>
      </c>
      <c r="G27" s="754"/>
      <c r="H27" s="747" t="s">
        <v>556</v>
      </c>
      <c r="I27" s="110" t="s">
        <v>563</v>
      </c>
      <c r="J27" s="760"/>
    </row>
    <row r="28" spans="1:10" ht="15.75">
      <c r="A28" s="747">
        <v>26</v>
      </c>
      <c r="B28" s="754" t="s">
        <v>158</v>
      </c>
      <c r="C28" s="747"/>
      <c r="D28" s="759">
        <v>1995</v>
      </c>
      <c r="E28" s="759"/>
      <c r="F28" s="750" t="s">
        <v>540</v>
      </c>
      <c r="G28" s="754"/>
      <c r="H28" s="747" t="s">
        <v>533</v>
      </c>
      <c r="I28" s="110" t="s">
        <v>564</v>
      </c>
      <c r="J28" s="760"/>
    </row>
    <row r="29" spans="1:10" ht="15.75">
      <c r="A29" s="747">
        <v>27</v>
      </c>
      <c r="B29" s="754" t="s">
        <v>156</v>
      </c>
      <c r="C29" s="747"/>
      <c r="D29" s="759">
        <v>1992</v>
      </c>
      <c r="E29" s="759"/>
      <c r="F29" s="750" t="s">
        <v>532</v>
      </c>
      <c r="G29" s="754"/>
      <c r="H29" s="747" t="s">
        <v>533</v>
      </c>
      <c r="I29" s="110" t="s">
        <v>565</v>
      </c>
      <c r="J29" s="760"/>
    </row>
    <row r="30" spans="1:10" ht="15.75">
      <c r="A30" s="747">
        <v>28</v>
      </c>
      <c r="B30" s="754" t="s">
        <v>136</v>
      </c>
      <c r="C30" s="747"/>
      <c r="D30" s="759">
        <v>1996</v>
      </c>
      <c r="E30" s="759"/>
      <c r="F30" s="750" t="s">
        <v>540</v>
      </c>
      <c r="G30" s="754"/>
      <c r="H30" s="747" t="s">
        <v>566</v>
      </c>
      <c r="I30" s="110" t="s">
        <v>567</v>
      </c>
      <c r="J30" s="760"/>
    </row>
    <row r="31" spans="1:10" ht="15.75">
      <c r="A31" s="747">
        <v>29</v>
      </c>
      <c r="B31" s="754" t="s">
        <v>135</v>
      </c>
      <c r="C31" s="747"/>
      <c r="D31" s="759">
        <v>1986</v>
      </c>
      <c r="E31" s="759"/>
      <c r="F31" s="750" t="s">
        <v>532</v>
      </c>
      <c r="G31" s="754"/>
      <c r="H31" s="747" t="s">
        <v>566</v>
      </c>
      <c r="I31" s="110" t="s">
        <v>568</v>
      </c>
      <c r="J31" s="760"/>
    </row>
    <row r="32" spans="1:10" ht="15.75">
      <c r="A32" s="747">
        <v>30</v>
      </c>
      <c r="B32" s="754" t="s">
        <v>195</v>
      </c>
      <c r="C32" s="747"/>
      <c r="D32" s="759">
        <v>2000</v>
      </c>
      <c r="E32" s="759"/>
      <c r="F32" s="750" t="s">
        <v>532</v>
      </c>
      <c r="G32" s="754"/>
      <c r="H32" s="747" t="s">
        <v>533</v>
      </c>
      <c r="I32" s="110" t="s">
        <v>569</v>
      </c>
      <c r="J32" s="760"/>
    </row>
    <row r="33" spans="1:10" ht="15.75">
      <c r="A33" s="747">
        <v>31</v>
      </c>
      <c r="B33" s="754" t="s">
        <v>186</v>
      </c>
      <c r="C33" s="747"/>
      <c r="D33" s="759">
        <v>1992</v>
      </c>
      <c r="E33" s="759"/>
      <c r="F33" s="750" t="s">
        <v>532</v>
      </c>
      <c r="G33" s="754"/>
      <c r="H33" s="747" t="s">
        <v>556</v>
      </c>
      <c r="I33" s="110" t="s">
        <v>570</v>
      </c>
      <c r="J33" s="760"/>
    </row>
    <row r="34" spans="1:10" ht="15.75">
      <c r="A34" s="747">
        <v>32</v>
      </c>
      <c r="B34" s="754" t="s">
        <v>187</v>
      </c>
      <c r="C34" s="747"/>
      <c r="D34" s="759">
        <v>1978</v>
      </c>
      <c r="E34" s="759"/>
      <c r="F34" s="750" t="s">
        <v>532</v>
      </c>
      <c r="G34" s="754"/>
      <c r="H34" s="747" t="s">
        <v>533</v>
      </c>
      <c r="I34" s="110" t="s">
        <v>571</v>
      </c>
      <c r="J34" s="760"/>
    </row>
    <row r="35" spans="1:10" ht="15.75">
      <c r="A35" s="747">
        <v>33</v>
      </c>
      <c r="B35" s="754" t="s">
        <v>166</v>
      </c>
      <c r="C35" s="747"/>
      <c r="D35" s="759">
        <v>2003</v>
      </c>
      <c r="E35" s="759"/>
      <c r="F35" s="750" t="s">
        <v>532</v>
      </c>
      <c r="G35" s="754"/>
      <c r="H35" s="747" t="s">
        <v>533</v>
      </c>
      <c r="I35" s="110" t="s">
        <v>572</v>
      </c>
      <c r="J35" s="760"/>
    </row>
    <row r="36" spans="1:10" ht="15.75">
      <c r="A36" s="747">
        <v>34</v>
      </c>
      <c r="B36" s="754" t="s">
        <v>209</v>
      </c>
      <c r="C36" s="747"/>
      <c r="D36" s="759">
        <v>1981</v>
      </c>
      <c r="E36" s="759"/>
      <c r="F36" s="750" t="s">
        <v>532</v>
      </c>
      <c r="G36" s="754"/>
      <c r="H36" s="747" t="s">
        <v>533</v>
      </c>
      <c r="I36" s="110" t="s">
        <v>573</v>
      </c>
      <c r="J36" s="760"/>
    </row>
    <row r="37" spans="1:10" ht="15.75">
      <c r="A37" s="747">
        <v>35</v>
      </c>
      <c r="B37" s="754" t="s">
        <v>167</v>
      </c>
      <c r="C37" s="747"/>
      <c r="D37" s="759">
        <v>1995</v>
      </c>
      <c r="E37" s="759"/>
      <c r="F37" s="750" t="s">
        <v>540</v>
      </c>
      <c r="G37" s="754"/>
      <c r="H37" s="747" t="s">
        <v>533</v>
      </c>
      <c r="I37" s="110" t="s">
        <v>574</v>
      </c>
      <c r="J37" s="760"/>
    </row>
    <row r="38" spans="1:10" ht="15.75">
      <c r="A38" s="747">
        <v>36</v>
      </c>
      <c r="B38" s="754" t="s">
        <v>168</v>
      </c>
      <c r="C38" s="747"/>
      <c r="D38" s="759">
        <v>1986</v>
      </c>
      <c r="E38" s="759"/>
      <c r="F38" s="750" t="s">
        <v>532</v>
      </c>
      <c r="G38" s="754"/>
      <c r="H38" s="747" t="s">
        <v>533</v>
      </c>
      <c r="I38" s="110" t="s">
        <v>575</v>
      </c>
      <c r="J38" s="760"/>
    </row>
    <row r="39" spans="1:10" ht="15.75">
      <c r="A39" s="747">
        <v>37</v>
      </c>
      <c r="B39" s="754" t="s">
        <v>496</v>
      </c>
      <c r="C39" s="747"/>
      <c r="D39" s="759">
        <v>2000</v>
      </c>
      <c r="E39" s="759"/>
      <c r="F39" s="750" t="s">
        <v>532</v>
      </c>
      <c r="G39" s="754"/>
      <c r="H39" s="747" t="s">
        <v>533</v>
      </c>
      <c r="I39" s="110" t="s">
        <v>576</v>
      </c>
      <c r="J39" s="760"/>
    </row>
    <row r="40" spans="1:10" ht="15.75">
      <c r="A40" s="747">
        <v>38</v>
      </c>
      <c r="B40" s="754" t="s">
        <v>210</v>
      </c>
      <c r="C40" s="747"/>
      <c r="D40" s="759">
        <v>1988</v>
      </c>
      <c r="E40" s="759"/>
      <c r="F40" s="750" t="s">
        <v>540</v>
      </c>
      <c r="G40" s="754"/>
      <c r="H40" s="747" t="s">
        <v>533</v>
      </c>
      <c r="I40" s="110" t="s">
        <v>577</v>
      </c>
      <c r="J40" s="760"/>
    </row>
    <row r="41" spans="1:10" ht="15.75">
      <c r="A41" s="747">
        <v>39</v>
      </c>
      <c r="B41" s="754" t="s">
        <v>188</v>
      </c>
      <c r="C41" s="747"/>
      <c r="D41" s="759">
        <v>1994</v>
      </c>
      <c r="E41" s="759"/>
      <c r="F41" s="750" t="s">
        <v>540</v>
      </c>
      <c r="G41" s="754"/>
      <c r="H41" s="747" t="s">
        <v>556</v>
      </c>
      <c r="I41" s="110" t="s">
        <v>578</v>
      </c>
      <c r="J41" s="760"/>
    </row>
    <row r="42" spans="1:10" ht="15.75">
      <c r="A42" s="747">
        <v>40</v>
      </c>
      <c r="B42" s="754" t="s">
        <v>196</v>
      </c>
      <c r="C42" s="747"/>
      <c r="D42" s="759">
        <v>1987</v>
      </c>
      <c r="E42" s="759"/>
      <c r="F42" s="750" t="s">
        <v>532</v>
      </c>
      <c r="G42" s="754"/>
      <c r="H42" s="747" t="s">
        <v>533</v>
      </c>
      <c r="I42" s="110" t="s">
        <v>579</v>
      </c>
      <c r="J42" s="760"/>
    </row>
    <row r="43" spans="1:10" ht="15.75">
      <c r="A43" s="747">
        <v>41</v>
      </c>
      <c r="B43" s="754" t="s">
        <v>415</v>
      </c>
      <c r="C43" s="747"/>
      <c r="D43" s="759">
        <v>1994</v>
      </c>
      <c r="E43" s="759"/>
      <c r="F43" s="750" t="s">
        <v>532</v>
      </c>
      <c r="G43" s="754"/>
      <c r="H43" s="747" t="s">
        <v>533</v>
      </c>
      <c r="I43" s="110" t="s">
        <v>580</v>
      </c>
      <c r="J43" s="760"/>
    </row>
    <row r="44" spans="1:10" ht="15.75">
      <c r="A44" s="747">
        <v>42</v>
      </c>
      <c r="B44" s="754" t="s">
        <v>179</v>
      </c>
      <c r="C44" s="747"/>
      <c r="D44" s="759">
        <v>1990</v>
      </c>
      <c r="E44" s="759"/>
      <c r="F44" s="750" t="s">
        <v>532</v>
      </c>
      <c r="G44" s="754"/>
      <c r="H44" s="747" t="s">
        <v>556</v>
      </c>
      <c r="I44" s="110" t="s">
        <v>581</v>
      </c>
      <c r="J44" s="760"/>
    </row>
    <row r="45" spans="1:10" ht="15.75">
      <c r="A45" s="747">
        <v>43</v>
      </c>
      <c r="B45" s="754" t="s">
        <v>477</v>
      </c>
      <c r="C45" s="747"/>
      <c r="D45" s="759">
        <v>1997</v>
      </c>
      <c r="E45" s="759"/>
      <c r="F45" s="750" t="s">
        <v>532</v>
      </c>
      <c r="G45" s="754"/>
      <c r="H45" s="747" t="s">
        <v>556</v>
      </c>
      <c r="I45" s="110" t="s">
        <v>582</v>
      </c>
      <c r="J45" s="760"/>
    </row>
    <row r="46" spans="1:10" ht="15.75">
      <c r="A46" s="747">
        <v>44</v>
      </c>
      <c r="B46" s="754" t="s">
        <v>218</v>
      </c>
      <c r="C46" s="747"/>
      <c r="D46" s="759">
        <v>2004</v>
      </c>
      <c r="E46" s="759"/>
      <c r="F46" s="750" t="s">
        <v>532</v>
      </c>
      <c r="G46" s="754"/>
      <c r="H46" s="747" t="s">
        <v>533</v>
      </c>
      <c r="I46" s="110" t="s">
        <v>583</v>
      </c>
      <c r="J46" s="760"/>
    </row>
    <row r="47" spans="1:10" ht="15.75">
      <c r="A47" s="747">
        <v>45</v>
      </c>
      <c r="B47" s="754" t="s">
        <v>189</v>
      </c>
      <c r="C47" s="747"/>
      <c r="D47" s="759">
        <v>2005</v>
      </c>
      <c r="E47" s="759"/>
      <c r="F47" s="750" t="s">
        <v>532</v>
      </c>
      <c r="G47" s="754"/>
      <c r="H47" s="747" t="s">
        <v>533</v>
      </c>
      <c r="I47" s="110" t="s">
        <v>584</v>
      </c>
      <c r="J47" s="760"/>
    </row>
    <row r="48" spans="1:10" ht="15.75">
      <c r="A48" s="747">
        <v>46</v>
      </c>
      <c r="B48" s="754" t="s">
        <v>288</v>
      </c>
      <c r="C48" s="747"/>
      <c r="D48" s="759">
        <v>2002</v>
      </c>
      <c r="E48" s="759"/>
      <c r="F48" s="750" t="s">
        <v>532</v>
      </c>
      <c r="G48" s="754"/>
      <c r="H48" s="747" t="s">
        <v>533</v>
      </c>
      <c r="I48" s="110" t="s">
        <v>585</v>
      </c>
      <c r="J48" s="760"/>
    </row>
    <row r="49" spans="1:10" ht="15.75">
      <c r="A49" s="747">
        <v>47</v>
      </c>
      <c r="B49" s="754" t="s">
        <v>478</v>
      </c>
      <c r="C49" s="747"/>
      <c r="D49" s="759">
        <v>2003</v>
      </c>
      <c r="E49" s="759"/>
      <c r="F49" s="750" t="s">
        <v>540</v>
      </c>
      <c r="G49" s="754"/>
      <c r="H49" s="747" t="s">
        <v>533</v>
      </c>
      <c r="I49" s="110" t="s">
        <v>586</v>
      </c>
      <c r="J49" s="760"/>
    </row>
    <row r="50" spans="1:10" ht="15.75">
      <c r="A50" s="747">
        <v>48</v>
      </c>
      <c r="B50" s="754" t="s">
        <v>115</v>
      </c>
      <c r="C50" s="747"/>
      <c r="D50" s="759">
        <v>1994</v>
      </c>
      <c r="E50" s="759"/>
      <c r="F50" s="750" t="s">
        <v>532</v>
      </c>
      <c r="G50" s="754"/>
      <c r="H50" s="747" t="s">
        <v>533</v>
      </c>
      <c r="I50" s="110" t="s">
        <v>587</v>
      </c>
      <c r="J50" s="760"/>
    </row>
    <row r="51" spans="1:10" ht="15.75">
      <c r="A51" s="747">
        <v>49</v>
      </c>
      <c r="B51" s="754" t="s">
        <v>287</v>
      </c>
      <c r="C51" s="747"/>
      <c r="D51" s="759">
        <v>1992</v>
      </c>
      <c r="E51" s="759"/>
      <c r="F51" s="750" t="s">
        <v>540</v>
      </c>
      <c r="G51" s="754"/>
      <c r="H51" s="747" t="s">
        <v>534</v>
      </c>
      <c r="I51" s="110" t="s">
        <v>588</v>
      </c>
      <c r="J51" s="760"/>
    </row>
    <row r="52" spans="1:10" ht="15.75">
      <c r="A52" s="747">
        <v>50</v>
      </c>
      <c r="B52" s="754" t="s">
        <v>479</v>
      </c>
      <c r="C52" s="747"/>
      <c r="D52" s="759">
        <v>1988</v>
      </c>
      <c r="E52" s="759"/>
      <c r="F52" s="750" t="s">
        <v>540</v>
      </c>
      <c r="G52" s="754"/>
      <c r="H52" s="747" t="s">
        <v>533</v>
      </c>
      <c r="I52" s="110" t="s">
        <v>589</v>
      </c>
      <c r="J52" s="760"/>
    </row>
    <row r="53" spans="1:10" ht="15.75">
      <c r="A53" s="747">
        <v>51</v>
      </c>
      <c r="B53" s="754" t="s">
        <v>181</v>
      </c>
      <c r="C53" s="747"/>
      <c r="D53" s="759">
        <v>2000</v>
      </c>
      <c r="E53" s="759"/>
      <c r="F53" s="750" t="s">
        <v>532</v>
      </c>
      <c r="G53" s="754"/>
      <c r="H53" s="747" t="s">
        <v>533</v>
      </c>
      <c r="I53" s="110" t="s">
        <v>590</v>
      </c>
      <c r="J53" s="760"/>
    </row>
    <row r="54" spans="1:10" ht="15.75">
      <c r="A54" s="747">
        <v>52</v>
      </c>
      <c r="B54" s="754" t="s">
        <v>289</v>
      </c>
      <c r="C54" s="747"/>
      <c r="D54" s="759">
        <v>2004</v>
      </c>
      <c r="E54" s="759"/>
      <c r="F54" s="750" t="s">
        <v>540</v>
      </c>
      <c r="G54" s="754"/>
      <c r="H54" s="747" t="s">
        <v>533</v>
      </c>
      <c r="I54" s="110" t="s">
        <v>591</v>
      </c>
      <c r="J54" s="760"/>
    </row>
    <row r="55" spans="1:10" ht="15.75">
      <c r="A55" s="747">
        <v>53</v>
      </c>
      <c r="B55" s="754" t="s">
        <v>116</v>
      </c>
      <c r="C55" s="747"/>
      <c r="D55" s="759">
        <v>1980</v>
      </c>
      <c r="E55" s="759"/>
      <c r="F55" s="750" t="s">
        <v>532</v>
      </c>
      <c r="G55" s="754"/>
      <c r="H55" s="747" t="s">
        <v>533</v>
      </c>
      <c r="I55" s="110" t="s">
        <v>592</v>
      </c>
      <c r="J55" s="760"/>
    </row>
    <row r="56" spans="1:10" ht="15.75">
      <c r="A56" s="747">
        <v>54</v>
      </c>
      <c r="B56" s="754" t="s">
        <v>480</v>
      </c>
      <c r="C56" s="747"/>
      <c r="D56" s="759">
        <v>2004</v>
      </c>
      <c r="E56" s="759"/>
      <c r="F56" s="750" t="s">
        <v>532</v>
      </c>
      <c r="G56" s="754"/>
      <c r="H56" s="747" t="s">
        <v>63</v>
      </c>
      <c r="I56" s="110" t="s">
        <v>593</v>
      </c>
      <c r="J56" s="760"/>
    </row>
    <row r="57" spans="1:10" ht="15.75">
      <c r="A57" s="747">
        <v>55</v>
      </c>
      <c r="B57" s="754" t="s">
        <v>314</v>
      </c>
      <c r="C57" s="747"/>
      <c r="D57" s="759">
        <v>2005</v>
      </c>
      <c r="E57" s="759"/>
      <c r="F57" s="750" t="s">
        <v>540</v>
      </c>
      <c r="G57" s="754"/>
      <c r="H57" s="747" t="s">
        <v>533</v>
      </c>
      <c r="I57" s="110" t="s">
        <v>594</v>
      </c>
      <c r="J57" s="760"/>
    </row>
    <row r="58" spans="1:10" ht="15.75">
      <c r="A58" s="747">
        <v>56</v>
      </c>
      <c r="B58" s="754" t="s">
        <v>290</v>
      </c>
      <c r="C58" s="747"/>
      <c r="D58" s="759">
        <v>2004</v>
      </c>
      <c r="E58" s="759"/>
      <c r="F58" s="750" t="s">
        <v>532</v>
      </c>
      <c r="G58" s="754"/>
      <c r="H58" s="747" t="s">
        <v>538</v>
      </c>
      <c r="I58" s="110" t="s">
        <v>595</v>
      </c>
      <c r="J58" s="760"/>
    </row>
    <row r="59" spans="1:10" ht="15.75">
      <c r="A59" s="747">
        <v>57</v>
      </c>
      <c r="B59" s="754" t="s">
        <v>291</v>
      </c>
      <c r="C59" s="747"/>
      <c r="D59" s="759">
        <v>1988</v>
      </c>
      <c r="E59" s="759"/>
      <c r="F59" s="750" t="s">
        <v>532</v>
      </c>
      <c r="G59" s="754"/>
      <c r="H59" s="747" t="s">
        <v>538</v>
      </c>
      <c r="I59" s="110" t="s">
        <v>596</v>
      </c>
      <c r="J59" s="760"/>
    </row>
    <row r="60" spans="1:10" ht="15.75">
      <c r="A60" s="747">
        <v>58</v>
      </c>
      <c r="B60" s="754" t="s">
        <v>440</v>
      </c>
      <c r="C60" s="747"/>
      <c r="D60" s="759">
        <v>1996</v>
      </c>
      <c r="E60" s="759"/>
      <c r="F60" s="750" t="s">
        <v>540</v>
      </c>
      <c r="G60" s="754"/>
      <c r="H60" s="747" t="s">
        <v>538</v>
      </c>
      <c r="I60" s="110" t="s">
        <v>597</v>
      </c>
      <c r="J60" s="760"/>
    </row>
    <row r="61" spans="1:10" ht="15.75">
      <c r="A61" s="747">
        <v>59</v>
      </c>
      <c r="B61" s="754" t="s">
        <v>198</v>
      </c>
      <c r="C61" s="747"/>
      <c r="D61" s="759">
        <v>1993</v>
      </c>
      <c r="E61" s="759"/>
      <c r="F61" s="750" t="s">
        <v>532</v>
      </c>
      <c r="G61" s="754"/>
      <c r="H61" s="747" t="s">
        <v>533</v>
      </c>
      <c r="I61" s="110" t="s">
        <v>598</v>
      </c>
      <c r="J61" s="760"/>
    </row>
    <row r="62" spans="1:10" ht="15.75">
      <c r="A62" s="747">
        <v>60</v>
      </c>
      <c r="B62" s="754" t="s">
        <v>481</v>
      </c>
      <c r="C62" s="747"/>
      <c r="D62" s="759">
        <v>1999</v>
      </c>
      <c r="E62" s="759"/>
      <c r="F62" s="750" t="s">
        <v>532</v>
      </c>
      <c r="G62" s="754"/>
      <c r="H62" s="747" t="s">
        <v>566</v>
      </c>
      <c r="I62" s="110" t="s">
        <v>599</v>
      </c>
      <c r="J62" s="760"/>
    </row>
    <row r="63" spans="1:10" ht="15.75">
      <c r="A63" s="747">
        <v>61</v>
      </c>
      <c r="B63" s="754" t="s">
        <v>219</v>
      </c>
      <c r="C63" s="747"/>
      <c r="D63" s="759">
        <v>1985</v>
      </c>
      <c r="E63" s="759"/>
      <c r="F63" s="750" t="s">
        <v>540</v>
      </c>
      <c r="G63" s="754"/>
      <c r="H63" s="747" t="s">
        <v>533</v>
      </c>
      <c r="I63" s="110" t="s">
        <v>600</v>
      </c>
      <c r="J63" s="760"/>
    </row>
    <row r="64" spans="1:10" ht="15.75">
      <c r="A64" s="747">
        <v>62</v>
      </c>
      <c r="B64" s="754" t="s">
        <v>482</v>
      </c>
      <c r="C64" s="747"/>
      <c r="D64" s="759">
        <v>1995</v>
      </c>
      <c r="E64" s="759"/>
      <c r="F64" s="750" t="s">
        <v>540</v>
      </c>
      <c r="G64" s="754"/>
      <c r="H64" s="747" t="s">
        <v>538</v>
      </c>
      <c r="I64" s="110" t="s">
        <v>601</v>
      </c>
      <c r="J64" s="760"/>
    </row>
    <row r="65" spans="1:10" ht="15.75">
      <c r="A65" s="747">
        <v>63</v>
      </c>
      <c r="B65" s="754" t="s">
        <v>292</v>
      </c>
      <c r="C65" s="747"/>
      <c r="D65" s="759">
        <v>2004</v>
      </c>
      <c r="E65" s="759"/>
      <c r="F65" s="750" t="s">
        <v>532</v>
      </c>
      <c r="G65" s="754"/>
      <c r="H65" s="747" t="s">
        <v>534</v>
      </c>
      <c r="I65" s="110" t="s">
        <v>602</v>
      </c>
      <c r="J65" s="760"/>
    </row>
    <row r="66" spans="1:10" ht="15.75">
      <c r="A66" s="747">
        <v>64</v>
      </c>
      <c r="B66" s="754" t="s">
        <v>293</v>
      </c>
      <c r="C66" s="747"/>
      <c r="D66" s="759">
        <v>1993</v>
      </c>
      <c r="E66" s="759"/>
      <c r="F66" s="750" t="s">
        <v>540</v>
      </c>
      <c r="G66" s="754"/>
      <c r="H66" s="747" t="s">
        <v>534</v>
      </c>
      <c r="I66" s="110" t="s">
        <v>603</v>
      </c>
      <c r="J66" s="760"/>
    </row>
    <row r="67" spans="1:10" ht="15.75">
      <c r="A67" s="747">
        <v>65</v>
      </c>
      <c r="B67" s="754" t="s">
        <v>359</v>
      </c>
      <c r="C67" s="747"/>
      <c r="D67" s="759">
        <v>2002</v>
      </c>
      <c r="E67" s="759"/>
      <c r="F67" s="750" t="s">
        <v>532</v>
      </c>
      <c r="G67" s="754"/>
      <c r="H67" s="747" t="s">
        <v>538</v>
      </c>
      <c r="I67" s="110" t="s">
        <v>604</v>
      </c>
      <c r="J67" s="760"/>
    </row>
    <row r="68" spans="1:10" ht="15.75">
      <c r="A68" s="747">
        <v>66</v>
      </c>
      <c r="B68" s="754" t="s">
        <v>386</v>
      </c>
      <c r="C68" s="747"/>
      <c r="D68" s="759">
        <v>1989</v>
      </c>
      <c r="E68" s="759"/>
      <c r="F68" s="750" t="s">
        <v>532</v>
      </c>
      <c r="G68" s="754"/>
      <c r="H68" s="747" t="s">
        <v>534</v>
      </c>
      <c r="I68" s="110" t="s">
        <v>605</v>
      </c>
      <c r="J68" s="760"/>
    </row>
    <row r="69" spans="1:10" ht="15.75">
      <c r="A69" s="747">
        <v>67</v>
      </c>
      <c r="B69" s="754" t="s">
        <v>177</v>
      </c>
      <c r="C69" s="747"/>
      <c r="D69" s="759">
        <v>1996</v>
      </c>
      <c r="E69" s="759"/>
      <c r="F69" s="750" t="s">
        <v>532</v>
      </c>
      <c r="G69" s="754"/>
      <c r="H69" s="747" t="s">
        <v>538</v>
      </c>
      <c r="I69" s="110" t="s">
        <v>606</v>
      </c>
      <c r="J69" s="760"/>
    </row>
    <row r="70" spans="1:10" ht="15.75">
      <c r="A70" s="747">
        <v>68</v>
      </c>
      <c r="B70" s="754" t="s">
        <v>275</v>
      </c>
      <c r="C70" s="747"/>
      <c r="D70" s="759">
        <v>2005</v>
      </c>
      <c r="E70" s="759"/>
      <c r="F70" s="750" t="s">
        <v>532</v>
      </c>
      <c r="G70" s="754"/>
      <c r="H70" s="747" t="s">
        <v>534</v>
      </c>
      <c r="I70" s="110" t="s">
        <v>607</v>
      </c>
      <c r="J70" s="760"/>
    </row>
    <row r="71" spans="1:10" ht="15.75">
      <c r="A71" s="747">
        <v>69</v>
      </c>
      <c r="B71" s="754" t="s">
        <v>306</v>
      </c>
      <c r="C71" s="747"/>
      <c r="D71" s="759">
        <v>1988</v>
      </c>
      <c r="E71" s="759"/>
      <c r="F71" s="750" t="s">
        <v>532</v>
      </c>
      <c r="G71" s="754"/>
      <c r="H71" s="747" t="s">
        <v>534</v>
      </c>
      <c r="I71" s="110" t="s">
        <v>608</v>
      </c>
      <c r="J71" s="760"/>
    </row>
    <row r="72" spans="1:10" ht="15.75">
      <c r="A72" s="747">
        <v>70</v>
      </c>
      <c r="B72" s="754" t="s">
        <v>294</v>
      </c>
      <c r="C72" s="747"/>
      <c r="D72" s="759">
        <v>1990</v>
      </c>
      <c r="E72" s="759"/>
      <c r="F72" s="750" t="s">
        <v>540</v>
      </c>
      <c r="G72" s="754"/>
      <c r="H72" s="747" t="s">
        <v>538</v>
      </c>
      <c r="I72" s="110" t="s">
        <v>609</v>
      </c>
      <c r="J72" s="760"/>
    </row>
    <row r="73" spans="1:10" ht="15.75">
      <c r="A73" s="747">
        <v>71</v>
      </c>
      <c r="B73" s="754" t="s">
        <v>197</v>
      </c>
      <c r="C73" s="747"/>
      <c r="D73" s="759">
        <v>1995</v>
      </c>
      <c r="E73" s="759"/>
      <c r="F73" s="750" t="s">
        <v>540</v>
      </c>
      <c r="G73" s="754"/>
      <c r="H73" s="747" t="s">
        <v>538</v>
      </c>
      <c r="I73" s="110" t="s">
        <v>610</v>
      </c>
      <c r="J73" s="760"/>
    </row>
    <row r="74" spans="1:10" ht="15.75">
      <c r="A74" s="747">
        <v>72</v>
      </c>
      <c r="B74" s="754" t="s">
        <v>236</v>
      </c>
      <c r="C74" s="747"/>
      <c r="D74" s="759">
        <v>1990</v>
      </c>
      <c r="E74" s="759"/>
      <c r="F74" s="750" t="s">
        <v>532</v>
      </c>
      <c r="G74" s="754"/>
      <c r="H74" s="747" t="s">
        <v>611</v>
      </c>
      <c r="I74" s="110" t="s">
        <v>612</v>
      </c>
      <c r="J74" s="760"/>
    </row>
    <row r="75" spans="1:10" ht="15.75">
      <c r="A75" s="747">
        <v>73</v>
      </c>
      <c r="B75" s="754" t="s">
        <v>483</v>
      </c>
      <c r="C75" s="747"/>
      <c r="D75" s="759">
        <v>1995</v>
      </c>
      <c r="E75" s="759"/>
      <c r="F75" s="750" t="s">
        <v>532</v>
      </c>
      <c r="G75" s="754"/>
      <c r="H75" s="747" t="s">
        <v>611</v>
      </c>
      <c r="I75" s="110" t="s">
        <v>613</v>
      </c>
      <c r="J75" s="760"/>
    </row>
    <row r="76" spans="1:10" s="767" customFormat="1" ht="15.75">
      <c r="A76" s="747">
        <v>74</v>
      </c>
      <c r="B76" s="1731" t="s">
        <v>499</v>
      </c>
      <c r="C76" s="1731"/>
      <c r="D76" s="1731"/>
      <c r="E76" s="763"/>
      <c r="F76" s="764"/>
      <c r="G76" s="765"/>
      <c r="H76" s="764"/>
      <c r="I76" s="764"/>
      <c r="J76" s="766"/>
    </row>
    <row r="77" spans="1:10" ht="15.75">
      <c r="A77" s="747">
        <v>75</v>
      </c>
      <c r="B77" s="102" t="s">
        <v>484</v>
      </c>
      <c r="C77" s="747"/>
      <c r="D77" s="759">
        <v>2000</v>
      </c>
      <c r="E77" s="759"/>
      <c r="F77" s="759" t="s">
        <v>532</v>
      </c>
      <c r="G77" s="754"/>
      <c r="H77" s="747" t="s">
        <v>614</v>
      </c>
      <c r="I77" s="110" t="s">
        <v>615</v>
      </c>
      <c r="J77" s="760"/>
    </row>
    <row r="78" spans="1:10" ht="15.75">
      <c r="A78" s="747">
        <v>76</v>
      </c>
      <c r="B78" s="102" t="s">
        <v>212</v>
      </c>
      <c r="C78" s="747"/>
      <c r="D78" s="759">
        <v>2000</v>
      </c>
      <c r="E78" s="759"/>
      <c r="F78" s="759" t="s">
        <v>540</v>
      </c>
      <c r="G78" s="754"/>
      <c r="H78" s="747" t="s">
        <v>67</v>
      </c>
      <c r="I78" s="110" t="s">
        <v>548</v>
      </c>
      <c r="J78" s="760"/>
    </row>
    <row r="79" spans="1:10" ht="15.75">
      <c r="A79" s="747">
        <v>77</v>
      </c>
      <c r="B79" s="362" t="s">
        <v>134</v>
      </c>
      <c r="C79" s="747"/>
      <c r="D79" s="759">
        <v>1996</v>
      </c>
      <c r="E79" s="759"/>
      <c r="F79" s="759" t="s">
        <v>532</v>
      </c>
      <c r="G79" s="754"/>
      <c r="H79" s="747" t="s">
        <v>616</v>
      </c>
      <c r="I79" s="110" t="s">
        <v>617</v>
      </c>
      <c r="J79" s="760"/>
    </row>
    <row r="80" spans="1:10" ht="15.75">
      <c r="A80" s="747">
        <v>78</v>
      </c>
      <c r="B80" s="363" t="s">
        <v>213</v>
      </c>
      <c r="C80" s="747"/>
      <c r="D80" s="759">
        <v>2001</v>
      </c>
      <c r="E80" s="759"/>
      <c r="F80" s="759" t="s">
        <v>540</v>
      </c>
      <c r="G80" s="754"/>
      <c r="H80" s="747" t="s">
        <v>616</v>
      </c>
      <c r="I80" s="110" t="s">
        <v>618</v>
      </c>
      <c r="J80" s="760"/>
    </row>
    <row r="81" spans="1:10" ht="15.75">
      <c r="A81" s="747">
        <v>79</v>
      </c>
      <c r="B81" s="102" t="s">
        <v>170</v>
      </c>
      <c r="C81" s="747"/>
      <c r="D81" s="759">
        <v>1994</v>
      </c>
      <c r="E81" s="759"/>
      <c r="F81" s="759" t="s">
        <v>532</v>
      </c>
      <c r="G81" s="754"/>
      <c r="H81" s="747" t="s">
        <v>616</v>
      </c>
      <c r="I81" s="110" t="s">
        <v>619</v>
      </c>
      <c r="J81" s="760"/>
    </row>
    <row r="82" spans="1:10" ht="15.75">
      <c r="A82" s="747">
        <v>80</v>
      </c>
      <c r="B82" s="102" t="s">
        <v>307</v>
      </c>
      <c r="C82" s="747"/>
      <c r="D82" s="759">
        <v>2005</v>
      </c>
      <c r="E82" s="759"/>
      <c r="F82" s="759" t="s">
        <v>532</v>
      </c>
      <c r="G82" s="754"/>
      <c r="H82" s="747" t="s">
        <v>614</v>
      </c>
      <c r="I82" s="110" t="s">
        <v>620</v>
      </c>
      <c r="J82" s="760"/>
    </row>
    <row r="83" spans="1:10" ht="15.75">
      <c r="A83" s="747">
        <v>81</v>
      </c>
      <c r="B83" s="102" t="s">
        <v>171</v>
      </c>
      <c r="C83" s="747"/>
      <c r="D83" s="759">
        <v>1989</v>
      </c>
      <c r="E83" s="759"/>
      <c r="F83" s="759" t="s">
        <v>532</v>
      </c>
      <c r="G83" s="754"/>
      <c r="H83" s="747" t="s">
        <v>614</v>
      </c>
      <c r="I83" s="110" t="s">
        <v>621</v>
      </c>
      <c r="J83" s="760"/>
    </row>
    <row r="84" spans="1:10" ht="16.5">
      <c r="A84" s="747">
        <v>82</v>
      </c>
      <c r="B84" s="102" t="s">
        <v>485</v>
      </c>
      <c r="C84" s="747"/>
      <c r="D84" s="759">
        <v>2001</v>
      </c>
      <c r="E84" s="759"/>
      <c r="F84" s="759" t="s">
        <v>532</v>
      </c>
      <c r="G84" s="754"/>
      <c r="H84" s="747" t="s">
        <v>614</v>
      </c>
      <c r="I84" s="768" t="s">
        <v>622</v>
      </c>
      <c r="J84" s="760"/>
    </row>
    <row r="85" spans="1:10" ht="15.75">
      <c r="A85" s="747">
        <v>83</v>
      </c>
      <c r="B85" s="102" t="s">
        <v>308</v>
      </c>
      <c r="C85" s="747"/>
      <c r="D85" s="759">
        <v>1999</v>
      </c>
      <c r="E85" s="759"/>
      <c r="F85" s="759" t="s">
        <v>540</v>
      </c>
      <c r="G85" s="754"/>
      <c r="H85" s="747" t="s">
        <v>623</v>
      </c>
      <c r="I85" s="110" t="s">
        <v>624</v>
      </c>
      <c r="J85" s="760"/>
    </row>
    <row r="86" spans="1:10" ht="15.75">
      <c r="A86" s="747">
        <v>84</v>
      </c>
      <c r="B86" s="102" t="s">
        <v>190</v>
      </c>
      <c r="C86" s="747"/>
      <c r="D86" s="759">
        <v>1998</v>
      </c>
      <c r="E86" s="759"/>
      <c r="F86" s="759" t="s">
        <v>540</v>
      </c>
      <c r="G86" s="754"/>
      <c r="H86" s="747" t="s">
        <v>616</v>
      </c>
      <c r="I86" s="110" t="s">
        <v>625</v>
      </c>
      <c r="J86" s="760"/>
    </row>
    <row r="87" spans="1:10" ht="15.75">
      <c r="A87" s="747">
        <v>85</v>
      </c>
      <c r="B87" s="102" t="s">
        <v>172</v>
      </c>
      <c r="C87" s="747"/>
      <c r="D87" s="759">
        <v>1999</v>
      </c>
      <c r="E87" s="759"/>
      <c r="F87" s="759" t="s">
        <v>540</v>
      </c>
      <c r="G87" s="754"/>
      <c r="H87" s="747" t="s">
        <v>616</v>
      </c>
      <c r="I87" s="110" t="s">
        <v>626</v>
      </c>
      <c r="J87" s="760"/>
    </row>
    <row r="88" spans="1:10" ht="15.75">
      <c r="A88" s="747">
        <v>86</v>
      </c>
      <c r="B88" s="102" t="s">
        <v>173</v>
      </c>
      <c r="C88" s="747"/>
      <c r="D88" s="759">
        <v>1992</v>
      </c>
      <c r="E88" s="759"/>
      <c r="F88" s="759" t="s">
        <v>540</v>
      </c>
      <c r="G88" s="754"/>
      <c r="H88" s="747" t="s">
        <v>614</v>
      </c>
      <c r="I88" s="110" t="s">
        <v>627</v>
      </c>
      <c r="J88" s="760"/>
    </row>
    <row r="89" spans="1:10" ht="15.75">
      <c r="A89" s="747">
        <v>87</v>
      </c>
      <c r="B89" s="102" t="s">
        <v>486</v>
      </c>
      <c r="C89" s="747"/>
      <c r="D89" s="759">
        <v>2005</v>
      </c>
      <c r="E89" s="759"/>
      <c r="F89" s="759" t="s">
        <v>532</v>
      </c>
      <c r="G89" s="754"/>
      <c r="H89" s="747" t="s">
        <v>614</v>
      </c>
      <c r="I89" s="110" t="s">
        <v>628</v>
      </c>
      <c r="J89" s="760"/>
    </row>
    <row r="90" spans="1:10" ht="15.75">
      <c r="A90" s="747">
        <v>88</v>
      </c>
      <c r="B90" s="110" t="s">
        <v>214</v>
      </c>
      <c r="C90" s="747"/>
      <c r="D90" s="759">
        <v>1982</v>
      </c>
      <c r="E90" s="759"/>
      <c r="F90" s="759" t="s">
        <v>532</v>
      </c>
      <c r="G90" s="754"/>
      <c r="H90" s="747" t="s">
        <v>623</v>
      </c>
      <c r="I90" s="110" t="s">
        <v>629</v>
      </c>
      <c r="J90" s="760"/>
    </row>
    <row r="91" spans="1:10" ht="15.75">
      <c r="A91" s="747">
        <v>89</v>
      </c>
      <c r="B91" s="102" t="s">
        <v>174</v>
      </c>
      <c r="C91" s="747"/>
      <c r="D91" s="759">
        <v>1992</v>
      </c>
      <c r="E91" s="759"/>
      <c r="F91" s="759" t="s">
        <v>532</v>
      </c>
      <c r="G91" s="754"/>
      <c r="H91" s="747" t="s">
        <v>616</v>
      </c>
      <c r="I91" s="110" t="s">
        <v>630</v>
      </c>
      <c r="J91" s="760"/>
    </row>
    <row r="92" spans="1:10" ht="15.75">
      <c r="A92" s="747">
        <v>90</v>
      </c>
      <c r="B92" s="102" t="s">
        <v>288</v>
      </c>
      <c r="C92" s="747"/>
      <c r="D92" s="759">
        <v>2004</v>
      </c>
      <c r="E92" s="759"/>
      <c r="F92" s="759" t="s">
        <v>532</v>
      </c>
      <c r="G92" s="754"/>
      <c r="H92" s="747" t="s">
        <v>614</v>
      </c>
      <c r="I92" s="110" t="s">
        <v>585</v>
      </c>
      <c r="J92" s="760"/>
    </row>
    <row r="93" spans="1:10" ht="15.75">
      <c r="A93" s="747">
        <v>91</v>
      </c>
      <c r="B93" s="102" t="s">
        <v>309</v>
      </c>
      <c r="C93" s="747"/>
      <c r="D93" s="759">
        <v>1983</v>
      </c>
      <c r="E93" s="759"/>
      <c r="F93" s="759" t="s">
        <v>532</v>
      </c>
      <c r="G93" s="754"/>
      <c r="H93" s="747" t="s">
        <v>623</v>
      </c>
      <c r="I93" s="110" t="s">
        <v>631</v>
      </c>
      <c r="J93" s="760"/>
    </row>
    <row r="94" spans="1:10" ht="15.75">
      <c r="A94" s="747">
        <v>92</v>
      </c>
      <c r="B94" s="102" t="s">
        <v>239</v>
      </c>
      <c r="C94" s="747"/>
      <c r="D94" s="759">
        <v>1983</v>
      </c>
      <c r="E94" s="759"/>
      <c r="F94" s="759" t="s">
        <v>532</v>
      </c>
      <c r="G94" s="754"/>
      <c r="H94" s="747" t="s">
        <v>623</v>
      </c>
      <c r="I94" s="110" t="s">
        <v>632</v>
      </c>
      <c r="J94" s="760"/>
    </row>
    <row r="95" spans="1:10" ht="15.75">
      <c r="A95" s="747">
        <v>93</v>
      </c>
      <c r="B95" s="102" t="s">
        <v>211</v>
      </c>
      <c r="C95" s="747"/>
      <c r="D95" s="759">
        <v>2001</v>
      </c>
      <c r="E95" s="759"/>
      <c r="F95" s="759" t="s">
        <v>532</v>
      </c>
      <c r="G95" s="754"/>
      <c r="H95" s="747" t="s">
        <v>623</v>
      </c>
      <c r="I95" s="110" t="s">
        <v>633</v>
      </c>
      <c r="J95" s="760"/>
    </row>
    <row r="96" spans="1:10" ht="15.75">
      <c r="A96" s="747">
        <v>94</v>
      </c>
      <c r="B96" s="102" t="s">
        <v>228</v>
      </c>
      <c r="C96" s="747"/>
      <c r="D96" s="759">
        <v>1990</v>
      </c>
      <c r="E96" s="759"/>
      <c r="F96" s="759" t="s">
        <v>532</v>
      </c>
      <c r="G96" s="754"/>
      <c r="H96" s="747" t="s">
        <v>623</v>
      </c>
      <c r="I96" s="110" t="s">
        <v>634</v>
      </c>
      <c r="J96" s="760"/>
    </row>
    <row r="97" spans="1:10">
      <c r="A97" s="747">
        <v>95</v>
      </c>
      <c r="B97" s="102" t="s">
        <v>191</v>
      </c>
      <c r="C97" s="747"/>
      <c r="D97" s="759">
        <v>2005</v>
      </c>
      <c r="E97" s="759"/>
      <c r="F97" s="759" t="s">
        <v>540</v>
      </c>
      <c r="G97" s="754"/>
      <c r="H97" s="747" t="s">
        <v>623</v>
      </c>
      <c r="I97" s="110" t="s">
        <v>635</v>
      </c>
      <c r="J97" s="759"/>
    </row>
    <row r="98" spans="1:10">
      <c r="A98" s="747">
        <v>96</v>
      </c>
      <c r="B98" s="102" t="s">
        <v>234</v>
      </c>
      <c r="C98" s="747"/>
      <c r="D98" s="759">
        <v>1999</v>
      </c>
      <c r="E98" s="759"/>
      <c r="F98" s="759" t="s">
        <v>540</v>
      </c>
      <c r="G98" s="754"/>
      <c r="H98" s="747" t="s">
        <v>614</v>
      </c>
      <c r="I98" s="110" t="s">
        <v>636</v>
      </c>
      <c r="J98" s="759"/>
    </row>
    <row r="99" spans="1:10">
      <c r="A99" s="747">
        <v>97</v>
      </c>
      <c r="B99" s="102" t="s">
        <v>215</v>
      </c>
      <c r="C99" s="747"/>
      <c r="D99" s="759">
        <v>1993</v>
      </c>
      <c r="E99" s="759"/>
      <c r="F99" s="759" t="s">
        <v>540</v>
      </c>
      <c r="G99" s="754"/>
      <c r="H99" s="747" t="s">
        <v>67</v>
      </c>
      <c r="I99" s="110" t="s">
        <v>637</v>
      </c>
      <c r="J99" s="759"/>
    </row>
    <row r="100" spans="1:10">
      <c r="A100" s="747">
        <v>98</v>
      </c>
      <c r="B100" s="364" t="s">
        <v>216</v>
      </c>
      <c r="C100" s="747"/>
      <c r="D100" s="759">
        <v>1995</v>
      </c>
      <c r="E100" s="759"/>
      <c r="F100" s="759" t="s">
        <v>540</v>
      </c>
      <c r="G100" s="754"/>
      <c r="H100" s="747" t="s">
        <v>67</v>
      </c>
      <c r="I100" s="110" t="s">
        <v>638</v>
      </c>
      <c r="J100" s="759"/>
    </row>
    <row r="101" spans="1:10">
      <c r="A101" s="747">
        <v>99</v>
      </c>
      <c r="B101" s="364" t="s">
        <v>487</v>
      </c>
      <c r="C101" s="747"/>
      <c r="D101" s="759">
        <v>1991</v>
      </c>
      <c r="E101" s="759"/>
      <c r="F101" s="759" t="s">
        <v>540</v>
      </c>
      <c r="G101" s="754"/>
      <c r="H101" s="747" t="s">
        <v>623</v>
      </c>
      <c r="I101" s="110" t="s">
        <v>639</v>
      </c>
      <c r="J101" s="759"/>
    </row>
    <row r="102" spans="1:10">
      <c r="A102" s="747">
        <v>100</v>
      </c>
      <c r="B102" s="364" t="s">
        <v>259</v>
      </c>
      <c r="C102" s="747"/>
      <c r="D102" s="759">
        <v>1988</v>
      </c>
      <c r="E102" s="759"/>
      <c r="F102" s="759" t="s">
        <v>540</v>
      </c>
      <c r="G102" s="747"/>
      <c r="H102" s="747" t="s">
        <v>623</v>
      </c>
      <c r="I102" s="110" t="s">
        <v>640</v>
      </c>
      <c r="J102" s="759"/>
    </row>
    <row r="103" spans="1:10">
      <c r="A103" s="747">
        <v>101</v>
      </c>
      <c r="B103" s="364" t="s">
        <v>240</v>
      </c>
      <c r="C103" s="747"/>
      <c r="D103" s="759">
        <v>2006</v>
      </c>
      <c r="E103" s="759"/>
      <c r="F103" s="759" t="s">
        <v>540</v>
      </c>
      <c r="G103" s="747"/>
      <c r="H103" s="747" t="s">
        <v>623</v>
      </c>
      <c r="I103" s="110" t="s">
        <v>641</v>
      </c>
      <c r="J103" s="759"/>
    </row>
    <row r="104" spans="1:10">
      <c r="A104" s="747">
        <v>102</v>
      </c>
      <c r="B104" s="364" t="s">
        <v>488</v>
      </c>
      <c r="C104" s="747"/>
      <c r="D104" s="759">
        <v>1985</v>
      </c>
      <c r="E104" s="759"/>
      <c r="F104" s="759" t="s">
        <v>540</v>
      </c>
      <c r="G104" s="747"/>
      <c r="H104" s="747" t="s">
        <v>623</v>
      </c>
      <c r="I104" s="769" t="s">
        <v>642</v>
      </c>
      <c r="J104" s="759"/>
    </row>
    <row r="105" spans="1:10">
      <c r="A105" s="747">
        <v>103</v>
      </c>
      <c r="B105" s="362" t="s">
        <v>296</v>
      </c>
      <c r="C105" s="747"/>
      <c r="D105" s="759">
        <v>1995</v>
      </c>
      <c r="E105" s="759"/>
      <c r="F105" s="759" t="s">
        <v>532</v>
      </c>
      <c r="G105" s="747"/>
      <c r="H105" s="747" t="s">
        <v>67</v>
      </c>
      <c r="I105" s="110" t="s">
        <v>643</v>
      </c>
      <c r="J105" s="759"/>
    </row>
    <row r="106" spans="1:10">
      <c r="A106" s="747">
        <v>104</v>
      </c>
      <c r="B106" s="364" t="s">
        <v>217</v>
      </c>
      <c r="C106" s="747"/>
      <c r="D106" s="759">
        <v>1986</v>
      </c>
      <c r="E106" s="759"/>
      <c r="F106" s="759" t="s">
        <v>540</v>
      </c>
      <c r="G106" s="747"/>
      <c r="H106" s="747" t="s">
        <v>623</v>
      </c>
      <c r="I106" s="110" t="s">
        <v>644</v>
      </c>
      <c r="J106" s="759"/>
    </row>
    <row r="107" spans="1:10">
      <c r="A107" s="747">
        <v>105</v>
      </c>
      <c r="B107" s="364" t="s">
        <v>297</v>
      </c>
      <c r="C107" s="747"/>
      <c r="D107" s="759">
        <v>1982</v>
      </c>
      <c r="E107" s="759"/>
      <c r="F107" s="759" t="s">
        <v>532</v>
      </c>
      <c r="G107" s="747"/>
      <c r="H107" s="747" t="s">
        <v>623</v>
      </c>
      <c r="I107" s="110" t="s">
        <v>645</v>
      </c>
      <c r="J107" s="759"/>
    </row>
    <row r="108" spans="1:10">
      <c r="A108" s="747">
        <v>106</v>
      </c>
      <c r="B108" s="364" t="s">
        <v>223</v>
      </c>
      <c r="C108" s="747"/>
      <c r="D108" s="759">
        <v>2000</v>
      </c>
      <c r="E108" s="747"/>
      <c r="F108" s="759" t="s">
        <v>540</v>
      </c>
      <c r="G108" s="747"/>
      <c r="H108" s="747" t="s">
        <v>623</v>
      </c>
      <c r="I108" s="110" t="s">
        <v>646</v>
      </c>
      <c r="J108" s="759"/>
    </row>
    <row r="109" spans="1:10">
      <c r="A109" s="747">
        <v>107</v>
      </c>
      <c r="B109" s="364" t="s">
        <v>235</v>
      </c>
      <c r="C109" s="747"/>
      <c r="D109" s="759">
        <v>2003</v>
      </c>
      <c r="E109" s="747"/>
      <c r="F109" s="759" t="s">
        <v>532</v>
      </c>
      <c r="G109" s="747"/>
      <c r="H109" s="747" t="s">
        <v>67</v>
      </c>
      <c r="I109" s="110" t="s">
        <v>647</v>
      </c>
      <c r="J109" s="747"/>
    </row>
    <row r="110" spans="1:10">
      <c r="A110" s="747">
        <v>108</v>
      </c>
      <c r="B110" s="364" t="s">
        <v>298</v>
      </c>
      <c r="C110" s="747"/>
      <c r="D110" s="759">
        <v>1998</v>
      </c>
      <c r="E110" s="747"/>
      <c r="F110" s="759" t="s">
        <v>532</v>
      </c>
      <c r="G110" s="747"/>
      <c r="H110" s="747" t="s">
        <v>614</v>
      </c>
      <c r="I110" s="110" t="s">
        <v>648</v>
      </c>
      <c r="J110" s="747"/>
    </row>
    <row r="111" spans="1:10">
      <c r="A111" s="747">
        <v>109</v>
      </c>
      <c r="B111" s="364" t="s">
        <v>489</v>
      </c>
      <c r="C111" s="747"/>
      <c r="D111" s="759">
        <v>1975</v>
      </c>
      <c r="E111" s="747"/>
      <c r="F111" s="759" t="s">
        <v>532</v>
      </c>
      <c r="G111" s="747"/>
      <c r="H111" s="747" t="s">
        <v>614</v>
      </c>
      <c r="I111" s="110" t="s">
        <v>649</v>
      </c>
      <c r="J111" s="747"/>
    </row>
    <row r="112" spans="1:10">
      <c r="A112" s="747">
        <v>110</v>
      </c>
      <c r="B112" s="364" t="s">
        <v>299</v>
      </c>
      <c r="C112" s="747"/>
      <c r="D112" s="759">
        <v>1999</v>
      </c>
      <c r="E112" s="747"/>
      <c r="F112" s="759" t="s">
        <v>540</v>
      </c>
      <c r="G112" s="747"/>
      <c r="H112" s="747" t="s">
        <v>623</v>
      </c>
      <c r="I112" s="110" t="s">
        <v>650</v>
      </c>
      <c r="J112" s="747"/>
    </row>
    <row r="113" spans="1:10">
      <c r="A113" s="747">
        <v>111</v>
      </c>
      <c r="B113" s="364" t="s">
        <v>224</v>
      </c>
      <c r="C113" s="747"/>
      <c r="D113" s="759">
        <v>1999</v>
      </c>
      <c r="E113" s="747"/>
      <c r="F113" s="759" t="s">
        <v>532</v>
      </c>
      <c r="G113" s="747"/>
      <c r="H113" s="747" t="s">
        <v>614</v>
      </c>
      <c r="I113" s="110" t="s">
        <v>651</v>
      </c>
      <c r="J113" s="747"/>
    </row>
    <row r="114" spans="1:10">
      <c r="A114" s="747">
        <v>112</v>
      </c>
      <c r="B114" s="364" t="s">
        <v>295</v>
      </c>
      <c r="C114" s="747"/>
      <c r="D114" s="759">
        <v>1998</v>
      </c>
      <c r="E114" s="747"/>
      <c r="F114" s="759" t="s">
        <v>540</v>
      </c>
      <c r="G114" s="747"/>
      <c r="H114" s="747" t="s">
        <v>614</v>
      </c>
      <c r="I114" s="110" t="s">
        <v>652</v>
      </c>
      <c r="J114" s="747"/>
    </row>
    <row r="115" spans="1:10">
      <c r="A115" s="747">
        <v>113</v>
      </c>
      <c r="B115" s="364" t="s">
        <v>225</v>
      </c>
      <c r="C115" s="747"/>
      <c r="D115" s="759">
        <v>1989</v>
      </c>
      <c r="E115" s="747"/>
      <c r="F115" s="759" t="s">
        <v>532</v>
      </c>
      <c r="G115" s="747"/>
      <c r="H115" s="747" t="s">
        <v>623</v>
      </c>
      <c r="I115" s="110" t="s">
        <v>653</v>
      </c>
      <c r="J115" s="747"/>
    </row>
    <row r="116" spans="1:10">
      <c r="A116" s="747">
        <v>114</v>
      </c>
      <c r="B116" s="362" t="s">
        <v>169</v>
      </c>
      <c r="C116" s="747"/>
      <c r="D116" s="759">
        <v>1979</v>
      </c>
      <c r="E116" s="747"/>
      <c r="F116" s="759" t="s">
        <v>540</v>
      </c>
      <c r="G116" s="747"/>
      <c r="H116" s="747" t="s">
        <v>623</v>
      </c>
      <c r="I116" s="110" t="s">
        <v>654</v>
      </c>
      <c r="J116" s="747"/>
    </row>
    <row r="117" spans="1:10">
      <c r="A117" s="747">
        <v>115</v>
      </c>
      <c r="B117" s="110" t="s">
        <v>490</v>
      </c>
      <c r="C117" s="747"/>
      <c r="D117" s="759">
        <v>2006</v>
      </c>
      <c r="E117" s="747"/>
      <c r="F117" s="759" t="s">
        <v>532</v>
      </c>
      <c r="G117" s="747"/>
      <c r="H117" s="747" t="s">
        <v>623</v>
      </c>
      <c r="I117" s="110" t="s">
        <v>655</v>
      </c>
      <c r="J117" s="747"/>
    </row>
    <row r="118" spans="1:10">
      <c r="A118" s="747">
        <v>116</v>
      </c>
      <c r="B118" s="364" t="s">
        <v>81</v>
      </c>
      <c r="C118" s="747"/>
      <c r="D118" s="759">
        <v>1982</v>
      </c>
      <c r="E118" s="747"/>
      <c r="F118" s="759" t="s">
        <v>532</v>
      </c>
      <c r="G118" s="747"/>
      <c r="H118" s="747" t="s">
        <v>67</v>
      </c>
      <c r="I118" s="110" t="s">
        <v>656</v>
      </c>
      <c r="J118" s="747"/>
    </row>
    <row r="119" spans="1:10">
      <c r="A119" s="747">
        <v>117</v>
      </c>
      <c r="B119" s="364" t="s">
        <v>304</v>
      </c>
      <c r="C119" s="747"/>
      <c r="D119" s="759">
        <v>2006</v>
      </c>
      <c r="E119" s="747"/>
      <c r="F119" s="759" t="s">
        <v>532</v>
      </c>
      <c r="G119" s="747"/>
      <c r="H119" s="747" t="s">
        <v>614</v>
      </c>
      <c r="I119" s="110" t="s">
        <v>657</v>
      </c>
      <c r="J119" s="747"/>
    </row>
    <row r="120" spans="1:10">
      <c r="A120" s="747">
        <v>118</v>
      </c>
      <c r="B120" s="364" t="s">
        <v>175</v>
      </c>
      <c r="C120" s="747"/>
      <c r="D120" s="759">
        <v>2001</v>
      </c>
      <c r="E120" s="747"/>
      <c r="F120" s="759" t="s">
        <v>532</v>
      </c>
      <c r="G120" s="747"/>
      <c r="H120" s="747" t="s">
        <v>67</v>
      </c>
      <c r="I120" s="110" t="s">
        <v>658</v>
      </c>
      <c r="J120" s="747"/>
    </row>
    <row r="121" spans="1:10">
      <c r="A121" s="747">
        <v>119</v>
      </c>
      <c r="B121" s="364" t="s">
        <v>300</v>
      </c>
      <c r="C121" s="747"/>
      <c r="D121" s="759">
        <v>2006</v>
      </c>
      <c r="E121" s="747"/>
      <c r="F121" s="759" t="s">
        <v>532</v>
      </c>
      <c r="G121" s="747"/>
      <c r="H121" s="747" t="s">
        <v>614</v>
      </c>
      <c r="I121" s="110" t="s">
        <v>659</v>
      </c>
      <c r="J121" s="747"/>
    </row>
    <row r="122" spans="1:10">
      <c r="A122" s="747">
        <v>120</v>
      </c>
      <c r="B122" s="364" t="s">
        <v>226</v>
      </c>
      <c r="C122" s="747"/>
      <c r="D122" s="759">
        <v>1990</v>
      </c>
      <c r="E122" s="747"/>
      <c r="F122" s="759" t="s">
        <v>532</v>
      </c>
      <c r="G122" s="747"/>
      <c r="H122" s="747" t="s">
        <v>614</v>
      </c>
      <c r="I122" s="110" t="s">
        <v>660</v>
      </c>
      <c r="J122" s="747"/>
    </row>
    <row r="123" spans="1:10">
      <c r="A123" s="747">
        <v>121</v>
      </c>
      <c r="B123" s="364" t="s">
        <v>491</v>
      </c>
      <c r="C123" s="747"/>
      <c r="D123" s="759">
        <v>1981</v>
      </c>
      <c r="E123" s="747"/>
      <c r="F123" s="759" t="s">
        <v>532</v>
      </c>
      <c r="G123" s="747"/>
      <c r="H123" s="747" t="s">
        <v>623</v>
      </c>
      <c r="I123" s="110" t="s">
        <v>661</v>
      </c>
      <c r="J123" s="747"/>
    </row>
    <row r="124" spans="1:10">
      <c r="A124" s="747">
        <v>122</v>
      </c>
      <c r="B124" s="364" t="s">
        <v>176</v>
      </c>
      <c r="C124" s="747"/>
      <c r="D124" s="759">
        <v>1998</v>
      </c>
      <c r="E124" s="747"/>
      <c r="F124" s="759" t="s">
        <v>532</v>
      </c>
      <c r="G124" s="747"/>
      <c r="H124" s="747" t="s">
        <v>67</v>
      </c>
      <c r="I124" s="110" t="s">
        <v>662</v>
      </c>
      <c r="J124" s="747"/>
    </row>
    <row r="125" spans="1:10">
      <c r="A125" s="747">
        <v>123</v>
      </c>
      <c r="B125" s="364" t="s">
        <v>227</v>
      </c>
      <c r="C125" s="747"/>
      <c r="D125" s="759">
        <v>1992</v>
      </c>
      <c r="E125" s="747"/>
      <c r="F125" s="759" t="s">
        <v>540</v>
      </c>
      <c r="G125" s="747"/>
      <c r="H125" s="747" t="s">
        <v>614</v>
      </c>
      <c r="I125" s="110" t="s">
        <v>663</v>
      </c>
      <c r="J125" s="747"/>
    </row>
    <row r="126" spans="1:10">
      <c r="A126" s="747">
        <v>124</v>
      </c>
      <c r="B126" s="364" t="s">
        <v>301</v>
      </c>
      <c r="C126" s="747"/>
      <c r="D126" s="759">
        <v>2005</v>
      </c>
      <c r="E126" s="747"/>
      <c r="F126" s="759" t="s">
        <v>532</v>
      </c>
      <c r="G126" s="747"/>
      <c r="H126" s="747" t="s">
        <v>614</v>
      </c>
      <c r="I126" s="110" t="s">
        <v>664</v>
      </c>
      <c r="J126" s="747"/>
    </row>
    <row r="127" spans="1:10">
      <c r="A127" s="747">
        <v>125</v>
      </c>
      <c r="B127" s="364" t="s">
        <v>302</v>
      </c>
      <c r="C127" s="747"/>
      <c r="D127" s="759">
        <v>2001</v>
      </c>
      <c r="E127" s="747"/>
      <c r="F127" s="759" t="s">
        <v>532</v>
      </c>
      <c r="G127" s="747"/>
      <c r="H127" s="747" t="s">
        <v>614</v>
      </c>
      <c r="I127" s="110" t="s">
        <v>665</v>
      </c>
      <c r="J127" s="747"/>
    </row>
    <row r="128" spans="1:10">
      <c r="A128" s="747">
        <v>126</v>
      </c>
      <c r="B128" s="364" t="s">
        <v>303</v>
      </c>
      <c r="C128" s="747"/>
      <c r="D128" s="759">
        <v>2001</v>
      </c>
      <c r="E128" s="747"/>
      <c r="F128" s="759" t="s">
        <v>532</v>
      </c>
      <c r="G128" s="747"/>
      <c r="H128" s="747" t="s">
        <v>614</v>
      </c>
      <c r="I128" s="110" t="s">
        <v>666</v>
      </c>
      <c r="J128" s="747"/>
    </row>
    <row r="129" spans="1:10">
      <c r="A129" s="747">
        <v>127</v>
      </c>
      <c r="B129" s="364" t="s">
        <v>492</v>
      </c>
      <c r="C129" s="747"/>
      <c r="D129" s="759">
        <v>2002</v>
      </c>
      <c r="E129" s="747"/>
      <c r="F129" s="759" t="s">
        <v>540</v>
      </c>
      <c r="G129" s="747"/>
      <c r="H129" s="747" t="s">
        <v>614</v>
      </c>
      <c r="I129" s="110" t="s">
        <v>667</v>
      </c>
      <c r="J129" s="747"/>
    </row>
    <row r="130" spans="1:10">
      <c r="A130" s="747">
        <v>128</v>
      </c>
      <c r="B130" s="364" t="s">
        <v>310</v>
      </c>
      <c r="C130" s="747"/>
      <c r="D130" s="759">
        <v>2001</v>
      </c>
      <c r="E130" s="747"/>
      <c r="F130" s="759" t="s">
        <v>532</v>
      </c>
      <c r="G130" s="747"/>
      <c r="H130" s="747" t="s">
        <v>614</v>
      </c>
      <c r="I130" s="110" t="s">
        <v>668</v>
      </c>
      <c r="J130" s="747"/>
    </row>
    <row r="131" spans="1:10">
      <c r="A131" s="747">
        <v>129</v>
      </c>
      <c r="B131" s="364" t="s">
        <v>493</v>
      </c>
      <c r="C131" s="747"/>
      <c r="D131" s="759">
        <v>1982</v>
      </c>
      <c r="E131" s="747"/>
      <c r="F131" s="759" t="s">
        <v>540</v>
      </c>
      <c r="G131" s="747"/>
      <c r="H131" s="747" t="s">
        <v>614</v>
      </c>
      <c r="I131" s="110" t="s">
        <v>669</v>
      </c>
      <c r="J131" s="747"/>
    </row>
    <row r="132" spans="1:10">
      <c r="A132" s="747">
        <v>130</v>
      </c>
      <c r="B132" s="364" t="s">
        <v>237</v>
      </c>
      <c r="C132" s="747"/>
      <c r="D132" s="759">
        <v>1997</v>
      </c>
      <c r="E132" s="747"/>
      <c r="F132" s="759" t="s">
        <v>532</v>
      </c>
      <c r="G132" s="747"/>
      <c r="H132" s="747" t="s">
        <v>614</v>
      </c>
      <c r="I132" s="110" t="s">
        <v>670</v>
      </c>
      <c r="J132" s="747"/>
    </row>
    <row r="133" spans="1:10">
      <c r="A133" s="747">
        <v>131</v>
      </c>
      <c r="B133" s="364" t="s">
        <v>494</v>
      </c>
      <c r="C133" s="747"/>
      <c r="D133" s="759">
        <v>1997</v>
      </c>
      <c r="E133" s="747"/>
      <c r="F133" s="759" t="s">
        <v>532</v>
      </c>
      <c r="G133" s="747"/>
      <c r="H133" s="747" t="s">
        <v>614</v>
      </c>
      <c r="I133" s="110" t="s">
        <v>671</v>
      </c>
      <c r="J133" s="747"/>
    </row>
    <row r="134" spans="1:10">
      <c r="A134" s="747">
        <v>132</v>
      </c>
      <c r="B134" s="364" t="s">
        <v>495</v>
      </c>
      <c r="C134" s="747"/>
      <c r="D134" s="759">
        <v>2000</v>
      </c>
      <c r="E134" s="747"/>
      <c r="F134" s="759" t="s">
        <v>532</v>
      </c>
      <c r="G134" s="747"/>
      <c r="H134" s="747" t="s">
        <v>614</v>
      </c>
      <c r="I134" s="110" t="s">
        <v>672</v>
      </c>
      <c r="J134" s="747"/>
    </row>
    <row r="135" spans="1:10">
      <c r="A135" s="747">
        <v>133</v>
      </c>
    </row>
    <row r="136" spans="1:10">
      <c r="A136" s="747">
        <v>134</v>
      </c>
    </row>
    <row r="137" spans="1:10">
      <c r="A137" s="747">
        <v>135</v>
      </c>
    </row>
  </sheetData>
  <mergeCells count="2">
    <mergeCell ref="B2:D2"/>
    <mergeCell ref="B76:D7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14</vt:i4>
      </vt:variant>
    </vt:vector>
  </HeadingPairs>
  <TitlesOfParts>
    <vt:vector size="38" baseType="lpstr">
      <vt:lpstr>SẢN LƯỢNG</vt:lpstr>
      <vt:lpstr>MỦ SERUM</vt:lpstr>
      <vt:lpstr>Chấm công KT</vt:lpstr>
      <vt:lpstr>TONGHOPCONGDOI</vt:lpstr>
      <vt:lpstr>Trạm 1</vt:lpstr>
      <vt:lpstr>Trạm 2</vt:lpstr>
      <vt:lpstr>CNKT </vt:lpstr>
      <vt:lpstr>TÍNH LƯƠNG CB</vt:lpstr>
      <vt:lpstr>CC CB LÀO</vt:lpstr>
      <vt:lpstr>LƯƠNG CB.CNV LÀO</vt:lpstr>
      <vt:lpstr>LƯƠNG CN TRỰC TIẾP </vt:lpstr>
      <vt:lpstr>TH LƯƠNG CNKT</vt:lpstr>
      <vt:lpstr>Phân toán  </vt:lpstr>
      <vt:lpstr>PLcon (2)</vt:lpstr>
      <vt:lpstr>DSN Thuê</vt:lpstr>
      <vt:lpstr>Bảng TH CP khác</vt:lpstr>
      <vt:lpstr>Hổ trợ vi gô </vt:lpstr>
      <vt:lpstr>PC xăng xe T4</vt:lpstr>
      <vt:lpstr>PLcon NT</vt:lpstr>
      <vt:lpstr>Phân Toán CVK</vt:lpstr>
      <vt:lpstr>Bảng ĐP - BV  </vt:lpstr>
      <vt:lpstr>Bảng CC - NV</vt:lpstr>
      <vt:lpstr>Sheet1 (2)</vt:lpstr>
      <vt:lpstr>Mã số nhân viên</vt:lpstr>
      <vt:lpstr>'CNKT '!Print_Area</vt:lpstr>
      <vt:lpstr>'SẢN LƯỢNG'!Print_Area</vt:lpstr>
      <vt:lpstr>TONGHOPCONGDOI!Print_Area</vt:lpstr>
      <vt:lpstr>'CNKT '!Print_Titles</vt:lpstr>
      <vt:lpstr>'Chấm công KT'!Print_Titles</vt:lpstr>
      <vt:lpstr>'LƯƠNG CN TRỰC TIẾP '!Print_Titles</vt:lpstr>
      <vt:lpstr>'PC xăng xe T4'!Print_Titles</vt:lpstr>
      <vt:lpstr>'Phân toán  '!Print_Titles</vt:lpstr>
      <vt:lpstr>'Phân Toán CVK'!Print_Titles</vt:lpstr>
      <vt:lpstr>'SẢN LƯỢNG'!Print_Titles</vt:lpstr>
      <vt:lpstr>TONGHOPCONGDOI!Print_Titles</vt:lpstr>
      <vt:lpstr>'TH LƯƠNG CNKT'!Print_Titles</vt:lpstr>
      <vt:lpstr>'Trạm 1'!Print_Titles</vt:lpstr>
      <vt:lpstr>'Trạm 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2025-11-02T15:17:41Z</cp:lastPrinted>
  <dcterms:created xsi:type="dcterms:W3CDTF">2016-08-22T04:16:23Z</dcterms:created>
  <dcterms:modified xsi:type="dcterms:W3CDTF">2026-01-30T02:54:49Z</dcterms:modified>
</cp:coreProperties>
</file>